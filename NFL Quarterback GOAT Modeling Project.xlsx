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FINAL_GOAT_RANKINGS" sheetId="2" r:id="rId6"/>
    <sheet state="visible" name="DASHBOARD" sheetId="3" r:id="rId7"/>
    <sheet state="visible" name="QB_ROSTER" sheetId="4" r:id="rId8"/>
    <sheet state="visible" name="CATEGORY_DEFINITIONS" sheetId="5" r:id="rId9"/>
    <sheet state="visible" name="CATEGORY_WEIGHTS" sheetId="6" r:id="rId10"/>
    <sheet state="visible" name="TIER_WEIGHTS" sheetId="7" r:id="rId11"/>
    <sheet state="visible" name="MODEL_GREATEST" sheetId="8" r:id="rId12"/>
    <sheet state="visible" name="MODEL_BEST" sheetId="9" r:id="rId13"/>
    <sheet state="visible" name="MODEL_DOMINANT" sheetId="10" r:id="rId14"/>
    <sheet state="visible" name="MODEL_CLUTCH" sheetId="11" r:id="rId15"/>
    <sheet state="visible" name="Appendix Sheets" sheetId="12" r:id="rId16"/>
    <sheet state="visible" name="RAW_DATA" sheetId="13" r:id="rId17"/>
    <sheet state="visible" name="NORMALIZED_DATA" sheetId="14" r:id="rId18"/>
    <sheet state="visible" name="DATA_LEAGUE_AVG" sheetId="15" r:id="rId19"/>
    <sheet state="visible" name="DATA_QB_SEASONS" sheetId="16" r:id="rId20"/>
    <sheet state="hidden" name="CALC_NEG_PLAY" sheetId="17" r:id="rId21"/>
    <sheet state="hidden" name="CALC_ANYA_INT_SACK" sheetId="18" r:id="rId22"/>
    <sheet state="hidden" name="CALC_PLAYOFF_ELEV" sheetId="19" r:id="rId23"/>
    <sheet state="hidden" name="CALC_MVP_SHARES" sheetId="20" r:id="rId24"/>
  </sheets>
  <definedNames>
    <definedName hidden="1" localSheetId="1" name="_xlnm._FilterDatabase">FINAL_GOAT_RANKINGS!$D$2:$N$27</definedName>
    <definedName hidden="1" localSheetId="7" name="_xlnm._FilterDatabase">MODEL_GREATEST!$A$1:$R$26</definedName>
    <definedName hidden="1" localSheetId="8" name="_xlnm._FilterDatabase">MODEL_BEST!$A$1:$R$26</definedName>
    <definedName hidden="1" localSheetId="9" name="_xlnm._FilterDatabase">MODEL_DOMINANT!$A$1:$R$26</definedName>
    <definedName hidden="1" localSheetId="10" name="_xlnm._FilterDatabase">MODEL_CLUTCH!$A$1:$R$26</definedName>
    <definedName hidden="1" localSheetId="15" name="_xlnm._FilterDatabase">DATA_QB_SEASONS!$A$1:$AS$361</definedName>
  </definedNames>
  <calcPr/>
</workbook>
</file>

<file path=xl/sharedStrings.xml><?xml version="1.0" encoding="utf-8"?>
<sst xmlns="http://schemas.openxmlformats.org/spreadsheetml/2006/main" count="3732" uniqueCount="506">
  <si>
    <t>NFL Quarterback GOAT Model</t>
  </si>
  <si>
    <t>A multi-model statistical framework for evaluating the greatest quarterbacks in NFL history</t>
  </si>
  <si>
    <t>Overview</t>
  </si>
  <si>
    <t>Models Utilized</t>
  </si>
  <si>
    <t>This project builds a spreadsheet-based analytical model to evaluate and rank the greatest quarterbacks in NFL history. Rather than relying on a single statistic or subjective ranking, the model separates quarterback performance into four distinct analytical dimensions: career greatness, overall performance level, statistical dominance, and postseason performance. Each dimension is evaluated using a separate statistical model built from weighted metrics and normalized statistics. The results are then combined to produce a final GOAT score. Because NFL statistics vary significantly across eras, the analysis uses era-adjusted metrics and relative performance comparisons to allow quarterbacks from different decades to be evaluated on a comparable basis.</t>
  </si>
  <si>
    <t>Greatest Model</t>
  </si>
  <si>
    <t>Evaluates legacy and career accomplishments including MVP awards, All-Pro selections, championships, and long-term achievements.</t>
  </si>
  <si>
    <t>Best Model</t>
  </si>
  <si>
    <t>Measures overall quarterback performance using efficiency metrics and era-adjusted statistics.</t>
  </si>
  <si>
    <t>Dominant Model</t>
  </si>
  <si>
    <t>Analyzes how much quarterbacks separated themselves from league averages during their careers using season-level normalized statistics.</t>
  </si>
  <si>
    <t>Clutch Model</t>
  </si>
  <si>
    <t>Examines postseason performance and whether quarterbacks elevated their play relative to regular-season production.</t>
  </si>
  <si>
    <t>Dataset &amp; Methods</t>
  </si>
  <si>
    <t>Skills Demonstrated</t>
  </si>
  <si>
    <t>The analysis evaluates 25 historically significant quarterbacks spanning nearly a century of professional football.</t>
  </si>
  <si>
    <t>• Spreadsheet modeling and architecture</t>
  </si>
  <si>
    <t>• Data normalization and statistical standardization</t>
  </si>
  <si>
    <t>• Weighted scoring systems</t>
  </si>
  <si>
    <t>• Historical data analysis and era-adjustment methodology</t>
  </si>
  <si>
    <t>The dataset includes both career statistics and season-level performance data. League averages by season are used to construct era-adjusted statistics and dominance metrics.</t>
  </si>
  <si>
    <t>• Dashboard-style data presentation and visualizations</t>
  </si>
  <si>
    <t>• Dynamic data lookups with XLOOKUP, indexing and conditional logic</t>
  </si>
  <si>
    <t>• Advanced data cleaning and transformation</t>
  </si>
  <si>
    <t>• Multi-model analytical frameworks and multi-sheet architecture</t>
  </si>
  <si>
    <t>Several statistical techniques are used throughout the model, including:</t>
  </si>
  <si>
    <t>• z-score normalization</t>
  </si>
  <si>
    <t>Future Recommendations</t>
  </si>
  <si>
    <t>• weighted scoring systems</t>
  </si>
  <si>
    <t>Future analysis is recommended in the following areas:</t>
  </si>
  <si>
    <t>• season-level era adjustment</t>
  </si>
  <si>
    <t>• Incorporation of strength-of-schedule and defense-adjusted value over average (DVOA) scores to better isolate a quarterback's individual impact.</t>
  </si>
  <si>
    <t>• relative performance comparisons</t>
  </si>
  <si>
    <t>• As modern or "Next Gen" stats are applied to historical data, additional analysis can be performed to compare advanced stats across eras.</t>
  </si>
  <si>
    <t>• Apply the weighted model concept (or a similar one) to different positional groups, or different sports entirely.</t>
  </si>
  <si>
    <t>These methods allow players from very different statistical environments to be evaluated using consistent benchmarks.</t>
  </si>
  <si>
    <t>Created as a portfolio project demonstrating spreadsheet modeling and sports analytics concepts.</t>
  </si>
  <si>
    <t>Last Updated: March 7, 2026</t>
  </si>
  <si>
    <t>#</t>
  </si>
  <si>
    <t>Quarterback</t>
  </si>
  <si>
    <t>GOAT SCORES</t>
  </si>
  <si>
    <t>Greatness Score</t>
  </si>
  <si>
    <t>Best Score</t>
  </si>
  <si>
    <t>Dominance Score</t>
  </si>
  <si>
    <t>Clutch Score</t>
  </si>
  <si>
    <t>Greatness Rank</t>
  </si>
  <si>
    <t>Talent Rank</t>
  </si>
  <si>
    <t>Dominance Rank</t>
  </si>
  <si>
    <t>Clutch Rank</t>
  </si>
  <si>
    <t>Average Rank</t>
  </si>
  <si>
    <t>Rank Spread</t>
  </si>
  <si>
    <t>Tom Brady</t>
  </si>
  <si>
    <t>Peyton Manning</t>
  </si>
  <si>
    <t>Otto Graham</t>
  </si>
  <si>
    <t>Aaron Rodgers</t>
  </si>
  <si>
    <t>Patrick Mahomes</t>
  </si>
  <si>
    <t>Joe Montana</t>
  </si>
  <si>
    <t>Steve Young</t>
  </si>
  <si>
    <t>Drew Brees</t>
  </si>
  <si>
    <t>Dan Marino</t>
  </si>
  <si>
    <t>Sammy Baugh</t>
  </si>
  <si>
    <t>Brett Favre</t>
  </si>
  <si>
    <t>Johnny Unitas</t>
  </si>
  <si>
    <t>Dan Fouts</t>
  </si>
  <si>
    <t>Roger Staubach</t>
  </si>
  <si>
    <t>Terry Bradshaw</t>
  </si>
  <si>
    <t>Bart Starr</t>
  </si>
  <si>
    <t>Kurt Warner</t>
  </si>
  <si>
    <t>John Elway</t>
  </si>
  <si>
    <t>Lamar Jackson</t>
  </si>
  <si>
    <t>Fran Tarkenton</t>
  </si>
  <si>
    <t>Ben Roethlisberger</t>
  </si>
  <si>
    <t>Warren Moon</t>
  </si>
  <si>
    <t>Jim Kelly</t>
  </si>
  <si>
    <t>Ken Stabler</t>
  </si>
  <si>
    <t>YA Tittle</t>
  </si>
  <si>
    <t>NFL Quarterback GOAT Model Dashboard</t>
  </si>
  <si>
    <t>Comparative rankings of 25 quarterbacks across four analytical models</t>
  </si>
  <si>
    <t>Quarterback Selector</t>
  </si>
  <si>
    <t>SCORE</t>
  </si>
  <si>
    <t>RANK</t>
  </si>
  <si>
    <t>Model</t>
  </si>
  <si>
    <t>Score</t>
  </si>
  <si>
    <t>GOAT SCORE</t>
  </si>
  <si>
    <t>Greatest</t>
  </si>
  <si>
    <t>Best</t>
  </si>
  <si>
    <t>Dominant</t>
  </si>
  <si>
    <t>Clutch</t>
  </si>
  <si>
    <t>Final GOAT Rankings</t>
  </si>
  <si>
    <t>Rank</t>
  </si>
  <si>
    <t>QB</t>
  </si>
  <si>
    <t>GOAT Score</t>
  </si>
  <si>
    <t>Name</t>
  </si>
  <si>
    <t>Born</t>
  </si>
  <si>
    <t>Birthplace</t>
  </si>
  <si>
    <t>College</t>
  </si>
  <si>
    <t>Draft</t>
  </si>
  <si>
    <t>Career Start</t>
  </si>
  <si>
    <t>Career End</t>
  </si>
  <si>
    <t>Team(s)</t>
  </si>
  <si>
    <t>Temple, TX</t>
  </si>
  <si>
    <t>TCU</t>
  </si>
  <si>
    <t>WAS</t>
  </si>
  <si>
    <t>Shreveport, LA</t>
  </si>
  <si>
    <t>Louisiana Tech</t>
  </si>
  <si>
    <t>PIT</t>
  </si>
  <si>
    <t>San Mateo, CA</t>
  </si>
  <si>
    <t>Michigan</t>
  </si>
  <si>
    <t>6-199</t>
  </si>
  <si>
    <t>NWE, TAM</t>
  </si>
  <si>
    <t>Austin, TX</t>
  </si>
  <si>
    <t>Purdue</t>
  </si>
  <si>
    <t>2-32</t>
  </si>
  <si>
    <t>SDG, NOR</t>
  </si>
  <si>
    <t>Port Angeles, WA</t>
  </si>
  <si>
    <t>Stanford</t>
  </si>
  <si>
    <t>DEN</t>
  </si>
  <si>
    <t>Gulfport, MS</t>
  </si>
  <si>
    <t>Southern Miss</t>
  </si>
  <si>
    <t>2-33</t>
  </si>
  <si>
    <t>ATL, GNB, NYJ, MIN</t>
  </si>
  <si>
    <t>San Francisco, CA</t>
  </si>
  <si>
    <t>Oregon</t>
  </si>
  <si>
    <t>3-64</t>
  </si>
  <si>
    <t>SDG</t>
  </si>
  <si>
    <t>Waukegan, IL</t>
  </si>
  <si>
    <t>Northwestern</t>
  </si>
  <si>
    <t>CLE</t>
  </si>
  <si>
    <t>Pompano Beach, FL</t>
  </si>
  <si>
    <t>Louisville</t>
  </si>
  <si>
    <t>1-32</t>
  </si>
  <si>
    <t>Active</t>
  </si>
  <si>
    <t>BAL</t>
  </si>
  <si>
    <t>Pittsburgh, PA</t>
  </si>
  <si>
    <t>Miami</t>
  </si>
  <si>
    <t>BUF</t>
  </si>
  <si>
    <t>Tyler, TX</t>
  </si>
  <si>
    <t>Texas Tech</t>
  </si>
  <si>
    <t>KAN</t>
  </si>
  <si>
    <t>New Orleans, LA</t>
  </si>
  <si>
    <t>Tennessee</t>
  </si>
  <si>
    <t>IND, DEN</t>
  </si>
  <si>
    <t>Pittsburgh</t>
  </si>
  <si>
    <t>MIA</t>
  </si>
  <si>
    <t>New Eagle, PA</t>
  </si>
  <si>
    <t>Notre Dame</t>
  </si>
  <si>
    <t>3-82</t>
  </si>
  <si>
    <t>SFO, KAN</t>
  </si>
  <si>
    <t>Los Angeles, CA</t>
  </si>
  <si>
    <t>Washington</t>
  </si>
  <si>
    <t>Undrafted</t>
  </si>
  <si>
    <t>HOU, MIN, SEA, KAN</t>
  </si>
  <si>
    <t>Chico, CA</t>
  </si>
  <si>
    <t>California</t>
  </si>
  <si>
    <t>GNB, NYJ, PIT</t>
  </si>
  <si>
    <t>Lima, OH</t>
  </si>
  <si>
    <t>Miami (OH)</t>
  </si>
  <si>
    <t>Foley, AL</t>
  </si>
  <si>
    <t>Alabama</t>
  </si>
  <si>
    <t>2-52</t>
  </si>
  <si>
    <t>OAK, HOU, NOR</t>
  </si>
  <si>
    <t>Montgomery, AL</t>
  </si>
  <si>
    <t>17-200</t>
  </si>
  <si>
    <t>GNB</t>
  </si>
  <si>
    <t>Cincinnati, OH</t>
  </si>
  <si>
    <t>Navy</t>
  </si>
  <si>
    <t>10-129</t>
  </si>
  <si>
    <t>DAL</t>
  </si>
  <si>
    <t>Richmond, VA</t>
  </si>
  <si>
    <t>Georgia</t>
  </si>
  <si>
    <t>MIN, NYG</t>
  </si>
  <si>
    <t>Y.A. Tittle</t>
  </si>
  <si>
    <t>Marshall, TX</t>
  </si>
  <si>
    <t>LSU</t>
  </si>
  <si>
    <t>BCL, SFO, NYG</t>
  </si>
  <si>
    <t>9-102</t>
  </si>
  <si>
    <t>BAL, SDG</t>
  </si>
  <si>
    <t>Burlington, IA</t>
  </si>
  <si>
    <t>Northern Iowa</t>
  </si>
  <si>
    <t>STL, NYG, ARI</t>
  </si>
  <si>
    <t>Salt Lake City, UT</t>
  </si>
  <si>
    <t>BYU</t>
  </si>
  <si>
    <t>TAM, SFO</t>
  </si>
  <si>
    <t>HONORABLE MENTIONS</t>
  </si>
  <si>
    <t>Historical</t>
  </si>
  <si>
    <t>Sid Luckman</t>
  </si>
  <si>
    <t>Norm Van Brocklin</t>
  </si>
  <si>
    <t>Sonny Jurgensen</t>
  </si>
  <si>
    <t>Len Dawson</t>
  </si>
  <si>
    <t>George Blanda</t>
  </si>
  <si>
    <t>Golden Era</t>
  </si>
  <si>
    <t>Joe Namath</t>
  </si>
  <si>
    <t>Ken Anderson</t>
  </si>
  <si>
    <t>Boomer Esiason</t>
  </si>
  <si>
    <t>Joe Theismann</t>
  </si>
  <si>
    <t>Randall Cunningham</t>
  </si>
  <si>
    <t>Modern Era</t>
  </si>
  <si>
    <t>Philip Rivers</t>
  </si>
  <si>
    <t>Tony Romo</t>
  </si>
  <si>
    <t>Matt Ryan</t>
  </si>
  <si>
    <t>Matthew Stafford</t>
  </si>
  <si>
    <t>Russell Wilson</t>
  </si>
  <si>
    <t>Category</t>
  </si>
  <si>
    <t>Definition</t>
  </si>
  <si>
    <t>Rationale</t>
  </si>
  <si>
    <t>Team Success</t>
  </si>
  <si>
    <t>Super Bowl Wins</t>
  </si>
  <si>
    <t>Total number of Super Bowls won as a starter (includes NFL Championships from pre-Super Bowl era)</t>
  </si>
  <si>
    <t>The highest measure of team success, generally used as a starting point for "greatness" talks. Weighted highly for Greatness and Clutch models.</t>
  </si>
  <si>
    <t>Playoff Success Score</t>
  </si>
  <si>
    <t>Defined as {(1 * # Conference Championship Wins) + (0.5 * # Divisional Round Wins) + (0.25 * # Wild Card Round Wins)}</t>
  </si>
  <si>
    <t>Adds value for playoff success outside of just the Super Bowl. Helps prevent quarterbacks from being punished too harshly for never winning a ring.</t>
  </si>
  <si>
    <t>Individual Accolades</t>
  </si>
  <si>
    <t>Super Bowl MVPs</t>
  </si>
  <si>
    <t>Total number of Super Bowl MVPs won</t>
  </si>
  <si>
    <t>Isolates individual impact on the game’s biggest stage. While championships are team-based, the MVP award identifies the primary engine of a title run and serves as a definitive marker of "Big Game" legacy.</t>
  </si>
  <si>
    <t>MVP Shares</t>
  </si>
  <si>
    <t>Total share of MVP votes across their career, defined as {Actual Points Received / Maximum Possible Points}</t>
  </si>
  <si>
    <t>The highest individual honor in football. Shares are used as opposed to total number of MVPs to avoid an all-or-nothing metric that would punish quarterbacks for placing highly but not winning.</t>
  </si>
  <si>
    <t>All Pro Score</t>
  </si>
  <si>
    <t>Defined as {(# First Team All-Pros) + (0.5 * # Second Team All-Pros)}</t>
  </si>
  <si>
    <t>The gold standard for measuring peer dominance. Unlike popularity-based awards, All-Pro honors signify "best-in-class" status. This weighted metric rewards seasons where the QB was the best in the league.</t>
  </si>
  <si>
    <t>Pro Bowls</t>
  </si>
  <si>
    <t>Total amount of Pro Bowls in their career</t>
  </si>
  <si>
    <t>A measure of season-by-season excellence. High counts indicate a long window of elite performance, serving as a "longevity floor" to verify a QB remained a top-tier asset for the majority of their career. Weighted lower due to the Pro Bowl's recent reputation as a popularity contest.</t>
  </si>
  <si>
    <t>Career Statistics</t>
  </si>
  <si>
    <t>Yards*</t>
  </si>
  <si>
    <t>Total career passing yards</t>
  </si>
  <si>
    <t>One of the main quarterback statistics. While not the only measure of what makes a great QB, it is always relevant and frequently used when debating the greats. Different models utilize different measures of "yards", including overall volume, per-season totals, and adjusted totals.</t>
  </si>
  <si>
    <t>Touchdowns*</t>
  </si>
  <si>
    <t>Total career passing touchdowns</t>
  </si>
  <si>
    <t>Similar to yards, one of the most commonly cited measures of quarterback success. Scoring more points is the best way to win, after all. Also utilizes different metrics for each model.</t>
  </si>
  <si>
    <t>Career ANY/A+</t>
  </si>
  <si>
    <t>Total career ANY/A+ value</t>
  </si>
  <si>
    <t>Adjusted net yards per pass attempt, adjusted for era. A common metric used to evaluate quarterback efficiency, utilized here as a generalist stat to compare overall QB performance. Also forms the basis for Peak and Dominance scores.</t>
  </si>
  <si>
    <t>Rush Yards per Game</t>
  </si>
  <si>
    <t>Average rush yards per game across entire career</t>
  </si>
  <si>
    <t>Measures a quarterback's "dual-threat" capability and impact as a floor-raiser. High rushing volume forces defensive adjustments and creates efficiency in the passing game, rewarding QBs who added significant value through non-traditional yardage and modern playmaking.</t>
  </si>
  <si>
    <t>Negative Play Rate</t>
  </si>
  <si>
    <t>Defined as {(2/3 * Int%+) + (1/3 * Sack%+)}</t>
  </si>
  <si>
    <t>Evaluates poise and risk management by tracking drive-killing outcomes. Combining Sack and INT rates penalizes "stat-padders" who take sacks to preserve completion percentages, favoring those who efficiently move the chains.</t>
  </si>
  <si>
    <t>"Greatness" Calculations</t>
  </si>
  <si>
    <t>Peak Score</t>
  </si>
  <si>
    <t>Calculated as the highest average ANY/A+ value across 5 consecutive seasons during the course of their career</t>
  </si>
  <si>
    <t>Measures a quarterback's absolute "ceiling" rather than just career accumulation. By isolating their best consecutive seasons, this metric identifies generational peaks and prevents "compilers" from outranking more dominant, shorter-lived primes.</t>
  </si>
  <si>
    <t>How many seasons ranking top 3 in ANY/A</t>
  </si>
  <si>
    <t>Measures how far a quarterback "lapped the field" compared to his contemporaries. By using z-score normalization against league-average benchmarks, this metric identifies players who transcended their era’s statistical environment, ensuring historical dominance isn't erased by modern passing inflation.</t>
  </si>
  <si>
    <t>Playoff Elevation Score</t>
  </si>
  <si>
    <t>Defined as {Career Playoff ANY/A / Career Regular Season ANY/A}</t>
  </si>
  <si>
    <t>Evaluates whether a quarterback improved or regressed when the stakes increased. This metric compares a player's postseason efficiency (ANY/A) directly against their own regular-season career averages. It identifies "force multipliers" who consistently raised their level of play in the playoffs.</t>
  </si>
  <si>
    <t>*varies by model</t>
  </si>
  <si>
    <t>Disclaimers:</t>
  </si>
  <si>
    <t>For years where ANY/A+ data is unavailable, an aggregate of 2/3 AY/A+ and 1/3 Rate+ will be used.</t>
  </si>
  <si>
    <t>For years where sack data is unavailable, estimations are made using career averages, season averages, and qualitative anecdotal evidence and reports.</t>
  </si>
  <si>
    <t>For years where sack data is unavailable or limited, reported voting is used to estimate the equivalent "share" of modern MVP awards.</t>
  </si>
  <si>
    <t>Note on use of ANY/A+:</t>
  </si>
  <si>
    <t>While ANY/A+ is a popularly used metric for evaluating overall quarterback efficiency, and is beneficial for era-comparisons, some may criticize it for not accounting for certain relevant factors (first downs, air yards, dropped passes, etc.) and opt for a more well-rounded metric: EPA+, or expected points added (adjusted). However, historical records of both EPA counts as well as the individual statistics that factor into its calculation are too limited to be reliably used across eras. The calculations would rely on too many estimates to be a truly accurate model to compare quarterbacks.</t>
  </si>
  <si>
    <t>GREATEST</t>
  </si>
  <si>
    <t>BEST</t>
  </si>
  <si>
    <t>DOMINANT</t>
  </si>
  <si>
    <t>CLUTCH</t>
  </si>
  <si>
    <t>What makes a QB great? Values lifetime achievements, "classic" statistics, and overall success.</t>
  </si>
  <si>
    <t>Prioritized individual ability over team and playoff success. The "raw talent" argument.</t>
  </si>
  <si>
    <t>Favors era-adjusted stats in an attempt to display how much better a given QB was than his peers.</t>
  </si>
  <si>
    <t>Which QBs perform best when the lights are brightest? Places higher weights on playoff and Super Bowl success.</t>
  </si>
  <si>
    <t>Tier 1 (6%)</t>
  </si>
  <si>
    <t>Tier 2 (4.5%)</t>
  </si>
  <si>
    <t>Tier 3 (3%)</t>
  </si>
  <si>
    <t>Tier 4 (1.8%)</t>
  </si>
  <si>
    <t>Tier 5 (1%)</t>
  </si>
  <si>
    <t>Total Yards</t>
  </si>
  <si>
    <t>Yards per Season</t>
  </si>
  <si>
    <t>Adjusted Yards per Season</t>
  </si>
  <si>
    <t>Playoff YPG</t>
  </si>
  <si>
    <t>Total Touchdowns</t>
  </si>
  <si>
    <t>TDs per Season</t>
  </si>
  <si>
    <t>Adjusted TDs per Season</t>
  </si>
  <si>
    <t>Playoff TDPG</t>
  </si>
  <si>
    <t>Weight</t>
  </si>
  <si>
    <t>MODEL SUM</t>
  </si>
  <si>
    <t>GREATNESS SCORE</t>
  </si>
  <si>
    <t>Super Bowls</t>
  </si>
  <si>
    <t>All-Pro Score</t>
  </si>
  <si>
    <t>Career Passing Yards</t>
  </si>
  <si>
    <t>Career Passing Touchdowns</t>
  </si>
  <si>
    <t>TOTAL</t>
  </si>
  <si>
    <t>TALENT SCORE</t>
  </si>
  <si>
    <t>DOMINANCE SCORE</t>
  </si>
  <si>
    <t>CLUTCH SCORE</t>
  </si>
  <si>
    <t>Playoff Yards Elevation</t>
  </si>
  <si>
    <t>Playoff TDs Elevation</t>
  </si>
  <si>
    <t>Conference Championship Wins</t>
  </si>
  <si>
    <t>Divisional Round Wins</t>
  </si>
  <si>
    <t>Wild Card Wins</t>
  </si>
  <si>
    <t>First Team All-Pros</t>
  </si>
  <si>
    <t>Second Team All-Pros</t>
  </si>
  <si>
    <t>Career Yards</t>
  </si>
  <si>
    <t>Career Yards per Game</t>
  </si>
  <si>
    <t>Playoff Yards per Game</t>
  </si>
  <si>
    <t>Career Touchdowns</t>
  </si>
  <si>
    <t>Touchdowns per Season</t>
  </si>
  <si>
    <t>Career Touchdowns per Game</t>
  </si>
  <si>
    <t>Playoff TDs per Game</t>
  </si>
  <si>
    <t>Career ANY/A</t>
  </si>
  <si>
    <t>Career Games</t>
  </si>
  <si>
    <t>Career Attempts</t>
  </si>
  <si>
    <t>PFR AV</t>
  </si>
  <si>
    <t>-</t>
  </si>
  <si>
    <t>MAX</t>
  </si>
  <si>
    <t>MIN</t>
  </si>
  <si>
    <t>DIFF</t>
  </si>
  <si>
    <t>MVP Shares (Adjusted)</t>
  </si>
  <si>
    <t>Yards</t>
  </si>
  <si>
    <t>Adjusted Yards per Season (Adjusted)</t>
  </si>
  <si>
    <t>Touchdowns</t>
  </si>
  <si>
    <t>Adjusted TDs per Season (Adjusted)</t>
  </si>
  <si>
    <t>Career ANY/A+ (Converted)</t>
  </si>
  <si>
    <t>Career ANY/A+ (Adjusted)</t>
  </si>
  <si>
    <t>Peak Score (Adjusted)</t>
  </si>
  <si>
    <t>MAX ADJUST</t>
  </si>
  <si>
    <t>AY/A+</t>
  </si>
  <si>
    <t>Otto</t>
  </si>
  <si>
    <t>Sammy</t>
  </si>
  <si>
    <t>Y.A.</t>
  </si>
  <si>
    <t>Year</t>
  </si>
  <si>
    <t>Tms</t>
  </si>
  <si>
    <t>Yds</t>
  </si>
  <si>
    <t>TD</t>
  </si>
  <si>
    <t>Yds per Game</t>
  </si>
  <si>
    <t>TDs per Game</t>
  </si>
  <si>
    <t>Cmp</t>
  </si>
  <si>
    <t>Att</t>
  </si>
  <si>
    <t>Cmp%</t>
  </si>
  <si>
    <t>Yds 2</t>
  </si>
  <si>
    <t>TD 2</t>
  </si>
  <si>
    <t>TD%</t>
  </si>
  <si>
    <t>Int</t>
  </si>
  <si>
    <t>Int%</t>
  </si>
  <si>
    <t>Y/A</t>
  </si>
  <si>
    <t>AY/A</t>
  </si>
  <si>
    <t>Y/C</t>
  </si>
  <si>
    <t>Y/G</t>
  </si>
  <si>
    <t>Rate</t>
  </si>
  <si>
    <t>Sk</t>
  </si>
  <si>
    <t>Yds 3</t>
  </si>
  <si>
    <t>Sk%</t>
  </si>
  <si>
    <t>NY/A</t>
  </si>
  <si>
    <t>ANY/A</t>
  </si>
  <si>
    <t>Season</t>
  </si>
  <si>
    <t>League Average Attempts</t>
  </si>
  <si>
    <t>Include Season?</t>
  </si>
  <si>
    <t>Age</t>
  </si>
  <si>
    <t>Team</t>
  </si>
  <si>
    <t>Lg</t>
  </si>
  <si>
    <t>Pos</t>
  </si>
  <si>
    <t>League Average Yards</t>
  </si>
  <si>
    <t>League Average Touchdowns</t>
  </si>
  <si>
    <t>Adjusted Touchdowns per Season</t>
  </si>
  <si>
    <t>G</t>
  </si>
  <si>
    <t>GS</t>
  </si>
  <si>
    <t>QBrec</t>
  </si>
  <si>
    <t>1D</t>
  </si>
  <si>
    <t>Succ%</t>
  </si>
  <si>
    <t>Lng</t>
  </si>
  <si>
    <t>4QC</t>
  </si>
  <si>
    <t>GWD</t>
  </si>
  <si>
    <t>AV</t>
  </si>
  <si>
    <t>Awards</t>
  </si>
  <si>
    <t>NWE</t>
  </si>
  <si>
    <t>NFL</t>
  </si>
  <si>
    <t>14-2-0</t>
  </si>
  <si>
    <t>16-0-0</t>
  </si>
  <si>
    <t>13-3-0</t>
  </si>
  <si>
    <t>TAM</t>
  </si>
  <si>
    <t>13-4-0</t>
  </si>
  <si>
    <t>SFO</t>
  </si>
  <si>
    <t>PB,AP-2,AP MVP-2,AP OPoY-3</t>
  </si>
  <si>
    <t>PB,AP MVP-5,AP OPoY-5</t>
  </si>
  <si>
    <t>14-1-0</t>
  </si>
  <si>
    <t>PB,AP-2</t>
  </si>
  <si>
    <t>PB</t>
  </si>
  <si>
    <t>AP MVP-6</t>
  </si>
  <si>
    <t>PB,AP-1,AP MVP-3,AP OPoY-2</t>
  </si>
  <si>
    <t>PB,AP-1,AP MVP-1,AP OPoY-1</t>
  </si>
  <si>
    <t>PB,AP-1,AP MVP-1,AP OPoY-3</t>
  </si>
  <si>
    <t>IND</t>
  </si>
  <si>
    <t>AP ORoY-2</t>
  </si>
  <si>
    <t>PB,AP-2,AP MVP-5,AP OPoY-8</t>
  </si>
  <si>
    <t>PB,AP-1,AP MVP-2,AP OPoY-2</t>
  </si>
  <si>
    <t>PB,AP-2,AP MVP-3,AP OPoY-3</t>
  </si>
  <si>
    <t>PB,AP-1,AP MVP-1,AP OPoY-2</t>
  </si>
  <si>
    <t>PB,AP-1,AP MVP-2,AP OPoY-2,AP CPoY-1</t>
  </si>
  <si>
    <t>PB,AP OPoY-5,AP CPoY-1</t>
  </si>
  <si>
    <t>NOR</t>
  </si>
  <si>
    <t>PB,AP-1,AP MVP-2,AP OPoY-2,AP CPoY-2</t>
  </si>
  <si>
    <t>PB,AP-2,AP OPoY-1</t>
  </si>
  <si>
    <t>13-2-0</t>
  </si>
  <si>
    <t>PB,AP-2,AP MVP-2,AP OPoY-2</t>
  </si>
  <si>
    <t>PB,AP-2,AP MVP-2,AP OPoY-1</t>
  </si>
  <si>
    <t>PB,AP OPoY-4</t>
  </si>
  <si>
    <t>PB,AP OPoY-6</t>
  </si>
  <si>
    <t>13-1-0</t>
  </si>
  <si>
    <t>AP-2</t>
  </si>
  <si>
    <t>PB,AP-1,AP MVP-1</t>
  </si>
  <si>
    <t>QBR</t>
  </si>
  <si>
    <t>AP OPoY-5</t>
  </si>
  <si>
    <t>PB,AP-2,AP OPoY-3</t>
  </si>
  <si>
    <t>PB,AP MVP-5,AP OPoY-2</t>
  </si>
  <si>
    <t>PB,AP-1,AP MVP-1,AP OPoY-4</t>
  </si>
  <si>
    <t>NYJ</t>
  </si>
  <si>
    <t>AP CPoY-7</t>
  </si>
  <si>
    <t>PB,AP-2,AP MVP-3</t>
  </si>
  <si>
    <t>PB,AP-1,AP MVP-2</t>
  </si>
  <si>
    <t>AP-1,AP MVP-2</t>
  </si>
  <si>
    <t>PB,AP-2,AP MVP-3,AP OPoY-2</t>
  </si>
  <si>
    <t>14-3-0</t>
  </si>
  <si>
    <t>PB,AP MVP-7</t>
  </si>
  <si>
    <t>15-1-0</t>
  </si>
  <si>
    <t>AP MVP-6,AP OPoY-17</t>
  </si>
  <si>
    <t>PB,AP-2,AP MVP-3,AP OPoY-3,AP ORoY-2</t>
  </si>
  <si>
    <t>PB,AP-1</t>
  </si>
  <si>
    <t>AP OPoY-4</t>
  </si>
  <si>
    <t>PB,AP-2,AP MVP-1,AP OPoY-3</t>
  </si>
  <si>
    <t>PB,AP-2,AP MVP-4,AP OPoY-4</t>
  </si>
  <si>
    <t>PB,AP MVP-4</t>
  </si>
  <si>
    <t>PB,AP-2,AP MVP-4</t>
  </si>
  <si>
    <t>PB,AP-2,AP OPoY-4</t>
  </si>
  <si>
    <t>10-0-0</t>
  </si>
  <si>
    <t>PB,AP MVP-2</t>
  </si>
  <si>
    <t>PB,AP MVP-4,AP OPoY-4</t>
  </si>
  <si>
    <t>NYG</t>
  </si>
  <si>
    <t>PB,AP MVP-3</t>
  </si>
  <si>
    <t>AAFC</t>
  </si>
  <si>
    <t>AP-1</t>
  </si>
  <si>
    <t>PB,AP-2,AP MVP-2</t>
  </si>
  <si>
    <t>PB,AP-2,AP MVP-2,AP OPoY-3,AP CPoY-4</t>
  </si>
  <si>
    <t>PB,AP MVP-4,AP CPoY-4</t>
  </si>
  <si>
    <t>BCL</t>
  </si>
  <si>
    <t>13-0-0</t>
  </si>
  <si>
    <t>AP ORoY-1</t>
  </si>
  <si>
    <t>PB,AP CPoY-3</t>
  </si>
  <si>
    <t>AP CPoY-2</t>
  </si>
  <si>
    <t>PB,AP-2,AP MVP-5,AP OPoY-3</t>
  </si>
  <si>
    <t>PB,AP MVP-6,AP OPoY-5</t>
  </si>
  <si>
    <t>PB,AP-1,AP MVP-2,AP OPoY-1</t>
  </si>
  <si>
    <t>PB,AP-1,AP MVP-1,AP OPoY-4,AP CPoY-9</t>
  </si>
  <si>
    <t>STL</t>
  </si>
  <si>
    <t>ARI</t>
  </si>
  <si>
    <t>PB,AP MVP-7,AP CPoY-4</t>
  </si>
  <si>
    <t>TB</t>
  </si>
  <si>
    <t>HOU</t>
  </si>
  <si>
    <t>PB,AP MVP-5</t>
  </si>
  <si>
    <t>PB,AP-2,AP MVP-3,AP OPoY-1</t>
  </si>
  <si>
    <t>PB,AP MVP-6</t>
  </si>
  <si>
    <t>SEA</t>
  </si>
  <si>
    <t>PB,AP MVP-5,AP OPoY-6</t>
  </si>
  <si>
    <t>PB,AP-2,AP OPoY-6</t>
  </si>
  <si>
    <t>OAK</t>
  </si>
  <si>
    <t>AP MVP-8</t>
  </si>
  <si>
    <t>INT%+</t>
  </si>
  <si>
    <t>Sack%+</t>
  </si>
  <si>
    <t>Sack%</t>
  </si>
  <si>
    <t>Average Sack%</t>
  </si>
  <si>
    <t>% Above AVG</t>
  </si>
  <si>
    <t>ANY/A+</t>
  </si>
  <si>
    <t>5-Year AVG</t>
  </si>
  <si>
    <t>Int%+</t>
  </si>
  <si>
    <t>Rate+</t>
  </si>
  <si>
    <t>ANY/A+*</t>
  </si>
  <si>
    <t>Year 1</t>
  </si>
  <si>
    <t>Year 2</t>
  </si>
  <si>
    <t>Year 3</t>
  </si>
  <si>
    <t>Year 4</t>
  </si>
  <si>
    <t>Year 5</t>
  </si>
  <si>
    <t>x</t>
  </si>
  <si>
    <t>Year 6</t>
  </si>
  <si>
    <t>Year 7</t>
  </si>
  <si>
    <t>Year 8</t>
  </si>
  <si>
    <t>Year 9</t>
  </si>
  <si>
    <t>Year 10</t>
  </si>
  <si>
    <t>Year 11</t>
  </si>
  <si>
    <t>Year 12</t>
  </si>
  <si>
    <t>Year 13</t>
  </si>
  <si>
    <t>Year 14</t>
  </si>
  <si>
    <t>Year 16</t>
  </si>
  <si>
    <t>Year 17</t>
  </si>
  <si>
    <t>Year 18</t>
  </si>
  <si>
    <t>Year 19</t>
  </si>
  <si>
    <t>Year 20</t>
  </si>
  <si>
    <t>Year 21</t>
  </si>
  <si>
    <t>Year 22</t>
  </si>
  <si>
    <t>Year 23</t>
  </si>
  <si>
    <t>Year 24</t>
  </si>
  <si>
    <t>Year 25</t>
  </si>
  <si>
    <t>Playoff ANY/A</t>
  </si>
  <si>
    <t>Elevation</t>
  </si>
  <si>
    <t>MVP</t>
  </si>
  <si>
    <t>GRAHAM</t>
  </si>
  <si>
    <t>BAUGH</t>
  </si>
  <si>
    <t>TITTLE</t>
  </si>
  <si>
    <t>Joe F Carr</t>
  </si>
  <si>
    <t>Default Shares</t>
  </si>
  <si>
    <t>UPI</t>
  </si>
  <si>
    <t>AP</t>
  </si>
  <si>
    <t>1964</t>
  </si>
  <si>
    <t>0</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</si>
</sst>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m d, yyyy"/>
    <numFmt numFmtId="165" formatCode="0.00000"/>
    <numFmt numFmtId="166" formatCode="m/d/yyyy"/>
    <numFmt numFmtId="167" formatCode="m-d"/>
    <numFmt numFmtId="168" formatCode="0.0"/>
    <numFmt numFmtId="169" formatCode="m/d/yy"/>
    <numFmt numFmtId="170" formatCode="yyyy-m-d"/>
  </numFmts>
  <fonts count="48">
    <font>
      <sz val="10.0"/>
      <color rgb="FF000000"/>
      <name val="Arial"/>
      <scheme val="minor"/>
    </font>
    <font>
      <color rgb="FFFFFFFF"/>
      <name val="Roboto"/>
    </font>
    <font>
      <b/>
      <sz val="18.0"/>
      <color rgb="FFFFFFFF"/>
      <name val="Roboto"/>
    </font>
    <font>
      <i/>
      <color rgb="FFFFFFFF"/>
      <name val="Roboto"/>
    </font>
    <font>
      <color rgb="FFFFFFFF"/>
      <name val="Arial"/>
      <scheme val="minor"/>
    </font>
    <font>
      <b/>
      <i/>
      <sz val="14.0"/>
      <color rgb="FFFFFFFF"/>
      <name val="Roboto"/>
    </font>
    <font/>
    <font>
      <b/>
      <sz val="11.0"/>
      <color rgb="FFFFFFFF"/>
      <name val="Roboto"/>
    </font>
    <font>
      <color theme="1"/>
      <name val="Arial"/>
      <scheme val="minor"/>
    </font>
    <font>
      <i/>
      <sz val="10.0"/>
      <color rgb="FFFFFFFF"/>
      <name val="Roboto"/>
    </font>
    <font>
      <b/>
      <sz val="12.0"/>
      <color rgb="FFFFFFFF"/>
      <name val="Roboto"/>
    </font>
    <font>
      <b/>
      <i/>
      <sz val="12.0"/>
      <color rgb="FFFFFFFF"/>
      <name val="Roboto"/>
    </font>
    <font>
      <b/>
      <i/>
      <sz val="13.0"/>
      <color rgb="FFFFFFFF"/>
      <name val="Roboto"/>
    </font>
    <font>
      <b/>
      <color theme="1"/>
      <name val="Roboto"/>
    </font>
    <font>
      <i/>
      <color theme="1"/>
      <name val="Roboto"/>
    </font>
    <font>
      <color theme="1"/>
      <name val="Roboto"/>
    </font>
    <font>
      <b/>
      <sz val="18.0"/>
      <color theme="1"/>
      <name val="Roboto"/>
    </font>
    <font>
      <i/>
      <sz val="12.0"/>
      <color theme="1"/>
      <name val="Roboto"/>
    </font>
    <font>
      <b/>
      <sz val="14.0"/>
      <color rgb="FFFFFFFF"/>
      <name val="Roboto"/>
    </font>
    <font>
      <b/>
      <sz val="12.0"/>
      <color theme="1"/>
      <name val="Roboto"/>
    </font>
    <font>
      <b/>
      <sz val="11.0"/>
      <color theme="1"/>
      <name val="Roboto"/>
    </font>
    <font>
      <b/>
      <i/>
      <sz val="11.0"/>
      <color theme="1"/>
      <name val="Roboto"/>
    </font>
    <font>
      <b/>
      <i/>
      <sz val="12.0"/>
      <color theme="1"/>
      <name val="Roboto"/>
    </font>
    <font>
      <b/>
      <sz val="14.0"/>
      <color theme="1"/>
      <name val="Roboto"/>
    </font>
    <font>
      <b/>
      <color theme="1"/>
      <name val="Arial"/>
      <scheme val="minor"/>
    </font>
    <font>
      <b/>
      <sz val="13.0"/>
      <color rgb="FFFFFFFF"/>
      <name val="Roboto"/>
    </font>
    <font>
      <b/>
      <i/>
      <color theme="1"/>
      <name val="Roboto"/>
    </font>
    <font>
      <i/>
      <sz val="9.0"/>
      <color theme="1"/>
      <name val="Roboto"/>
    </font>
    <font>
      <b/>
      <i/>
      <sz val="9.0"/>
      <color theme="1"/>
      <name val="Roboto"/>
    </font>
    <font>
      <sz val="12.0"/>
      <color theme="1"/>
      <name val="Roboto"/>
    </font>
    <font>
      <sz val="14.0"/>
      <color theme="1"/>
      <name val="Roboto"/>
    </font>
    <font>
      <b/>
      <i/>
      <color rgb="FFFFFFFF"/>
      <name val="Roboto"/>
    </font>
    <font>
      <sz val="12.0"/>
      <color theme="1"/>
      <name val="Arial"/>
      <scheme val="minor"/>
    </font>
    <font>
      <b/>
      <sz val="12.0"/>
      <color theme="1"/>
      <name val="Arial"/>
      <scheme val="minor"/>
    </font>
    <font>
      <b/>
      <i/>
      <color theme="1"/>
      <name val="Arial"/>
      <scheme val="minor"/>
    </font>
    <font>
      <b/>
      <i/>
      <sz val="11.0"/>
      <color rgb="FFFFFFFF"/>
      <name val="Roboto"/>
    </font>
    <font>
      <color rgb="FF000000"/>
      <name val="Roboto"/>
    </font>
    <font>
      <sz val="12.0"/>
      <color rgb="FF000000"/>
      <name val="Roboto"/>
    </font>
    <font>
      <sz val="12.0"/>
      <color rgb="FFFFFFFF"/>
      <name val="Roboto"/>
    </font>
    <font>
      <b/>
      <sz val="10.0"/>
      <color rgb="FF000000"/>
      <name val="Roboto"/>
    </font>
    <font>
      <b/>
      <color rgb="FF000000"/>
      <name val="Roboto"/>
    </font>
    <font>
      <b/>
      <sz val="10.0"/>
      <color theme="1"/>
      <name val="Roboto"/>
    </font>
    <font>
      <i/>
      <color theme="1"/>
      <name val="Arial"/>
      <scheme val="minor"/>
    </font>
    <font>
      <b/>
      <sz val="12.0"/>
      <color theme="1"/>
      <name val="Verdana"/>
    </font>
    <font>
      <b/>
      <color theme="1"/>
      <name val="Verdana"/>
    </font>
    <font>
      <b/>
      <i/>
      <color theme="1"/>
      <name val="Verdana"/>
    </font>
    <font>
      <color theme="1"/>
      <name val="Verdana"/>
    </font>
    <font>
      <i/>
      <color theme="1"/>
      <name val="Verdana"/>
    </font>
  </fonts>
  <fills count="9">
    <fill>
      <patternFill patternType="none"/>
    </fill>
    <fill>
      <patternFill patternType="lightGray"/>
    </fill>
    <fill>
      <patternFill patternType="solid">
        <fgColor rgb="FF1C4587"/>
        <bgColor rgb="FF1C4587"/>
      </patternFill>
    </fill>
    <fill>
      <patternFill patternType="solid">
        <fgColor rgb="FFC9DAF8"/>
        <bgColor rgb="FFC9DAF8"/>
      </patternFill>
    </fill>
    <fill>
      <patternFill patternType="solid">
        <fgColor theme="7"/>
        <bgColor theme="7"/>
      </patternFill>
    </fill>
    <fill>
      <patternFill patternType="solid">
        <fgColor theme="6"/>
        <bgColor theme="6"/>
      </patternFill>
    </fill>
    <fill>
      <patternFill patternType="solid">
        <fgColor theme="5"/>
        <bgColor theme="5"/>
      </patternFill>
    </fill>
    <fill>
      <patternFill patternType="solid">
        <fgColor theme="4"/>
        <bgColor theme="4"/>
      </patternFill>
    </fill>
    <fill>
      <patternFill patternType="solid">
        <fgColor rgb="FFB7B7B7"/>
        <bgColor rgb="FFB7B7B7"/>
      </patternFill>
    </fill>
  </fills>
  <borders count="38">
    <border/>
    <border>
      <bottom style="medium">
        <color rgb="FFFFFFFF"/>
      </bottom>
    </border>
    <border>
      <left style="thin">
        <color rgb="FF999999"/>
      </left>
    </border>
    <border>
      <right style="thin">
        <color rgb="FF999999"/>
      </right>
    </border>
    <border>
      <bottom style="thin">
        <color rgb="FF999999"/>
      </bottom>
    </border>
    <border>
      <left style="thin">
        <color rgb="FF999999"/>
      </left>
      <bottom style="thin">
        <color rgb="FF999999"/>
      </bottom>
    </border>
    <border>
      <right style="thin">
        <color rgb="FF999999"/>
      </right>
      <bottom style="thin">
        <color rgb="FF999999"/>
      </bottom>
    </border>
    <border>
      <left style="medium">
        <color rgb="FF1C4587"/>
      </left>
      <top style="medium">
        <color rgb="FF1C4587"/>
      </top>
    </border>
    <border>
      <top style="medium">
        <color rgb="FF1C4587"/>
      </top>
    </border>
    <border>
      <right style="medium">
        <color rgb="FF1C4587"/>
      </right>
      <top style="medium">
        <color rgb="FF1C4587"/>
      </top>
    </border>
    <border>
      <left style="medium">
        <color rgb="FF1C4587"/>
      </left>
    </border>
    <border>
      <right style="medium">
        <color rgb="FF1C4587"/>
      </right>
    </border>
    <border>
      <left style="medium">
        <color rgb="FF1C4587"/>
      </left>
      <top style="thin">
        <color rgb="FF1C4587"/>
      </top>
      <bottom style="thin">
        <color rgb="FF1C4587"/>
      </bottom>
    </border>
    <border>
      <top style="thin">
        <color rgb="FF1C4587"/>
      </top>
      <bottom style="thin">
        <color rgb="FF1C4587"/>
      </bottom>
    </border>
    <border>
      <right style="medium">
        <color rgb="FF1C4587"/>
      </right>
      <top style="thin">
        <color rgb="FF1C4587"/>
      </top>
      <bottom style="thin">
        <color rgb="FF1C4587"/>
      </bottom>
    </border>
    <border>
      <left style="medium">
        <color rgb="FF1C4587"/>
      </left>
      <bottom style="medium">
        <color rgb="FF1C4587"/>
      </bottom>
    </border>
    <border>
      <bottom style="medium">
        <color rgb="FF1C4587"/>
      </bottom>
    </border>
    <border>
      <right style="medium">
        <color rgb="FF1C4587"/>
      </right>
      <bottom style="medium">
        <color rgb="FF1C4587"/>
      </bottom>
    </border>
    <border>
      <bottom style="thin">
        <color rgb="FF1C4587"/>
      </bottom>
    </border>
    <border>
      <bottom style="thin">
        <color rgb="FF000000"/>
      </bottom>
    </border>
    <border>
      <left style="medium">
        <color rgb="FF999999"/>
      </left>
      <top style="medium">
        <color rgb="FF999999"/>
      </top>
    </border>
    <border>
      <top style="medium">
        <color rgb="FF999999"/>
      </top>
    </border>
    <border>
      <right style="medium">
        <color rgb="FF999999"/>
      </right>
      <top style="medium">
        <color rgb="FF999999"/>
      </top>
    </border>
    <border>
      <left style="medium">
        <color rgb="FF999999"/>
      </left>
    </border>
    <border>
      <right style="medium">
        <color rgb="FF999999"/>
      </right>
    </border>
    <border>
      <left style="medium">
        <color rgb="FF999999"/>
      </left>
      <bottom style="medium">
        <color rgb="FF999999"/>
      </bottom>
    </border>
    <border>
      <bottom style="medium">
        <color rgb="FF999999"/>
      </bottom>
    </border>
    <border>
      <right style="medium">
        <color rgb="FF999999"/>
      </right>
      <bottom style="medium">
        <color rgb="FF999999"/>
      </bottom>
    </border>
    <border>
      <left style="medium">
        <color rgb="FF000000"/>
      </left>
    </border>
    <border>
      <right style="thin">
        <color rgb="FF000000"/>
      </right>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43">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readingOrder="0"/>
    </xf>
    <xf borderId="0" fillId="2" fontId="3" numFmtId="0" xfId="0" applyAlignment="1" applyFont="1">
      <alignment horizontal="center" readingOrder="0"/>
    </xf>
    <xf borderId="0" fillId="2" fontId="4" numFmtId="0" xfId="0" applyFont="1"/>
    <xf borderId="1" fillId="2" fontId="5" numFmtId="0" xfId="0" applyAlignment="1" applyBorder="1" applyFont="1">
      <alignment readingOrder="0"/>
    </xf>
    <xf borderId="1" fillId="0" fontId="6" numFmtId="0" xfId="0" applyBorder="1" applyFont="1"/>
    <xf borderId="1" fillId="2" fontId="1" numFmtId="0" xfId="0" applyBorder="1" applyFont="1"/>
    <xf borderId="0" fillId="2" fontId="3" numFmtId="0" xfId="0" applyAlignment="1" applyFont="1">
      <alignment readingOrder="0" shrinkToFit="0" vertical="top" wrapText="1"/>
    </xf>
    <xf borderId="0" fillId="2" fontId="3" numFmtId="0" xfId="0" applyAlignment="1" applyFont="1">
      <alignment readingOrder="0" shrinkToFit="0" wrapText="0"/>
    </xf>
    <xf borderId="0" fillId="2" fontId="7" numFmtId="0" xfId="0" applyAlignment="1" applyFont="1">
      <alignment readingOrder="0"/>
    </xf>
    <xf borderId="0" fillId="2" fontId="8" numFmtId="0" xfId="0" applyFont="1"/>
    <xf borderId="0" fillId="2" fontId="7" numFmtId="0" xfId="0" applyAlignment="1" applyFont="1">
      <alignment readingOrder="0" shrinkToFit="0" wrapText="1"/>
    </xf>
    <xf borderId="0" fillId="2" fontId="1" numFmtId="0" xfId="0" applyAlignment="1" applyFont="1">
      <alignment readingOrder="0"/>
    </xf>
    <xf borderId="0" fillId="2" fontId="1" numFmtId="0" xfId="0" applyAlignment="1" applyFont="1">
      <alignment readingOrder="0" shrinkToFit="0" wrapText="1"/>
    </xf>
    <xf borderId="0" fillId="2" fontId="9" numFmtId="0" xfId="0" applyAlignment="1" applyFont="1">
      <alignment readingOrder="0"/>
    </xf>
    <xf borderId="0" fillId="2" fontId="9" numFmtId="0" xfId="0" applyAlignment="1" applyFont="1">
      <alignment readingOrder="0" shrinkToFit="0" vertical="top" wrapText="1"/>
    </xf>
    <xf borderId="0" fillId="2" fontId="3" numFmtId="0" xfId="0" applyAlignment="1" applyFont="1">
      <alignment readingOrder="0"/>
    </xf>
    <xf borderId="0" fillId="2" fontId="5" numFmtId="0" xfId="0" applyAlignment="1" applyFont="1">
      <alignment readingOrder="0"/>
    </xf>
    <xf borderId="0" fillId="2" fontId="8" numFmtId="164" xfId="0" applyAlignment="1" applyFont="1" applyNumberFormat="1">
      <alignment readingOrder="0"/>
    </xf>
    <xf borderId="0" fillId="2" fontId="10" numFmtId="0" xfId="0" applyAlignment="1" applyFont="1">
      <alignment readingOrder="0"/>
    </xf>
    <xf borderId="0" fillId="2" fontId="10" numFmtId="0" xfId="0" applyAlignment="1" applyFont="1">
      <alignment horizontal="center" readingOrder="0" shrinkToFit="0" wrapText="1"/>
    </xf>
    <xf borderId="0" fillId="2" fontId="11" numFmtId="0" xfId="0" applyAlignment="1" applyFont="1">
      <alignment horizontal="center" readingOrder="0" shrinkToFit="0" wrapText="1"/>
    </xf>
    <xf borderId="2" fillId="2" fontId="10" numFmtId="0" xfId="0" applyAlignment="1" applyBorder="1" applyFont="1">
      <alignment horizontal="center" readingOrder="0" shrinkToFit="0" wrapText="1"/>
    </xf>
    <xf borderId="2" fillId="2" fontId="11" numFmtId="0" xfId="0" applyAlignment="1" applyBorder="1" applyFont="1">
      <alignment horizontal="center" readingOrder="0" shrinkToFit="0" wrapText="1"/>
    </xf>
    <xf borderId="3" fillId="2" fontId="11" numFmtId="0" xfId="0" applyAlignment="1" applyBorder="1" applyFont="1">
      <alignment horizontal="center" readingOrder="0" shrinkToFit="0" wrapText="1"/>
    </xf>
    <xf borderId="0" fillId="2" fontId="10" numFmtId="0" xfId="0" applyAlignment="1" applyFont="1">
      <alignment horizontal="center" shrinkToFit="0" wrapText="1"/>
    </xf>
    <xf borderId="0" fillId="2" fontId="10" numFmtId="0" xfId="0" applyAlignment="1" applyFont="1">
      <alignment horizontal="right" readingOrder="0" shrinkToFit="0" wrapText="1"/>
    </xf>
    <xf borderId="0" fillId="2" fontId="12" numFmtId="0" xfId="0" applyAlignment="1" applyFont="1">
      <alignment horizontal="center" readingOrder="0" shrinkToFit="0" wrapText="1"/>
    </xf>
    <xf borderId="0" fillId="0" fontId="13" numFmtId="0" xfId="0" applyAlignment="1" applyFont="1">
      <alignment readingOrder="0"/>
    </xf>
    <xf borderId="0" fillId="0" fontId="14" numFmtId="165" xfId="0" applyFont="1" applyNumberFormat="1"/>
    <xf borderId="0" fillId="0" fontId="15" numFmtId="165" xfId="0" applyFont="1" applyNumberFormat="1"/>
    <xf borderId="2" fillId="0" fontId="15" numFmtId="0" xfId="0" applyBorder="1" applyFont="1"/>
    <xf borderId="0" fillId="0" fontId="15" numFmtId="0" xfId="0" applyFont="1"/>
    <xf borderId="2" fillId="0" fontId="14" numFmtId="0" xfId="0" applyBorder="1" applyFont="1"/>
    <xf borderId="3" fillId="0" fontId="14" numFmtId="0" xfId="0" applyBorder="1" applyFont="1"/>
    <xf borderId="4" fillId="0" fontId="13" numFmtId="0" xfId="0" applyAlignment="1" applyBorder="1" applyFont="1">
      <alignment readingOrder="0"/>
    </xf>
    <xf borderId="4" fillId="0" fontId="14" numFmtId="165" xfId="0" applyBorder="1" applyFont="1" applyNumberFormat="1"/>
    <xf borderId="4" fillId="0" fontId="15" numFmtId="165" xfId="0" applyBorder="1" applyFont="1" applyNumberFormat="1"/>
    <xf borderId="5" fillId="0" fontId="15" numFmtId="0" xfId="0" applyBorder="1" applyFont="1"/>
    <xf borderId="4" fillId="0" fontId="15" numFmtId="0" xfId="0" applyBorder="1" applyFont="1"/>
    <xf borderId="5" fillId="0" fontId="14" numFmtId="0" xfId="0" applyBorder="1" applyFont="1"/>
    <xf borderId="6" fillId="0" fontId="14" numFmtId="0" xfId="0" applyBorder="1" applyFont="1"/>
    <xf borderId="0" fillId="0" fontId="14" numFmtId="0" xfId="0" applyFont="1"/>
    <xf borderId="0" fillId="0" fontId="16" numFmtId="0" xfId="0" applyAlignment="1" applyFont="1">
      <alignment horizontal="center" readingOrder="0"/>
    </xf>
    <xf borderId="0" fillId="0" fontId="17" numFmtId="0" xfId="0" applyAlignment="1" applyFont="1">
      <alignment horizontal="center" readingOrder="0"/>
    </xf>
    <xf borderId="7" fillId="2" fontId="18" numFmtId="0" xfId="0" applyAlignment="1" applyBorder="1" applyFont="1">
      <alignment horizontal="center" readingOrder="0" shrinkToFit="0" wrapText="0"/>
    </xf>
    <xf borderId="8" fillId="0" fontId="6" numFmtId="0" xfId="0" applyBorder="1" applyFont="1"/>
    <xf borderId="9" fillId="0" fontId="6" numFmtId="0" xfId="0" applyBorder="1" applyFont="1"/>
    <xf borderId="0" fillId="0" fontId="18" numFmtId="0" xfId="0" applyAlignment="1" applyFont="1">
      <alignment horizontal="center" readingOrder="0" shrinkToFit="0" wrapText="0"/>
    </xf>
    <xf borderId="10" fillId="3" fontId="19" numFmtId="0" xfId="0" applyAlignment="1" applyBorder="1" applyFill="1" applyFont="1">
      <alignment horizontal="left" readingOrder="0"/>
    </xf>
    <xf borderId="11" fillId="0" fontId="6" numFmtId="0" xfId="0" applyBorder="1" applyFont="1"/>
    <xf borderId="0" fillId="0" fontId="19" numFmtId="0" xfId="0" applyAlignment="1" applyFont="1">
      <alignment horizontal="left" readingOrder="0"/>
    </xf>
    <xf borderId="10" fillId="3" fontId="15" numFmtId="0" xfId="0" applyAlignment="1" applyBorder="1" applyFont="1">
      <alignment readingOrder="0"/>
    </xf>
    <xf borderId="0" fillId="3" fontId="20" numFmtId="0" xfId="0" applyAlignment="1" applyFont="1">
      <alignment horizontal="center" readingOrder="0"/>
    </xf>
    <xf borderId="11" fillId="3" fontId="20" numFmtId="0" xfId="0" applyAlignment="1" applyBorder="1" applyFont="1">
      <alignment horizontal="center" readingOrder="0"/>
    </xf>
    <xf borderId="0" fillId="0" fontId="15" numFmtId="0" xfId="0" applyAlignment="1" applyFont="1">
      <alignment readingOrder="0"/>
    </xf>
    <xf borderId="0" fillId="0" fontId="20" numFmtId="0" xfId="0" applyAlignment="1" applyFont="1">
      <alignment horizontal="center" readingOrder="0"/>
    </xf>
    <xf borderId="12" fillId="3" fontId="21" numFmtId="0" xfId="0" applyAlignment="1" applyBorder="1" applyFont="1">
      <alignment readingOrder="0"/>
    </xf>
    <xf borderId="13" fillId="3" fontId="14" numFmtId="165" xfId="0" applyBorder="1" applyFont="1" applyNumberFormat="1"/>
    <xf borderId="14" fillId="3" fontId="14" numFmtId="0" xfId="0" applyAlignment="1" applyBorder="1" applyFont="1">
      <alignment horizontal="center"/>
    </xf>
    <xf borderId="0" fillId="0" fontId="20" numFmtId="0" xfId="0" applyAlignment="1" applyFont="1">
      <alignment readingOrder="0"/>
    </xf>
    <xf borderId="0" fillId="0" fontId="15" numFmtId="0" xfId="0" applyAlignment="1" applyFont="1">
      <alignment horizontal="center"/>
    </xf>
    <xf borderId="0" fillId="0" fontId="22" numFmtId="0" xfId="0" applyAlignment="1" applyFont="1">
      <alignment horizontal="left" readingOrder="0"/>
    </xf>
    <xf borderId="0" fillId="0" fontId="22" numFmtId="0" xfId="0" applyAlignment="1" applyFont="1">
      <alignment horizontal="right"/>
    </xf>
    <xf borderId="10" fillId="3" fontId="20" numFmtId="0" xfId="0" applyAlignment="1" applyBorder="1" applyFont="1">
      <alignment readingOrder="0"/>
    </xf>
    <xf borderId="0" fillId="3" fontId="15" numFmtId="165" xfId="0" applyFont="1" applyNumberFormat="1"/>
    <xf borderId="11" fillId="3" fontId="15" numFmtId="0" xfId="0" applyAlignment="1" applyBorder="1" applyFont="1">
      <alignment horizontal="center"/>
    </xf>
    <xf borderId="15" fillId="3" fontId="20" numFmtId="0" xfId="0" applyAlignment="1" applyBorder="1" applyFont="1">
      <alignment readingOrder="0"/>
    </xf>
    <xf borderId="16" fillId="3" fontId="15" numFmtId="165" xfId="0" applyBorder="1" applyFont="1" applyNumberFormat="1"/>
    <xf borderId="17" fillId="3" fontId="15" numFmtId="0" xfId="0" applyAlignment="1" applyBorder="1" applyFont="1">
      <alignment horizontal="center"/>
    </xf>
    <xf borderId="0" fillId="0" fontId="23" numFmtId="0" xfId="0" applyAlignment="1" applyFont="1">
      <alignment readingOrder="0"/>
    </xf>
    <xf borderId="0" fillId="0" fontId="24" numFmtId="0" xfId="0" applyAlignment="1" applyFont="1">
      <alignment horizontal="right" readingOrder="0"/>
    </xf>
    <xf borderId="0" fillId="0" fontId="24" numFmtId="0" xfId="0" applyAlignment="1" applyFont="1">
      <alignment horizontal="center" readingOrder="0"/>
    </xf>
    <xf borderId="0" fillId="0" fontId="24" numFmtId="0" xfId="0" applyAlignment="1" applyFont="1">
      <alignment horizontal="center" readingOrder="0" shrinkToFit="0" wrapText="1"/>
    </xf>
    <xf borderId="0" fillId="0" fontId="24" numFmtId="0" xfId="0" applyAlignment="1" applyFont="1">
      <alignment horizontal="right" readingOrder="0" shrinkToFit="0" vertical="center" wrapText="0"/>
    </xf>
    <xf borderId="0" fillId="0" fontId="24" numFmtId="0" xfId="0" applyAlignment="1" applyFont="1">
      <alignment horizontal="center" readingOrder="0" shrinkToFit="0" vertical="center" wrapText="0"/>
    </xf>
    <xf borderId="0" fillId="0" fontId="24" numFmtId="0" xfId="0" applyAlignment="1" applyFont="1">
      <alignment horizontal="center" readingOrder="0" shrinkToFit="0" vertical="center" wrapText="1"/>
    </xf>
    <xf borderId="0" fillId="0" fontId="8" numFmtId="0" xfId="0" applyAlignment="1" applyFont="1">
      <alignment shrinkToFit="0" vertical="center" wrapText="0"/>
    </xf>
    <xf borderId="0" fillId="0" fontId="15" numFmtId="0" xfId="0" applyAlignment="1" applyFont="1">
      <alignment shrinkToFit="0" vertical="center" wrapText="0"/>
    </xf>
    <xf borderId="0" fillId="0" fontId="13" numFmtId="2" xfId="0" applyAlignment="1" applyFont="1" applyNumberFormat="1">
      <alignment shrinkToFit="0" vertical="center" wrapText="0"/>
    </xf>
    <xf borderId="0" fillId="0" fontId="15" numFmtId="2" xfId="0" applyAlignment="1" applyFont="1" applyNumberFormat="1">
      <alignment shrinkToFit="0" vertical="center" wrapText="0"/>
    </xf>
    <xf borderId="0" fillId="0" fontId="15" numFmtId="0" xfId="0" applyAlignment="1" applyFont="1">
      <alignment shrinkToFit="0" vertical="center" wrapText="0"/>
    </xf>
    <xf borderId="0" fillId="0" fontId="13" numFmtId="2" xfId="0" applyAlignment="1" applyFont="1" applyNumberFormat="1">
      <alignment shrinkToFit="0" vertical="center" wrapText="0"/>
    </xf>
    <xf borderId="0" fillId="0" fontId="15" numFmtId="2" xfId="0" applyAlignment="1" applyFont="1" applyNumberFormat="1">
      <alignment shrinkToFit="0" vertical="center" wrapText="0"/>
    </xf>
    <xf borderId="0" fillId="2" fontId="10" numFmtId="0" xfId="0" applyAlignment="1" applyFont="1">
      <alignment horizontal="center" readingOrder="0"/>
    </xf>
    <xf borderId="0" fillId="2" fontId="10" numFmtId="0" xfId="0" applyAlignment="1" applyFont="1">
      <alignment horizontal="left" readingOrder="0"/>
    </xf>
    <xf borderId="0" fillId="2" fontId="10" numFmtId="0" xfId="0" applyAlignment="1" applyFont="1">
      <alignment horizontal="center"/>
    </xf>
    <xf borderId="0" fillId="2" fontId="25" numFmtId="0" xfId="0" applyAlignment="1" applyFont="1">
      <alignment horizontal="center" readingOrder="0" shrinkToFit="0" wrapText="1"/>
    </xf>
    <xf borderId="0" fillId="0" fontId="15" numFmtId="0" xfId="0" applyAlignment="1" applyFont="1">
      <alignment horizontal="left" readingOrder="0"/>
    </xf>
    <xf borderId="0" fillId="0" fontId="15" numFmtId="166" xfId="0" applyAlignment="1" applyFont="1" applyNumberFormat="1">
      <alignment readingOrder="0"/>
    </xf>
    <xf borderId="0" fillId="0" fontId="15" numFmtId="167" xfId="0" applyAlignment="1" applyFont="1" applyNumberFormat="1">
      <alignment horizontal="left" readingOrder="0"/>
    </xf>
    <xf borderId="0" fillId="0" fontId="14" numFmtId="0" xfId="0" applyAlignment="1" applyFont="1">
      <alignment horizontal="right" readingOrder="0"/>
    </xf>
    <xf borderId="0" fillId="0" fontId="15" numFmtId="0" xfId="0" applyAlignment="1" applyFont="1">
      <alignment horizontal="right" readingOrder="0"/>
    </xf>
    <xf borderId="0" fillId="0" fontId="15" numFmtId="0" xfId="0" applyAlignment="1" applyFont="1">
      <alignment horizontal="left"/>
    </xf>
    <xf borderId="0" fillId="0" fontId="19" numFmtId="0" xfId="0" applyAlignment="1" applyFont="1">
      <alignment readingOrder="0"/>
    </xf>
    <xf borderId="0" fillId="0" fontId="26" numFmtId="0" xfId="0" applyAlignment="1" applyFont="1">
      <alignment readingOrder="0"/>
    </xf>
    <xf borderId="0" fillId="2" fontId="10" numFmtId="0" xfId="0" applyAlignment="1" applyFont="1">
      <alignment horizontal="left"/>
    </xf>
    <xf borderId="0" fillId="2" fontId="10" numFmtId="0" xfId="0" applyAlignment="1" applyFont="1">
      <alignment horizontal="left" readingOrder="0" shrinkToFit="0" wrapText="1"/>
    </xf>
    <xf borderId="0" fillId="2" fontId="25" numFmtId="0" xfId="0" applyAlignment="1" applyFont="1">
      <alignment horizontal="left" readingOrder="0" shrinkToFit="0" wrapText="1"/>
    </xf>
    <xf borderId="0" fillId="0" fontId="26" numFmtId="0" xfId="0" applyAlignment="1" applyFont="1">
      <alignment horizontal="center" readingOrder="0" shrinkToFit="0" vertical="center" wrapText="1"/>
    </xf>
    <xf borderId="0" fillId="0" fontId="22" numFmtId="0" xfId="0" applyAlignment="1" applyFont="1">
      <alignment horizontal="left" readingOrder="0" shrinkToFit="0" vertical="center" wrapText="1"/>
    </xf>
    <xf borderId="18" fillId="0" fontId="26" numFmtId="0" xfId="0" applyAlignment="1" applyBorder="1" applyFont="1">
      <alignment horizontal="center" readingOrder="0" shrinkToFit="0" vertical="center" wrapText="1"/>
    </xf>
    <xf borderId="18" fillId="0" fontId="6" numFmtId="0" xfId="0" applyBorder="1" applyFont="1"/>
    <xf borderId="18" fillId="0" fontId="15" numFmtId="0" xfId="0" applyAlignment="1" applyBorder="1" applyFont="1">
      <alignment readingOrder="0"/>
    </xf>
    <xf borderId="18" fillId="0" fontId="15" numFmtId="0" xfId="0" applyBorder="1" applyFont="1"/>
    <xf borderId="19" fillId="0" fontId="15" numFmtId="0" xfId="0" applyAlignment="1" applyBorder="1" applyFont="1">
      <alignment readingOrder="0"/>
    </xf>
    <xf borderId="0" fillId="0" fontId="27" numFmtId="0" xfId="0" applyAlignment="1" applyFont="1">
      <alignment horizontal="left"/>
    </xf>
    <xf borderId="0" fillId="0" fontId="27" numFmtId="0" xfId="0" applyAlignment="1" applyFont="1">
      <alignment readingOrder="0"/>
    </xf>
    <xf borderId="0" fillId="0" fontId="27" numFmtId="0" xfId="0" applyFont="1"/>
    <xf borderId="0" fillId="0" fontId="28" numFmtId="0" xfId="0" applyAlignment="1" applyFont="1">
      <alignment horizontal="left" readingOrder="0"/>
    </xf>
    <xf borderId="0" fillId="0" fontId="27" numFmtId="0" xfId="0" applyAlignment="1" applyFont="1">
      <alignment horizontal="left" readingOrder="0"/>
    </xf>
    <xf borderId="0" fillId="0" fontId="27" numFmtId="0" xfId="0" applyAlignment="1" applyFont="1">
      <alignment horizontal="left" readingOrder="0" shrinkToFit="0" wrapText="1"/>
    </xf>
    <xf borderId="0" fillId="0" fontId="15" numFmtId="0" xfId="0" applyAlignment="1" applyFont="1">
      <alignment shrinkToFit="0" wrapText="1"/>
    </xf>
    <xf borderId="0" fillId="0" fontId="29" numFmtId="0" xfId="0" applyAlignment="1" applyFont="1">
      <alignment horizontal="left"/>
    </xf>
    <xf borderId="0" fillId="0" fontId="23" numFmtId="0" xfId="0" applyAlignment="1" applyFont="1">
      <alignment horizontal="center" readingOrder="0"/>
    </xf>
    <xf borderId="0" fillId="0" fontId="30" numFmtId="0" xfId="0" applyFont="1"/>
    <xf borderId="20" fillId="4" fontId="18" numFmtId="0" xfId="0" applyAlignment="1" applyBorder="1" applyFill="1" applyFont="1">
      <alignment horizontal="center" readingOrder="0"/>
    </xf>
    <xf borderId="21" fillId="5" fontId="18" numFmtId="0" xfId="0" applyAlignment="1" applyBorder="1" applyFill="1" applyFont="1">
      <alignment horizontal="center" readingOrder="0"/>
    </xf>
    <xf borderId="21" fillId="6" fontId="18" numFmtId="0" xfId="0" applyAlignment="1" applyBorder="1" applyFill="1" applyFont="1">
      <alignment horizontal="center" readingOrder="0"/>
    </xf>
    <xf borderId="22" fillId="7" fontId="18" numFmtId="0" xfId="0" applyAlignment="1" applyBorder="1" applyFill="1" applyFont="1">
      <alignment horizontal="center" readingOrder="0"/>
    </xf>
    <xf borderId="0" fillId="0" fontId="28" numFmtId="0" xfId="0" applyAlignment="1" applyFont="1">
      <alignment horizontal="center" readingOrder="0" shrinkToFit="0" wrapText="1"/>
    </xf>
    <xf borderId="23" fillId="0" fontId="28" numFmtId="0" xfId="0" applyAlignment="1" applyBorder="1" applyFont="1">
      <alignment horizontal="center" readingOrder="0" shrinkToFit="0" wrapText="1"/>
    </xf>
    <xf borderId="24" fillId="0" fontId="28" numFmtId="0" xfId="0" applyAlignment="1" applyBorder="1" applyFont="1">
      <alignment horizontal="center" readingOrder="0" shrinkToFit="0" wrapText="1"/>
    </xf>
    <xf borderId="0" fillId="0" fontId="31" numFmtId="0" xfId="0" applyAlignment="1" applyFont="1">
      <alignment horizontal="center" readingOrder="0"/>
    </xf>
    <xf borderId="23" fillId="2" fontId="31" numFmtId="0" xfId="0" applyAlignment="1" applyBorder="1" applyFont="1">
      <alignment horizontal="center" readingOrder="0"/>
    </xf>
    <xf borderId="24" fillId="0" fontId="6" numFmtId="0" xfId="0" applyBorder="1" applyFont="1"/>
    <xf borderId="23" fillId="0" fontId="15" numFmtId="0" xfId="0" applyAlignment="1" applyBorder="1" applyFont="1">
      <alignment readingOrder="0"/>
    </xf>
    <xf borderId="24" fillId="0" fontId="15" numFmtId="0" xfId="0" applyAlignment="1" applyBorder="1" applyFont="1">
      <alignment readingOrder="0"/>
    </xf>
    <xf borderId="23" fillId="0" fontId="15" numFmtId="0" xfId="0" applyBorder="1" applyFont="1"/>
    <xf borderId="0" fillId="0" fontId="26" numFmtId="0" xfId="0" applyAlignment="1" applyFont="1">
      <alignment horizontal="center" readingOrder="0"/>
    </xf>
    <xf borderId="0" fillId="0" fontId="14" numFmtId="0" xfId="0" applyAlignment="1" applyFont="1">
      <alignment readingOrder="0"/>
    </xf>
    <xf borderId="24" fillId="0" fontId="15" numFmtId="0" xfId="0" applyBorder="1" applyFont="1"/>
    <xf borderId="25" fillId="0" fontId="15" numFmtId="0" xfId="0" applyBorder="1" applyFont="1"/>
    <xf borderId="26" fillId="0" fontId="15" numFmtId="0" xfId="0" applyBorder="1" applyFont="1"/>
    <xf borderId="27" fillId="0" fontId="15" numFmtId="0" xfId="0" applyBorder="1" applyFont="1"/>
    <xf borderId="0" fillId="0" fontId="32" numFmtId="0" xfId="0" applyAlignment="1" applyFont="1">
      <alignment horizontal="left" readingOrder="0" shrinkToFit="0" vertical="center" wrapText="0"/>
    </xf>
    <xf borderId="0" fillId="0" fontId="32" numFmtId="0" xfId="0" applyAlignment="1" applyFont="1">
      <alignment horizontal="left" readingOrder="0" shrinkToFit="0" vertical="center" wrapText="0"/>
    </xf>
    <xf borderId="0" fillId="0" fontId="32" numFmtId="0" xfId="0" applyFont="1"/>
    <xf borderId="0" fillId="0" fontId="24" numFmtId="0" xfId="0" applyAlignment="1" applyFont="1">
      <alignment readingOrder="0" shrinkToFit="0" vertical="center" wrapText="0"/>
    </xf>
    <xf borderId="0" fillId="0" fontId="8" numFmtId="0" xfId="0" applyAlignment="1" applyFont="1">
      <alignment readingOrder="0" shrinkToFit="0" vertical="center" wrapText="0"/>
    </xf>
    <xf borderId="0" fillId="0" fontId="33" numFmtId="0" xfId="0" applyAlignment="1" applyFont="1">
      <alignment horizontal="left" readingOrder="0" shrinkToFit="0" vertical="center" wrapText="0"/>
    </xf>
    <xf borderId="0" fillId="0" fontId="34" numFmtId="0" xfId="0" applyAlignment="1" applyFont="1">
      <alignment readingOrder="0" shrinkToFit="0" vertical="center" wrapText="0"/>
    </xf>
    <xf borderId="0" fillId="0" fontId="8" numFmtId="0" xfId="0" applyAlignment="1" applyFont="1">
      <alignment readingOrder="0" shrinkToFit="0" vertical="center" wrapText="0"/>
    </xf>
    <xf borderId="0" fillId="4" fontId="7" numFmtId="0" xfId="0" applyAlignment="1" applyFont="1">
      <alignment horizontal="center" readingOrder="0" shrinkToFit="0" wrapText="1"/>
    </xf>
    <xf borderId="0" fillId="4" fontId="35" numFmtId="0" xfId="0" applyAlignment="1" applyFont="1">
      <alignment horizontal="center" readingOrder="0" shrinkToFit="0" wrapText="1"/>
    </xf>
    <xf borderId="28" fillId="4" fontId="35" numFmtId="0" xfId="0" applyAlignment="1" applyBorder="1" applyFont="1">
      <alignment horizontal="center" readingOrder="0" shrinkToFit="0" wrapText="1"/>
    </xf>
    <xf borderId="28" fillId="0" fontId="15" numFmtId="0" xfId="0" applyBorder="1" applyFont="1"/>
    <xf borderId="0" fillId="5" fontId="7" numFmtId="0" xfId="0" applyAlignment="1" applyFont="1">
      <alignment horizontal="center" readingOrder="0" shrinkToFit="0" wrapText="1"/>
    </xf>
    <xf borderId="0" fillId="5" fontId="35" numFmtId="0" xfId="0" applyAlignment="1" applyFont="1">
      <alignment horizontal="center" readingOrder="0" shrinkToFit="0" wrapText="1"/>
    </xf>
    <xf borderId="28" fillId="5" fontId="35" numFmtId="0" xfId="0" applyAlignment="1" applyBorder="1" applyFont="1">
      <alignment horizontal="center" readingOrder="0" shrinkToFit="0" wrapText="1"/>
    </xf>
    <xf borderId="0" fillId="6" fontId="7" numFmtId="0" xfId="0" applyAlignment="1" applyFont="1">
      <alignment horizontal="center" readingOrder="0" shrinkToFit="0" wrapText="1"/>
    </xf>
    <xf borderId="0" fillId="6" fontId="35" numFmtId="0" xfId="0" applyAlignment="1" applyFont="1">
      <alignment horizontal="center" readingOrder="0" shrinkToFit="0" wrapText="1"/>
    </xf>
    <xf borderId="28" fillId="6" fontId="35" numFmtId="0" xfId="0" applyAlignment="1" applyBorder="1" applyFont="1">
      <alignment horizontal="center" readingOrder="0" shrinkToFit="0" wrapText="1"/>
    </xf>
    <xf borderId="0" fillId="7" fontId="7" numFmtId="0" xfId="0" applyAlignment="1" applyFont="1">
      <alignment horizontal="center" readingOrder="0" shrinkToFit="0" wrapText="1"/>
    </xf>
    <xf borderId="0" fillId="7" fontId="35" numFmtId="0" xfId="0" applyAlignment="1" applyFont="1">
      <alignment horizontal="center" readingOrder="0" shrinkToFit="0" wrapText="1"/>
    </xf>
    <xf borderId="28" fillId="7" fontId="35" numFmtId="0" xfId="0" applyAlignment="1" applyBorder="1" applyFont="1">
      <alignment horizontal="center" readingOrder="0" shrinkToFit="0" wrapText="1"/>
    </xf>
    <xf borderId="0" fillId="8" fontId="7" numFmtId="0" xfId="0" applyAlignment="1" applyFill="1" applyFont="1">
      <alignment horizontal="center" readingOrder="0" shrinkToFit="0" wrapText="1"/>
    </xf>
    <xf borderId="0" fillId="0" fontId="15" numFmtId="3" xfId="0" applyFont="1" applyNumberFormat="1"/>
    <xf borderId="0" fillId="0" fontId="15" numFmtId="168" xfId="0" applyFont="1" applyNumberFormat="1"/>
    <xf borderId="0" fillId="0" fontId="15" numFmtId="2" xfId="0" applyFont="1" applyNumberFormat="1"/>
    <xf borderId="0" fillId="0" fontId="15" numFmtId="3" xfId="0" applyAlignment="1" applyFont="1" applyNumberFormat="1">
      <alignment readingOrder="0"/>
    </xf>
    <xf borderId="29" fillId="8" fontId="7" numFmtId="0" xfId="0" applyAlignment="1" applyBorder="1" applyFont="1">
      <alignment horizontal="center" readingOrder="0" shrinkToFit="0" wrapText="1"/>
    </xf>
    <xf borderId="0" fillId="8" fontId="35" numFmtId="0" xfId="0" applyAlignment="1" applyFont="1">
      <alignment horizontal="center" readingOrder="0" shrinkToFit="0" wrapText="1"/>
    </xf>
    <xf borderId="30" fillId="0" fontId="15" numFmtId="0" xfId="0" applyBorder="1" applyFont="1"/>
    <xf borderId="31" fillId="0" fontId="15" numFmtId="0" xfId="0" applyAlignment="1" applyBorder="1" applyFont="1">
      <alignment readingOrder="0"/>
    </xf>
    <xf borderId="32" fillId="0" fontId="15" numFmtId="0" xfId="0" applyAlignment="1" applyBorder="1" applyFont="1">
      <alignment readingOrder="0"/>
    </xf>
    <xf borderId="33" fillId="0" fontId="15" numFmtId="0" xfId="0" applyAlignment="1" applyBorder="1" applyFont="1">
      <alignment readingOrder="0"/>
    </xf>
    <xf borderId="0" fillId="0" fontId="13" numFmtId="0" xfId="0" applyAlignment="1" applyFont="1">
      <alignment horizontal="center" readingOrder="0" shrinkToFit="0" vertical="center" wrapText="0"/>
    </xf>
    <xf borderId="0" fillId="0" fontId="36" numFmtId="0" xfId="0" applyAlignment="1" applyFont="1">
      <alignment readingOrder="0" shrinkToFit="0" vertical="bottom" wrapText="0"/>
    </xf>
    <xf borderId="0" fillId="0" fontId="37" numFmtId="0" xfId="0" applyAlignment="1" applyFont="1">
      <alignment shrinkToFit="0" vertical="bottom" wrapText="0"/>
    </xf>
    <xf borderId="0" fillId="8" fontId="10" numFmtId="0" xfId="0" applyAlignment="1" applyFont="1">
      <alignment horizontal="left" readingOrder="0" shrinkToFit="0" wrapText="1"/>
    </xf>
    <xf borderId="0" fillId="8" fontId="10" numFmtId="0" xfId="0" applyAlignment="1" applyFont="1">
      <alignment horizontal="center" readingOrder="0" shrinkToFit="0" wrapText="1"/>
    </xf>
    <xf borderId="0" fillId="8" fontId="38" numFmtId="0" xfId="0" applyAlignment="1" applyFont="1">
      <alignment shrinkToFit="0" wrapText="1"/>
    </xf>
    <xf borderId="0" fillId="8" fontId="38" numFmtId="0" xfId="0" applyAlignment="1" applyFont="1">
      <alignment horizontal="left" shrinkToFit="0" wrapText="1"/>
    </xf>
    <xf borderId="0" fillId="0" fontId="39" numFmtId="0" xfId="0" applyAlignment="1" applyFont="1">
      <alignment horizontal="left" readingOrder="0" vertical="bottom"/>
    </xf>
    <xf borderId="0" fillId="0" fontId="40" numFmtId="0" xfId="0" applyAlignment="1" applyFont="1">
      <alignment horizontal="center" readingOrder="0"/>
    </xf>
    <xf borderId="0" fillId="0" fontId="36" numFmtId="0" xfId="0" applyAlignment="1" applyFont="1">
      <alignment horizontal="right" readingOrder="0" vertical="bottom"/>
    </xf>
    <xf borderId="0" fillId="0" fontId="40" numFmtId="0" xfId="0" applyAlignment="1" applyFont="1">
      <alignment horizontal="center" readingOrder="0" shrinkToFit="0" wrapText="0"/>
    </xf>
    <xf borderId="0" fillId="0" fontId="39" numFmtId="0" xfId="0" applyAlignment="1" applyFont="1">
      <alignment horizontal="left" readingOrder="0"/>
    </xf>
    <xf borderId="0" fillId="0" fontId="36" numFmtId="0" xfId="0" applyAlignment="1" applyFont="1">
      <alignment horizontal="right" readingOrder="0" vertical="bottom"/>
    </xf>
    <xf borderId="0" fillId="0" fontId="36" numFmtId="0" xfId="0" applyAlignment="1" applyFont="1">
      <alignment readingOrder="0" vertical="bottom"/>
    </xf>
    <xf borderId="0" fillId="0" fontId="36" numFmtId="169" xfId="0" applyAlignment="1" applyFont="1" applyNumberFormat="1">
      <alignment horizontal="right" readingOrder="0" vertical="bottom"/>
    </xf>
    <xf borderId="0" fillId="0" fontId="37" numFmtId="0" xfId="0" applyAlignment="1" applyFont="1">
      <alignment vertical="bottom"/>
    </xf>
    <xf borderId="0" fillId="0" fontId="41" numFmtId="0" xfId="0" applyAlignment="1" applyFont="1">
      <alignment horizontal="left" readingOrder="0"/>
    </xf>
    <xf borderId="0" fillId="0" fontId="40" numFmtId="0" xfId="0" applyAlignment="1" applyFont="1">
      <alignment horizontal="right" readingOrder="0" vertical="bottom"/>
    </xf>
    <xf borderId="0" fillId="0" fontId="36" numFmtId="170" xfId="0" applyAlignment="1" applyFont="1" applyNumberFormat="1">
      <alignment readingOrder="0" vertical="bottom"/>
    </xf>
    <xf borderId="0" fillId="0" fontId="41" numFmtId="0" xfId="0" applyAlignment="1" applyFont="1">
      <alignment horizontal="left"/>
    </xf>
    <xf borderId="0" fillId="0" fontId="8" numFmtId="0" xfId="0" applyAlignment="1" applyFont="1">
      <alignment horizontal="left" readingOrder="0" shrinkToFit="0" vertical="center" wrapText="0"/>
    </xf>
    <xf borderId="0" fillId="0" fontId="8" numFmtId="0" xfId="0" applyAlignment="1" applyFont="1">
      <alignment readingOrder="0" shrinkToFit="0" vertical="center" wrapText="0"/>
    </xf>
    <xf borderId="0" fillId="0" fontId="8" numFmtId="0" xfId="0" applyAlignment="1" applyFont="1">
      <alignment shrinkToFit="0" vertical="center" wrapText="0"/>
    </xf>
    <xf borderId="34" fillId="0" fontId="34" numFmtId="0" xfId="0" applyAlignment="1" applyBorder="1" applyFont="1">
      <alignment readingOrder="0"/>
    </xf>
    <xf borderId="34" fillId="0" fontId="42" numFmtId="0" xfId="0" applyAlignment="1" applyBorder="1" applyFont="1">
      <alignment readingOrder="0"/>
    </xf>
    <xf borderId="34" fillId="0" fontId="42" numFmtId="10" xfId="0" applyAlignment="1" applyBorder="1" applyFont="1" applyNumberFormat="1">
      <alignment readingOrder="0"/>
    </xf>
    <xf borderId="34" fillId="0" fontId="42" numFmtId="9" xfId="0" applyBorder="1" applyFont="1" applyNumberFormat="1"/>
    <xf borderId="0" fillId="0" fontId="42" numFmtId="0" xfId="0" applyFont="1"/>
    <xf borderId="29" fillId="0" fontId="43" numFmtId="0" xfId="0" applyAlignment="1" applyBorder="1" applyFont="1">
      <alignment horizontal="right" readingOrder="0"/>
    </xf>
    <xf borderId="0" fillId="0" fontId="43" numFmtId="0" xfId="0" applyAlignment="1" applyFont="1">
      <alignment horizontal="center"/>
    </xf>
    <xf borderId="35" fillId="0" fontId="44" numFmtId="0" xfId="0" applyAlignment="1" applyBorder="1" applyFont="1">
      <alignment horizontal="right" readingOrder="0"/>
    </xf>
    <xf borderId="19" fillId="0" fontId="44" numFmtId="0" xfId="0" applyAlignment="1" applyBorder="1" applyFont="1">
      <alignment readingOrder="0"/>
    </xf>
    <xf borderId="35" fillId="0" fontId="44" numFmtId="0" xfId="0" applyAlignment="1" applyBorder="1" applyFont="1">
      <alignment readingOrder="0"/>
    </xf>
    <xf borderId="19" fillId="0" fontId="45" numFmtId="0" xfId="0" applyAlignment="1" applyBorder="1" applyFont="1">
      <alignment readingOrder="0"/>
    </xf>
    <xf borderId="29" fillId="0" fontId="44" numFmtId="0" xfId="0" applyAlignment="1" applyBorder="1" applyFont="1">
      <alignment horizontal="right" readingOrder="0"/>
    </xf>
    <xf borderId="0" fillId="0" fontId="46" numFmtId="0" xfId="0" applyAlignment="1" applyFont="1">
      <alignment horizontal="right" shrinkToFit="0" wrapText="0"/>
    </xf>
    <xf borderId="29" fillId="0" fontId="46" numFmtId="0" xfId="0" applyAlignment="1" applyBorder="1" applyFont="1">
      <alignment horizontal="right" shrinkToFit="0" wrapText="0"/>
    </xf>
    <xf borderId="0" fillId="0" fontId="8" numFmtId="0" xfId="0" applyAlignment="1" applyFont="1">
      <alignment horizontal="right" readingOrder="0"/>
    </xf>
    <xf borderId="29" fillId="0" fontId="8" numFmtId="0" xfId="0" applyAlignment="1" applyBorder="1" applyFont="1">
      <alignment horizontal="right" readingOrder="0"/>
    </xf>
    <xf borderId="0" fillId="0" fontId="46" numFmtId="0" xfId="0" applyAlignment="1" applyFont="1">
      <alignment horizontal="right" readingOrder="0" shrinkToFit="0" wrapText="0"/>
    </xf>
    <xf borderId="29" fillId="0" fontId="46" numFmtId="0" xfId="0" applyAlignment="1" applyBorder="1" applyFont="1">
      <alignment horizontal="right" readingOrder="0" shrinkToFit="0" wrapText="0"/>
    </xf>
    <xf borderId="0" fillId="0" fontId="47" numFmtId="0" xfId="0" applyAlignment="1" applyFont="1">
      <alignment horizontal="right" readingOrder="0" shrinkToFit="0" wrapText="0"/>
    </xf>
    <xf borderId="31" fillId="0" fontId="45" numFmtId="0" xfId="0" applyAlignment="1" applyBorder="1" applyFont="1">
      <alignment horizontal="right" readingOrder="0" shrinkToFit="0" wrapText="0"/>
    </xf>
    <xf borderId="0" fillId="0" fontId="8" numFmtId="0" xfId="0" applyAlignment="1" applyFont="1">
      <alignment horizontal="right"/>
    </xf>
    <xf borderId="29" fillId="0" fontId="8" numFmtId="0" xfId="0" applyAlignment="1" applyBorder="1" applyFont="1">
      <alignment horizontal="right"/>
    </xf>
    <xf borderId="31" fillId="0" fontId="45" numFmtId="0" xfId="0" applyAlignment="1" applyBorder="1" applyFont="1">
      <alignment horizontal="right" shrinkToFit="0" wrapText="0"/>
    </xf>
    <xf borderId="0" fillId="0" fontId="44" numFmtId="0" xfId="0" applyAlignment="1" applyFont="1">
      <alignment horizontal="center" readingOrder="0" shrinkToFit="0" wrapText="0"/>
    </xf>
    <xf borderId="29" fillId="0" fontId="44" numFmtId="0" xfId="0" applyAlignment="1" applyBorder="1" applyFont="1">
      <alignment horizontal="center" readingOrder="0" shrinkToFit="0" wrapText="0"/>
    </xf>
    <xf borderId="31" fillId="0" fontId="45" numFmtId="0" xfId="0" applyAlignment="1" applyBorder="1" applyFont="1">
      <alignment horizontal="right"/>
    </xf>
    <xf borderId="0" fillId="0" fontId="46" numFmtId="0" xfId="0" applyAlignment="1" applyFont="1">
      <alignment horizontal="left" readingOrder="0" shrinkToFit="0" wrapText="0"/>
    </xf>
    <xf borderId="29" fillId="0" fontId="46" numFmtId="0" xfId="0" applyAlignment="1" applyBorder="1" applyFont="1">
      <alignment horizontal="left" readingOrder="0" shrinkToFit="0" wrapText="0"/>
    </xf>
    <xf borderId="0" fillId="0" fontId="46" numFmtId="0" xfId="0" applyAlignment="1" applyFont="1">
      <alignment horizontal="left" shrinkToFit="0" wrapText="0"/>
    </xf>
    <xf borderId="0" fillId="0" fontId="46" numFmtId="0" xfId="0" applyAlignment="1" applyFont="1">
      <alignment horizontal="right"/>
    </xf>
    <xf borderId="29" fillId="0" fontId="46" numFmtId="0" xfId="0" applyAlignment="1" applyBorder="1" applyFont="1">
      <alignment horizontal="right"/>
    </xf>
    <xf borderId="29" fillId="0" fontId="8" numFmtId="0" xfId="0" applyBorder="1" applyFont="1"/>
    <xf borderId="29" fillId="0" fontId="46" numFmtId="0" xfId="0" applyAlignment="1" applyBorder="1" applyFont="1">
      <alignment horizontal="right" shrinkToFit="0" wrapText="0"/>
    </xf>
    <xf borderId="0" fillId="0" fontId="46" numFmtId="0" xfId="0" applyAlignment="1" applyFont="1">
      <alignment horizontal="right" shrinkToFit="0" wrapText="0"/>
    </xf>
    <xf borderId="0" fillId="0" fontId="44" numFmtId="0" xfId="0" applyAlignment="1" applyFont="1">
      <alignment horizontal="left" readingOrder="0" shrinkToFit="0" wrapText="0"/>
    </xf>
    <xf borderId="29" fillId="0" fontId="46" numFmtId="0" xfId="0" applyAlignment="1" applyBorder="1" applyFont="1">
      <alignment horizontal="left" shrinkToFit="0" wrapText="0"/>
    </xf>
    <xf borderId="29" fillId="0" fontId="46" numFmtId="0" xfId="0" applyAlignment="1" applyBorder="1" applyFont="1">
      <alignment horizontal="right"/>
    </xf>
    <xf borderId="29" fillId="0" fontId="44" numFmtId="0" xfId="0" applyAlignment="1" applyBorder="1" applyFont="1">
      <alignment horizontal="left" readingOrder="0" shrinkToFit="0" wrapText="0"/>
    </xf>
    <xf borderId="0" fillId="0" fontId="46" numFmtId="0" xfId="0" applyFont="1"/>
    <xf borderId="0" fillId="0" fontId="46" numFmtId="0" xfId="0" applyAlignment="1" applyFont="1">
      <alignment horizontal="left" shrinkToFit="0" wrapText="0"/>
    </xf>
    <xf borderId="0" fillId="0" fontId="46" numFmtId="0" xfId="0" applyFont="1"/>
    <xf borderId="29" fillId="0" fontId="46" numFmtId="0" xfId="0" applyBorder="1" applyFont="1"/>
    <xf borderId="0" fillId="0" fontId="34" numFmtId="0" xfId="0" applyAlignment="1" applyFont="1">
      <alignment readingOrder="0" shrinkToFit="0" vertical="center" wrapText="0"/>
    </xf>
    <xf borderId="0" fillId="0" fontId="24" numFmtId="0" xfId="0" applyAlignment="1" applyFont="1">
      <alignment readingOrder="0"/>
    </xf>
    <xf borderId="0" fillId="0" fontId="8" numFmtId="0" xfId="0" applyFont="1"/>
    <xf borderId="36" fillId="0" fontId="34" numFmtId="0" xfId="0" applyAlignment="1" applyBorder="1" applyFont="1">
      <alignment readingOrder="0"/>
    </xf>
    <xf borderId="37" fillId="0" fontId="6" numFmtId="0" xfId="0" applyBorder="1" applyFont="1"/>
    <xf borderId="34" fillId="0" fontId="8" numFmtId="0" xfId="0" applyAlignment="1" applyBorder="1" applyFont="1">
      <alignment readingOrder="0"/>
    </xf>
    <xf borderId="0" fillId="0" fontId="42" numFmtId="0" xfId="0" applyAlignment="1" applyFont="1">
      <alignment readingOrder="0" shrinkToFit="0" vertical="center" wrapText="0"/>
    </xf>
    <xf borderId="19" fillId="0" fontId="8" numFmtId="0" xfId="0" applyAlignment="1" applyBorder="1" applyFont="1">
      <alignment readingOrder="0" shrinkToFit="0" vertical="center" wrapText="0"/>
    </xf>
    <xf borderId="0" fillId="0" fontId="8" numFmtId="0" xfId="0" applyFont="1"/>
    <xf borderId="0" fillId="0" fontId="8" numFmtId="0" xfId="0" applyAlignment="1" applyFont="1">
      <alignment readingOrder="0"/>
    </xf>
  </cellXfs>
  <cellStyles count="1">
    <cellStyle xfId="0" name="Normal" builtinId="0"/>
  </cellStyles>
  <dxfs count="10">
    <dxf>
      <font/>
      <fill>
        <patternFill patternType="none"/>
      </fill>
      <border/>
    </dxf>
    <dxf>
      <font/>
      <fill>
        <patternFill patternType="solid">
          <fgColor rgb="FF354288"/>
          <bgColor rgb="FF354288"/>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4288"/>
        </left>
        <right style="thin">
          <color rgb="FF354288"/>
        </right>
        <top style="thin">
          <color rgb="FF354288"/>
        </top>
        <bottom style="thin">
          <color rgb="FF354288"/>
        </bottom>
      </border>
    </dxf>
    <dxf>
      <font/>
      <fill>
        <patternFill patternType="solid">
          <fgColor rgb="FF24378F"/>
          <bgColor rgb="FF24378F"/>
        </patternFill>
      </fill>
      <border/>
    </dxf>
    <dxf>
      <font/>
      <fill>
        <patternFill patternType="solid">
          <fgColor rgb="FFC8CDE3"/>
          <bgColor rgb="FFC8CDE3"/>
        </patternFill>
      </fill>
      <border/>
    </dxf>
    <dxf>
      <font/>
      <fill>
        <patternFill patternType="solid">
          <fgColor rgb="FF626E7A"/>
          <bgColor rgb="FF626E7A"/>
        </patternFill>
      </fill>
      <border/>
    </dxf>
    <dxf>
      <font/>
      <fill>
        <patternFill patternType="solid">
          <fgColor rgb="FF356854"/>
          <bgColor rgb="FF356854"/>
        </patternFill>
      </fill>
      <border/>
    </dxf>
    <dxf>
      <font/>
      <fill>
        <patternFill patternType="solid">
          <fgColor rgb="FFCCD9D4"/>
          <bgColor rgb="FFCCD9D4"/>
        </patternFill>
      </fill>
      <border/>
    </dxf>
  </dxfs>
  <tableStyles count="7">
    <tableStyle count="4" pivot="0" name="DASHBOARD-style">
      <tableStyleElement dxfId="1" type="headerRow"/>
      <tableStyleElement dxfId="2" type="firstRowStripe"/>
      <tableStyleElement dxfId="3" type="secondRowStripe"/>
      <tableStyleElement dxfId="4" size="0" type="wholeTable"/>
    </tableStyle>
    <tableStyle count="5" pivot="0" name="TIER_WEIGHTS-style">
      <tableStyleElement dxfId="5" type="headerRow"/>
      <tableStyleElement dxfId="2" type="firstRowStripe"/>
      <tableStyleElement dxfId="3" type="secondRowStripe"/>
      <tableStyleElement dxfId="6" type="totalRow"/>
      <tableStyleElement dxfId="4" size="0" type="wholeTable"/>
    </tableStyle>
    <tableStyle count="4" pivot="0" name="TIER_WEIGHTS-style 2">
      <tableStyleElement dxfId="5" type="headerRow"/>
      <tableStyleElement dxfId="2" type="firstRowStripe"/>
      <tableStyleElement dxfId="3" type="secondRowStripe"/>
      <tableStyleElement dxfId="4" size="0" type="wholeTable"/>
    </tableStyle>
    <tableStyle count="4" pivot="0" name="DATA_LEAGUE_AVG-style">
      <tableStyleElement dxfId="7" type="headerRow"/>
      <tableStyleElement dxfId="2" type="firstRowStripe"/>
      <tableStyleElement dxfId="3" type="secondRowStripe"/>
      <tableStyleElement dxfId="4" size="0" type="wholeTable"/>
    </tableStyle>
    <tableStyle count="4" pivot="0" name="CALC_NEG_PLAY-style">
      <tableStyleElement dxfId="8" type="headerRow"/>
      <tableStyleElement dxfId="2" type="firstRowStripe"/>
      <tableStyleElement dxfId="3" type="secondRowStripe"/>
      <tableStyleElement dxfId="4" size="0" type="wholeTable"/>
    </tableStyle>
    <tableStyle count="4" pivot="0" name="CALC_PLAYOFF_ELEV-style">
      <tableStyleElement dxfId="8" type="headerRow"/>
      <tableStyleElement dxfId="2" type="firstRowStripe"/>
      <tableStyleElement dxfId="3" type="secondRowStripe"/>
      <tableStyleElement dxfId="4" size="0" type="wholeTable"/>
    </tableStyle>
    <tableStyle count="5" pivot="0" name="CALC_MVP_SHARES-style">
      <tableStyleElement dxfId="8" type="headerRow"/>
      <tableStyleElement dxfId="2" type="firstRowStripe"/>
      <tableStyleElement dxfId="3" type="secondRowStripe"/>
      <tableStyleElement dxfId="9" type="totalRow"/>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GOAT Scores by Quarterback</a:t>
            </a:r>
          </a:p>
        </c:rich>
      </c:tx>
      <c:overlay val="0"/>
    </c:title>
    <c:plotArea>
      <c:layout/>
      <c:barChart>
        <c:barDir val="bar"/>
        <c:ser>
          <c:idx val="0"/>
          <c:order val="0"/>
          <c:tx>
            <c:strRef>
              <c:f>DASHBOARD!$D$17</c:f>
            </c:strRef>
          </c:tx>
          <c:spPr>
            <a:solidFill>
              <a:srgbClr val="D5CA86"/>
            </a:solidFill>
            <a:ln cmpd="sng">
              <a:solidFill>
                <a:srgbClr val="000000"/>
              </a:solidFill>
            </a:ln>
          </c:spPr>
          <c:cat>
            <c:strRef>
              <c:f>DASHBOARD!$C$18:$C$42</c:f>
            </c:strRef>
          </c:cat>
          <c:val>
            <c:numRef>
              <c:f>DASHBOARD!$D$18:$D$42</c:f>
              <c:numCache/>
            </c:numRef>
          </c:val>
        </c:ser>
        <c:axId val="699028995"/>
        <c:axId val="10398125"/>
      </c:barChart>
      <c:catAx>
        <c:axId val="699028995"/>
        <c:scaling>
          <c:orientation val="maxMin"/>
        </c:scaling>
        <c:delete val="0"/>
        <c:axPos val="l"/>
        <c:title>
          <c:tx>
            <c:rich>
              <a:bodyPr/>
              <a:lstStyle/>
              <a:p>
                <a:pPr lvl="0">
                  <a:defRPr b="0" sz="1400">
                    <a:solidFill>
                      <a:srgbClr val="000000"/>
                    </a:solidFill>
                    <a:latin typeface="+mn-lt"/>
                  </a:defRPr>
                </a:pPr>
                <a:r>
                  <a:rPr b="0" sz="1400">
                    <a:solidFill>
                      <a:srgbClr val="000000"/>
                    </a:solidFill>
                    <a:latin typeface="+mn-lt"/>
                  </a:rPr>
                  <a:t>Quarterback</a:t>
                </a:r>
              </a:p>
            </c:rich>
          </c:tx>
          <c:overlay val="0"/>
        </c:title>
        <c:numFmt formatCode="General" sourceLinked="1"/>
        <c:majorTickMark val="none"/>
        <c:minorTickMark val="none"/>
        <c:spPr/>
        <c:txPr>
          <a:bodyPr/>
          <a:lstStyle/>
          <a:p>
            <a:pPr lvl="0">
              <a:defRPr b="0">
                <a:solidFill>
                  <a:srgbClr val="000000"/>
                </a:solidFill>
                <a:latin typeface="+mn-lt"/>
              </a:defRPr>
            </a:pPr>
          </a:p>
        </c:txPr>
        <c:crossAx val="10398125"/>
      </c:catAx>
      <c:valAx>
        <c:axId val="1039812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99028995"/>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Model Comparison by Quarterback</a:t>
            </a:r>
          </a:p>
        </c:rich>
      </c:tx>
      <c:overlay val="0"/>
    </c:title>
    <c:plotArea>
      <c:layout/>
      <c:barChart>
        <c:barDir val="col"/>
        <c:ser>
          <c:idx val="0"/>
          <c:order val="0"/>
          <c:tx>
            <c:strRef>
              <c:f>DASHBOARD!$E$17</c:f>
            </c:strRef>
          </c:tx>
          <c:spPr>
            <a:solidFill>
              <a:schemeClr val="accent4"/>
            </a:solidFill>
            <a:ln cmpd="sng">
              <a:solidFill>
                <a:srgbClr val="000000"/>
              </a:solidFill>
            </a:ln>
          </c:spPr>
          <c:cat>
            <c:strRef>
              <c:f>DASHBOARD!$C$18:$C$42</c:f>
            </c:strRef>
          </c:cat>
          <c:val>
            <c:numRef>
              <c:f>DASHBOARD!$E$18:$E$42</c:f>
              <c:numCache/>
            </c:numRef>
          </c:val>
        </c:ser>
        <c:ser>
          <c:idx val="1"/>
          <c:order val="1"/>
          <c:tx>
            <c:strRef>
              <c:f>DASHBOARD!$F$17</c:f>
            </c:strRef>
          </c:tx>
          <c:spPr>
            <a:solidFill>
              <a:schemeClr val="accent3"/>
            </a:solidFill>
            <a:ln cmpd="sng">
              <a:solidFill>
                <a:srgbClr val="000000"/>
              </a:solidFill>
            </a:ln>
          </c:spPr>
          <c:cat>
            <c:strRef>
              <c:f>DASHBOARD!$C$18:$C$42</c:f>
            </c:strRef>
          </c:cat>
          <c:val>
            <c:numRef>
              <c:f>DASHBOARD!$F$18:$F$42</c:f>
              <c:numCache/>
            </c:numRef>
          </c:val>
        </c:ser>
        <c:ser>
          <c:idx val="2"/>
          <c:order val="2"/>
          <c:tx>
            <c:strRef>
              <c:f>DASHBOARD!$G$17</c:f>
            </c:strRef>
          </c:tx>
          <c:spPr>
            <a:solidFill>
              <a:schemeClr val="accent2"/>
            </a:solidFill>
            <a:ln cmpd="sng">
              <a:solidFill>
                <a:srgbClr val="000000"/>
              </a:solidFill>
            </a:ln>
          </c:spPr>
          <c:cat>
            <c:strRef>
              <c:f>DASHBOARD!$C$18:$C$42</c:f>
            </c:strRef>
          </c:cat>
          <c:val>
            <c:numRef>
              <c:f>DASHBOARD!$G$18:$G$42</c:f>
              <c:numCache/>
            </c:numRef>
          </c:val>
        </c:ser>
        <c:ser>
          <c:idx val="3"/>
          <c:order val="3"/>
          <c:tx>
            <c:strRef>
              <c:f>DASHBOARD!$H$17</c:f>
            </c:strRef>
          </c:tx>
          <c:spPr>
            <a:solidFill>
              <a:schemeClr val="accent1"/>
            </a:solidFill>
            <a:ln cmpd="sng">
              <a:solidFill>
                <a:srgbClr val="000000"/>
              </a:solidFill>
            </a:ln>
          </c:spPr>
          <c:cat>
            <c:strRef>
              <c:f>DASHBOARD!$C$18:$C$42</c:f>
            </c:strRef>
          </c:cat>
          <c:val>
            <c:numRef>
              <c:f>DASHBOARD!$H$18:$H$42</c:f>
              <c:numCache/>
            </c:numRef>
          </c:val>
        </c:ser>
        <c:axId val="1269593207"/>
        <c:axId val="1072517173"/>
      </c:barChart>
      <c:catAx>
        <c:axId val="1269593207"/>
        <c:scaling>
          <c:orientation val="minMax"/>
        </c:scaling>
        <c:delete val="0"/>
        <c:axPos val="b"/>
        <c:title>
          <c:tx>
            <c:rich>
              <a:bodyPr/>
              <a:lstStyle/>
              <a:p>
                <a:pPr lvl="0">
                  <a:defRPr b="0" sz="1400">
                    <a:solidFill>
                      <a:srgbClr val="000000"/>
                    </a:solidFill>
                    <a:latin typeface="+mn-lt"/>
                  </a:defRPr>
                </a:pPr>
                <a:r>
                  <a:rPr b="0" sz="1400">
                    <a:solidFill>
                      <a:srgbClr val="000000"/>
                    </a:solidFill>
                    <a:latin typeface="+mn-lt"/>
                  </a:rPr>
                  <a:t>Quarterback</a:t>
                </a:r>
              </a:p>
            </c:rich>
          </c:tx>
          <c:overlay val="0"/>
        </c:title>
        <c:numFmt formatCode="General" sourceLinked="1"/>
        <c:majorTickMark val="none"/>
        <c:minorTickMark val="none"/>
        <c:spPr/>
        <c:txPr>
          <a:bodyPr/>
          <a:lstStyle/>
          <a:p>
            <a:pPr lvl="0">
              <a:defRPr b="0">
                <a:solidFill>
                  <a:srgbClr val="000000"/>
                </a:solidFill>
                <a:latin typeface="+mn-lt"/>
              </a:defRPr>
            </a:pPr>
          </a:p>
        </c:txPr>
        <c:crossAx val="1072517173"/>
      </c:catAx>
      <c:valAx>
        <c:axId val="10725171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9593207"/>
      </c:valAx>
    </c:plotArea>
    <c:legend>
      <c:legendPos val="r"/>
      <c:overlay val="0"/>
      <c:txPr>
        <a:bodyPr/>
        <a:lstStyle/>
        <a:p>
          <a:pPr lvl="0">
            <a:defRPr b="0" sz="16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tx>
            <c:strRef>
              <c:f>DASHBOARD!$G$7</c:f>
            </c:strRef>
          </c:tx>
          <c:spPr>
            <a:ln cmpd="sng" w="19050">
              <a:solidFill>
                <a:srgbClr val="1C4587">
                  <a:alpha val="50196"/>
                </a:srgbClr>
              </a:solidFill>
              <a:prstDash val="solid"/>
            </a:ln>
          </c:spPr>
          <c:marker>
            <c:symbol val="circle"/>
            <c:size val="2"/>
            <c:spPr>
              <a:solidFill>
                <a:srgbClr val="1C4587">
                  <a:alpha val="50196"/>
                </a:srgbClr>
              </a:solidFill>
              <a:ln cmpd="sng">
                <a:solidFill>
                  <a:srgbClr val="1C4587">
                    <a:alpha val="50196"/>
                  </a:srgbClr>
                </a:solidFill>
              </a:ln>
            </c:spPr>
          </c:marker>
          <c:cat>
            <c:strRef>
              <c:f>DASHBOARD!$F$8:$F$11</c:f>
            </c:strRef>
          </c:cat>
          <c:val>
            <c:numRef>
              <c:f>DASHBOARD!$G$8:$G$11</c:f>
              <c:numCache/>
            </c:numRef>
          </c:val>
          <c:smooth val="1"/>
        </c:ser>
        <c:axId val="1011208344"/>
        <c:axId val="285283420"/>
      </c:radarChart>
      <c:catAx>
        <c:axId val="10112083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85283420"/>
      </c:catAx>
      <c:valAx>
        <c:axId val="285283420"/>
        <c:scaling>
          <c:orientation val="minMax"/>
          <c:max val="8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a:solidFill>
                  <a:srgbClr val="000000"/>
                </a:solidFill>
                <a:latin typeface="+mn-lt"/>
              </a:defRPr>
            </a:pPr>
          </a:p>
        </c:txPr>
        <c:crossAx val="1011208344"/>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3</xdr:row>
      <xdr:rowOff>180975</xdr:rowOff>
    </xdr:from>
    <xdr:ext cx="9486900" cy="4829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466725</xdr:colOff>
      <xdr:row>22</xdr:row>
      <xdr:rowOff>190500</xdr:rowOff>
    </xdr:from>
    <xdr:ext cx="9525000" cy="54864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342900</xdr:colOff>
      <xdr:row>3</xdr:row>
      <xdr:rowOff>180975</xdr:rowOff>
    </xdr:from>
    <xdr:ext cx="3286125" cy="27527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7:H42" displayName="GOAT_Rankings" name="GOAT_Rankings" id="1">
  <tableColumns count="7">
    <tableColumn name="Rank" id="1"/>
    <tableColumn name="QB" id="2"/>
    <tableColumn name="GOAT Score" id="3"/>
    <tableColumn name="Greatest" id="4"/>
    <tableColumn name="Best" id="5"/>
    <tableColumn name="Dominant" id="6"/>
    <tableColumn name="Clutch" id="7"/>
  </tableColumns>
  <tableStyleInfo name="DASHBOARD-style" showColumnStripes="0" showFirstColumn="1" showLastColumn="1" showRowStripes="1"/>
</table>
</file>

<file path=xl/tables/table2.xml><?xml version="1.0" encoding="utf-8"?>
<table xmlns="http://schemas.openxmlformats.org/spreadsheetml/2006/main" totalsRowCount="1" ref="A1:E16" displayName="Weights_by_Category" name="Weights_by_Category" id="2">
  <tableColumns count="5">
    <tableColumn totalsRowLabel="MODEL SUM" name="Category" id="1"/>
    <tableColumn totalsRowFunction="custom" name="GREATEST" id="2"/>
    <tableColumn totalsRowFunction="custom" name="BEST" id="3"/>
    <tableColumn totalsRowFunction="custom" name="DOMINANT" id="4"/>
    <tableColumn totalsRowFunction="custom" name="CLUTCH" id="5"/>
  </tableColumns>
  <tableStyleInfo name="TIER_WEIGHTS-style" showColumnStripes="0" showFirstColumn="1" showLastColumn="1" showRowStripes="1"/>
</table>
</file>

<file path=xl/tables/table3.xml><?xml version="1.0" encoding="utf-8"?>
<table xmlns="http://schemas.openxmlformats.org/spreadsheetml/2006/main" ref="G3:K4" displayName="Weights_by_Model" name="Weights_by_Model" id="3">
  <tableColumns count="5">
    <tableColumn name="Model" id="1"/>
    <tableColumn name="GREATEST" id="2"/>
    <tableColumn name="BEST" id="3"/>
    <tableColumn name="DOMINANT" id="4"/>
    <tableColumn name="CLUTCH" id="5"/>
  </tableColumns>
  <tableStyleInfo name="TIER_WEIGHTS-style 2" showColumnStripes="0" showFirstColumn="1" showLastColumn="1" showRowStripes="1"/>
</table>
</file>

<file path=xl/tables/table4.xml><?xml version="1.0" encoding="utf-8"?>
<table xmlns="http://schemas.openxmlformats.org/spreadsheetml/2006/main" ref="A1:X95" displayName="Passing_Averages_by_Season" name="Passing_Averages_by_Season" id="4">
  <tableColumns count="24">
    <tableColumn name="Year" id="1"/>
    <tableColumn name="Tms" id="2"/>
    <tableColumn name="Yds" id="3"/>
    <tableColumn name="TD" id="4"/>
    <tableColumn name="Yds per Game" id="5"/>
    <tableColumn name="TDs per Game" id="6"/>
    <tableColumn name="Cmp" id="7"/>
    <tableColumn name="Att" id="8"/>
    <tableColumn name="Cmp%" id="9"/>
    <tableColumn name="Yds 2" id="10"/>
    <tableColumn name="TD 2" id="11"/>
    <tableColumn name="TD%" id="12"/>
    <tableColumn name="Int" id="13"/>
    <tableColumn name="Int%" id="14"/>
    <tableColumn name="Y/A" id="15"/>
    <tableColumn name="AY/A" id="16"/>
    <tableColumn name="Y/C" id="17"/>
    <tableColumn name="Y/G" id="18"/>
    <tableColumn name="Rate" id="19"/>
    <tableColumn name="Sk" id="20"/>
    <tableColumn name="Yds 3" id="21"/>
    <tableColumn name="Sk%" id="22"/>
    <tableColumn name="NY/A" id="23"/>
    <tableColumn name="ANY/A" id="24"/>
  </tableColumns>
  <tableStyleInfo name="DATA_LEAGUE_AVG-style" showColumnStripes="0" showFirstColumn="1" showLastColumn="1" showRowStripes="1"/>
</table>
</file>

<file path=xl/tables/table5.xml><?xml version="1.0" encoding="utf-8"?>
<table xmlns="http://schemas.openxmlformats.org/spreadsheetml/2006/main" ref="A1:D26" displayName="Negative_Play_Rate" name="Negative_Play_Rate" id="5">
  <tableColumns count="4">
    <tableColumn name="QB" id="1"/>
    <tableColumn name="INT%+" id="2"/>
    <tableColumn name="Sack%+" id="3"/>
    <tableColumn name="Negative Play Rate" id="4"/>
  </tableColumns>
  <tableStyleInfo name="CALC_NEG_PLAY-style" showColumnStripes="0" showFirstColumn="1" showLastColumn="1" showRowStripes="1"/>
</table>
</file>

<file path=xl/tables/table6.xml><?xml version="1.0" encoding="utf-8"?>
<table xmlns="http://schemas.openxmlformats.org/spreadsheetml/2006/main" ref="A1:D26" displayName="Playoff_Elevation_Score" name="Playoff_Elevation_Score" id="6">
  <tableColumns count="4">
    <tableColumn name="QB" id="1"/>
    <tableColumn name="Career ANY/A" id="2"/>
    <tableColumn name="Playoff ANY/A" id="3"/>
    <tableColumn name="Elevation" id="4"/>
  </tableColumns>
  <tableStyleInfo name="CALC_PLAYOFF_ELEV-style" showColumnStripes="0" showFirstColumn="1" showLastColumn="1" showRowStripes="1"/>
</table>
</file>

<file path=xl/tables/table7.xml><?xml version="1.0" encoding="utf-8"?>
<table xmlns="http://schemas.openxmlformats.org/spreadsheetml/2006/main" totalsRowCount="1" ref="A1:E29" displayName="MVP_Shares" name="MVP_Shares" id="7">
  <tableColumns count="5">
    <tableColumn totalsRowLabel="AP" name="MVP" id="1"/>
    <tableColumn totalsRowLabel="1964" name="Year" id="2"/>
    <tableColumn totalsRowLabel="x" name="GRAHAM" id="3"/>
    <tableColumn totalsRowLabel="x" name="BAUGH" id="4"/>
    <tableColumn totalsRowLabel="0" name="TITTLE" id="5"/>
  </tableColumns>
  <tableStyleInfo name="CALC_MVP_SHAR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2.xml"/><Relationship Id="rId5"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2.63" defaultRowHeight="15.75"/>
  <cols>
    <col customWidth="1" min="1" max="1" width="4.25"/>
    <col customWidth="1" min="6" max="6" width="7.75"/>
  </cols>
  <sheetData>
    <row r="1">
      <c r="A1" s="1"/>
      <c r="B1" s="1"/>
      <c r="C1" s="1"/>
      <c r="D1" s="1"/>
      <c r="E1" s="1"/>
      <c r="F1" s="1"/>
      <c r="G1" s="1"/>
      <c r="H1" s="1"/>
      <c r="I1" s="1"/>
      <c r="J1" s="1"/>
      <c r="K1" s="1"/>
      <c r="L1" s="1"/>
      <c r="M1" s="1"/>
      <c r="N1" s="1"/>
      <c r="O1" s="1"/>
      <c r="P1" s="1"/>
      <c r="Q1" s="1"/>
      <c r="R1" s="1"/>
      <c r="S1" s="1"/>
      <c r="T1" s="1"/>
      <c r="U1" s="1"/>
      <c r="V1" s="1"/>
      <c r="W1" s="1"/>
      <c r="X1" s="1"/>
      <c r="Y1" s="1"/>
      <c r="Z1" s="1"/>
    </row>
    <row r="2" ht="36.75" customHeight="1">
      <c r="A2" s="1"/>
      <c r="B2" s="2" t="s">
        <v>0</v>
      </c>
      <c r="K2" s="1"/>
      <c r="L2" s="1"/>
      <c r="M2" s="1"/>
      <c r="N2" s="1"/>
      <c r="O2" s="1"/>
      <c r="P2" s="1"/>
      <c r="Q2" s="1"/>
      <c r="R2" s="1"/>
      <c r="S2" s="1"/>
      <c r="T2" s="1"/>
      <c r="U2" s="1"/>
      <c r="V2" s="1"/>
      <c r="W2" s="1"/>
      <c r="X2" s="1"/>
      <c r="Y2" s="1"/>
      <c r="Z2" s="1"/>
    </row>
    <row r="3">
      <c r="A3" s="1"/>
      <c r="B3" s="3" t="s">
        <v>1</v>
      </c>
      <c r="K3" s="1"/>
      <c r="L3" s="1"/>
      <c r="M3" s="1"/>
      <c r="N3" s="1"/>
      <c r="O3" s="1"/>
      <c r="P3" s="1"/>
      <c r="Q3" s="1"/>
      <c r="R3" s="1"/>
      <c r="S3" s="1"/>
      <c r="T3" s="1"/>
      <c r="U3" s="1"/>
      <c r="V3" s="1"/>
      <c r="W3" s="1"/>
      <c r="X3" s="1"/>
      <c r="Y3" s="1"/>
      <c r="Z3" s="1"/>
    </row>
    <row r="4">
      <c r="A4" s="1"/>
      <c r="B4" s="4"/>
      <c r="C4" s="4"/>
      <c r="D4" s="4"/>
      <c r="E4" s="4"/>
      <c r="F4" s="1"/>
      <c r="G4" s="1"/>
      <c r="H4" s="1"/>
      <c r="I4" s="1"/>
      <c r="J4" s="1"/>
      <c r="K4" s="1"/>
      <c r="L4" s="1"/>
      <c r="M4" s="1"/>
      <c r="N4" s="1"/>
      <c r="O4" s="1"/>
      <c r="P4" s="1"/>
      <c r="Q4" s="1"/>
      <c r="R4" s="1"/>
      <c r="S4" s="1"/>
      <c r="T4" s="1"/>
      <c r="U4" s="1"/>
      <c r="V4" s="1"/>
      <c r="W4" s="1"/>
      <c r="X4" s="1"/>
      <c r="Y4" s="1"/>
      <c r="Z4" s="1"/>
    </row>
    <row r="5">
      <c r="A5" s="1"/>
      <c r="B5" s="5" t="s">
        <v>2</v>
      </c>
      <c r="C5" s="6"/>
      <c r="D5" s="7"/>
      <c r="E5" s="7"/>
      <c r="F5" s="1"/>
      <c r="G5" s="5" t="s">
        <v>3</v>
      </c>
      <c r="H5" s="7"/>
      <c r="I5" s="7"/>
      <c r="J5" s="7"/>
      <c r="K5" s="7"/>
      <c r="L5" s="1"/>
      <c r="M5" s="1"/>
      <c r="N5" s="1"/>
      <c r="O5" s="1"/>
      <c r="P5" s="1"/>
      <c r="Q5" s="1"/>
      <c r="R5" s="1"/>
      <c r="S5" s="1"/>
      <c r="T5" s="1"/>
      <c r="U5" s="1"/>
      <c r="V5" s="1"/>
      <c r="W5" s="1"/>
      <c r="X5" s="1"/>
      <c r="Y5" s="1"/>
      <c r="Z5" s="1"/>
    </row>
    <row r="6">
      <c r="A6" s="1"/>
      <c r="B6" s="8" t="s">
        <v>4</v>
      </c>
      <c r="F6" s="9"/>
      <c r="G6" s="10" t="s">
        <v>5</v>
      </c>
      <c r="H6" s="1"/>
      <c r="I6" s="1"/>
      <c r="J6" s="1"/>
      <c r="K6" s="1"/>
      <c r="L6" s="1"/>
      <c r="M6" s="1"/>
      <c r="N6" s="1"/>
      <c r="O6" s="1"/>
      <c r="P6" s="1"/>
      <c r="Q6" s="1"/>
      <c r="R6" s="1"/>
      <c r="S6" s="1"/>
      <c r="T6" s="1"/>
      <c r="U6" s="1"/>
      <c r="V6" s="1"/>
      <c r="W6" s="1"/>
      <c r="X6" s="1"/>
      <c r="Y6" s="1"/>
      <c r="Z6" s="1"/>
    </row>
    <row r="7">
      <c r="A7" s="1"/>
      <c r="F7" s="9"/>
      <c r="G7" s="8" t="s">
        <v>6</v>
      </c>
      <c r="L7" s="1"/>
      <c r="M7" s="1"/>
      <c r="N7" s="1"/>
      <c r="O7" s="1"/>
      <c r="P7" s="1"/>
      <c r="Q7" s="1"/>
      <c r="R7" s="1"/>
      <c r="S7" s="1"/>
      <c r="T7" s="1"/>
      <c r="U7" s="1"/>
      <c r="V7" s="1"/>
      <c r="W7" s="1"/>
      <c r="X7" s="1"/>
      <c r="Y7" s="1"/>
      <c r="Z7" s="1"/>
    </row>
    <row r="8">
      <c r="A8" s="1"/>
      <c r="F8" s="9"/>
      <c r="L8" s="1"/>
      <c r="M8" s="1"/>
      <c r="N8" s="1"/>
      <c r="O8" s="1"/>
      <c r="P8" s="1"/>
      <c r="Q8" s="1"/>
      <c r="R8" s="1"/>
      <c r="S8" s="1"/>
      <c r="T8" s="1"/>
      <c r="U8" s="1"/>
      <c r="V8" s="1"/>
      <c r="W8" s="1"/>
      <c r="X8" s="1"/>
      <c r="Y8" s="1"/>
      <c r="Z8" s="1"/>
    </row>
    <row r="9">
      <c r="A9" s="1"/>
      <c r="F9" s="9"/>
      <c r="G9" s="10" t="s">
        <v>7</v>
      </c>
      <c r="H9" s="1"/>
      <c r="I9" s="1"/>
      <c r="J9" s="1"/>
      <c r="K9" s="1"/>
      <c r="L9" s="1"/>
      <c r="M9" s="1"/>
      <c r="N9" s="1"/>
      <c r="O9" s="1"/>
      <c r="P9" s="1"/>
      <c r="Q9" s="1"/>
      <c r="R9" s="1"/>
      <c r="S9" s="1"/>
      <c r="T9" s="1"/>
      <c r="U9" s="1"/>
      <c r="V9" s="1"/>
      <c r="W9" s="1"/>
      <c r="X9" s="1"/>
      <c r="Y9" s="1"/>
      <c r="Z9" s="1"/>
    </row>
    <row r="10">
      <c r="A10" s="1"/>
      <c r="F10" s="9"/>
      <c r="G10" s="8" t="s">
        <v>8</v>
      </c>
      <c r="L10" s="1"/>
      <c r="M10" s="1"/>
      <c r="N10" s="1"/>
      <c r="O10" s="1"/>
      <c r="P10" s="1"/>
      <c r="Q10" s="1"/>
      <c r="R10" s="1"/>
      <c r="S10" s="1"/>
      <c r="T10" s="1"/>
      <c r="U10" s="1"/>
      <c r="V10" s="1"/>
      <c r="W10" s="1"/>
      <c r="X10" s="1"/>
      <c r="Y10" s="1"/>
      <c r="Z10" s="1"/>
    </row>
    <row r="11">
      <c r="A11" s="1"/>
      <c r="F11" s="9"/>
      <c r="L11" s="1"/>
      <c r="M11" s="1"/>
      <c r="N11" s="1"/>
      <c r="O11" s="1"/>
      <c r="P11" s="1"/>
      <c r="Q11" s="1"/>
      <c r="R11" s="1"/>
      <c r="S11" s="1"/>
      <c r="T11" s="1"/>
      <c r="U11" s="1"/>
      <c r="V11" s="1"/>
      <c r="W11" s="1"/>
      <c r="X11" s="1"/>
      <c r="Y11" s="1"/>
      <c r="Z11" s="1"/>
    </row>
    <row r="12">
      <c r="A12" s="1"/>
      <c r="F12" s="9"/>
      <c r="G12" s="10" t="s">
        <v>9</v>
      </c>
      <c r="H12" s="1"/>
      <c r="I12" s="1"/>
      <c r="J12" s="1"/>
      <c r="K12" s="1"/>
      <c r="L12" s="1"/>
      <c r="M12" s="1"/>
      <c r="N12" s="1"/>
      <c r="O12" s="1"/>
      <c r="P12" s="1"/>
      <c r="Q12" s="1"/>
      <c r="R12" s="1"/>
      <c r="S12" s="1"/>
      <c r="T12" s="1"/>
      <c r="U12" s="1"/>
      <c r="V12" s="1"/>
      <c r="W12" s="1"/>
      <c r="X12" s="1"/>
      <c r="Y12" s="1"/>
      <c r="Z12" s="1"/>
    </row>
    <row r="13">
      <c r="A13" s="1"/>
      <c r="F13" s="9"/>
      <c r="G13" s="8" t="s">
        <v>10</v>
      </c>
      <c r="L13" s="1"/>
      <c r="M13" s="1"/>
      <c r="N13" s="1"/>
      <c r="O13" s="1"/>
      <c r="P13" s="1"/>
      <c r="Q13" s="1"/>
      <c r="R13" s="1"/>
      <c r="S13" s="1"/>
      <c r="T13" s="1"/>
      <c r="U13" s="1"/>
      <c r="V13" s="1"/>
      <c r="W13" s="1"/>
      <c r="X13" s="1"/>
      <c r="Y13" s="1"/>
      <c r="Z13" s="1"/>
    </row>
    <row r="14">
      <c r="A14" s="1"/>
      <c r="F14" s="1"/>
      <c r="L14" s="1"/>
      <c r="M14" s="1"/>
      <c r="N14" s="1"/>
      <c r="O14" s="1"/>
      <c r="P14" s="1"/>
      <c r="Q14" s="1"/>
      <c r="R14" s="1"/>
      <c r="S14" s="1"/>
      <c r="T14" s="1"/>
      <c r="U14" s="1"/>
      <c r="V14" s="1"/>
      <c r="W14" s="1"/>
      <c r="X14" s="1"/>
      <c r="Y14" s="1"/>
      <c r="Z14" s="1"/>
    </row>
    <row r="15">
      <c r="A15" s="1"/>
      <c r="F15" s="11"/>
      <c r="G15" s="10" t="s">
        <v>11</v>
      </c>
      <c r="H15" s="1"/>
      <c r="I15" s="1"/>
      <c r="J15" s="1"/>
      <c r="K15" s="1"/>
      <c r="L15" s="1"/>
      <c r="M15" s="1"/>
      <c r="N15" s="1"/>
      <c r="O15" s="1"/>
      <c r="P15" s="1"/>
      <c r="Q15" s="1"/>
      <c r="R15" s="1"/>
      <c r="S15" s="1"/>
      <c r="T15" s="1"/>
      <c r="U15" s="1"/>
      <c r="V15" s="1"/>
      <c r="W15" s="1"/>
      <c r="X15" s="1"/>
      <c r="Y15" s="1"/>
      <c r="Z15" s="1"/>
    </row>
    <row r="16">
      <c r="A16" s="1"/>
      <c r="B16" s="11"/>
      <c r="C16" s="11"/>
      <c r="D16" s="11"/>
      <c r="E16" s="11"/>
      <c r="F16" s="11"/>
      <c r="G16" s="8" t="s">
        <v>12</v>
      </c>
      <c r="L16" s="1"/>
      <c r="M16" s="1"/>
      <c r="N16" s="1"/>
      <c r="O16" s="1"/>
      <c r="P16" s="1"/>
      <c r="Q16" s="1"/>
      <c r="R16" s="1"/>
      <c r="S16" s="1"/>
      <c r="T16" s="1"/>
      <c r="U16" s="1"/>
      <c r="V16" s="1"/>
      <c r="W16" s="1"/>
      <c r="X16" s="1"/>
      <c r="Y16" s="1"/>
      <c r="Z16" s="1"/>
    </row>
    <row r="17">
      <c r="A17" s="1"/>
      <c r="B17" s="11"/>
      <c r="C17" s="11"/>
      <c r="D17" s="11"/>
      <c r="E17" s="11"/>
      <c r="F17" s="11"/>
      <c r="L17" s="1"/>
      <c r="M17" s="1"/>
      <c r="N17" s="1"/>
      <c r="O17" s="1"/>
      <c r="P17" s="1"/>
      <c r="Q17" s="1"/>
      <c r="R17" s="1"/>
      <c r="S17" s="1"/>
      <c r="T17" s="1"/>
      <c r="U17" s="1"/>
      <c r="V17" s="1"/>
      <c r="W17" s="1"/>
      <c r="X17" s="1"/>
      <c r="Y17" s="1"/>
      <c r="Z17" s="1"/>
    </row>
    <row r="18">
      <c r="A18" s="1"/>
      <c r="B18" s="11"/>
      <c r="C18" s="11"/>
      <c r="D18" s="11"/>
      <c r="E18" s="11"/>
      <c r="F18" s="11"/>
      <c r="G18" s="1"/>
      <c r="H18" s="1"/>
      <c r="I18" s="1"/>
      <c r="J18" s="1"/>
      <c r="K18" s="1"/>
      <c r="L18" s="1"/>
      <c r="M18" s="1"/>
      <c r="N18" s="1"/>
      <c r="O18" s="1"/>
      <c r="P18" s="1"/>
      <c r="Q18" s="1"/>
      <c r="R18" s="1"/>
      <c r="S18" s="1"/>
      <c r="T18" s="1"/>
      <c r="U18" s="1"/>
      <c r="V18" s="1"/>
      <c r="W18" s="1"/>
      <c r="X18" s="1"/>
      <c r="Y18" s="1"/>
      <c r="Z18" s="1"/>
    </row>
    <row r="19">
      <c r="A19" s="1"/>
      <c r="B19" s="5" t="s">
        <v>13</v>
      </c>
      <c r="C19" s="7"/>
      <c r="D19" s="7"/>
      <c r="E19" s="7"/>
      <c r="F19" s="1"/>
      <c r="G19" s="5" t="s">
        <v>14</v>
      </c>
      <c r="H19" s="7"/>
      <c r="I19" s="7"/>
      <c r="J19" s="7"/>
      <c r="K19" s="7"/>
      <c r="L19" s="1"/>
      <c r="M19" s="1"/>
      <c r="N19" s="1"/>
      <c r="O19" s="1"/>
      <c r="P19" s="1"/>
      <c r="Q19" s="1"/>
      <c r="R19" s="1"/>
      <c r="S19" s="1"/>
      <c r="T19" s="1"/>
      <c r="U19" s="1"/>
      <c r="V19" s="1"/>
      <c r="W19" s="1"/>
      <c r="X19" s="1"/>
      <c r="Y19" s="1"/>
      <c r="Z19" s="1"/>
    </row>
    <row r="20">
      <c r="A20" s="1"/>
      <c r="B20" s="12" t="s">
        <v>15</v>
      </c>
      <c r="F20" s="1"/>
      <c r="G20" s="13" t="s">
        <v>16</v>
      </c>
      <c r="H20" s="1"/>
      <c r="I20" s="1"/>
      <c r="J20" s="1"/>
      <c r="K20" s="1"/>
      <c r="L20" s="1"/>
      <c r="M20" s="1"/>
      <c r="N20" s="1"/>
      <c r="O20" s="1"/>
      <c r="P20" s="1"/>
      <c r="Q20" s="1"/>
      <c r="R20" s="1"/>
      <c r="S20" s="1"/>
      <c r="T20" s="1"/>
      <c r="U20" s="1"/>
      <c r="V20" s="1"/>
      <c r="W20" s="1"/>
      <c r="X20" s="1"/>
      <c r="Y20" s="1"/>
      <c r="Z20" s="1"/>
    </row>
    <row r="21">
      <c r="A21" s="1"/>
      <c r="F21" s="1"/>
      <c r="G21" s="13" t="s">
        <v>17</v>
      </c>
      <c r="H21" s="1"/>
      <c r="I21" s="1"/>
      <c r="J21" s="1"/>
      <c r="K21" s="1"/>
      <c r="L21" s="1"/>
      <c r="M21" s="1"/>
      <c r="N21" s="1"/>
      <c r="O21" s="1"/>
      <c r="P21" s="1"/>
      <c r="Q21" s="1"/>
      <c r="R21" s="1"/>
      <c r="S21" s="1"/>
      <c r="T21" s="1"/>
      <c r="U21" s="1"/>
      <c r="V21" s="1"/>
      <c r="W21" s="1"/>
      <c r="X21" s="1"/>
      <c r="Y21" s="1"/>
      <c r="Z21" s="1"/>
    </row>
    <row r="22">
      <c r="A22" s="1"/>
      <c r="F22" s="1"/>
      <c r="G22" s="13" t="s">
        <v>18</v>
      </c>
      <c r="H22" s="1"/>
      <c r="I22" s="1"/>
      <c r="J22" s="1"/>
      <c r="K22" s="1"/>
      <c r="L22" s="1"/>
      <c r="M22" s="1"/>
      <c r="N22" s="1"/>
      <c r="O22" s="1"/>
      <c r="P22" s="1"/>
      <c r="Q22" s="1"/>
      <c r="R22" s="1"/>
      <c r="S22" s="1"/>
      <c r="T22" s="1"/>
      <c r="U22" s="1"/>
      <c r="V22" s="1"/>
      <c r="W22" s="1"/>
      <c r="X22" s="1"/>
      <c r="Y22" s="1"/>
      <c r="Z22" s="1"/>
    </row>
    <row r="23">
      <c r="A23" s="1"/>
      <c r="B23" s="8"/>
      <c r="C23" s="8"/>
      <c r="D23" s="8"/>
      <c r="E23" s="8"/>
      <c r="F23" s="8"/>
      <c r="G23" s="13" t="s">
        <v>19</v>
      </c>
      <c r="H23" s="1"/>
      <c r="I23" s="1"/>
      <c r="J23" s="1"/>
      <c r="K23" s="1"/>
      <c r="L23" s="1"/>
      <c r="M23" s="1"/>
      <c r="N23" s="1"/>
      <c r="O23" s="1"/>
      <c r="P23" s="1"/>
      <c r="Q23" s="1"/>
      <c r="R23" s="1"/>
      <c r="S23" s="1"/>
      <c r="T23" s="1"/>
      <c r="U23" s="1"/>
      <c r="V23" s="1"/>
      <c r="W23" s="1"/>
      <c r="X23" s="1"/>
      <c r="Y23" s="1"/>
      <c r="Z23" s="1"/>
    </row>
    <row r="24">
      <c r="A24" s="1"/>
      <c r="B24" s="8" t="s">
        <v>20</v>
      </c>
      <c r="F24" s="8"/>
      <c r="G24" s="13" t="s">
        <v>21</v>
      </c>
      <c r="H24" s="1"/>
      <c r="I24" s="1"/>
      <c r="J24" s="1"/>
      <c r="K24" s="1"/>
      <c r="L24" s="1"/>
      <c r="M24" s="1"/>
      <c r="N24" s="1"/>
      <c r="O24" s="1"/>
      <c r="P24" s="1"/>
      <c r="Q24" s="1"/>
      <c r="R24" s="1"/>
      <c r="S24" s="1"/>
      <c r="T24" s="1"/>
      <c r="U24" s="1"/>
      <c r="V24" s="1"/>
      <c r="W24" s="1"/>
      <c r="X24" s="1"/>
      <c r="Y24" s="1"/>
      <c r="Z24" s="1"/>
    </row>
    <row r="25">
      <c r="A25" s="1"/>
      <c r="F25" s="8"/>
      <c r="G25" s="13" t="s">
        <v>22</v>
      </c>
      <c r="H25" s="1"/>
      <c r="I25" s="1"/>
      <c r="J25" s="1"/>
      <c r="K25" s="1"/>
      <c r="L25" s="1"/>
      <c r="M25" s="1"/>
      <c r="N25" s="1"/>
      <c r="O25" s="1"/>
      <c r="P25" s="1"/>
      <c r="Q25" s="1"/>
      <c r="R25" s="1"/>
      <c r="S25" s="1"/>
      <c r="T25" s="1"/>
      <c r="U25" s="1"/>
      <c r="V25" s="1"/>
      <c r="W25" s="1"/>
      <c r="X25" s="1"/>
      <c r="Y25" s="1"/>
      <c r="Z25" s="1"/>
    </row>
    <row r="26">
      <c r="A26" s="1"/>
      <c r="F26" s="8"/>
      <c r="G26" s="14" t="s">
        <v>23</v>
      </c>
      <c r="L26" s="1"/>
      <c r="M26" s="1"/>
      <c r="N26" s="1"/>
      <c r="O26" s="1"/>
      <c r="P26" s="1"/>
      <c r="Q26" s="1"/>
      <c r="R26" s="1"/>
      <c r="S26" s="1"/>
      <c r="T26" s="1"/>
      <c r="U26" s="1"/>
      <c r="V26" s="1"/>
      <c r="W26" s="1"/>
      <c r="X26" s="1"/>
      <c r="Y26" s="1"/>
      <c r="Z26" s="1"/>
    </row>
    <row r="27">
      <c r="A27" s="1"/>
      <c r="B27" s="10"/>
      <c r="C27" s="1"/>
      <c r="D27" s="1"/>
      <c r="E27" s="1"/>
      <c r="F27" s="1"/>
      <c r="G27" s="13" t="s">
        <v>24</v>
      </c>
      <c r="H27" s="1"/>
      <c r="I27" s="1"/>
      <c r="J27" s="1"/>
      <c r="K27" s="1"/>
      <c r="L27" s="1"/>
      <c r="M27" s="1"/>
      <c r="N27" s="1"/>
      <c r="O27" s="1"/>
      <c r="P27" s="1"/>
      <c r="Q27" s="1"/>
      <c r="R27" s="1"/>
      <c r="S27" s="1"/>
      <c r="T27" s="1"/>
      <c r="U27" s="1"/>
      <c r="V27" s="1"/>
      <c r="W27" s="1"/>
      <c r="X27" s="1"/>
      <c r="Y27" s="1"/>
      <c r="Z27" s="1"/>
    </row>
    <row r="28">
      <c r="A28" s="1"/>
      <c r="B28" s="8" t="s">
        <v>25</v>
      </c>
      <c r="F28" s="8"/>
      <c r="G28" s="11"/>
      <c r="H28" s="1"/>
      <c r="I28" s="1"/>
      <c r="J28" s="1"/>
      <c r="K28" s="1"/>
      <c r="L28" s="1"/>
      <c r="M28" s="1"/>
      <c r="N28" s="1"/>
      <c r="O28" s="1"/>
      <c r="P28" s="1"/>
      <c r="Q28" s="1"/>
      <c r="R28" s="1"/>
      <c r="S28" s="1"/>
      <c r="T28" s="1"/>
      <c r="U28" s="1"/>
      <c r="V28" s="1"/>
      <c r="W28" s="1"/>
      <c r="X28" s="1"/>
      <c r="Y28" s="1"/>
      <c r="Z28" s="1"/>
    </row>
    <row r="29">
      <c r="A29" s="1"/>
      <c r="B29" s="15" t="s">
        <v>26</v>
      </c>
      <c r="F29" s="8"/>
      <c r="G29" s="5" t="s">
        <v>27</v>
      </c>
      <c r="H29" s="7"/>
      <c r="I29" s="7"/>
      <c r="J29" s="7"/>
      <c r="K29" s="7"/>
      <c r="L29" s="1"/>
      <c r="M29" s="1"/>
      <c r="N29" s="1"/>
      <c r="O29" s="1"/>
      <c r="P29" s="1"/>
      <c r="Q29" s="1"/>
      <c r="R29" s="1"/>
      <c r="S29" s="1"/>
      <c r="T29" s="1"/>
      <c r="U29" s="1"/>
      <c r="V29" s="1"/>
      <c r="W29" s="1"/>
      <c r="X29" s="1"/>
      <c r="Y29" s="1"/>
      <c r="Z29" s="1"/>
    </row>
    <row r="30">
      <c r="A30" s="1"/>
      <c r="B30" s="16" t="s">
        <v>28</v>
      </c>
      <c r="F30" s="1"/>
      <c r="G30" s="17" t="s">
        <v>29</v>
      </c>
      <c r="H30" s="1"/>
      <c r="I30" s="1"/>
      <c r="J30" s="1"/>
      <c r="K30" s="1"/>
      <c r="L30" s="1"/>
      <c r="M30" s="1"/>
      <c r="N30" s="1"/>
      <c r="O30" s="1"/>
      <c r="P30" s="1"/>
      <c r="Q30" s="1"/>
      <c r="R30" s="1"/>
      <c r="S30" s="1"/>
      <c r="T30" s="1"/>
      <c r="U30" s="1"/>
      <c r="V30" s="1"/>
      <c r="W30" s="1"/>
      <c r="X30" s="1"/>
      <c r="Y30" s="1"/>
      <c r="Z30" s="1"/>
    </row>
    <row r="31">
      <c r="A31" s="1"/>
      <c r="B31" s="16" t="s">
        <v>30</v>
      </c>
      <c r="F31" s="8"/>
      <c r="G31" s="13" t="s">
        <v>31</v>
      </c>
      <c r="H31" s="1"/>
      <c r="I31" s="1"/>
      <c r="J31" s="1"/>
      <c r="K31" s="1"/>
      <c r="L31" s="1"/>
      <c r="M31" s="1"/>
      <c r="N31" s="1"/>
      <c r="O31" s="1"/>
      <c r="P31" s="1"/>
      <c r="Q31" s="1"/>
      <c r="R31" s="1"/>
      <c r="S31" s="1"/>
      <c r="T31" s="1"/>
      <c r="U31" s="1"/>
      <c r="V31" s="1"/>
      <c r="W31" s="1"/>
      <c r="X31" s="1"/>
      <c r="Y31" s="1"/>
      <c r="Z31" s="1"/>
    </row>
    <row r="32">
      <c r="A32" s="1"/>
      <c r="B32" s="15" t="s">
        <v>32</v>
      </c>
      <c r="F32" s="8"/>
      <c r="G32" s="13" t="s">
        <v>33</v>
      </c>
      <c r="H32" s="1"/>
      <c r="I32" s="1"/>
      <c r="J32" s="1"/>
      <c r="K32" s="1"/>
      <c r="L32" s="1"/>
      <c r="M32" s="1"/>
      <c r="N32" s="1"/>
      <c r="O32" s="1"/>
      <c r="P32" s="1"/>
      <c r="Q32" s="1"/>
      <c r="R32" s="1"/>
      <c r="S32" s="1"/>
      <c r="T32" s="1"/>
      <c r="U32" s="1"/>
      <c r="V32" s="1"/>
      <c r="W32" s="1"/>
      <c r="X32" s="1"/>
      <c r="Y32" s="1"/>
      <c r="Z32" s="1"/>
    </row>
    <row r="33">
      <c r="A33" s="1"/>
      <c r="B33" s="11"/>
      <c r="C33" s="11"/>
      <c r="D33" s="11"/>
      <c r="E33" s="11"/>
      <c r="F33" s="1"/>
      <c r="G33" s="13" t="s">
        <v>34</v>
      </c>
      <c r="H33" s="1"/>
      <c r="I33" s="1"/>
      <c r="J33" s="1"/>
      <c r="K33" s="1"/>
      <c r="L33" s="1"/>
      <c r="M33" s="1"/>
      <c r="N33" s="1"/>
      <c r="O33" s="1"/>
      <c r="P33" s="1"/>
      <c r="Q33" s="1"/>
      <c r="R33" s="1"/>
      <c r="S33" s="1"/>
      <c r="T33" s="1"/>
      <c r="U33" s="1"/>
      <c r="V33" s="1"/>
      <c r="W33" s="1"/>
      <c r="X33" s="1"/>
      <c r="Y33" s="1"/>
      <c r="Z33" s="1"/>
    </row>
    <row r="34">
      <c r="A34" s="1"/>
      <c r="B34" s="8" t="s">
        <v>35</v>
      </c>
      <c r="F34" s="8"/>
      <c r="G34" s="13"/>
      <c r="H34" s="1"/>
      <c r="I34" s="1"/>
      <c r="J34" s="1"/>
      <c r="K34" s="1"/>
      <c r="L34" s="1"/>
      <c r="M34" s="1"/>
      <c r="N34" s="1"/>
      <c r="O34" s="1"/>
      <c r="P34" s="1"/>
      <c r="Q34" s="1"/>
      <c r="R34" s="1"/>
      <c r="S34" s="1"/>
      <c r="T34" s="1"/>
      <c r="U34" s="1"/>
      <c r="V34" s="1"/>
      <c r="W34" s="1"/>
      <c r="X34" s="1"/>
      <c r="Y34" s="1"/>
      <c r="Z34" s="1"/>
    </row>
    <row r="35">
      <c r="A35" s="1"/>
      <c r="B35" s="11"/>
      <c r="C35" s="8"/>
      <c r="D35" s="8"/>
      <c r="E35" s="8"/>
      <c r="F35" s="8"/>
      <c r="G35" s="1"/>
      <c r="H35" s="1"/>
      <c r="I35" s="1"/>
      <c r="J35" s="1"/>
      <c r="K35" s="1"/>
      <c r="L35" s="1"/>
      <c r="M35" s="1"/>
      <c r="N35" s="1"/>
      <c r="O35" s="1"/>
      <c r="P35" s="1"/>
      <c r="Q35" s="1"/>
      <c r="R35" s="1"/>
      <c r="S35" s="1"/>
      <c r="T35" s="1"/>
      <c r="U35" s="1"/>
      <c r="V35" s="1"/>
      <c r="W35" s="1"/>
      <c r="X35" s="1"/>
      <c r="Y35" s="1"/>
      <c r="Z35" s="1"/>
    </row>
    <row r="36">
      <c r="A36" s="1"/>
      <c r="B36" s="11"/>
      <c r="C36" s="1"/>
      <c r="D36" s="1"/>
      <c r="E36" s="1"/>
      <c r="F36" s="1"/>
      <c r="G36" s="1"/>
      <c r="H36" s="1"/>
      <c r="I36" s="1"/>
      <c r="J36" s="1"/>
      <c r="K36" s="1"/>
      <c r="L36" s="1"/>
      <c r="M36" s="1"/>
      <c r="N36" s="1"/>
      <c r="O36" s="1"/>
      <c r="P36" s="1"/>
      <c r="Q36" s="1"/>
      <c r="R36" s="1"/>
      <c r="S36" s="1"/>
      <c r="T36" s="1"/>
      <c r="U36" s="1"/>
      <c r="V36" s="1"/>
      <c r="W36" s="1"/>
      <c r="X36" s="1"/>
      <c r="Y36" s="1"/>
      <c r="Z36" s="1"/>
    </row>
    <row r="37">
      <c r="A37" s="1"/>
      <c r="B37" s="11"/>
      <c r="C37" s="1"/>
      <c r="D37" s="1"/>
      <c r="E37" s="1"/>
      <c r="F37" s="1"/>
      <c r="G37" s="1"/>
      <c r="H37" s="1"/>
      <c r="I37" s="1"/>
      <c r="J37" s="1"/>
      <c r="K37" s="1"/>
      <c r="L37" s="1"/>
      <c r="M37" s="1"/>
      <c r="N37" s="1"/>
      <c r="O37" s="1"/>
      <c r="P37" s="1"/>
      <c r="Q37" s="1"/>
      <c r="R37" s="1"/>
      <c r="S37" s="1"/>
      <c r="T37" s="1"/>
      <c r="U37" s="1"/>
      <c r="V37" s="1"/>
      <c r="W37" s="1"/>
      <c r="X37" s="1"/>
      <c r="Y37" s="1"/>
      <c r="Z37" s="1"/>
    </row>
    <row r="38">
      <c r="A38" s="1"/>
      <c r="B38" s="18" t="s">
        <v>36</v>
      </c>
      <c r="C38" s="1"/>
      <c r="D38" s="1"/>
      <c r="E38" s="1"/>
      <c r="F38" s="1"/>
      <c r="G38" s="1"/>
      <c r="H38" s="1"/>
      <c r="I38" s="1"/>
      <c r="J38" s="1"/>
      <c r="K38" s="1"/>
      <c r="L38" s="1"/>
      <c r="M38" s="1"/>
      <c r="N38" s="1"/>
      <c r="O38" s="1"/>
      <c r="P38" s="1"/>
      <c r="Q38" s="1"/>
      <c r="R38" s="1"/>
      <c r="S38" s="1"/>
      <c r="T38" s="1"/>
      <c r="U38" s="1"/>
      <c r="V38" s="1"/>
      <c r="W38" s="1"/>
      <c r="X38" s="1"/>
      <c r="Y38" s="1"/>
      <c r="Z38" s="1"/>
    </row>
    <row r="39">
      <c r="A39" s="1"/>
      <c r="B39" s="19"/>
      <c r="C39" s="1"/>
      <c r="D39" s="1"/>
      <c r="E39" s="1"/>
      <c r="F39" s="1"/>
      <c r="G39" s="1"/>
      <c r="H39" s="1"/>
      <c r="I39" s="1"/>
      <c r="J39" s="1"/>
      <c r="K39" s="1"/>
      <c r="L39" s="1"/>
      <c r="M39" s="1"/>
      <c r="N39" s="1"/>
      <c r="O39" s="1"/>
      <c r="P39" s="1"/>
      <c r="Q39" s="1"/>
      <c r="R39" s="1"/>
      <c r="S39" s="1"/>
      <c r="T39" s="1"/>
      <c r="U39" s="1"/>
      <c r="V39" s="1"/>
      <c r="W39" s="1"/>
      <c r="X39" s="1"/>
      <c r="Y39" s="1"/>
      <c r="Z39" s="1"/>
    </row>
    <row r="40">
      <c r="A40" s="1"/>
      <c r="B40" s="20" t="s">
        <v>37</v>
      </c>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1"/>
      <c r="C42" s="11"/>
      <c r="D42" s="11"/>
      <c r="E42" s="11"/>
      <c r="F42" s="1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sheetData>
  <mergeCells count="17">
    <mergeCell ref="B2:J2"/>
    <mergeCell ref="B3:J3"/>
    <mergeCell ref="B5:C5"/>
    <mergeCell ref="G7:K8"/>
    <mergeCell ref="G10:K11"/>
    <mergeCell ref="G13:K14"/>
    <mergeCell ref="G16:K17"/>
    <mergeCell ref="G26:K26"/>
    <mergeCell ref="B32:E32"/>
    <mergeCell ref="B34:E34"/>
    <mergeCell ref="B6:E15"/>
    <mergeCell ref="B20:E22"/>
    <mergeCell ref="B24:E26"/>
    <mergeCell ref="B28:E28"/>
    <mergeCell ref="B29:E29"/>
    <mergeCell ref="B30:E30"/>
    <mergeCell ref="B31:E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CA86"/>
    <outlinePr summaryBelow="0" summaryRight="0"/>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13"/>
    <col customWidth="1" min="2" max="2" width="3.63"/>
    <col customWidth="1" min="3" max="3" width="15.0"/>
    <col customWidth="1" min="4" max="14" width="12.63"/>
  </cols>
  <sheetData>
    <row r="1">
      <c r="A1" s="21"/>
      <c r="B1" s="21"/>
      <c r="C1" s="21"/>
      <c r="D1" s="22"/>
      <c r="E1" s="21"/>
      <c r="F1" s="21"/>
      <c r="G1" s="21"/>
      <c r="H1" s="21"/>
      <c r="I1" s="23"/>
      <c r="J1" s="21"/>
      <c r="K1" s="21"/>
      <c r="L1" s="21"/>
      <c r="M1" s="24"/>
      <c r="N1" s="25"/>
      <c r="O1" s="26"/>
      <c r="P1" s="26"/>
      <c r="Q1" s="26"/>
      <c r="R1" s="26"/>
      <c r="S1" s="26"/>
      <c r="T1" s="26"/>
      <c r="U1" s="26"/>
      <c r="V1" s="26"/>
      <c r="W1" s="26"/>
      <c r="X1" s="26"/>
      <c r="Y1" s="26"/>
      <c r="Z1" s="26"/>
      <c r="AA1" s="26"/>
      <c r="AB1" s="26"/>
    </row>
    <row r="2" ht="33.0" customHeight="1">
      <c r="A2" s="21"/>
      <c r="B2" s="27" t="s">
        <v>38</v>
      </c>
      <c r="C2" s="21" t="s">
        <v>39</v>
      </c>
      <c r="D2" s="28" t="s">
        <v>40</v>
      </c>
      <c r="E2" s="21" t="s">
        <v>41</v>
      </c>
      <c r="F2" s="21" t="s">
        <v>42</v>
      </c>
      <c r="G2" s="21" t="s">
        <v>43</v>
      </c>
      <c r="H2" s="21" t="s">
        <v>44</v>
      </c>
      <c r="I2" s="23" t="s">
        <v>45</v>
      </c>
      <c r="J2" s="21" t="s">
        <v>46</v>
      </c>
      <c r="K2" s="21" t="s">
        <v>47</v>
      </c>
      <c r="L2" s="21" t="s">
        <v>48</v>
      </c>
      <c r="M2" s="24" t="s">
        <v>49</v>
      </c>
      <c r="N2" s="25" t="s">
        <v>50</v>
      </c>
      <c r="O2" s="26"/>
      <c r="P2" s="26"/>
      <c r="Q2" s="26"/>
      <c r="R2" s="26"/>
      <c r="S2" s="26"/>
      <c r="T2" s="26"/>
      <c r="U2" s="26"/>
      <c r="V2" s="26"/>
      <c r="W2" s="26"/>
      <c r="X2" s="26"/>
      <c r="Y2" s="26"/>
      <c r="Z2" s="26"/>
      <c r="AA2" s="26"/>
      <c r="AB2" s="26"/>
    </row>
    <row r="3">
      <c r="A3" s="29"/>
      <c r="B3" s="29">
        <v>1.0</v>
      </c>
      <c r="C3" s="29" t="s">
        <v>51</v>
      </c>
      <c r="D3" s="30">
        <f>sumproduct(E3:H3,Weights_by_Model[[GREATEST]:[CLUTCH]])</f>
        <v>76.1206076</v>
      </c>
      <c r="E3" s="31">
        <f t="array" ref="E3">xlookup(C3,MODEL_GREATEST!B:B,MODEL_GREATEST!C:C)</f>
        <v>81.94388872</v>
      </c>
      <c r="F3" s="31">
        <f t="array" ref="F3">xlookup(C3,MODEL_BEST!B:B,MODEL_BEST!C:C)</f>
        <v>71.46486124</v>
      </c>
      <c r="G3" s="31">
        <f t="array" ref="G3">xlookup(C3,MODEL_DOMINANT!B:B,MODEL_DOMINANT!C:C)</f>
        <v>74.866639</v>
      </c>
      <c r="H3" s="31">
        <f t="array" ref="H3">xlookup(C3,MODEL_CLUTCH!B:B,MODEL_CLUTCH!C:C)</f>
        <v>69.30265933</v>
      </c>
      <c r="I3" s="32">
        <f t="shared" ref="I3:L3" si="1">rank(E3,E$3:E$27,0)</f>
        <v>1</v>
      </c>
      <c r="J3" s="33">
        <f t="shared" si="1"/>
        <v>2</v>
      </c>
      <c r="K3" s="33">
        <f t="shared" si="1"/>
        <v>2</v>
      </c>
      <c r="L3" s="33">
        <f t="shared" si="1"/>
        <v>1</v>
      </c>
      <c r="M3" s="34">
        <f t="shared" ref="M3:M27" si="3">AVERAGE(I3:L3)</f>
        <v>1.5</v>
      </c>
      <c r="N3" s="35">
        <f t="shared" ref="N3:N27" si="4">MAX(I3:L3)-MIN(I3:L3)</f>
        <v>1</v>
      </c>
      <c r="O3" s="33"/>
      <c r="P3" s="33"/>
      <c r="Q3" s="33"/>
      <c r="R3" s="33"/>
      <c r="S3" s="33"/>
      <c r="T3" s="33"/>
      <c r="U3" s="33"/>
      <c r="V3" s="33"/>
      <c r="W3" s="33"/>
      <c r="X3" s="33"/>
      <c r="Y3" s="33"/>
      <c r="Z3" s="33"/>
      <c r="AA3" s="33"/>
      <c r="AB3" s="33"/>
    </row>
    <row r="4">
      <c r="A4" s="29"/>
      <c r="B4" s="29">
        <v>2.0</v>
      </c>
      <c r="C4" s="29" t="s">
        <v>52</v>
      </c>
      <c r="D4" s="30">
        <f>sumproduct(E4:H4,Weights_by_Model[[GREATEST]:[CLUTCH]])</f>
        <v>70.05183451</v>
      </c>
      <c r="E4" s="31">
        <f t="array" ref="E4">xlookup(C4,MODEL_GREATEST!B:B,MODEL_GREATEST!C:C)</f>
        <v>66.81797588</v>
      </c>
      <c r="F4" s="31">
        <f t="array" ref="F4">xlookup(C4,MODEL_BEST!B:B,MODEL_BEST!C:C)</f>
        <v>77.25289343</v>
      </c>
      <c r="G4" s="31">
        <f t="array" ref="G4">xlookup(C4,MODEL_DOMINANT!B:B,MODEL_DOMINANT!C:C)</f>
        <v>75.57096919</v>
      </c>
      <c r="H4" s="31">
        <f t="array" ref="H4">xlookup(C4,MODEL_CLUTCH!B:B,MODEL_CLUTCH!C:C)</f>
        <v>50.34582294</v>
      </c>
      <c r="I4" s="32">
        <f t="shared" ref="I4:L4" si="2">rank(E4,E$3:E$27,0)</f>
        <v>2</v>
      </c>
      <c r="J4" s="33">
        <f t="shared" si="2"/>
        <v>1</v>
      </c>
      <c r="K4" s="33">
        <f t="shared" si="2"/>
        <v>1</v>
      </c>
      <c r="L4" s="33">
        <f t="shared" si="2"/>
        <v>4</v>
      </c>
      <c r="M4" s="34">
        <f t="shared" si="3"/>
        <v>2</v>
      </c>
      <c r="N4" s="35">
        <f t="shared" si="4"/>
        <v>3</v>
      </c>
      <c r="O4" s="33"/>
      <c r="P4" s="33"/>
      <c r="Q4" s="33"/>
      <c r="R4" s="33"/>
      <c r="S4" s="33"/>
      <c r="T4" s="33"/>
      <c r="U4" s="33"/>
      <c r="V4" s="33"/>
      <c r="W4" s="33"/>
      <c r="X4" s="33"/>
      <c r="Y4" s="33"/>
      <c r="Z4" s="33"/>
      <c r="AA4" s="33"/>
      <c r="AB4" s="33"/>
    </row>
    <row r="5">
      <c r="A5" s="29"/>
      <c r="B5" s="29">
        <v>3.0</v>
      </c>
      <c r="C5" s="29" t="s">
        <v>53</v>
      </c>
      <c r="D5" s="30">
        <f>sumproduct(E5:H5,Weights_by_Model[[GREATEST]:[CLUTCH]])</f>
        <v>56.89387206</v>
      </c>
      <c r="E5" s="31">
        <f t="array" ref="E5">xlookup(C5,MODEL_GREATEST!B:B,MODEL_GREATEST!C:C)</f>
        <v>49.75789899</v>
      </c>
      <c r="F5" s="31">
        <f t="array" ref="F5">xlookup(C5,MODEL_BEST!B:B,MODEL_BEST!C:C)</f>
        <v>63.69730143</v>
      </c>
      <c r="G5" s="31">
        <f t="array" ref="G5">xlookup(C5,MODEL_DOMINANT!B:B,MODEL_DOMINANT!C:C)</f>
        <v>66.95320773</v>
      </c>
      <c r="H5" s="31">
        <f t="array" ref="H5">xlookup(C5,MODEL_CLUTCH!B:B,MODEL_CLUTCH!C:C)</f>
        <v>44.90880487</v>
      </c>
      <c r="I5" s="32">
        <f t="shared" ref="I5:L5" si="5">rank(E5,E$3:E$27,0)</f>
        <v>4</v>
      </c>
      <c r="J5" s="33">
        <f t="shared" si="5"/>
        <v>3</v>
      </c>
      <c r="K5" s="33">
        <f t="shared" si="5"/>
        <v>3</v>
      </c>
      <c r="L5" s="33">
        <f t="shared" si="5"/>
        <v>8</v>
      </c>
      <c r="M5" s="34">
        <f t="shared" si="3"/>
        <v>4.5</v>
      </c>
      <c r="N5" s="35">
        <f t="shared" si="4"/>
        <v>5</v>
      </c>
      <c r="O5" s="33"/>
      <c r="P5" s="33"/>
      <c r="Q5" s="33"/>
      <c r="R5" s="33"/>
      <c r="S5" s="33"/>
      <c r="T5" s="33"/>
      <c r="U5" s="33"/>
      <c r="V5" s="33"/>
      <c r="W5" s="33"/>
      <c r="X5" s="33"/>
      <c r="Y5" s="33"/>
      <c r="Z5" s="33"/>
      <c r="AA5" s="33"/>
      <c r="AB5" s="33"/>
    </row>
    <row r="6">
      <c r="A6" s="29"/>
      <c r="B6" s="29">
        <v>4.0</v>
      </c>
      <c r="C6" s="29" t="s">
        <v>54</v>
      </c>
      <c r="D6" s="30">
        <f>sumproduct(E6:H6,Weights_by_Model[[GREATEST]:[CLUTCH]])</f>
        <v>55.07358874</v>
      </c>
      <c r="E6" s="31">
        <f t="array" ref="E6">xlookup(C6,MODEL_GREATEST!B:B,MODEL_GREATEST!C:C)</f>
        <v>52.88205602</v>
      </c>
      <c r="F6" s="31">
        <f t="array" ref="F6">xlookup(C6,MODEL_BEST!B:B,MODEL_BEST!C:C)</f>
        <v>61.60943166</v>
      </c>
      <c r="G6" s="31">
        <f t="array" ref="G6">xlookup(C6,MODEL_DOMINANT!B:B,MODEL_DOMINANT!C:C)</f>
        <v>55.6376746</v>
      </c>
      <c r="H6" s="31">
        <f t="array" ref="H6">xlookup(C6,MODEL_CLUTCH!B:B,MODEL_CLUTCH!C:C)</f>
        <v>43.10401915</v>
      </c>
      <c r="I6" s="32">
        <f t="shared" ref="I6:L6" si="6">rank(E6,E$3:E$27,0)</f>
        <v>3</v>
      </c>
      <c r="J6" s="33">
        <f t="shared" si="6"/>
        <v>4</v>
      </c>
      <c r="K6" s="33">
        <f t="shared" si="6"/>
        <v>5</v>
      </c>
      <c r="L6" s="33">
        <f t="shared" si="6"/>
        <v>9</v>
      </c>
      <c r="M6" s="34">
        <f t="shared" si="3"/>
        <v>5.25</v>
      </c>
      <c r="N6" s="35">
        <f t="shared" si="4"/>
        <v>6</v>
      </c>
      <c r="O6" s="33"/>
      <c r="P6" s="33"/>
      <c r="Q6" s="33"/>
      <c r="R6" s="33"/>
      <c r="S6" s="33"/>
      <c r="T6" s="33"/>
      <c r="U6" s="33"/>
      <c r="V6" s="33"/>
      <c r="W6" s="33"/>
      <c r="X6" s="33"/>
      <c r="Y6" s="33"/>
      <c r="Z6" s="33"/>
      <c r="AA6" s="33"/>
      <c r="AB6" s="33"/>
    </row>
    <row r="7">
      <c r="A7" s="29"/>
      <c r="B7" s="29">
        <v>5.0</v>
      </c>
      <c r="C7" s="29" t="s">
        <v>55</v>
      </c>
      <c r="D7" s="30">
        <f>sumproduct(E7:H7,Weights_by_Model[[GREATEST]:[CLUTCH]])</f>
        <v>52.05357654</v>
      </c>
      <c r="E7" s="31">
        <f t="array" ref="E7">xlookup(C7,MODEL_GREATEST!B:B,MODEL_GREATEST!C:C)</f>
        <v>44.49219585</v>
      </c>
      <c r="F7" s="31">
        <f t="array" ref="F7">xlookup(C7,MODEL_BEST!B:B,MODEL_BEST!C:C)</f>
        <v>59.08067262</v>
      </c>
      <c r="G7" s="31">
        <f t="array" ref="G7">xlookup(C7,MODEL_DOMINANT!B:B,MODEL_DOMINANT!C:C)</f>
        <v>58.38249184</v>
      </c>
      <c r="H7" s="31">
        <f t="array" ref="H7">xlookup(C7,MODEL_CLUTCH!B:B,MODEL_CLUTCH!C:C)</f>
        <v>48.55998046</v>
      </c>
      <c r="I7" s="32">
        <f t="shared" ref="I7:L7" si="7">rank(E7,E$3:E$27,0)</f>
        <v>7</v>
      </c>
      <c r="J7" s="33">
        <f t="shared" si="7"/>
        <v>5</v>
      </c>
      <c r="K7" s="33">
        <f t="shared" si="7"/>
        <v>4</v>
      </c>
      <c r="L7" s="33">
        <f t="shared" si="7"/>
        <v>5</v>
      </c>
      <c r="M7" s="34">
        <f t="shared" si="3"/>
        <v>5.25</v>
      </c>
      <c r="N7" s="35">
        <f t="shared" si="4"/>
        <v>3</v>
      </c>
      <c r="O7" s="33"/>
      <c r="P7" s="33"/>
      <c r="Q7" s="33"/>
      <c r="R7" s="33"/>
      <c r="S7" s="33"/>
      <c r="T7" s="33"/>
      <c r="U7" s="33"/>
      <c r="V7" s="33"/>
      <c r="W7" s="33"/>
      <c r="X7" s="33"/>
      <c r="Y7" s="33"/>
      <c r="Z7" s="33"/>
      <c r="AA7" s="33"/>
      <c r="AB7" s="33"/>
    </row>
    <row r="8">
      <c r="A8" s="29"/>
      <c r="B8" s="29">
        <v>6.0</v>
      </c>
      <c r="C8" s="29" t="s">
        <v>56</v>
      </c>
      <c r="D8" s="30">
        <f>sumproduct(E8:H8,Weights_by_Model[[GREATEST]:[CLUTCH]])</f>
        <v>50.22948626</v>
      </c>
      <c r="E8" s="31">
        <f t="array" ref="E8">xlookup(C8,MODEL_GREATEST!B:B,MODEL_GREATEST!C:C)</f>
        <v>46.85312174</v>
      </c>
      <c r="F8" s="31">
        <f t="array" ref="F8">xlookup(C8,MODEL_BEST!B:B,MODEL_BEST!C:C)</f>
        <v>51.89313865</v>
      </c>
      <c r="G8" s="31">
        <f t="array" ref="G8">xlookup(C8,MODEL_DOMINANT!B:B,MODEL_DOMINANT!C:C)</f>
        <v>51.36607618</v>
      </c>
      <c r="H8" s="31">
        <f t="array" ref="H8">xlookup(C8,MODEL_CLUTCH!B:B,MODEL_CLUTCH!C:C)</f>
        <v>56.47080738</v>
      </c>
      <c r="I8" s="32">
        <f t="shared" ref="I8:L8" si="8">rank(E8,E$3:E$27,0)</f>
        <v>5</v>
      </c>
      <c r="J8" s="33">
        <f t="shared" si="8"/>
        <v>9</v>
      </c>
      <c r="K8" s="33">
        <f t="shared" si="8"/>
        <v>10</v>
      </c>
      <c r="L8" s="33">
        <f t="shared" si="8"/>
        <v>2</v>
      </c>
      <c r="M8" s="34">
        <f t="shared" si="3"/>
        <v>6.5</v>
      </c>
      <c r="N8" s="35">
        <f t="shared" si="4"/>
        <v>8</v>
      </c>
      <c r="O8" s="33"/>
      <c r="P8" s="33"/>
      <c r="Q8" s="33"/>
      <c r="R8" s="33"/>
      <c r="S8" s="33"/>
      <c r="T8" s="33"/>
      <c r="U8" s="33"/>
      <c r="V8" s="33"/>
      <c r="W8" s="33"/>
      <c r="X8" s="33"/>
      <c r="Y8" s="33"/>
      <c r="Z8" s="33"/>
      <c r="AA8" s="33"/>
      <c r="AB8" s="33"/>
    </row>
    <row r="9">
      <c r="A9" s="29"/>
      <c r="B9" s="29">
        <v>7.0</v>
      </c>
      <c r="C9" s="29" t="s">
        <v>57</v>
      </c>
      <c r="D9" s="30">
        <f>sumproduct(E9:H9,Weights_by_Model[[GREATEST]:[CLUTCH]])</f>
        <v>49.72394989</v>
      </c>
      <c r="E9" s="31">
        <f t="array" ref="E9">xlookup(C9,MODEL_GREATEST!B:B,MODEL_GREATEST!C:C)</f>
        <v>42.20458406</v>
      </c>
      <c r="F9" s="31">
        <f t="array" ref="F9">xlookup(C9,MODEL_BEST!B:B,MODEL_BEST!C:C)</f>
        <v>58.26405123</v>
      </c>
      <c r="G9" s="31">
        <f t="array" ref="G9">xlookup(C9,MODEL_DOMINANT!B:B,MODEL_DOMINANT!C:C)</f>
        <v>53.81456078</v>
      </c>
      <c r="H9" s="31">
        <f t="array" ref="H9">xlookup(C9,MODEL_CLUTCH!B:B,MODEL_CLUTCH!C:C)</f>
        <v>45.99988741</v>
      </c>
      <c r="I9" s="32">
        <f t="shared" ref="I9:L9" si="9">rank(E9,E$3:E$27,0)</f>
        <v>9</v>
      </c>
      <c r="J9" s="33">
        <f t="shared" si="9"/>
        <v>6</v>
      </c>
      <c r="K9" s="33">
        <f t="shared" si="9"/>
        <v>6</v>
      </c>
      <c r="L9" s="33">
        <f t="shared" si="9"/>
        <v>7</v>
      </c>
      <c r="M9" s="34">
        <f t="shared" si="3"/>
        <v>7</v>
      </c>
      <c r="N9" s="35">
        <f t="shared" si="4"/>
        <v>3</v>
      </c>
      <c r="O9" s="33"/>
      <c r="P9" s="33"/>
      <c r="Q9" s="33"/>
      <c r="R9" s="33"/>
      <c r="S9" s="33"/>
      <c r="T9" s="33"/>
      <c r="U9" s="33"/>
      <c r="V9" s="33"/>
      <c r="W9" s="33"/>
      <c r="X9" s="33"/>
      <c r="Y9" s="33"/>
      <c r="Z9" s="33"/>
      <c r="AA9" s="33"/>
      <c r="AB9" s="33"/>
    </row>
    <row r="10">
      <c r="A10" s="29"/>
      <c r="B10" s="29">
        <v>8.0</v>
      </c>
      <c r="C10" s="29" t="s">
        <v>58</v>
      </c>
      <c r="D10" s="30">
        <f>sumproduct(E10:H10,Weights_by_Model[[GREATEST]:[CLUTCH]])</f>
        <v>48.94322339</v>
      </c>
      <c r="E10" s="31">
        <f t="array" ref="E10">xlookup(C10,MODEL_GREATEST!B:B,MODEL_GREATEST!C:C)</f>
        <v>46.63025401</v>
      </c>
      <c r="F10" s="31">
        <f t="array" ref="F10">xlookup(C10,MODEL_BEST!B:B,MODEL_BEST!C:C)</f>
        <v>52.38018873</v>
      </c>
      <c r="G10" s="31">
        <f t="array" ref="G10">xlookup(C10,MODEL_DOMINANT!B:B,MODEL_DOMINANT!C:C)</f>
        <v>53.1797286</v>
      </c>
      <c r="H10" s="31">
        <f t="array" ref="H10">xlookup(C10,MODEL_CLUTCH!B:B,MODEL_CLUTCH!C:C)</f>
        <v>39.41119445</v>
      </c>
      <c r="I10" s="32">
        <f t="shared" ref="I10:L10" si="10">rank(E10,E$3:E$27,0)</f>
        <v>6</v>
      </c>
      <c r="J10" s="33">
        <f t="shared" si="10"/>
        <v>8</v>
      </c>
      <c r="K10" s="33">
        <f t="shared" si="10"/>
        <v>7</v>
      </c>
      <c r="L10" s="33">
        <f t="shared" si="10"/>
        <v>11</v>
      </c>
      <c r="M10" s="34">
        <f t="shared" si="3"/>
        <v>8</v>
      </c>
      <c r="N10" s="35">
        <f t="shared" si="4"/>
        <v>5</v>
      </c>
      <c r="O10" s="33"/>
      <c r="P10" s="33"/>
      <c r="Q10" s="33"/>
      <c r="R10" s="33"/>
      <c r="S10" s="33"/>
      <c r="T10" s="33"/>
      <c r="U10" s="33"/>
      <c r="V10" s="33"/>
      <c r="W10" s="33"/>
      <c r="X10" s="33"/>
      <c r="Y10" s="33"/>
      <c r="Z10" s="33"/>
      <c r="AA10" s="33"/>
      <c r="AB10" s="33"/>
    </row>
    <row r="11">
      <c r="A11" s="29"/>
      <c r="B11" s="29">
        <v>9.0</v>
      </c>
      <c r="C11" s="29" t="s">
        <v>59</v>
      </c>
      <c r="D11" s="30">
        <f>sumproduct(E11:H11,Weights_by_Model[[GREATEST]:[CLUTCH]])</f>
        <v>47.33267277</v>
      </c>
      <c r="E11" s="31">
        <f t="array" ref="E11">xlookup(C11,MODEL_GREATEST!B:B,MODEL_GREATEST!C:C)</f>
        <v>41.47068999</v>
      </c>
      <c r="F11" s="31">
        <f t="array" ref="F11">xlookup(C11,MODEL_BEST!B:B,MODEL_BEST!C:C)</f>
        <v>55.53180577</v>
      </c>
      <c r="G11" s="31">
        <f t="array" ref="G11">xlookup(C11,MODEL_DOMINANT!B:B,MODEL_DOMINANT!C:C)</f>
        <v>52.65347706</v>
      </c>
      <c r="H11" s="31">
        <f t="array" ref="H11">xlookup(C11,MODEL_CLUTCH!B:B,MODEL_CLUTCH!C:C)</f>
        <v>35.54159633</v>
      </c>
      <c r="I11" s="32">
        <f t="shared" ref="I11:L11" si="11">rank(E11,E$3:E$27,0)</f>
        <v>10</v>
      </c>
      <c r="J11" s="33">
        <f t="shared" si="11"/>
        <v>7</v>
      </c>
      <c r="K11" s="33">
        <f t="shared" si="11"/>
        <v>8</v>
      </c>
      <c r="L11" s="33">
        <f t="shared" si="11"/>
        <v>15</v>
      </c>
      <c r="M11" s="34">
        <f t="shared" si="3"/>
        <v>10</v>
      </c>
      <c r="N11" s="35">
        <f t="shared" si="4"/>
        <v>8</v>
      </c>
      <c r="O11" s="33"/>
      <c r="P11" s="33"/>
      <c r="Q11" s="33"/>
      <c r="R11" s="33"/>
      <c r="S11" s="33"/>
      <c r="T11" s="33"/>
      <c r="U11" s="33"/>
      <c r="V11" s="33"/>
      <c r="W11" s="33"/>
      <c r="X11" s="33"/>
      <c r="Y11" s="33"/>
      <c r="Z11" s="33"/>
      <c r="AA11" s="33"/>
      <c r="AB11" s="33"/>
    </row>
    <row r="12">
      <c r="A12" s="29"/>
      <c r="B12" s="29">
        <v>10.0</v>
      </c>
      <c r="C12" s="29" t="s">
        <v>60</v>
      </c>
      <c r="D12" s="30">
        <f>sumproduct(E12:H12,Weights_by_Model[[GREATEST]:[CLUTCH]])</f>
        <v>43.42774148</v>
      </c>
      <c r="E12" s="31">
        <f t="array" ref="E12">xlookup(C12,MODEL_GREATEST!B:B,MODEL_GREATEST!C:C)</f>
        <v>35.33223031</v>
      </c>
      <c r="F12" s="31">
        <f t="array" ref="F12">xlookup(C12,MODEL_BEST!B:B,MODEL_BEST!C:C)</f>
        <v>48.51187627</v>
      </c>
      <c r="G12" s="31">
        <f t="array" ref="G12">xlookup(C12,MODEL_DOMINANT!B:B,MODEL_DOMINANT!C:C)</f>
        <v>52.3087475</v>
      </c>
      <c r="H12" s="31">
        <f t="array" ref="H12">xlookup(C12,MODEL_CLUTCH!B:B,MODEL_CLUTCH!C:C)</f>
        <v>42.79536974</v>
      </c>
      <c r="I12" s="32">
        <f t="shared" ref="I12:L12" si="12">rank(E12,E$3:E$27,0)</f>
        <v>12</v>
      </c>
      <c r="J12" s="33">
        <f t="shared" si="12"/>
        <v>10</v>
      </c>
      <c r="K12" s="33">
        <f t="shared" si="12"/>
        <v>9</v>
      </c>
      <c r="L12" s="33">
        <f t="shared" si="12"/>
        <v>10</v>
      </c>
      <c r="M12" s="34">
        <f t="shared" si="3"/>
        <v>10.25</v>
      </c>
      <c r="N12" s="35">
        <f t="shared" si="4"/>
        <v>3</v>
      </c>
      <c r="O12" s="33"/>
      <c r="P12" s="33"/>
      <c r="Q12" s="33"/>
      <c r="R12" s="33"/>
      <c r="S12" s="33"/>
      <c r="T12" s="33"/>
      <c r="U12" s="33"/>
      <c r="V12" s="33"/>
      <c r="W12" s="33"/>
      <c r="X12" s="33"/>
      <c r="Y12" s="33"/>
      <c r="Z12" s="33"/>
      <c r="AA12" s="33"/>
      <c r="AB12" s="33"/>
    </row>
    <row r="13">
      <c r="A13" s="29"/>
      <c r="B13" s="29">
        <v>11.0</v>
      </c>
      <c r="C13" s="29" t="s">
        <v>61</v>
      </c>
      <c r="D13" s="30">
        <f>sumproduct(E13:H13,Weights_by_Model[[GREATEST]:[CLUTCH]])</f>
        <v>42.60007084</v>
      </c>
      <c r="E13" s="31">
        <f t="array" ref="E13">xlookup(C13,MODEL_GREATEST!B:B,MODEL_GREATEST!C:C)</f>
        <v>42.7729173</v>
      </c>
      <c r="F13" s="31">
        <f t="array" ref="F13">xlookup(C13,MODEL_BEST!B:B,MODEL_BEST!C:C)</f>
        <v>42.51622104</v>
      </c>
      <c r="G13" s="31">
        <f t="array" ref="G13">xlookup(C13,MODEL_DOMINANT!B:B,MODEL_DOMINANT!C:C)</f>
        <v>45.75680417</v>
      </c>
      <c r="H13" s="31">
        <f t="array" ref="H13">xlookup(C13,MODEL_CLUTCH!B:B,MODEL_CLUTCH!C:C)</f>
        <v>35.84676778</v>
      </c>
      <c r="I13" s="32">
        <f t="shared" ref="I13:L13" si="13">rank(E13,E$3:E$27,0)</f>
        <v>8</v>
      </c>
      <c r="J13" s="33">
        <f t="shared" si="13"/>
        <v>12</v>
      </c>
      <c r="K13" s="33">
        <f t="shared" si="13"/>
        <v>13</v>
      </c>
      <c r="L13" s="33">
        <f t="shared" si="13"/>
        <v>14</v>
      </c>
      <c r="M13" s="34">
        <f t="shared" si="3"/>
        <v>11.75</v>
      </c>
      <c r="N13" s="35">
        <f t="shared" si="4"/>
        <v>6</v>
      </c>
      <c r="O13" s="33"/>
      <c r="P13" s="33"/>
      <c r="Q13" s="33"/>
      <c r="R13" s="33"/>
      <c r="S13" s="33"/>
      <c r="T13" s="33"/>
      <c r="U13" s="33"/>
      <c r="V13" s="33"/>
      <c r="W13" s="33"/>
      <c r="X13" s="33"/>
      <c r="Y13" s="33"/>
      <c r="Z13" s="33"/>
      <c r="AA13" s="33"/>
      <c r="AB13" s="33"/>
    </row>
    <row r="14">
      <c r="A14" s="29"/>
      <c r="B14" s="29">
        <v>12.0</v>
      </c>
      <c r="C14" s="29" t="s">
        <v>62</v>
      </c>
      <c r="D14" s="30">
        <f>sumproduct(E14:H14,Weights_by_Model[[GREATEST]:[CLUTCH]])</f>
        <v>39.87884451</v>
      </c>
      <c r="E14" s="31">
        <f t="array" ref="E14">xlookup(C14,MODEL_GREATEST!B:B,MODEL_GREATEST!C:C)</f>
        <v>37.79677394</v>
      </c>
      <c r="F14" s="31">
        <f t="array" ref="F14">xlookup(C14,MODEL_BEST!B:B,MODEL_BEST!C:C)</f>
        <v>41.71390859</v>
      </c>
      <c r="G14" s="31">
        <f t="array" ref="G14">xlookup(C14,MODEL_DOMINANT!B:B,MODEL_DOMINANT!C:C)</f>
        <v>45.9880358</v>
      </c>
      <c r="H14" s="31">
        <f t="array" ref="H14">xlookup(C14,MODEL_CLUTCH!B:B,MODEL_CLUTCH!C:C)</f>
        <v>30.48355195</v>
      </c>
      <c r="I14" s="32">
        <f t="shared" ref="I14:L14" si="14">rank(E14,E$3:E$27,0)</f>
        <v>11</v>
      </c>
      <c r="J14" s="33">
        <f t="shared" si="14"/>
        <v>13</v>
      </c>
      <c r="K14" s="33">
        <f t="shared" si="14"/>
        <v>12</v>
      </c>
      <c r="L14" s="33">
        <f t="shared" si="14"/>
        <v>19</v>
      </c>
      <c r="M14" s="34">
        <f t="shared" si="3"/>
        <v>13.75</v>
      </c>
      <c r="N14" s="35">
        <f t="shared" si="4"/>
        <v>8</v>
      </c>
      <c r="O14" s="33"/>
      <c r="P14" s="33"/>
      <c r="Q14" s="33"/>
      <c r="R14" s="33"/>
      <c r="S14" s="33"/>
      <c r="T14" s="33"/>
      <c r="U14" s="33"/>
      <c r="V14" s="33"/>
      <c r="W14" s="33"/>
      <c r="X14" s="33"/>
      <c r="Y14" s="33"/>
      <c r="Z14" s="33"/>
      <c r="AA14" s="33"/>
      <c r="AB14" s="33"/>
    </row>
    <row r="15">
      <c r="A15" s="29"/>
      <c r="B15" s="29">
        <v>13.0</v>
      </c>
      <c r="C15" s="29" t="s">
        <v>63</v>
      </c>
      <c r="D15" s="30">
        <f>sumproduct(E15:H15,Weights_by_Model[[GREATEST]:[CLUTCH]])</f>
        <v>39.64483419</v>
      </c>
      <c r="E15" s="31">
        <f t="array" ref="E15">xlookup(C15,MODEL_GREATEST!B:B,MODEL_GREATEST!C:C)</f>
        <v>31.57056827</v>
      </c>
      <c r="F15" s="31">
        <f t="array" ref="F15">xlookup(C15,MODEL_BEST!B:B,MODEL_BEST!C:C)</f>
        <v>47.91025429</v>
      </c>
      <c r="G15" s="31">
        <f t="array" ref="G15">xlookup(C15,MODEL_DOMINANT!B:B,MODEL_DOMINANT!C:C)</f>
        <v>44.15296352</v>
      </c>
      <c r="H15" s="31">
        <f t="array" ref="H15">xlookup(C15,MODEL_CLUTCH!B:B,MODEL_CLUTCH!C:C)</f>
        <v>38.1293789</v>
      </c>
      <c r="I15" s="32">
        <f t="shared" ref="I15:L15" si="15">rank(E15,E$3:E$27,0)</f>
        <v>14</v>
      </c>
      <c r="J15" s="33">
        <f t="shared" si="15"/>
        <v>11</v>
      </c>
      <c r="K15" s="33">
        <f t="shared" si="15"/>
        <v>14</v>
      </c>
      <c r="L15" s="33">
        <f t="shared" si="15"/>
        <v>12</v>
      </c>
      <c r="M15" s="34">
        <f t="shared" si="3"/>
        <v>12.75</v>
      </c>
      <c r="N15" s="35">
        <f t="shared" si="4"/>
        <v>3</v>
      </c>
      <c r="O15" s="33"/>
      <c r="P15" s="33"/>
      <c r="Q15" s="33"/>
      <c r="R15" s="33"/>
      <c r="S15" s="33"/>
      <c r="T15" s="33"/>
      <c r="U15" s="33"/>
      <c r="V15" s="33"/>
      <c r="W15" s="33"/>
      <c r="X15" s="33"/>
      <c r="Y15" s="33"/>
      <c r="Z15" s="33"/>
      <c r="AA15" s="33"/>
      <c r="AB15" s="33"/>
    </row>
    <row r="16">
      <c r="A16" s="29"/>
      <c r="B16" s="29">
        <v>14.0</v>
      </c>
      <c r="C16" s="29" t="s">
        <v>64</v>
      </c>
      <c r="D16" s="30">
        <f>sumproduct(E16:H16,Weights_by_Model[[GREATEST]:[CLUTCH]])</f>
        <v>33.89494975</v>
      </c>
      <c r="E16" s="31">
        <f t="array" ref="E16">xlookup(C16,MODEL_GREATEST!B:B,MODEL_GREATEST!C:C)</f>
        <v>26.49674844</v>
      </c>
      <c r="F16" s="31">
        <f t="array" ref="F16">xlookup(C16,MODEL_BEST!B:B,MODEL_BEST!C:C)</f>
        <v>36.58447176</v>
      </c>
      <c r="G16" s="31">
        <f t="array" ref="G16">xlookup(C16,MODEL_DOMINANT!B:B,MODEL_DOMINANT!C:C)</f>
        <v>46.07552212</v>
      </c>
      <c r="H16" s="31">
        <f t="array" ref="H16">xlookup(C16,MODEL_CLUTCH!B:B,MODEL_CLUTCH!C:C)</f>
        <v>31.05804424</v>
      </c>
      <c r="I16" s="32">
        <f t="shared" ref="I16:L16" si="16">rank(E16,E$3:E$27,0)</f>
        <v>18</v>
      </c>
      <c r="J16" s="33">
        <f t="shared" si="16"/>
        <v>15</v>
      </c>
      <c r="K16" s="33">
        <f t="shared" si="16"/>
        <v>11</v>
      </c>
      <c r="L16" s="33">
        <f t="shared" si="16"/>
        <v>18</v>
      </c>
      <c r="M16" s="34">
        <f t="shared" si="3"/>
        <v>15.5</v>
      </c>
      <c r="N16" s="35">
        <f t="shared" si="4"/>
        <v>7</v>
      </c>
      <c r="O16" s="33"/>
      <c r="P16" s="33"/>
      <c r="Q16" s="33"/>
      <c r="R16" s="33"/>
      <c r="S16" s="33"/>
      <c r="T16" s="33"/>
      <c r="U16" s="33"/>
      <c r="V16" s="33"/>
      <c r="W16" s="33"/>
      <c r="X16" s="33"/>
      <c r="Y16" s="33"/>
      <c r="Z16" s="33"/>
      <c r="AA16" s="33"/>
      <c r="AB16" s="33"/>
    </row>
    <row r="17">
      <c r="A17" s="29"/>
      <c r="B17" s="29">
        <v>15.0</v>
      </c>
      <c r="C17" s="29" t="s">
        <v>65</v>
      </c>
      <c r="D17" s="30">
        <f>sumproduct(E17:H17,Weights_by_Model[[GREATEST]:[CLUTCH]])</f>
        <v>32.79562274</v>
      </c>
      <c r="E17" s="31">
        <f t="array" ref="E17">xlookup(C17,MODEL_GREATEST!B:B,MODEL_GREATEST!C:C)</f>
        <v>31.50307395</v>
      </c>
      <c r="F17" s="31">
        <f t="array" ref="F17">xlookup(C17,MODEL_BEST!B:B,MODEL_BEST!C:C)</f>
        <v>29.00912202</v>
      </c>
      <c r="G17" s="31">
        <f t="array" ref="G17">xlookup(C17,MODEL_DOMINANT!B:B,MODEL_DOMINANT!C:C)</f>
        <v>34.12998077</v>
      </c>
      <c r="H17" s="31">
        <f t="array" ref="H17">xlookup(C17,MODEL_CLUTCH!B:B,MODEL_CLUTCH!C:C)</f>
        <v>46.65660401</v>
      </c>
      <c r="I17" s="32">
        <f t="shared" ref="I17:L17" si="17">rank(E17,E$3:E$27,0)</f>
        <v>15</v>
      </c>
      <c r="J17" s="33">
        <f t="shared" si="17"/>
        <v>18</v>
      </c>
      <c r="K17" s="33">
        <f t="shared" si="17"/>
        <v>16</v>
      </c>
      <c r="L17" s="33">
        <f t="shared" si="17"/>
        <v>6</v>
      </c>
      <c r="M17" s="34">
        <f t="shared" si="3"/>
        <v>13.75</v>
      </c>
      <c r="N17" s="35">
        <f t="shared" si="4"/>
        <v>12</v>
      </c>
      <c r="O17" s="33"/>
      <c r="P17" s="33"/>
      <c r="Q17" s="33"/>
      <c r="R17" s="33"/>
      <c r="S17" s="33"/>
      <c r="T17" s="33"/>
      <c r="U17" s="33"/>
      <c r="V17" s="33"/>
      <c r="W17" s="33"/>
      <c r="X17" s="33"/>
      <c r="Y17" s="33"/>
      <c r="Z17" s="33"/>
      <c r="AA17" s="33"/>
      <c r="AB17" s="33"/>
    </row>
    <row r="18">
      <c r="A18" s="29"/>
      <c r="B18" s="29">
        <v>16.0</v>
      </c>
      <c r="C18" s="29" t="s">
        <v>66</v>
      </c>
      <c r="D18" s="30">
        <f>sumproduct(E18:H18,Weights_by_Model[[GREATEST]:[CLUTCH]])</f>
        <v>32.12182295</v>
      </c>
      <c r="E18" s="31">
        <f t="array" ref="E18">xlookup(C18,MODEL_GREATEST!B:B,MODEL_GREATEST!C:C)</f>
        <v>31.83405798</v>
      </c>
      <c r="F18" s="31">
        <f t="array" ref="F18">xlookup(C18,MODEL_BEST!B:B,MODEL_BEST!C:C)</f>
        <v>27.36863203</v>
      </c>
      <c r="G18" s="31">
        <f t="array" ref="G18">xlookup(C18,MODEL_DOMINANT!B:B,MODEL_DOMINANT!C:C)</f>
        <v>28.37808335</v>
      </c>
      <c r="H18" s="31">
        <f t="array" ref="H18">xlookup(C18,MODEL_CLUTCH!B:B,MODEL_CLUTCH!C:C)</f>
        <v>55.01993475</v>
      </c>
      <c r="I18" s="32">
        <f t="shared" ref="I18:L18" si="18">rank(E18,E$3:E$27,0)</f>
        <v>13</v>
      </c>
      <c r="J18" s="33">
        <f t="shared" si="18"/>
        <v>20</v>
      </c>
      <c r="K18" s="33">
        <f t="shared" si="18"/>
        <v>18</v>
      </c>
      <c r="L18" s="33">
        <f t="shared" si="18"/>
        <v>3</v>
      </c>
      <c r="M18" s="34">
        <f t="shared" si="3"/>
        <v>13.5</v>
      </c>
      <c r="N18" s="35">
        <f t="shared" si="4"/>
        <v>17</v>
      </c>
      <c r="O18" s="33"/>
      <c r="P18" s="33"/>
      <c r="Q18" s="33"/>
      <c r="R18" s="33"/>
      <c r="S18" s="33"/>
      <c r="T18" s="33"/>
      <c r="U18" s="33"/>
      <c r="V18" s="33"/>
      <c r="W18" s="33"/>
      <c r="X18" s="33"/>
      <c r="Y18" s="33"/>
      <c r="Z18" s="33"/>
      <c r="AA18" s="33"/>
      <c r="AB18" s="33"/>
    </row>
    <row r="19">
      <c r="A19" s="29"/>
      <c r="B19" s="29">
        <v>17.0</v>
      </c>
      <c r="C19" s="29" t="s">
        <v>67</v>
      </c>
      <c r="D19" s="30">
        <f>sumproduct(E19:H19,Weights_by_Model[[GREATEST]:[CLUTCH]])</f>
        <v>31.04605018</v>
      </c>
      <c r="E19" s="31">
        <f t="array" ref="E19">xlookup(C19,MODEL_GREATEST!B:B,MODEL_GREATEST!C:C)</f>
        <v>23.55619804</v>
      </c>
      <c r="F19" s="31">
        <f t="array" ref="F19">xlookup(C19,MODEL_BEST!B:B,MODEL_BEST!C:C)</f>
        <v>34.5575094</v>
      </c>
      <c r="G19" s="31">
        <f t="array" ref="G19">xlookup(C19,MODEL_DOMINANT!B:B,MODEL_DOMINANT!C:C)</f>
        <v>37.35695103</v>
      </c>
      <c r="H19" s="31">
        <f t="array" ref="H19">xlookup(C19,MODEL_CLUTCH!B:B,MODEL_CLUTCH!C:C)</f>
        <v>37.84927934</v>
      </c>
      <c r="I19" s="32">
        <f t="shared" ref="I19:L19" si="19">rank(E19,E$3:E$27,0)</f>
        <v>20</v>
      </c>
      <c r="J19" s="33">
        <f t="shared" si="19"/>
        <v>16</v>
      </c>
      <c r="K19" s="33">
        <f t="shared" si="19"/>
        <v>15</v>
      </c>
      <c r="L19" s="33">
        <f t="shared" si="19"/>
        <v>13</v>
      </c>
      <c r="M19" s="34">
        <f t="shared" si="3"/>
        <v>16</v>
      </c>
      <c r="N19" s="35">
        <f t="shared" si="4"/>
        <v>7</v>
      </c>
      <c r="O19" s="33"/>
      <c r="P19" s="33"/>
      <c r="Q19" s="33"/>
      <c r="R19" s="33"/>
      <c r="S19" s="33"/>
      <c r="T19" s="33"/>
      <c r="U19" s="33"/>
      <c r="V19" s="33"/>
      <c r="W19" s="33"/>
      <c r="X19" s="33"/>
      <c r="Y19" s="33"/>
      <c r="Z19" s="33"/>
      <c r="AA19" s="33"/>
      <c r="AB19" s="33"/>
    </row>
    <row r="20">
      <c r="A20" s="29"/>
      <c r="B20" s="29">
        <v>18.0</v>
      </c>
      <c r="C20" s="29" t="s">
        <v>68</v>
      </c>
      <c r="D20" s="30">
        <f>sumproduct(E20:H20,Weights_by_Model[[GREATEST]:[CLUTCH]])</f>
        <v>28.99577619</v>
      </c>
      <c r="E20" s="31">
        <f t="array" ref="E20">xlookup(C20,MODEL_GREATEST!B:B,MODEL_GREATEST!C:C)</f>
        <v>30.02030911</v>
      </c>
      <c r="F20" s="31">
        <f t="array" ref="F20">xlookup(C20,MODEL_BEST!B:B,MODEL_BEST!C:C)</f>
        <v>27.62343743</v>
      </c>
      <c r="G20" s="31">
        <f t="array" ref="G20">xlookup(C20,MODEL_DOMINANT!B:B,MODEL_DOMINANT!C:C)</f>
        <v>26.87478169</v>
      </c>
      <c r="H20" s="31">
        <f t="array" ref="H20">xlookup(C20,MODEL_CLUTCH!B:B,MODEL_CLUTCH!C:C)</f>
        <v>33.25664982</v>
      </c>
      <c r="I20" s="32">
        <f t="shared" ref="I20:L20" si="20">rank(E20,E$3:E$27,0)</f>
        <v>16</v>
      </c>
      <c r="J20" s="33">
        <f t="shared" si="20"/>
        <v>19</v>
      </c>
      <c r="K20" s="33">
        <f t="shared" si="20"/>
        <v>20</v>
      </c>
      <c r="L20" s="33">
        <f t="shared" si="20"/>
        <v>17</v>
      </c>
      <c r="M20" s="34">
        <f t="shared" si="3"/>
        <v>18</v>
      </c>
      <c r="N20" s="35">
        <f t="shared" si="4"/>
        <v>4</v>
      </c>
      <c r="O20" s="33"/>
      <c r="P20" s="33"/>
      <c r="Q20" s="33"/>
      <c r="R20" s="33"/>
      <c r="S20" s="33"/>
      <c r="T20" s="33"/>
      <c r="U20" s="33"/>
      <c r="V20" s="33"/>
      <c r="W20" s="33"/>
      <c r="X20" s="33"/>
      <c r="Y20" s="33"/>
      <c r="Z20" s="33"/>
      <c r="AA20" s="33"/>
      <c r="AB20" s="33"/>
    </row>
    <row r="21">
      <c r="A21" s="29"/>
      <c r="B21" s="29">
        <v>19.0</v>
      </c>
      <c r="C21" s="29" t="s">
        <v>69</v>
      </c>
      <c r="D21" s="30">
        <f>sumproduct(E21:H21,Weights_by_Model[[GREATEST]:[CLUTCH]])</f>
        <v>27.71306788</v>
      </c>
      <c r="E21" s="31">
        <f t="array" ref="E21">xlookup(C21,MODEL_GREATEST!B:B,MODEL_GREATEST!C:C)</f>
        <v>21.21149376</v>
      </c>
      <c r="F21" s="31">
        <f t="array" ref="F21">xlookup(C21,MODEL_BEST!B:B,MODEL_BEST!C:C)</f>
        <v>37.21953064</v>
      </c>
      <c r="G21" s="31">
        <f t="array" ref="G21">xlookup(C21,MODEL_DOMINANT!B:B,MODEL_DOMINANT!C:C)</f>
        <v>27.7454775</v>
      </c>
      <c r="H21" s="31">
        <f t="array" ref="H21">xlookup(C21,MODEL_CLUTCH!B:B,MODEL_CLUTCH!C:C)</f>
        <v>25.13515684</v>
      </c>
      <c r="I21" s="32">
        <f t="shared" ref="I21:L21" si="21">rank(E21,E$3:E$27,0)</f>
        <v>21</v>
      </c>
      <c r="J21" s="33">
        <f t="shared" si="21"/>
        <v>14</v>
      </c>
      <c r="K21" s="33">
        <f t="shared" si="21"/>
        <v>19</v>
      </c>
      <c r="L21" s="33">
        <f t="shared" si="21"/>
        <v>21</v>
      </c>
      <c r="M21" s="34">
        <f t="shared" si="3"/>
        <v>18.75</v>
      </c>
      <c r="N21" s="35">
        <f t="shared" si="4"/>
        <v>7</v>
      </c>
      <c r="O21" s="33"/>
      <c r="P21" s="33"/>
      <c r="Q21" s="33"/>
      <c r="R21" s="33"/>
      <c r="S21" s="33"/>
      <c r="T21" s="33"/>
      <c r="U21" s="33"/>
      <c r="V21" s="33"/>
      <c r="W21" s="33"/>
      <c r="X21" s="33"/>
      <c r="Y21" s="33"/>
      <c r="Z21" s="33"/>
      <c r="AA21" s="33"/>
      <c r="AB21" s="33"/>
    </row>
    <row r="22">
      <c r="A22" s="29"/>
      <c r="B22" s="29">
        <v>20.0</v>
      </c>
      <c r="C22" s="29" t="s">
        <v>70</v>
      </c>
      <c r="D22" s="30">
        <f>sumproduct(E22:H22,Weights_by_Model[[GREATEST]:[CLUTCH]])</f>
        <v>27.43771008</v>
      </c>
      <c r="E22" s="31">
        <f t="array" ref="E22">xlookup(C22,MODEL_GREATEST!B:B,MODEL_GREATEST!C:C)</f>
        <v>24.35209316</v>
      </c>
      <c r="F22" s="31">
        <f t="array" ref="F22">xlookup(C22,MODEL_BEST!B:B,MODEL_BEST!C:C)</f>
        <v>30.63192682</v>
      </c>
      <c r="G22" s="31">
        <f t="array" ref="G22">xlookup(C22,MODEL_DOMINANT!B:B,MODEL_DOMINANT!C:C)</f>
        <v>32.67055959</v>
      </c>
      <c r="H22" s="31">
        <f t="array" ref="H22">xlookup(C22,MODEL_CLUTCH!B:B,MODEL_CLUTCH!C:C)</f>
        <v>19.73182856</v>
      </c>
      <c r="I22" s="32">
        <f t="shared" ref="I22:L22" si="22">rank(E22,E$3:E$27,0)</f>
        <v>19</v>
      </c>
      <c r="J22" s="33">
        <f t="shared" si="22"/>
        <v>17</v>
      </c>
      <c r="K22" s="33">
        <f t="shared" si="22"/>
        <v>17</v>
      </c>
      <c r="L22" s="33">
        <f t="shared" si="22"/>
        <v>24</v>
      </c>
      <c r="M22" s="34">
        <f t="shared" si="3"/>
        <v>19.25</v>
      </c>
      <c r="N22" s="35">
        <f t="shared" si="4"/>
        <v>7</v>
      </c>
      <c r="O22" s="33"/>
      <c r="P22" s="33"/>
      <c r="Q22" s="33"/>
      <c r="R22" s="33"/>
      <c r="S22" s="33"/>
      <c r="T22" s="33"/>
      <c r="U22" s="33"/>
      <c r="V22" s="33"/>
      <c r="W22" s="33"/>
      <c r="X22" s="33"/>
      <c r="Y22" s="33"/>
      <c r="Z22" s="33"/>
      <c r="AA22" s="33"/>
      <c r="AB22" s="33"/>
    </row>
    <row r="23">
      <c r="A23" s="29"/>
      <c r="B23" s="29">
        <v>21.0</v>
      </c>
      <c r="C23" s="29" t="s">
        <v>71</v>
      </c>
      <c r="D23" s="30">
        <f>sumproduct(E23:H23,Weights_by_Model[[GREATEST]:[CLUTCH]])</f>
        <v>27.02643765</v>
      </c>
      <c r="E23" s="31">
        <f t="array" ref="E23">xlookup(C23,MODEL_GREATEST!B:B,MODEL_GREATEST!C:C)</f>
        <v>27.81916356</v>
      </c>
      <c r="F23" s="31">
        <f t="array" ref="F23">xlookup(C23,MODEL_BEST!B:B,MODEL_BEST!C:C)</f>
        <v>26.84641144</v>
      </c>
      <c r="G23" s="31">
        <f t="array" ref="G23">xlookup(C23,MODEL_DOMINANT!B:B,MODEL_DOMINANT!C:C)</f>
        <v>26.71833192</v>
      </c>
      <c r="H23" s="31">
        <f t="array" ref="H23">xlookup(C23,MODEL_CLUTCH!B:B,MODEL_CLUTCH!C:C)</f>
        <v>25.0118241</v>
      </c>
      <c r="I23" s="32">
        <f t="shared" ref="I23:L23" si="23">rank(E23,E$3:E$27,0)</f>
        <v>17</v>
      </c>
      <c r="J23" s="33">
        <f t="shared" si="23"/>
        <v>22</v>
      </c>
      <c r="K23" s="33">
        <f t="shared" si="23"/>
        <v>22</v>
      </c>
      <c r="L23" s="33">
        <f t="shared" si="23"/>
        <v>22</v>
      </c>
      <c r="M23" s="34">
        <f t="shared" si="3"/>
        <v>20.75</v>
      </c>
      <c r="N23" s="35">
        <f t="shared" si="4"/>
        <v>5</v>
      </c>
      <c r="O23" s="33"/>
      <c r="P23" s="33"/>
      <c r="Q23" s="33"/>
      <c r="R23" s="33"/>
      <c r="S23" s="33"/>
      <c r="T23" s="33"/>
      <c r="U23" s="33"/>
      <c r="V23" s="33"/>
      <c r="W23" s="33"/>
      <c r="X23" s="33"/>
      <c r="Y23" s="33"/>
      <c r="Z23" s="33"/>
      <c r="AA23" s="33"/>
      <c r="AB23" s="33"/>
    </row>
    <row r="24">
      <c r="A24" s="29"/>
      <c r="B24" s="29">
        <v>22.0</v>
      </c>
      <c r="C24" s="29" t="s">
        <v>72</v>
      </c>
      <c r="D24" s="30">
        <f>sumproduct(E24:H24,Weights_by_Model[[GREATEST]:[CLUTCH]])</f>
        <v>24.57976338</v>
      </c>
      <c r="E24" s="31">
        <f t="array" ref="E24">xlookup(C24,MODEL_GREATEST!B:B,MODEL_GREATEST!C:C)</f>
        <v>20.90485699</v>
      </c>
      <c r="F24" s="31">
        <f t="array" ref="F24">xlookup(C24,MODEL_BEST!B:B,MODEL_BEST!C:C)</f>
        <v>26.89780421</v>
      </c>
      <c r="G24" s="31">
        <f t="array" ref="G24">xlookup(C24,MODEL_DOMINANT!B:B,MODEL_DOMINANT!C:C)</f>
        <v>26.82449807</v>
      </c>
      <c r="H24" s="31">
        <f t="array" ref="H24">xlookup(C24,MODEL_CLUTCH!B:B,MODEL_CLUTCH!C:C)</f>
        <v>27.83579702</v>
      </c>
      <c r="I24" s="32">
        <f t="shared" ref="I24:L24" si="24">rank(E24,E$3:E$27,0)</f>
        <v>22</v>
      </c>
      <c r="J24" s="33">
        <f t="shared" si="24"/>
        <v>21</v>
      </c>
      <c r="K24" s="33">
        <f t="shared" si="24"/>
        <v>21</v>
      </c>
      <c r="L24" s="33">
        <f t="shared" si="24"/>
        <v>20</v>
      </c>
      <c r="M24" s="34">
        <f t="shared" si="3"/>
        <v>21</v>
      </c>
      <c r="N24" s="35">
        <f t="shared" si="4"/>
        <v>2</v>
      </c>
      <c r="O24" s="33"/>
      <c r="P24" s="33"/>
      <c r="Q24" s="33"/>
      <c r="R24" s="33"/>
      <c r="S24" s="33"/>
      <c r="T24" s="33"/>
      <c r="U24" s="33"/>
      <c r="V24" s="33"/>
      <c r="W24" s="33"/>
      <c r="X24" s="33"/>
      <c r="Y24" s="33"/>
      <c r="Z24" s="33"/>
      <c r="AA24" s="33"/>
      <c r="AB24" s="33"/>
    </row>
    <row r="25">
      <c r="A25" s="29"/>
      <c r="B25" s="29">
        <v>23.0</v>
      </c>
      <c r="C25" s="29" t="s">
        <v>73</v>
      </c>
      <c r="D25" s="30">
        <f>sumproduct(E25:H25,Weights_by_Model[[GREATEST]:[CLUTCH]])</f>
        <v>22.47771722</v>
      </c>
      <c r="E25" s="31">
        <f t="array" ref="E25">xlookup(C25,MODEL_GREATEST!B:B,MODEL_GREATEST!C:C)</f>
        <v>18.09950504</v>
      </c>
      <c r="F25" s="31">
        <f t="array" ref="F25">xlookup(C25,MODEL_BEST!B:B,MODEL_BEST!C:C)</f>
        <v>25.85674424</v>
      </c>
      <c r="G25" s="31">
        <f t="array" ref="G25">xlookup(C25,MODEL_DOMINANT!B:B,MODEL_DOMINANT!C:C)</f>
        <v>26.0491026</v>
      </c>
      <c r="H25" s="31">
        <f t="array" ref="H25">xlookup(C25,MODEL_CLUTCH!B:B,MODEL_CLUTCH!C:C)</f>
        <v>22.71071413</v>
      </c>
      <c r="I25" s="32">
        <f t="shared" ref="I25:L25" si="25">rank(E25,E$3:E$27,0)</f>
        <v>24</v>
      </c>
      <c r="J25" s="33">
        <f t="shared" si="25"/>
        <v>23</v>
      </c>
      <c r="K25" s="33">
        <f t="shared" si="25"/>
        <v>24</v>
      </c>
      <c r="L25" s="33">
        <f t="shared" si="25"/>
        <v>23</v>
      </c>
      <c r="M25" s="34">
        <f t="shared" si="3"/>
        <v>23.5</v>
      </c>
      <c r="N25" s="35">
        <f t="shared" si="4"/>
        <v>1</v>
      </c>
      <c r="O25" s="33"/>
      <c r="P25" s="33"/>
      <c r="Q25" s="33"/>
      <c r="R25" s="33"/>
      <c r="S25" s="33"/>
      <c r="T25" s="33"/>
      <c r="U25" s="33"/>
      <c r="V25" s="33"/>
      <c r="W25" s="33"/>
      <c r="X25" s="33"/>
      <c r="Y25" s="33"/>
      <c r="Z25" s="33"/>
      <c r="AA25" s="33"/>
      <c r="AB25" s="33"/>
    </row>
    <row r="26">
      <c r="A26" s="29"/>
      <c r="B26" s="29">
        <v>24.0</v>
      </c>
      <c r="C26" s="29" t="s">
        <v>74</v>
      </c>
      <c r="D26" s="30">
        <f>sumproduct(E26:H26,Weights_by_Model[[GREATEST]:[CLUTCH]])</f>
        <v>21.27175407</v>
      </c>
      <c r="E26" s="31">
        <f t="array" ref="E26">xlookup(C26,MODEL_GREATEST!B:B,MODEL_GREATEST!C:C)</f>
        <v>18.59320999</v>
      </c>
      <c r="F26" s="31">
        <f t="array" ref="F26">xlookup(C26,MODEL_BEST!B:B,MODEL_BEST!C:C)</f>
        <v>18.40069277</v>
      </c>
      <c r="G26" s="31">
        <f t="array" ref="G26">xlookup(C26,MODEL_DOMINANT!B:B,MODEL_DOMINANT!C:C)</f>
        <v>24.19007022</v>
      </c>
      <c r="H26" s="31">
        <f t="array" ref="H26">xlookup(C26,MODEL_CLUTCH!B:B,MODEL_CLUTCH!C:C)</f>
        <v>34.76248196</v>
      </c>
      <c r="I26" s="32">
        <f t="shared" ref="I26:L26" si="26">rank(E26,E$3:E$27,0)</f>
        <v>23</v>
      </c>
      <c r="J26" s="33">
        <f t="shared" si="26"/>
        <v>25</v>
      </c>
      <c r="K26" s="33">
        <f t="shared" si="26"/>
        <v>25</v>
      </c>
      <c r="L26" s="33">
        <f t="shared" si="26"/>
        <v>16</v>
      </c>
      <c r="M26" s="34">
        <f t="shared" si="3"/>
        <v>22.25</v>
      </c>
      <c r="N26" s="35">
        <f t="shared" si="4"/>
        <v>9</v>
      </c>
      <c r="O26" s="33"/>
      <c r="P26" s="33"/>
      <c r="Q26" s="33"/>
      <c r="R26" s="33"/>
      <c r="S26" s="33"/>
      <c r="T26" s="33"/>
      <c r="U26" s="33"/>
      <c r="V26" s="33"/>
      <c r="W26" s="33"/>
      <c r="X26" s="33"/>
      <c r="Y26" s="33"/>
      <c r="Z26" s="33"/>
      <c r="AA26" s="33"/>
      <c r="AB26" s="33"/>
    </row>
    <row r="27">
      <c r="A27" s="36"/>
      <c r="B27" s="36">
        <v>25.0</v>
      </c>
      <c r="C27" s="36" t="s">
        <v>75</v>
      </c>
      <c r="D27" s="37">
        <f>sumproduct(E27:H27,Weights_by_Model[[GREATEST]:[CLUTCH]])</f>
        <v>20.46032803</v>
      </c>
      <c r="E27" s="38">
        <f t="array" ref="E27">xlookup(C27,MODEL_GREATEST!B:B,MODEL_GREATEST!C:C)</f>
        <v>16.27893516</v>
      </c>
      <c r="F27" s="38">
        <f t="array" ref="F27">xlookup(C27,MODEL_BEST!B:B,MODEL_BEST!C:C)</f>
        <v>23.47047476</v>
      </c>
      <c r="G27" s="38">
        <f t="array" ref="G27">xlookup(C27,MODEL_DOMINANT!B:B,MODEL_DOMINANT!C:C)</f>
        <v>26.68009874</v>
      </c>
      <c r="H27" s="38">
        <f t="array" ref="H27">xlookup(C27,MODEL_CLUTCH!B:B,MODEL_CLUTCH!C:C)</f>
        <v>15.71591791</v>
      </c>
      <c r="I27" s="39">
        <f t="shared" ref="I27:L27" si="27">rank(E27,E$3:E$27,0)</f>
        <v>25</v>
      </c>
      <c r="J27" s="40">
        <f t="shared" si="27"/>
        <v>24</v>
      </c>
      <c r="K27" s="40">
        <f t="shared" si="27"/>
        <v>23</v>
      </c>
      <c r="L27" s="40">
        <f t="shared" si="27"/>
        <v>25</v>
      </c>
      <c r="M27" s="41">
        <f t="shared" si="3"/>
        <v>24.25</v>
      </c>
      <c r="N27" s="42">
        <f t="shared" si="4"/>
        <v>2</v>
      </c>
      <c r="O27" s="33"/>
      <c r="P27" s="33"/>
      <c r="Q27" s="33"/>
      <c r="R27" s="33"/>
      <c r="S27" s="33"/>
      <c r="T27" s="33"/>
      <c r="U27" s="33"/>
      <c r="V27" s="33"/>
      <c r="W27" s="33"/>
      <c r="X27" s="33"/>
      <c r="Y27" s="33"/>
      <c r="Z27" s="33"/>
      <c r="AA27" s="33"/>
      <c r="AB27" s="33"/>
    </row>
    <row r="28">
      <c r="A28" s="29"/>
      <c r="B28" s="29"/>
      <c r="C28" s="29"/>
      <c r="D28" s="43"/>
      <c r="E28" s="33"/>
      <c r="F28" s="33"/>
      <c r="G28" s="33"/>
      <c r="H28" s="33"/>
      <c r="I28" s="33"/>
      <c r="J28" s="33"/>
      <c r="K28" s="33"/>
      <c r="L28" s="33"/>
      <c r="M28" s="43"/>
      <c r="N28" s="43"/>
      <c r="O28" s="33"/>
      <c r="P28" s="33"/>
      <c r="Q28" s="33"/>
      <c r="R28" s="33"/>
      <c r="S28" s="33"/>
      <c r="T28" s="33"/>
      <c r="U28" s="33"/>
      <c r="V28" s="33"/>
      <c r="W28" s="33"/>
      <c r="X28" s="33"/>
      <c r="Y28" s="33"/>
      <c r="Z28" s="33"/>
      <c r="AA28" s="33"/>
      <c r="AB28" s="33"/>
    </row>
    <row r="29">
      <c r="A29" s="33"/>
      <c r="B29" s="33"/>
      <c r="C29" s="33"/>
      <c r="D29" s="43"/>
      <c r="E29" s="33"/>
      <c r="F29" s="33"/>
      <c r="G29" s="33"/>
      <c r="H29" s="33"/>
      <c r="I29" s="33"/>
      <c r="J29" s="33"/>
      <c r="K29" s="33"/>
      <c r="L29" s="33"/>
      <c r="M29" s="43"/>
      <c r="N29" s="43"/>
      <c r="O29" s="33"/>
      <c r="P29" s="33"/>
      <c r="Q29" s="33"/>
      <c r="R29" s="33"/>
      <c r="S29" s="33"/>
      <c r="T29" s="33"/>
      <c r="U29" s="33"/>
      <c r="V29" s="33"/>
      <c r="W29" s="33"/>
      <c r="X29" s="33"/>
      <c r="Y29" s="33"/>
      <c r="Z29" s="33"/>
      <c r="AA29" s="33"/>
      <c r="AB29" s="33"/>
    </row>
    <row r="30">
      <c r="A30" s="33"/>
      <c r="B30" s="33"/>
      <c r="C30" s="33"/>
      <c r="D30" s="43"/>
      <c r="E30" s="33"/>
      <c r="F30" s="33"/>
      <c r="G30" s="33"/>
      <c r="H30" s="33"/>
      <c r="I30" s="33"/>
      <c r="J30" s="33"/>
      <c r="K30" s="33"/>
      <c r="L30" s="33"/>
      <c r="M30" s="43"/>
      <c r="N30" s="43"/>
      <c r="O30" s="33"/>
      <c r="P30" s="33"/>
      <c r="Q30" s="33"/>
      <c r="R30" s="33"/>
      <c r="S30" s="33"/>
      <c r="T30" s="33"/>
      <c r="U30" s="33"/>
      <c r="V30" s="33"/>
      <c r="W30" s="33"/>
      <c r="X30" s="33"/>
      <c r="Y30" s="33"/>
      <c r="Z30" s="33"/>
      <c r="AA30" s="33"/>
      <c r="AB30" s="33"/>
    </row>
    <row r="31">
      <c r="A31" s="33"/>
      <c r="B31" s="33"/>
      <c r="C31" s="33"/>
      <c r="D31" s="43"/>
      <c r="E31" s="33"/>
      <c r="F31" s="33"/>
      <c r="G31" s="33"/>
      <c r="H31" s="33"/>
      <c r="I31" s="33"/>
      <c r="J31" s="33"/>
      <c r="K31" s="33"/>
      <c r="L31" s="33"/>
      <c r="M31" s="43"/>
      <c r="N31" s="43"/>
      <c r="O31" s="33"/>
      <c r="P31" s="33"/>
      <c r="Q31" s="33"/>
      <c r="R31" s="33"/>
      <c r="S31" s="33"/>
      <c r="T31" s="33"/>
      <c r="U31" s="33"/>
      <c r="V31" s="33"/>
      <c r="W31" s="33"/>
      <c r="X31" s="33"/>
      <c r="Y31" s="33"/>
      <c r="Z31" s="33"/>
      <c r="AA31" s="33"/>
      <c r="AB31" s="33"/>
    </row>
    <row r="32">
      <c r="A32" s="33"/>
      <c r="B32" s="33"/>
      <c r="C32" s="33"/>
      <c r="D32" s="43"/>
      <c r="E32" s="33"/>
      <c r="F32" s="33"/>
      <c r="G32" s="33"/>
      <c r="H32" s="33"/>
      <c r="I32" s="33"/>
      <c r="J32" s="33"/>
      <c r="K32" s="33"/>
      <c r="L32" s="33"/>
      <c r="M32" s="43"/>
      <c r="N32" s="43"/>
      <c r="O32" s="33"/>
      <c r="P32" s="33"/>
      <c r="Q32" s="33"/>
      <c r="R32" s="33"/>
      <c r="S32" s="33"/>
      <c r="T32" s="33"/>
      <c r="U32" s="33"/>
      <c r="V32" s="33"/>
      <c r="W32" s="33"/>
      <c r="X32" s="33"/>
      <c r="Y32" s="33"/>
      <c r="Z32" s="33"/>
      <c r="AA32" s="33"/>
      <c r="AB32" s="33"/>
    </row>
    <row r="33">
      <c r="A33" s="33"/>
      <c r="B33" s="33"/>
      <c r="C33" s="33"/>
      <c r="D33" s="43"/>
      <c r="E33" s="33"/>
      <c r="F33" s="33"/>
      <c r="G33" s="33"/>
      <c r="H33" s="33"/>
      <c r="I33" s="33"/>
      <c r="J33" s="33"/>
      <c r="K33" s="33"/>
      <c r="L33" s="33"/>
      <c r="M33" s="43"/>
      <c r="N33" s="43"/>
      <c r="O33" s="33"/>
      <c r="P33" s="33"/>
      <c r="Q33" s="33"/>
      <c r="R33" s="33"/>
      <c r="S33" s="33"/>
      <c r="T33" s="33"/>
      <c r="U33" s="33"/>
      <c r="V33" s="33"/>
      <c r="W33" s="33"/>
      <c r="X33" s="33"/>
      <c r="Y33" s="33"/>
      <c r="Z33" s="33"/>
      <c r="AA33" s="33"/>
      <c r="AB33" s="33"/>
    </row>
    <row r="34">
      <c r="A34" s="33"/>
      <c r="B34" s="33"/>
      <c r="C34" s="33"/>
      <c r="D34" s="43"/>
      <c r="E34" s="33"/>
      <c r="F34" s="33"/>
      <c r="G34" s="33"/>
      <c r="H34" s="33"/>
      <c r="I34" s="33"/>
      <c r="J34" s="33"/>
      <c r="K34" s="33"/>
      <c r="L34" s="33"/>
      <c r="M34" s="43"/>
      <c r="N34" s="43"/>
      <c r="O34" s="33"/>
      <c r="P34" s="33"/>
      <c r="Q34" s="33"/>
      <c r="R34" s="33"/>
      <c r="S34" s="33"/>
      <c r="T34" s="33"/>
      <c r="U34" s="33"/>
      <c r="V34" s="33"/>
      <c r="W34" s="33"/>
      <c r="X34" s="33"/>
      <c r="Y34" s="33"/>
      <c r="Z34" s="33"/>
      <c r="AA34" s="33"/>
      <c r="AB34" s="33"/>
    </row>
    <row r="35">
      <c r="A35" s="33"/>
      <c r="B35" s="33"/>
      <c r="C35" s="33"/>
      <c r="D35" s="43"/>
      <c r="E35" s="33"/>
      <c r="F35" s="33"/>
      <c r="G35" s="33"/>
      <c r="H35" s="33"/>
      <c r="I35" s="33"/>
      <c r="J35" s="33"/>
      <c r="K35" s="33"/>
      <c r="L35" s="33"/>
      <c r="M35" s="43"/>
      <c r="N35" s="43"/>
      <c r="O35" s="33"/>
      <c r="P35" s="33"/>
      <c r="Q35" s="33"/>
      <c r="R35" s="33"/>
      <c r="S35" s="33"/>
      <c r="T35" s="33"/>
      <c r="U35" s="33"/>
      <c r="V35" s="33"/>
      <c r="W35" s="33"/>
      <c r="X35" s="33"/>
      <c r="Y35" s="33"/>
      <c r="Z35" s="33"/>
      <c r="AA35" s="33"/>
      <c r="AB35" s="33"/>
    </row>
    <row r="36">
      <c r="A36" s="33"/>
      <c r="B36" s="33"/>
      <c r="C36" s="33"/>
      <c r="D36" s="43"/>
      <c r="E36" s="33"/>
      <c r="F36" s="33"/>
      <c r="G36" s="33"/>
      <c r="H36" s="33"/>
      <c r="I36" s="33"/>
      <c r="J36" s="33"/>
      <c r="K36" s="33"/>
      <c r="L36" s="33"/>
      <c r="M36" s="43"/>
      <c r="N36" s="43"/>
      <c r="O36" s="33"/>
      <c r="P36" s="33"/>
      <c r="Q36" s="33"/>
      <c r="R36" s="33"/>
      <c r="S36" s="33"/>
      <c r="T36" s="33"/>
      <c r="U36" s="33"/>
      <c r="V36" s="33"/>
      <c r="W36" s="33"/>
      <c r="X36" s="33"/>
      <c r="Y36" s="33"/>
      <c r="Z36" s="33"/>
      <c r="AA36" s="33"/>
      <c r="AB36" s="33"/>
    </row>
    <row r="37">
      <c r="A37" s="33"/>
      <c r="B37" s="33"/>
      <c r="C37" s="33"/>
      <c r="D37" s="43"/>
      <c r="E37" s="33"/>
      <c r="F37" s="33"/>
      <c r="G37" s="33"/>
      <c r="H37" s="33"/>
      <c r="I37" s="33"/>
      <c r="J37" s="33"/>
      <c r="K37" s="33"/>
      <c r="L37" s="33"/>
      <c r="M37" s="43"/>
      <c r="N37" s="43"/>
      <c r="O37" s="33"/>
      <c r="P37" s="33"/>
      <c r="Q37" s="33"/>
      <c r="R37" s="33"/>
      <c r="S37" s="33"/>
      <c r="T37" s="33"/>
      <c r="U37" s="33"/>
      <c r="V37" s="33"/>
      <c r="W37" s="33"/>
      <c r="X37" s="33"/>
      <c r="Y37" s="33"/>
      <c r="Z37" s="33"/>
      <c r="AA37" s="33"/>
      <c r="AB37" s="33"/>
    </row>
    <row r="38">
      <c r="A38" s="33"/>
      <c r="B38" s="33"/>
      <c r="C38" s="33"/>
      <c r="D38" s="43"/>
      <c r="E38" s="33"/>
      <c r="F38" s="33"/>
      <c r="G38" s="33"/>
      <c r="H38" s="33"/>
      <c r="I38" s="33"/>
      <c r="J38" s="33"/>
      <c r="K38" s="33"/>
      <c r="L38" s="33"/>
      <c r="M38" s="43"/>
      <c r="N38" s="43"/>
      <c r="O38" s="33"/>
      <c r="P38" s="33"/>
      <c r="Q38" s="33"/>
      <c r="R38" s="33"/>
      <c r="S38" s="33"/>
      <c r="T38" s="33"/>
      <c r="U38" s="33"/>
      <c r="V38" s="33"/>
      <c r="W38" s="33"/>
      <c r="X38" s="33"/>
      <c r="Y38" s="33"/>
      <c r="Z38" s="33"/>
      <c r="AA38" s="33"/>
      <c r="AB38" s="33"/>
    </row>
    <row r="39">
      <c r="A39" s="33"/>
      <c r="B39" s="33"/>
      <c r="C39" s="33"/>
      <c r="D39" s="43"/>
      <c r="E39" s="33"/>
      <c r="F39" s="33"/>
      <c r="G39" s="33"/>
      <c r="H39" s="33"/>
      <c r="I39" s="33"/>
      <c r="J39" s="33"/>
      <c r="K39" s="33"/>
      <c r="L39" s="33"/>
      <c r="M39" s="43"/>
      <c r="N39" s="43"/>
      <c r="O39" s="33"/>
      <c r="P39" s="33"/>
      <c r="Q39" s="33"/>
      <c r="R39" s="33"/>
      <c r="S39" s="33"/>
      <c r="T39" s="33"/>
      <c r="U39" s="33"/>
      <c r="V39" s="33"/>
      <c r="W39" s="33"/>
      <c r="X39" s="33"/>
      <c r="Y39" s="33"/>
      <c r="Z39" s="33"/>
      <c r="AA39" s="33"/>
      <c r="AB39" s="33"/>
    </row>
    <row r="40">
      <c r="A40" s="33"/>
      <c r="B40" s="33"/>
      <c r="C40" s="33"/>
      <c r="D40" s="43"/>
      <c r="E40" s="33"/>
      <c r="F40" s="33"/>
      <c r="G40" s="33"/>
      <c r="H40" s="33"/>
      <c r="I40" s="33"/>
      <c r="J40" s="33"/>
      <c r="K40" s="33"/>
      <c r="L40" s="33"/>
      <c r="M40" s="43"/>
      <c r="N40" s="43"/>
      <c r="O40" s="33"/>
      <c r="P40" s="33"/>
      <c r="Q40" s="33"/>
      <c r="R40" s="33"/>
      <c r="S40" s="33"/>
      <c r="T40" s="33"/>
      <c r="U40" s="33"/>
      <c r="V40" s="33"/>
      <c r="W40" s="33"/>
      <c r="X40" s="33"/>
      <c r="Y40" s="33"/>
      <c r="Z40" s="33"/>
      <c r="AA40" s="33"/>
      <c r="AB40" s="33"/>
    </row>
    <row r="41">
      <c r="A41" s="33"/>
      <c r="B41" s="33"/>
      <c r="C41" s="33"/>
      <c r="D41" s="43"/>
      <c r="E41" s="33"/>
      <c r="F41" s="33"/>
      <c r="G41" s="33"/>
      <c r="H41" s="33"/>
      <c r="I41" s="33"/>
      <c r="J41" s="33"/>
      <c r="K41" s="33"/>
      <c r="L41" s="33"/>
      <c r="M41" s="43"/>
      <c r="N41" s="43"/>
      <c r="O41" s="33"/>
      <c r="P41" s="33"/>
      <c r="Q41" s="33"/>
      <c r="R41" s="33"/>
      <c r="S41" s="33"/>
      <c r="T41" s="33"/>
      <c r="U41" s="33"/>
      <c r="V41" s="33"/>
      <c r="W41" s="33"/>
      <c r="X41" s="33"/>
      <c r="Y41" s="33"/>
      <c r="Z41" s="33"/>
      <c r="AA41" s="33"/>
      <c r="AB41" s="33"/>
    </row>
    <row r="42">
      <c r="A42" s="33"/>
      <c r="B42" s="33"/>
      <c r="C42" s="33"/>
      <c r="D42" s="43"/>
      <c r="E42" s="33"/>
      <c r="F42" s="33"/>
      <c r="G42" s="33"/>
      <c r="H42" s="33"/>
      <c r="I42" s="33"/>
      <c r="J42" s="33"/>
      <c r="K42" s="33"/>
      <c r="L42" s="33"/>
      <c r="M42" s="43"/>
      <c r="N42" s="43"/>
      <c r="O42" s="33"/>
      <c r="P42" s="33"/>
      <c r="Q42" s="33"/>
      <c r="R42" s="33"/>
      <c r="S42" s="33"/>
      <c r="T42" s="33"/>
      <c r="U42" s="33"/>
      <c r="V42" s="33"/>
      <c r="W42" s="33"/>
      <c r="X42" s="33"/>
      <c r="Y42" s="33"/>
      <c r="Z42" s="33"/>
      <c r="AA42" s="33"/>
      <c r="AB42" s="33"/>
    </row>
    <row r="43">
      <c r="A43" s="33"/>
      <c r="B43" s="33"/>
      <c r="C43" s="33"/>
      <c r="D43" s="43"/>
      <c r="E43" s="33"/>
      <c r="F43" s="33"/>
      <c r="G43" s="33"/>
      <c r="H43" s="33"/>
      <c r="I43" s="33"/>
      <c r="J43" s="33"/>
      <c r="K43" s="33"/>
      <c r="L43" s="33"/>
      <c r="M43" s="43"/>
      <c r="N43" s="43"/>
      <c r="O43" s="33"/>
      <c r="P43" s="33"/>
      <c r="Q43" s="33"/>
      <c r="R43" s="33"/>
      <c r="S43" s="33"/>
      <c r="T43" s="33"/>
      <c r="U43" s="33"/>
      <c r="V43" s="33"/>
      <c r="W43" s="33"/>
      <c r="X43" s="33"/>
      <c r="Y43" s="33"/>
      <c r="Z43" s="33"/>
      <c r="AA43" s="33"/>
      <c r="AB43" s="33"/>
    </row>
    <row r="44">
      <c r="A44" s="33"/>
      <c r="B44" s="33"/>
      <c r="C44" s="33"/>
      <c r="D44" s="43"/>
      <c r="E44" s="33"/>
      <c r="F44" s="33"/>
      <c r="G44" s="33"/>
      <c r="H44" s="33"/>
      <c r="I44" s="33"/>
      <c r="J44" s="33"/>
      <c r="K44" s="33"/>
      <c r="L44" s="33"/>
      <c r="M44" s="43"/>
      <c r="N44" s="43"/>
      <c r="O44" s="33"/>
      <c r="P44" s="33"/>
      <c r="Q44" s="33"/>
      <c r="R44" s="33"/>
      <c r="S44" s="33"/>
      <c r="T44" s="33"/>
      <c r="U44" s="33"/>
      <c r="V44" s="33"/>
      <c r="W44" s="33"/>
      <c r="X44" s="33"/>
      <c r="Y44" s="33"/>
      <c r="Z44" s="33"/>
      <c r="AA44" s="33"/>
      <c r="AB44" s="33"/>
    </row>
    <row r="45">
      <c r="A45" s="33"/>
      <c r="B45" s="33"/>
      <c r="C45" s="33"/>
      <c r="D45" s="43"/>
      <c r="E45" s="33"/>
      <c r="F45" s="33"/>
      <c r="G45" s="33"/>
      <c r="H45" s="33"/>
      <c r="I45" s="33"/>
      <c r="J45" s="33"/>
      <c r="K45" s="33"/>
      <c r="L45" s="33"/>
      <c r="M45" s="43"/>
      <c r="N45" s="43"/>
      <c r="O45" s="33"/>
      <c r="P45" s="33"/>
      <c r="Q45" s="33"/>
      <c r="R45" s="33"/>
      <c r="S45" s="33"/>
      <c r="T45" s="33"/>
      <c r="U45" s="33"/>
      <c r="V45" s="33"/>
      <c r="W45" s="33"/>
      <c r="X45" s="33"/>
      <c r="Y45" s="33"/>
      <c r="Z45" s="33"/>
      <c r="AA45" s="33"/>
      <c r="AB45" s="33"/>
    </row>
    <row r="46">
      <c r="A46" s="33"/>
      <c r="B46" s="33"/>
      <c r="C46" s="33"/>
      <c r="D46" s="43"/>
      <c r="E46" s="33"/>
      <c r="F46" s="33"/>
      <c r="G46" s="33"/>
      <c r="H46" s="33"/>
      <c r="I46" s="33"/>
      <c r="J46" s="33"/>
      <c r="K46" s="33"/>
      <c r="L46" s="33"/>
      <c r="M46" s="43"/>
      <c r="N46" s="43"/>
      <c r="O46" s="33"/>
      <c r="P46" s="33"/>
      <c r="Q46" s="33"/>
      <c r="R46" s="33"/>
      <c r="S46" s="33"/>
      <c r="T46" s="33"/>
      <c r="U46" s="33"/>
      <c r="V46" s="33"/>
      <c r="W46" s="33"/>
      <c r="X46" s="33"/>
      <c r="Y46" s="33"/>
      <c r="Z46" s="33"/>
      <c r="AA46" s="33"/>
      <c r="AB46" s="33"/>
    </row>
    <row r="47">
      <c r="A47" s="33"/>
      <c r="B47" s="33"/>
      <c r="C47" s="33"/>
      <c r="D47" s="43"/>
      <c r="E47" s="33"/>
      <c r="F47" s="33"/>
      <c r="G47" s="33"/>
      <c r="H47" s="33"/>
      <c r="I47" s="33"/>
      <c r="J47" s="33"/>
      <c r="K47" s="33"/>
      <c r="L47" s="33"/>
      <c r="M47" s="43"/>
      <c r="N47" s="43"/>
      <c r="O47" s="33"/>
      <c r="P47" s="33"/>
      <c r="Q47" s="33"/>
      <c r="R47" s="33"/>
      <c r="S47" s="33"/>
      <c r="T47" s="33"/>
      <c r="U47" s="33"/>
      <c r="V47" s="33"/>
      <c r="W47" s="33"/>
      <c r="X47" s="33"/>
      <c r="Y47" s="33"/>
      <c r="Z47" s="33"/>
      <c r="AA47" s="33"/>
      <c r="AB47" s="33"/>
    </row>
    <row r="48">
      <c r="A48" s="33"/>
      <c r="B48" s="33"/>
      <c r="C48" s="33"/>
      <c r="D48" s="43"/>
      <c r="E48" s="33"/>
      <c r="F48" s="33"/>
      <c r="G48" s="33"/>
      <c r="H48" s="33"/>
      <c r="I48" s="33"/>
      <c r="J48" s="33"/>
      <c r="K48" s="33"/>
      <c r="L48" s="33"/>
      <c r="M48" s="43"/>
      <c r="N48" s="43"/>
      <c r="O48" s="33"/>
      <c r="P48" s="33"/>
      <c r="Q48" s="33"/>
      <c r="R48" s="33"/>
      <c r="S48" s="33"/>
      <c r="T48" s="33"/>
      <c r="U48" s="33"/>
      <c r="V48" s="33"/>
      <c r="W48" s="33"/>
      <c r="X48" s="33"/>
      <c r="Y48" s="33"/>
      <c r="Z48" s="33"/>
      <c r="AA48" s="33"/>
      <c r="AB48" s="33"/>
    </row>
    <row r="49">
      <c r="A49" s="33"/>
      <c r="B49" s="33"/>
      <c r="C49" s="33"/>
      <c r="D49" s="43"/>
      <c r="E49" s="33"/>
      <c r="F49" s="33"/>
      <c r="G49" s="33"/>
      <c r="H49" s="33"/>
      <c r="I49" s="33"/>
      <c r="J49" s="33"/>
      <c r="K49" s="33"/>
      <c r="L49" s="33"/>
      <c r="M49" s="43"/>
      <c r="N49" s="43"/>
      <c r="O49" s="33"/>
      <c r="P49" s="33"/>
      <c r="Q49" s="33"/>
      <c r="R49" s="33"/>
      <c r="S49" s="33"/>
      <c r="T49" s="33"/>
      <c r="U49" s="33"/>
      <c r="V49" s="33"/>
      <c r="W49" s="33"/>
      <c r="X49" s="33"/>
      <c r="Y49" s="33"/>
      <c r="Z49" s="33"/>
      <c r="AA49" s="33"/>
      <c r="AB49" s="33"/>
    </row>
    <row r="50">
      <c r="A50" s="33"/>
      <c r="B50" s="33"/>
      <c r="C50" s="33"/>
      <c r="D50" s="43"/>
      <c r="E50" s="33"/>
      <c r="F50" s="33"/>
      <c r="G50" s="33"/>
      <c r="H50" s="33"/>
      <c r="I50" s="33"/>
      <c r="J50" s="33"/>
      <c r="K50" s="33"/>
      <c r="L50" s="33"/>
      <c r="M50" s="43"/>
      <c r="N50" s="43"/>
      <c r="O50" s="33"/>
      <c r="P50" s="33"/>
      <c r="Q50" s="33"/>
      <c r="R50" s="33"/>
      <c r="S50" s="33"/>
      <c r="T50" s="33"/>
      <c r="U50" s="33"/>
      <c r="V50" s="33"/>
      <c r="W50" s="33"/>
      <c r="X50" s="33"/>
      <c r="Y50" s="33"/>
      <c r="Z50" s="33"/>
      <c r="AA50" s="33"/>
      <c r="AB50" s="33"/>
    </row>
    <row r="51">
      <c r="A51" s="33"/>
      <c r="B51" s="33"/>
      <c r="C51" s="33"/>
      <c r="D51" s="43"/>
      <c r="E51" s="33"/>
      <c r="F51" s="33"/>
      <c r="G51" s="33"/>
      <c r="H51" s="33"/>
      <c r="I51" s="33"/>
      <c r="J51" s="33"/>
      <c r="K51" s="33"/>
      <c r="L51" s="33"/>
      <c r="M51" s="43"/>
      <c r="N51" s="43"/>
      <c r="O51" s="33"/>
      <c r="P51" s="33"/>
      <c r="Q51" s="33"/>
      <c r="R51" s="33"/>
      <c r="S51" s="33"/>
      <c r="T51" s="33"/>
      <c r="U51" s="33"/>
      <c r="V51" s="33"/>
      <c r="W51" s="33"/>
      <c r="X51" s="33"/>
      <c r="Y51" s="33"/>
      <c r="Z51" s="33"/>
      <c r="AA51" s="33"/>
      <c r="AB51" s="33"/>
    </row>
    <row r="52">
      <c r="A52" s="33"/>
      <c r="B52" s="33"/>
      <c r="C52" s="33"/>
      <c r="D52" s="43"/>
      <c r="E52" s="33"/>
      <c r="F52" s="33"/>
      <c r="G52" s="33"/>
      <c r="H52" s="33"/>
      <c r="I52" s="33"/>
      <c r="J52" s="33"/>
      <c r="K52" s="33"/>
      <c r="L52" s="33"/>
      <c r="M52" s="43"/>
      <c r="N52" s="43"/>
      <c r="O52" s="33"/>
      <c r="P52" s="33"/>
      <c r="Q52" s="33"/>
      <c r="R52" s="33"/>
      <c r="S52" s="33"/>
      <c r="T52" s="33"/>
      <c r="U52" s="33"/>
      <c r="V52" s="33"/>
      <c r="W52" s="33"/>
      <c r="X52" s="33"/>
      <c r="Y52" s="33"/>
      <c r="Z52" s="33"/>
      <c r="AA52" s="33"/>
      <c r="AB52" s="33"/>
    </row>
    <row r="53">
      <c r="A53" s="33"/>
      <c r="B53" s="33"/>
      <c r="C53" s="33"/>
      <c r="D53" s="43"/>
      <c r="E53" s="33"/>
      <c r="F53" s="33"/>
      <c r="G53" s="33"/>
      <c r="H53" s="33"/>
      <c r="I53" s="33"/>
      <c r="J53" s="33"/>
      <c r="K53" s="33"/>
      <c r="L53" s="33"/>
      <c r="M53" s="43"/>
      <c r="N53" s="43"/>
      <c r="O53" s="33"/>
      <c r="P53" s="33"/>
      <c r="Q53" s="33"/>
      <c r="R53" s="33"/>
      <c r="S53" s="33"/>
      <c r="T53" s="33"/>
      <c r="U53" s="33"/>
      <c r="V53" s="33"/>
      <c r="W53" s="33"/>
      <c r="X53" s="33"/>
      <c r="Y53" s="33"/>
      <c r="Z53" s="33"/>
      <c r="AA53" s="33"/>
      <c r="AB53" s="33"/>
    </row>
    <row r="54">
      <c r="A54" s="33"/>
      <c r="B54" s="33"/>
      <c r="C54" s="33"/>
      <c r="D54" s="43"/>
      <c r="E54" s="33"/>
      <c r="F54" s="33"/>
      <c r="G54" s="33"/>
      <c r="H54" s="33"/>
      <c r="I54" s="33"/>
      <c r="J54" s="33"/>
      <c r="K54" s="33"/>
      <c r="L54" s="33"/>
      <c r="M54" s="43"/>
      <c r="N54" s="43"/>
      <c r="O54" s="33"/>
      <c r="P54" s="33"/>
      <c r="Q54" s="33"/>
      <c r="R54" s="33"/>
      <c r="S54" s="33"/>
      <c r="T54" s="33"/>
      <c r="U54" s="33"/>
      <c r="V54" s="33"/>
      <c r="W54" s="33"/>
      <c r="X54" s="33"/>
      <c r="Y54" s="33"/>
      <c r="Z54" s="33"/>
      <c r="AA54" s="33"/>
      <c r="AB54" s="33"/>
    </row>
    <row r="55">
      <c r="A55" s="33"/>
      <c r="B55" s="33"/>
      <c r="C55" s="33"/>
      <c r="D55" s="43"/>
      <c r="E55" s="33"/>
      <c r="F55" s="33"/>
      <c r="G55" s="33"/>
      <c r="H55" s="33"/>
      <c r="I55" s="33"/>
      <c r="J55" s="33"/>
      <c r="K55" s="33"/>
      <c r="L55" s="33"/>
      <c r="M55" s="43"/>
      <c r="N55" s="43"/>
      <c r="O55" s="33"/>
      <c r="P55" s="33"/>
      <c r="Q55" s="33"/>
      <c r="R55" s="33"/>
      <c r="S55" s="33"/>
      <c r="T55" s="33"/>
      <c r="U55" s="33"/>
      <c r="V55" s="33"/>
      <c r="W55" s="33"/>
      <c r="X55" s="33"/>
      <c r="Y55" s="33"/>
      <c r="Z55" s="33"/>
      <c r="AA55" s="33"/>
      <c r="AB55" s="33"/>
    </row>
    <row r="56">
      <c r="A56" s="33"/>
      <c r="B56" s="33"/>
      <c r="C56" s="33"/>
      <c r="D56" s="43"/>
      <c r="E56" s="33"/>
      <c r="F56" s="33"/>
      <c r="G56" s="33"/>
      <c r="H56" s="33"/>
      <c r="I56" s="33"/>
      <c r="J56" s="33"/>
      <c r="K56" s="33"/>
      <c r="L56" s="33"/>
      <c r="M56" s="43"/>
      <c r="N56" s="43"/>
      <c r="O56" s="33"/>
      <c r="P56" s="33"/>
      <c r="Q56" s="33"/>
      <c r="R56" s="33"/>
      <c r="S56" s="33"/>
      <c r="T56" s="33"/>
      <c r="U56" s="33"/>
      <c r="V56" s="33"/>
      <c r="W56" s="33"/>
      <c r="X56" s="33"/>
      <c r="Y56" s="33"/>
      <c r="Z56" s="33"/>
      <c r="AA56" s="33"/>
      <c r="AB56" s="33"/>
    </row>
    <row r="57">
      <c r="A57" s="33"/>
      <c r="B57" s="33"/>
      <c r="C57" s="33"/>
      <c r="D57" s="43"/>
      <c r="E57" s="33"/>
      <c r="F57" s="33"/>
      <c r="G57" s="33"/>
      <c r="H57" s="33"/>
      <c r="I57" s="33"/>
      <c r="J57" s="33"/>
      <c r="K57" s="33"/>
      <c r="L57" s="33"/>
      <c r="M57" s="43"/>
      <c r="N57" s="43"/>
      <c r="O57" s="33"/>
      <c r="P57" s="33"/>
      <c r="Q57" s="33"/>
      <c r="R57" s="33"/>
      <c r="S57" s="33"/>
      <c r="T57" s="33"/>
      <c r="U57" s="33"/>
      <c r="V57" s="33"/>
      <c r="W57" s="33"/>
      <c r="X57" s="33"/>
      <c r="Y57" s="33"/>
      <c r="Z57" s="33"/>
      <c r="AA57" s="33"/>
      <c r="AB57" s="33"/>
    </row>
    <row r="58">
      <c r="A58" s="33"/>
      <c r="B58" s="33"/>
      <c r="C58" s="33"/>
      <c r="D58" s="43"/>
      <c r="E58" s="33"/>
      <c r="F58" s="33"/>
      <c r="G58" s="33"/>
      <c r="H58" s="33"/>
      <c r="I58" s="33"/>
      <c r="J58" s="33"/>
      <c r="K58" s="33"/>
      <c r="L58" s="33"/>
      <c r="M58" s="43"/>
      <c r="N58" s="43"/>
      <c r="O58" s="33"/>
      <c r="P58" s="33"/>
      <c r="Q58" s="33"/>
      <c r="R58" s="33"/>
      <c r="S58" s="33"/>
      <c r="T58" s="33"/>
      <c r="U58" s="33"/>
      <c r="V58" s="33"/>
      <c r="W58" s="33"/>
      <c r="X58" s="33"/>
      <c r="Y58" s="33"/>
      <c r="Z58" s="33"/>
      <c r="AA58" s="33"/>
      <c r="AB58" s="33"/>
    </row>
    <row r="59">
      <c r="A59" s="33"/>
      <c r="B59" s="33"/>
      <c r="C59" s="33"/>
      <c r="D59" s="43"/>
      <c r="E59" s="33"/>
      <c r="F59" s="33"/>
      <c r="G59" s="33"/>
      <c r="H59" s="33"/>
      <c r="I59" s="33"/>
      <c r="J59" s="33"/>
      <c r="K59" s="33"/>
      <c r="L59" s="33"/>
      <c r="M59" s="43"/>
      <c r="N59" s="43"/>
      <c r="O59" s="33"/>
      <c r="P59" s="33"/>
      <c r="Q59" s="33"/>
      <c r="R59" s="33"/>
      <c r="S59" s="33"/>
      <c r="T59" s="33"/>
      <c r="U59" s="33"/>
      <c r="V59" s="33"/>
      <c r="W59" s="33"/>
      <c r="X59" s="33"/>
      <c r="Y59" s="33"/>
      <c r="Z59" s="33"/>
      <c r="AA59" s="33"/>
      <c r="AB59" s="33"/>
    </row>
    <row r="60">
      <c r="A60" s="33"/>
      <c r="B60" s="33"/>
      <c r="C60" s="33"/>
      <c r="D60" s="43"/>
      <c r="E60" s="33"/>
      <c r="F60" s="33"/>
      <c r="G60" s="33"/>
      <c r="H60" s="33"/>
      <c r="I60" s="33"/>
      <c r="J60" s="33"/>
      <c r="K60" s="33"/>
      <c r="L60" s="33"/>
      <c r="M60" s="43"/>
      <c r="N60" s="43"/>
      <c r="O60" s="33"/>
      <c r="P60" s="33"/>
      <c r="Q60" s="33"/>
      <c r="R60" s="33"/>
      <c r="S60" s="33"/>
      <c r="T60" s="33"/>
      <c r="U60" s="33"/>
      <c r="V60" s="33"/>
      <c r="W60" s="33"/>
      <c r="X60" s="33"/>
      <c r="Y60" s="33"/>
      <c r="Z60" s="33"/>
      <c r="AA60" s="33"/>
      <c r="AB60" s="33"/>
    </row>
    <row r="61">
      <c r="A61" s="33"/>
      <c r="B61" s="33"/>
      <c r="C61" s="33"/>
      <c r="D61" s="43"/>
      <c r="E61" s="33"/>
      <c r="F61" s="33"/>
      <c r="G61" s="33"/>
      <c r="H61" s="33"/>
      <c r="I61" s="33"/>
      <c r="J61" s="33"/>
      <c r="K61" s="33"/>
      <c r="L61" s="33"/>
      <c r="M61" s="43"/>
      <c r="N61" s="43"/>
      <c r="O61" s="33"/>
      <c r="P61" s="33"/>
      <c r="Q61" s="33"/>
      <c r="R61" s="33"/>
      <c r="S61" s="33"/>
      <c r="T61" s="33"/>
      <c r="U61" s="33"/>
      <c r="V61" s="33"/>
      <c r="W61" s="33"/>
      <c r="X61" s="33"/>
      <c r="Y61" s="33"/>
      <c r="Z61" s="33"/>
      <c r="AA61" s="33"/>
      <c r="AB61" s="33"/>
    </row>
    <row r="62">
      <c r="A62" s="33"/>
      <c r="B62" s="33"/>
      <c r="C62" s="33"/>
      <c r="D62" s="43"/>
      <c r="E62" s="33"/>
      <c r="F62" s="33"/>
      <c r="G62" s="33"/>
      <c r="H62" s="33"/>
      <c r="I62" s="33"/>
      <c r="J62" s="33"/>
      <c r="K62" s="33"/>
      <c r="L62" s="33"/>
      <c r="M62" s="43"/>
      <c r="N62" s="43"/>
      <c r="O62" s="33"/>
      <c r="P62" s="33"/>
      <c r="Q62" s="33"/>
      <c r="R62" s="33"/>
      <c r="S62" s="33"/>
      <c r="T62" s="33"/>
      <c r="U62" s="33"/>
      <c r="V62" s="33"/>
      <c r="W62" s="33"/>
      <c r="X62" s="33"/>
      <c r="Y62" s="33"/>
      <c r="Z62" s="33"/>
      <c r="AA62" s="33"/>
      <c r="AB62" s="33"/>
    </row>
    <row r="63">
      <c r="A63" s="33"/>
      <c r="B63" s="33"/>
      <c r="C63" s="33"/>
      <c r="D63" s="43"/>
      <c r="E63" s="33"/>
      <c r="F63" s="33"/>
      <c r="G63" s="33"/>
      <c r="H63" s="33"/>
      <c r="I63" s="33"/>
      <c r="J63" s="33"/>
      <c r="K63" s="33"/>
      <c r="L63" s="33"/>
      <c r="M63" s="43"/>
      <c r="N63" s="43"/>
      <c r="O63" s="33"/>
      <c r="P63" s="33"/>
      <c r="Q63" s="33"/>
      <c r="R63" s="33"/>
      <c r="S63" s="33"/>
      <c r="T63" s="33"/>
      <c r="U63" s="33"/>
      <c r="V63" s="33"/>
      <c r="W63" s="33"/>
      <c r="X63" s="33"/>
      <c r="Y63" s="33"/>
      <c r="Z63" s="33"/>
      <c r="AA63" s="33"/>
      <c r="AB63" s="33"/>
    </row>
    <row r="64">
      <c r="A64" s="33"/>
      <c r="B64" s="33"/>
      <c r="C64" s="33"/>
      <c r="D64" s="43"/>
      <c r="E64" s="33"/>
      <c r="F64" s="33"/>
      <c r="G64" s="33"/>
      <c r="H64" s="33"/>
      <c r="I64" s="33"/>
      <c r="J64" s="33"/>
      <c r="K64" s="33"/>
      <c r="L64" s="33"/>
      <c r="M64" s="43"/>
      <c r="N64" s="43"/>
      <c r="O64" s="33"/>
      <c r="P64" s="33"/>
      <c r="Q64" s="33"/>
      <c r="R64" s="33"/>
      <c r="S64" s="33"/>
      <c r="T64" s="33"/>
      <c r="U64" s="33"/>
      <c r="V64" s="33"/>
      <c r="W64" s="33"/>
      <c r="X64" s="33"/>
      <c r="Y64" s="33"/>
      <c r="Z64" s="33"/>
      <c r="AA64" s="33"/>
      <c r="AB64" s="33"/>
    </row>
    <row r="65">
      <c r="A65" s="33"/>
      <c r="B65" s="33"/>
      <c r="C65" s="33"/>
      <c r="D65" s="43"/>
      <c r="E65" s="33"/>
      <c r="F65" s="33"/>
      <c r="G65" s="33"/>
      <c r="H65" s="33"/>
      <c r="I65" s="33"/>
      <c r="J65" s="33"/>
      <c r="K65" s="33"/>
      <c r="L65" s="33"/>
      <c r="M65" s="43"/>
      <c r="N65" s="43"/>
      <c r="O65" s="33"/>
      <c r="P65" s="33"/>
      <c r="Q65" s="33"/>
      <c r="R65" s="33"/>
      <c r="S65" s="33"/>
      <c r="T65" s="33"/>
      <c r="U65" s="33"/>
      <c r="V65" s="33"/>
      <c r="W65" s="33"/>
      <c r="X65" s="33"/>
      <c r="Y65" s="33"/>
      <c r="Z65" s="33"/>
      <c r="AA65" s="33"/>
      <c r="AB65" s="33"/>
    </row>
    <row r="66">
      <c r="A66" s="33"/>
      <c r="B66" s="33"/>
      <c r="C66" s="33"/>
      <c r="D66" s="43"/>
      <c r="E66" s="33"/>
      <c r="F66" s="33"/>
      <c r="G66" s="33"/>
      <c r="H66" s="33"/>
      <c r="I66" s="33"/>
      <c r="J66" s="33"/>
      <c r="K66" s="33"/>
      <c r="L66" s="33"/>
      <c r="M66" s="43"/>
      <c r="N66" s="43"/>
      <c r="O66" s="33"/>
      <c r="P66" s="33"/>
      <c r="Q66" s="33"/>
      <c r="R66" s="33"/>
      <c r="S66" s="33"/>
      <c r="T66" s="33"/>
      <c r="U66" s="33"/>
      <c r="V66" s="33"/>
      <c r="W66" s="33"/>
      <c r="X66" s="33"/>
      <c r="Y66" s="33"/>
      <c r="Z66" s="33"/>
      <c r="AA66" s="33"/>
      <c r="AB66" s="33"/>
    </row>
    <row r="67">
      <c r="A67" s="33"/>
      <c r="B67" s="33"/>
      <c r="C67" s="33"/>
      <c r="D67" s="43"/>
      <c r="E67" s="33"/>
      <c r="F67" s="33"/>
      <c r="G67" s="33"/>
      <c r="H67" s="33"/>
      <c r="I67" s="33"/>
      <c r="J67" s="33"/>
      <c r="K67" s="33"/>
      <c r="L67" s="33"/>
      <c r="M67" s="43"/>
      <c r="N67" s="43"/>
      <c r="O67" s="33"/>
      <c r="P67" s="33"/>
      <c r="Q67" s="33"/>
      <c r="R67" s="33"/>
      <c r="S67" s="33"/>
      <c r="T67" s="33"/>
      <c r="U67" s="33"/>
      <c r="V67" s="33"/>
      <c r="W67" s="33"/>
      <c r="X67" s="33"/>
      <c r="Y67" s="33"/>
      <c r="Z67" s="33"/>
      <c r="AA67" s="33"/>
      <c r="AB67" s="33"/>
    </row>
    <row r="68">
      <c r="A68" s="33"/>
      <c r="B68" s="33"/>
      <c r="C68" s="33"/>
      <c r="D68" s="43"/>
      <c r="E68" s="33"/>
      <c r="F68" s="33"/>
      <c r="G68" s="33"/>
      <c r="H68" s="33"/>
      <c r="I68" s="33"/>
      <c r="J68" s="33"/>
      <c r="K68" s="33"/>
      <c r="L68" s="33"/>
      <c r="M68" s="43"/>
      <c r="N68" s="43"/>
      <c r="O68" s="33"/>
      <c r="P68" s="33"/>
      <c r="Q68" s="33"/>
      <c r="R68" s="33"/>
      <c r="S68" s="33"/>
      <c r="T68" s="33"/>
      <c r="U68" s="33"/>
      <c r="V68" s="33"/>
      <c r="W68" s="33"/>
      <c r="X68" s="33"/>
      <c r="Y68" s="33"/>
      <c r="Z68" s="33"/>
      <c r="AA68" s="33"/>
      <c r="AB68" s="33"/>
    </row>
    <row r="69">
      <c r="A69" s="33"/>
      <c r="B69" s="33"/>
      <c r="C69" s="33"/>
      <c r="D69" s="43"/>
      <c r="E69" s="33"/>
      <c r="F69" s="33"/>
      <c r="G69" s="33"/>
      <c r="H69" s="33"/>
      <c r="I69" s="33"/>
      <c r="J69" s="33"/>
      <c r="K69" s="33"/>
      <c r="L69" s="33"/>
      <c r="M69" s="43"/>
      <c r="N69" s="43"/>
      <c r="O69" s="33"/>
      <c r="P69" s="33"/>
      <c r="Q69" s="33"/>
      <c r="R69" s="33"/>
      <c r="S69" s="33"/>
      <c r="T69" s="33"/>
      <c r="U69" s="33"/>
      <c r="V69" s="33"/>
      <c r="W69" s="33"/>
      <c r="X69" s="33"/>
      <c r="Y69" s="33"/>
      <c r="Z69" s="33"/>
      <c r="AA69" s="33"/>
      <c r="AB69" s="33"/>
    </row>
    <row r="70">
      <c r="A70" s="33"/>
      <c r="B70" s="33"/>
      <c r="C70" s="33"/>
      <c r="D70" s="43"/>
      <c r="E70" s="33"/>
      <c r="F70" s="33"/>
      <c r="G70" s="33"/>
      <c r="H70" s="33"/>
      <c r="I70" s="33"/>
      <c r="J70" s="33"/>
      <c r="K70" s="33"/>
      <c r="L70" s="33"/>
      <c r="M70" s="43"/>
      <c r="N70" s="43"/>
      <c r="O70" s="33"/>
      <c r="P70" s="33"/>
      <c r="Q70" s="33"/>
      <c r="R70" s="33"/>
      <c r="S70" s="33"/>
      <c r="T70" s="33"/>
      <c r="U70" s="33"/>
      <c r="V70" s="33"/>
      <c r="W70" s="33"/>
      <c r="X70" s="33"/>
      <c r="Y70" s="33"/>
      <c r="Z70" s="33"/>
      <c r="AA70" s="33"/>
      <c r="AB70" s="33"/>
    </row>
    <row r="71">
      <c r="A71" s="33"/>
      <c r="B71" s="33"/>
      <c r="C71" s="33"/>
      <c r="D71" s="43"/>
      <c r="E71" s="33"/>
      <c r="F71" s="33"/>
      <c r="G71" s="33"/>
      <c r="H71" s="33"/>
      <c r="I71" s="33"/>
      <c r="J71" s="33"/>
      <c r="K71" s="33"/>
      <c r="L71" s="33"/>
      <c r="M71" s="43"/>
      <c r="N71" s="43"/>
      <c r="O71" s="33"/>
      <c r="P71" s="33"/>
      <c r="Q71" s="33"/>
      <c r="R71" s="33"/>
      <c r="S71" s="33"/>
      <c r="T71" s="33"/>
      <c r="U71" s="33"/>
      <c r="V71" s="33"/>
      <c r="W71" s="33"/>
      <c r="X71" s="33"/>
      <c r="Y71" s="33"/>
      <c r="Z71" s="33"/>
      <c r="AA71" s="33"/>
      <c r="AB71" s="33"/>
    </row>
    <row r="72">
      <c r="A72" s="33"/>
      <c r="B72" s="33"/>
      <c r="C72" s="33"/>
      <c r="D72" s="43"/>
      <c r="E72" s="33"/>
      <c r="F72" s="33"/>
      <c r="G72" s="33"/>
      <c r="H72" s="33"/>
      <c r="I72" s="33"/>
      <c r="J72" s="33"/>
      <c r="K72" s="33"/>
      <c r="L72" s="33"/>
      <c r="M72" s="43"/>
      <c r="N72" s="43"/>
      <c r="O72" s="33"/>
      <c r="P72" s="33"/>
      <c r="Q72" s="33"/>
      <c r="R72" s="33"/>
      <c r="S72" s="33"/>
      <c r="T72" s="33"/>
      <c r="U72" s="33"/>
      <c r="V72" s="33"/>
      <c r="W72" s="33"/>
      <c r="X72" s="33"/>
      <c r="Y72" s="33"/>
      <c r="Z72" s="33"/>
      <c r="AA72" s="33"/>
      <c r="AB72" s="33"/>
    </row>
    <row r="73">
      <c r="A73" s="33"/>
      <c r="B73" s="33"/>
      <c r="C73" s="33"/>
      <c r="D73" s="43"/>
      <c r="E73" s="33"/>
      <c r="F73" s="33"/>
      <c r="G73" s="33"/>
      <c r="H73" s="33"/>
      <c r="I73" s="33"/>
      <c r="J73" s="33"/>
      <c r="K73" s="33"/>
      <c r="L73" s="33"/>
      <c r="M73" s="43"/>
      <c r="N73" s="43"/>
      <c r="O73" s="33"/>
      <c r="P73" s="33"/>
      <c r="Q73" s="33"/>
      <c r="R73" s="33"/>
      <c r="S73" s="33"/>
      <c r="T73" s="33"/>
      <c r="U73" s="33"/>
      <c r="V73" s="33"/>
      <c r="W73" s="33"/>
      <c r="X73" s="33"/>
      <c r="Y73" s="33"/>
      <c r="Z73" s="33"/>
      <c r="AA73" s="33"/>
      <c r="AB73" s="33"/>
    </row>
    <row r="74">
      <c r="A74" s="33"/>
      <c r="B74" s="33"/>
      <c r="C74" s="33"/>
      <c r="D74" s="43"/>
      <c r="E74" s="33"/>
      <c r="F74" s="33"/>
      <c r="G74" s="33"/>
      <c r="H74" s="33"/>
      <c r="I74" s="33"/>
      <c r="J74" s="33"/>
      <c r="K74" s="33"/>
      <c r="L74" s="33"/>
      <c r="M74" s="43"/>
      <c r="N74" s="43"/>
      <c r="O74" s="33"/>
      <c r="P74" s="33"/>
      <c r="Q74" s="33"/>
      <c r="R74" s="33"/>
      <c r="S74" s="33"/>
      <c r="T74" s="33"/>
      <c r="U74" s="33"/>
      <c r="V74" s="33"/>
      <c r="W74" s="33"/>
      <c r="X74" s="33"/>
      <c r="Y74" s="33"/>
      <c r="Z74" s="33"/>
      <c r="AA74" s="33"/>
      <c r="AB74" s="33"/>
    </row>
    <row r="75">
      <c r="A75" s="33"/>
      <c r="B75" s="33"/>
      <c r="C75" s="33"/>
      <c r="D75" s="43"/>
      <c r="E75" s="33"/>
      <c r="F75" s="33"/>
      <c r="G75" s="33"/>
      <c r="H75" s="33"/>
      <c r="I75" s="33"/>
      <c r="J75" s="33"/>
      <c r="K75" s="33"/>
      <c r="L75" s="33"/>
      <c r="M75" s="43"/>
      <c r="N75" s="43"/>
      <c r="O75" s="33"/>
      <c r="P75" s="33"/>
      <c r="Q75" s="33"/>
      <c r="R75" s="33"/>
      <c r="S75" s="33"/>
      <c r="T75" s="33"/>
      <c r="U75" s="33"/>
      <c r="V75" s="33"/>
      <c r="W75" s="33"/>
      <c r="X75" s="33"/>
      <c r="Y75" s="33"/>
      <c r="Z75" s="33"/>
      <c r="AA75" s="33"/>
      <c r="AB75" s="33"/>
    </row>
    <row r="76">
      <c r="A76" s="33"/>
      <c r="B76" s="33"/>
      <c r="C76" s="33"/>
      <c r="D76" s="43"/>
      <c r="E76" s="33"/>
      <c r="F76" s="33"/>
      <c r="G76" s="33"/>
      <c r="H76" s="33"/>
      <c r="I76" s="33"/>
      <c r="J76" s="33"/>
      <c r="K76" s="33"/>
      <c r="L76" s="33"/>
      <c r="M76" s="43"/>
      <c r="N76" s="43"/>
      <c r="O76" s="33"/>
      <c r="P76" s="33"/>
      <c r="Q76" s="33"/>
      <c r="R76" s="33"/>
      <c r="S76" s="33"/>
      <c r="T76" s="33"/>
      <c r="U76" s="33"/>
      <c r="V76" s="33"/>
      <c r="W76" s="33"/>
      <c r="X76" s="33"/>
      <c r="Y76" s="33"/>
      <c r="Z76" s="33"/>
      <c r="AA76" s="33"/>
      <c r="AB76" s="33"/>
    </row>
    <row r="77">
      <c r="A77" s="33"/>
      <c r="B77" s="33"/>
      <c r="C77" s="33"/>
      <c r="D77" s="43"/>
      <c r="E77" s="33"/>
      <c r="F77" s="33"/>
      <c r="G77" s="33"/>
      <c r="H77" s="33"/>
      <c r="I77" s="33"/>
      <c r="J77" s="33"/>
      <c r="K77" s="33"/>
      <c r="L77" s="33"/>
      <c r="M77" s="43"/>
      <c r="N77" s="43"/>
      <c r="O77" s="33"/>
      <c r="P77" s="33"/>
      <c r="Q77" s="33"/>
      <c r="R77" s="33"/>
      <c r="S77" s="33"/>
      <c r="T77" s="33"/>
      <c r="U77" s="33"/>
      <c r="V77" s="33"/>
      <c r="W77" s="33"/>
      <c r="X77" s="33"/>
      <c r="Y77" s="33"/>
      <c r="Z77" s="33"/>
      <c r="AA77" s="33"/>
      <c r="AB77" s="33"/>
    </row>
    <row r="78">
      <c r="A78" s="33"/>
      <c r="B78" s="33"/>
      <c r="C78" s="33"/>
      <c r="D78" s="43"/>
      <c r="E78" s="33"/>
      <c r="F78" s="33"/>
      <c r="G78" s="33"/>
      <c r="H78" s="33"/>
      <c r="I78" s="33"/>
      <c r="J78" s="33"/>
      <c r="K78" s="33"/>
      <c r="L78" s="33"/>
      <c r="M78" s="43"/>
      <c r="N78" s="43"/>
      <c r="O78" s="33"/>
      <c r="P78" s="33"/>
      <c r="Q78" s="33"/>
      <c r="R78" s="33"/>
      <c r="S78" s="33"/>
      <c r="T78" s="33"/>
      <c r="U78" s="33"/>
      <c r="V78" s="33"/>
      <c r="W78" s="33"/>
      <c r="X78" s="33"/>
      <c r="Y78" s="33"/>
      <c r="Z78" s="33"/>
      <c r="AA78" s="33"/>
      <c r="AB78" s="33"/>
    </row>
    <row r="79">
      <c r="A79" s="33"/>
      <c r="B79" s="33"/>
      <c r="C79" s="33"/>
      <c r="D79" s="43"/>
      <c r="E79" s="33"/>
      <c r="F79" s="33"/>
      <c r="G79" s="33"/>
      <c r="H79" s="33"/>
      <c r="I79" s="33"/>
      <c r="J79" s="33"/>
      <c r="K79" s="33"/>
      <c r="L79" s="33"/>
      <c r="M79" s="43"/>
      <c r="N79" s="43"/>
      <c r="O79" s="33"/>
      <c r="P79" s="33"/>
      <c r="Q79" s="33"/>
      <c r="R79" s="33"/>
      <c r="S79" s="33"/>
      <c r="T79" s="33"/>
      <c r="U79" s="33"/>
      <c r="V79" s="33"/>
      <c r="W79" s="33"/>
      <c r="X79" s="33"/>
      <c r="Y79" s="33"/>
      <c r="Z79" s="33"/>
      <c r="AA79" s="33"/>
      <c r="AB79" s="33"/>
    </row>
    <row r="80">
      <c r="A80" s="33"/>
      <c r="B80" s="33"/>
      <c r="C80" s="33"/>
      <c r="D80" s="43"/>
      <c r="E80" s="33"/>
      <c r="F80" s="33"/>
      <c r="G80" s="33"/>
      <c r="H80" s="33"/>
      <c r="I80" s="33"/>
      <c r="J80" s="33"/>
      <c r="K80" s="33"/>
      <c r="L80" s="33"/>
      <c r="M80" s="43"/>
      <c r="N80" s="43"/>
      <c r="O80" s="33"/>
      <c r="P80" s="33"/>
      <c r="Q80" s="33"/>
      <c r="R80" s="33"/>
      <c r="S80" s="33"/>
      <c r="T80" s="33"/>
      <c r="U80" s="33"/>
      <c r="V80" s="33"/>
      <c r="W80" s="33"/>
      <c r="X80" s="33"/>
      <c r="Y80" s="33"/>
      <c r="Z80" s="33"/>
      <c r="AA80" s="33"/>
      <c r="AB80" s="33"/>
    </row>
    <row r="81">
      <c r="A81" s="33"/>
      <c r="B81" s="33"/>
      <c r="C81" s="33"/>
      <c r="D81" s="43"/>
      <c r="E81" s="33"/>
      <c r="F81" s="33"/>
      <c r="G81" s="33"/>
      <c r="H81" s="33"/>
      <c r="I81" s="33"/>
      <c r="J81" s="33"/>
      <c r="K81" s="33"/>
      <c r="L81" s="33"/>
      <c r="M81" s="43"/>
      <c r="N81" s="43"/>
      <c r="O81" s="33"/>
      <c r="P81" s="33"/>
      <c r="Q81" s="33"/>
      <c r="R81" s="33"/>
      <c r="S81" s="33"/>
      <c r="T81" s="33"/>
      <c r="U81" s="33"/>
      <c r="V81" s="33"/>
      <c r="W81" s="33"/>
      <c r="X81" s="33"/>
      <c r="Y81" s="33"/>
      <c r="Z81" s="33"/>
      <c r="AA81" s="33"/>
      <c r="AB81" s="33"/>
    </row>
    <row r="82">
      <c r="A82" s="33"/>
      <c r="B82" s="33"/>
      <c r="C82" s="33"/>
      <c r="D82" s="43"/>
      <c r="E82" s="33"/>
      <c r="F82" s="33"/>
      <c r="G82" s="33"/>
      <c r="H82" s="33"/>
      <c r="I82" s="33"/>
      <c r="J82" s="33"/>
      <c r="K82" s="33"/>
      <c r="L82" s="33"/>
      <c r="M82" s="43"/>
      <c r="N82" s="43"/>
      <c r="O82" s="33"/>
      <c r="P82" s="33"/>
      <c r="Q82" s="33"/>
      <c r="R82" s="33"/>
      <c r="S82" s="33"/>
      <c r="T82" s="33"/>
      <c r="U82" s="33"/>
      <c r="V82" s="33"/>
      <c r="W82" s="33"/>
      <c r="X82" s="33"/>
      <c r="Y82" s="33"/>
      <c r="Z82" s="33"/>
      <c r="AA82" s="33"/>
      <c r="AB82" s="33"/>
    </row>
    <row r="83">
      <c r="A83" s="33"/>
      <c r="B83" s="33"/>
      <c r="C83" s="33"/>
      <c r="D83" s="43"/>
      <c r="E83" s="33"/>
      <c r="F83" s="33"/>
      <c r="G83" s="33"/>
      <c r="H83" s="33"/>
      <c r="I83" s="33"/>
      <c r="J83" s="33"/>
      <c r="K83" s="33"/>
      <c r="L83" s="33"/>
      <c r="M83" s="43"/>
      <c r="N83" s="43"/>
      <c r="O83" s="33"/>
      <c r="P83" s="33"/>
      <c r="Q83" s="33"/>
      <c r="R83" s="33"/>
      <c r="S83" s="33"/>
      <c r="T83" s="33"/>
      <c r="U83" s="33"/>
      <c r="V83" s="33"/>
      <c r="W83" s="33"/>
      <c r="X83" s="33"/>
      <c r="Y83" s="33"/>
      <c r="Z83" s="33"/>
      <c r="AA83" s="33"/>
      <c r="AB83" s="33"/>
    </row>
    <row r="84">
      <c r="A84" s="33"/>
      <c r="B84" s="33"/>
      <c r="C84" s="33"/>
      <c r="D84" s="43"/>
      <c r="E84" s="33"/>
      <c r="F84" s="33"/>
      <c r="G84" s="33"/>
      <c r="H84" s="33"/>
      <c r="I84" s="33"/>
      <c r="J84" s="33"/>
      <c r="K84" s="33"/>
      <c r="L84" s="33"/>
      <c r="M84" s="43"/>
      <c r="N84" s="43"/>
      <c r="O84" s="33"/>
      <c r="P84" s="33"/>
      <c r="Q84" s="33"/>
      <c r="R84" s="33"/>
      <c r="S84" s="33"/>
      <c r="T84" s="33"/>
      <c r="U84" s="33"/>
      <c r="V84" s="33"/>
      <c r="W84" s="33"/>
      <c r="X84" s="33"/>
      <c r="Y84" s="33"/>
      <c r="Z84" s="33"/>
      <c r="AA84" s="33"/>
      <c r="AB84" s="33"/>
    </row>
    <row r="85">
      <c r="A85" s="33"/>
      <c r="B85" s="33"/>
      <c r="C85" s="33"/>
      <c r="D85" s="43"/>
      <c r="E85" s="33"/>
      <c r="F85" s="33"/>
      <c r="G85" s="33"/>
      <c r="H85" s="33"/>
      <c r="I85" s="33"/>
      <c r="J85" s="33"/>
      <c r="K85" s="33"/>
      <c r="L85" s="33"/>
      <c r="M85" s="43"/>
      <c r="N85" s="43"/>
      <c r="O85" s="33"/>
      <c r="P85" s="33"/>
      <c r="Q85" s="33"/>
      <c r="R85" s="33"/>
      <c r="S85" s="33"/>
      <c r="T85" s="33"/>
      <c r="U85" s="33"/>
      <c r="V85" s="33"/>
      <c r="W85" s="33"/>
      <c r="X85" s="33"/>
      <c r="Y85" s="33"/>
      <c r="Z85" s="33"/>
      <c r="AA85" s="33"/>
      <c r="AB85" s="33"/>
    </row>
    <row r="86">
      <c r="A86" s="33"/>
      <c r="B86" s="33"/>
      <c r="C86" s="33"/>
      <c r="D86" s="43"/>
      <c r="E86" s="33"/>
      <c r="F86" s="33"/>
      <c r="G86" s="33"/>
      <c r="H86" s="33"/>
      <c r="I86" s="33"/>
      <c r="J86" s="33"/>
      <c r="K86" s="33"/>
      <c r="L86" s="33"/>
      <c r="M86" s="43"/>
      <c r="N86" s="43"/>
      <c r="O86" s="33"/>
      <c r="P86" s="33"/>
      <c r="Q86" s="33"/>
      <c r="R86" s="33"/>
      <c r="S86" s="33"/>
      <c r="T86" s="33"/>
      <c r="U86" s="33"/>
      <c r="V86" s="33"/>
      <c r="W86" s="33"/>
      <c r="X86" s="33"/>
      <c r="Y86" s="33"/>
      <c r="Z86" s="33"/>
      <c r="AA86" s="33"/>
      <c r="AB86" s="33"/>
    </row>
    <row r="87">
      <c r="A87" s="33"/>
      <c r="B87" s="33"/>
      <c r="C87" s="33"/>
      <c r="D87" s="43"/>
      <c r="E87" s="33"/>
      <c r="F87" s="33"/>
      <c r="G87" s="33"/>
      <c r="H87" s="33"/>
      <c r="I87" s="33"/>
      <c r="J87" s="33"/>
      <c r="K87" s="33"/>
      <c r="L87" s="33"/>
      <c r="M87" s="43"/>
      <c r="N87" s="43"/>
      <c r="O87" s="33"/>
      <c r="P87" s="33"/>
      <c r="Q87" s="33"/>
      <c r="R87" s="33"/>
      <c r="S87" s="33"/>
      <c r="T87" s="33"/>
      <c r="U87" s="33"/>
      <c r="V87" s="33"/>
      <c r="W87" s="33"/>
      <c r="X87" s="33"/>
      <c r="Y87" s="33"/>
      <c r="Z87" s="33"/>
      <c r="AA87" s="33"/>
      <c r="AB87" s="33"/>
    </row>
    <row r="88">
      <c r="A88" s="33"/>
      <c r="B88" s="33"/>
      <c r="C88" s="33"/>
      <c r="D88" s="43"/>
      <c r="E88" s="33"/>
      <c r="F88" s="33"/>
      <c r="G88" s="33"/>
      <c r="H88" s="33"/>
      <c r="I88" s="33"/>
      <c r="J88" s="33"/>
      <c r="K88" s="33"/>
      <c r="L88" s="33"/>
      <c r="M88" s="43"/>
      <c r="N88" s="43"/>
      <c r="O88" s="33"/>
      <c r="P88" s="33"/>
      <c r="Q88" s="33"/>
      <c r="R88" s="33"/>
      <c r="S88" s="33"/>
      <c r="T88" s="33"/>
      <c r="U88" s="33"/>
      <c r="V88" s="33"/>
      <c r="W88" s="33"/>
      <c r="X88" s="33"/>
      <c r="Y88" s="33"/>
      <c r="Z88" s="33"/>
      <c r="AA88" s="33"/>
      <c r="AB88" s="33"/>
    </row>
    <row r="89">
      <c r="A89" s="33"/>
      <c r="B89" s="33"/>
      <c r="C89" s="33"/>
      <c r="D89" s="43"/>
      <c r="E89" s="33"/>
      <c r="F89" s="33"/>
      <c r="G89" s="33"/>
      <c r="H89" s="33"/>
      <c r="I89" s="33"/>
      <c r="J89" s="33"/>
      <c r="K89" s="33"/>
      <c r="L89" s="33"/>
      <c r="M89" s="43"/>
      <c r="N89" s="43"/>
      <c r="O89" s="33"/>
      <c r="P89" s="33"/>
      <c r="Q89" s="33"/>
      <c r="R89" s="33"/>
      <c r="S89" s="33"/>
      <c r="T89" s="33"/>
      <c r="U89" s="33"/>
      <c r="V89" s="33"/>
      <c r="W89" s="33"/>
      <c r="X89" s="33"/>
      <c r="Y89" s="33"/>
      <c r="Z89" s="33"/>
      <c r="AA89" s="33"/>
      <c r="AB89" s="33"/>
    </row>
    <row r="90">
      <c r="A90" s="33"/>
      <c r="B90" s="33"/>
      <c r="C90" s="33"/>
      <c r="D90" s="43"/>
      <c r="E90" s="33"/>
      <c r="F90" s="33"/>
      <c r="G90" s="33"/>
      <c r="H90" s="33"/>
      <c r="I90" s="33"/>
      <c r="J90" s="33"/>
      <c r="K90" s="33"/>
      <c r="L90" s="33"/>
      <c r="M90" s="43"/>
      <c r="N90" s="43"/>
      <c r="O90" s="33"/>
      <c r="P90" s="33"/>
      <c r="Q90" s="33"/>
      <c r="R90" s="33"/>
      <c r="S90" s="33"/>
      <c r="T90" s="33"/>
      <c r="U90" s="33"/>
      <c r="V90" s="33"/>
      <c r="W90" s="33"/>
      <c r="X90" s="33"/>
      <c r="Y90" s="33"/>
      <c r="Z90" s="33"/>
      <c r="AA90" s="33"/>
      <c r="AB90" s="33"/>
    </row>
    <row r="91">
      <c r="A91" s="33"/>
      <c r="B91" s="33"/>
      <c r="C91" s="33"/>
      <c r="D91" s="43"/>
      <c r="E91" s="33"/>
      <c r="F91" s="33"/>
      <c r="G91" s="33"/>
      <c r="H91" s="33"/>
      <c r="I91" s="33"/>
      <c r="J91" s="33"/>
      <c r="K91" s="33"/>
      <c r="L91" s="33"/>
      <c r="M91" s="43"/>
      <c r="N91" s="43"/>
      <c r="O91" s="33"/>
      <c r="P91" s="33"/>
      <c r="Q91" s="33"/>
      <c r="R91" s="33"/>
      <c r="S91" s="33"/>
      <c r="T91" s="33"/>
      <c r="U91" s="33"/>
      <c r="V91" s="33"/>
      <c r="W91" s="33"/>
      <c r="X91" s="33"/>
      <c r="Y91" s="33"/>
      <c r="Z91" s="33"/>
      <c r="AA91" s="33"/>
      <c r="AB91" s="33"/>
    </row>
    <row r="92">
      <c r="A92" s="33"/>
      <c r="B92" s="33"/>
      <c r="C92" s="33"/>
      <c r="D92" s="43"/>
      <c r="E92" s="33"/>
      <c r="F92" s="33"/>
      <c r="G92" s="33"/>
      <c r="H92" s="33"/>
      <c r="I92" s="33"/>
      <c r="J92" s="33"/>
      <c r="K92" s="33"/>
      <c r="L92" s="33"/>
      <c r="M92" s="43"/>
      <c r="N92" s="43"/>
      <c r="O92" s="33"/>
      <c r="P92" s="33"/>
      <c r="Q92" s="33"/>
      <c r="R92" s="33"/>
      <c r="S92" s="33"/>
      <c r="T92" s="33"/>
      <c r="U92" s="33"/>
      <c r="V92" s="33"/>
      <c r="W92" s="33"/>
      <c r="X92" s="33"/>
      <c r="Y92" s="33"/>
      <c r="Z92" s="33"/>
      <c r="AA92" s="33"/>
      <c r="AB92" s="33"/>
    </row>
    <row r="93">
      <c r="A93" s="33"/>
      <c r="B93" s="33"/>
      <c r="C93" s="33"/>
      <c r="D93" s="43"/>
      <c r="E93" s="33"/>
      <c r="F93" s="33"/>
      <c r="G93" s="33"/>
      <c r="H93" s="33"/>
      <c r="I93" s="33"/>
      <c r="J93" s="33"/>
      <c r="K93" s="33"/>
      <c r="L93" s="33"/>
      <c r="M93" s="43"/>
      <c r="N93" s="43"/>
      <c r="O93" s="33"/>
      <c r="P93" s="33"/>
      <c r="Q93" s="33"/>
      <c r="R93" s="33"/>
      <c r="S93" s="33"/>
      <c r="T93" s="33"/>
      <c r="U93" s="33"/>
      <c r="V93" s="33"/>
      <c r="W93" s="33"/>
      <c r="X93" s="33"/>
      <c r="Y93" s="33"/>
      <c r="Z93" s="33"/>
      <c r="AA93" s="33"/>
      <c r="AB93" s="33"/>
    </row>
    <row r="94">
      <c r="A94" s="33"/>
      <c r="B94" s="33"/>
      <c r="C94" s="33"/>
      <c r="D94" s="43"/>
      <c r="E94" s="33"/>
      <c r="F94" s="33"/>
      <c r="G94" s="33"/>
      <c r="H94" s="33"/>
      <c r="I94" s="33"/>
      <c r="J94" s="33"/>
      <c r="K94" s="33"/>
      <c r="L94" s="33"/>
      <c r="M94" s="43"/>
      <c r="N94" s="43"/>
      <c r="O94" s="33"/>
      <c r="P94" s="33"/>
      <c r="Q94" s="33"/>
      <c r="R94" s="33"/>
      <c r="S94" s="33"/>
      <c r="T94" s="33"/>
      <c r="U94" s="33"/>
      <c r="V94" s="33"/>
      <c r="W94" s="33"/>
      <c r="X94" s="33"/>
      <c r="Y94" s="33"/>
      <c r="Z94" s="33"/>
      <c r="AA94" s="33"/>
      <c r="AB94" s="33"/>
    </row>
    <row r="95">
      <c r="A95" s="33"/>
      <c r="B95" s="33"/>
      <c r="C95" s="33"/>
      <c r="D95" s="43"/>
      <c r="E95" s="33"/>
      <c r="F95" s="33"/>
      <c r="G95" s="33"/>
      <c r="H95" s="33"/>
      <c r="I95" s="33"/>
      <c r="J95" s="33"/>
      <c r="K95" s="33"/>
      <c r="L95" s="33"/>
      <c r="M95" s="43"/>
      <c r="N95" s="43"/>
      <c r="O95" s="33"/>
      <c r="P95" s="33"/>
      <c r="Q95" s="33"/>
      <c r="R95" s="33"/>
      <c r="S95" s="33"/>
      <c r="T95" s="33"/>
      <c r="U95" s="33"/>
      <c r="V95" s="33"/>
      <c r="W95" s="33"/>
      <c r="X95" s="33"/>
      <c r="Y95" s="33"/>
      <c r="Z95" s="33"/>
      <c r="AA95" s="33"/>
      <c r="AB95" s="33"/>
    </row>
    <row r="96">
      <c r="A96" s="33"/>
      <c r="B96" s="33"/>
      <c r="C96" s="33"/>
      <c r="D96" s="43"/>
      <c r="E96" s="33"/>
      <c r="F96" s="33"/>
      <c r="G96" s="33"/>
      <c r="H96" s="33"/>
      <c r="I96" s="33"/>
      <c r="J96" s="33"/>
      <c r="K96" s="33"/>
      <c r="L96" s="33"/>
      <c r="M96" s="43"/>
      <c r="N96" s="43"/>
      <c r="O96" s="33"/>
      <c r="P96" s="33"/>
      <c r="Q96" s="33"/>
      <c r="R96" s="33"/>
      <c r="S96" s="33"/>
      <c r="T96" s="33"/>
      <c r="U96" s="33"/>
      <c r="V96" s="33"/>
      <c r="W96" s="33"/>
      <c r="X96" s="33"/>
      <c r="Y96" s="33"/>
      <c r="Z96" s="33"/>
      <c r="AA96" s="33"/>
      <c r="AB96" s="33"/>
    </row>
    <row r="97">
      <c r="A97" s="33"/>
      <c r="B97" s="33"/>
      <c r="C97" s="33"/>
      <c r="D97" s="43"/>
      <c r="E97" s="33"/>
      <c r="F97" s="33"/>
      <c r="G97" s="33"/>
      <c r="H97" s="33"/>
      <c r="I97" s="33"/>
      <c r="J97" s="33"/>
      <c r="K97" s="33"/>
      <c r="L97" s="33"/>
      <c r="M97" s="43"/>
      <c r="N97" s="43"/>
      <c r="O97" s="33"/>
      <c r="P97" s="33"/>
      <c r="Q97" s="33"/>
      <c r="R97" s="33"/>
      <c r="S97" s="33"/>
      <c r="T97" s="33"/>
      <c r="U97" s="33"/>
      <c r="V97" s="33"/>
      <c r="W97" s="33"/>
      <c r="X97" s="33"/>
      <c r="Y97" s="33"/>
      <c r="Z97" s="33"/>
      <c r="AA97" s="33"/>
      <c r="AB97" s="33"/>
    </row>
    <row r="98">
      <c r="A98" s="33"/>
      <c r="B98" s="33"/>
      <c r="C98" s="33"/>
      <c r="D98" s="43"/>
      <c r="E98" s="33"/>
      <c r="F98" s="33"/>
      <c r="G98" s="33"/>
      <c r="H98" s="33"/>
      <c r="I98" s="33"/>
      <c r="J98" s="33"/>
      <c r="K98" s="33"/>
      <c r="L98" s="33"/>
      <c r="M98" s="43"/>
      <c r="N98" s="43"/>
      <c r="O98" s="33"/>
      <c r="P98" s="33"/>
      <c r="Q98" s="33"/>
      <c r="R98" s="33"/>
      <c r="S98" s="33"/>
      <c r="T98" s="33"/>
      <c r="U98" s="33"/>
      <c r="V98" s="33"/>
      <c r="W98" s="33"/>
      <c r="X98" s="33"/>
      <c r="Y98" s="33"/>
      <c r="Z98" s="33"/>
      <c r="AA98" s="33"/>
      <c r="AB98" s="33"/>
    </row>
    <row r="99">
      <c r="A99" s="33"/>
      <c r="B99" s="33"/>
      <c r="C99" s="33"/>
      <c r="D99" s="43"/>
      <c r="E99" s="33"/>
      <c r="F99" s="33"/>
      <c r="G99" s="33"/>
      <c r="H99" s="33"/>
      <c r="I99" s="33"/>
      <c r="J99" s="33"/>
      <c r="K99" s="33"/>
      <c r="L99" s="33"/>
      <c r="M99" s="43"/>
      <c r="N99" s="43"/>
      <c r="O99" s="33"/>
      <c r="P99" s="33"/>
      <c r="Q99" s="33"/>
      <c r="R99" s="33"/>
      <c r="S99" s="33"/>
      <c r="T99" s="33"/>
      <c r="U99" s="33"/>
      <c r="V99" s="33"/>
      <c r="W99" s="33"/>
      <c r="X99" s="33"/>
      <c r="Y99" s="33"/>
      <c r="Z99" s="33"/>
      <c r="AA99" s="33"/>
      <c r="AB99" s="33"/>
    </row>
    <row r="100">
      <c r="A100" s="33"/>
      <c r="B100" s="33"/>
      <c r="C100" s="33"/>
      <c r="D100" s="43"/>
      <c r="E100" s="33"/>
      <c r="F100" s="33"/>
      <c r="G100" s="33"/>
      <c r="H100" s="33"/>
      <c r="I100" s="33"/>
      <c r="J100" s="33"/>
      <c r="K100" s="33"/>
      <c r="L100" s="33"/>
      <c r="M100" s="43"/>
      <c r="N100" s="43"/>
      <c r="O100" s="33"/>
      <c r="P100" s="33"/>
      <c r="Q100" s="33"/>
      <c r="R100" s="33"/>
      <c r="S100" s="33"/>
      <c r="T100" s="33"/>
      <c r="U100" s="33"/>
      <c r="V100" s="33"/>
      <c r="W100" s="33"/>
      <c r="X100" s="33"/>
      <c r="Y100" s="33"/>
      <c r="Z100" s="33"/>
      <c r="AA100" s="33"/>
      <c r="AB100" s="33"/>
    </row>
    <row r="101">
      <c r="A101" s="33"/>
      <c r="B101" s="33"/>
      <c r="C101" s="33"/>
      <c r="D101" s="43"/>
      <c r="E101" s="33"/>
      <c r="F101" s="33"/>
      <c r="G101" s="33"/>
      <c r="H101" s="33"/>
      <c r="I101" s="33"/>
      <c r="J101" s="33"/>
      <c r="K101" s="33"/>
      <c r="L101" s="33"/>
      <c r="M101" s="43"/>
      <c r="N101" s="43"/>
      <c r="O101" s="33"/>
      <c r="P101" s="33"/>
      <c r="Q101" s="33"/>
      <c r="R101" s="33"/>
      <c r="S101" s="33"/>
      <c r="T101" s="33"/>
      <c r="U101" s="33"/>
      <c r="V101" s="33"/>
      <c r="W101" s="33"/>
      <c r="X101" s="33"/>
      <c r="Y101" s="33"/>
      <c r="Z101" s="33"/>
      <c r="AA101" s="33"/>
      <c r="AB101" s="33"/>
    </row>
    <row r="102">
      <c r="A102" s="33"/>
      <c r="B102" s="33"/>
      <c r="C102" s="33"/>
      <c r="D102" s="43"/>
      <c r="E102" s="33"/>
      <c r="F102" s="33"/>
      <c r="G102" s="33"/>
      <c r="H102" s="33"/>
      <c r="I102" s="33"/>
      <c r="J102" s="33"/>
      <c r="K102" s="33"/>
      <c r="L102" s="33"/>
      <c r="M102" s="43"/>
      <c r="N102" s="43"/>
      <c r="O102" s="33"/>
      <c r="P102" s="33"/>
      <c r="Q102" s="33"/>
      <c r="R102" s="33"/>
      <c r="S102" s="33"/>
      <c r="T102" s="33"/>
      <c r="U102" s="33"/>
      <c r="V102" s="33"/>
      <c r="W102" s="33"/>
      <c r="X102" s="33"/>
      <c r="Y102" s="33"/>
      <c r="Z102" s="33"/>
      <c r="AA102" s="33"/>
      <c r="AB102" s="33"/>
    </row>
    <row r="103">
      <c r="A103" s="33"/>
      <c r="B103" s="33"/>
      <c r="C103" s="33"/>
      <c r="D103" s="43"/>
      <c r="E103" s="33"/>
      <c r="F103" s="33"/>
      <c r="G103" s="33"/>
      <c r="H103" s="33"/>
      <c r="I103" s="33"/>
      <c r="J103" s="33"/>
      <c r="K103" s="33"/>
      <c r="L103" s="33"/>
      <c r="M103" s="43"/>
      <c r="N103" s="43"/>
      <c r="O103" s="33"/>
      <c r="P103" s="33"/>
      <c r="Q103" s="33"/>
      <c r="R103" s="33"/>
      <c r="S103" s="33"/>
      <c r="T103" s="33"/>
      <c r="U103" s="33"/>
      <c r="V103" s="33"/>
      <c r="W103" s="33"/>
      <c r="X103" s="33"/>
      <c r="Y103" s="33"/>
      <c r="Z103" s="33"/>
      <c r="AA103" s="33"/>
      <c r="AB103" s="33"/>
    </row>
    <row r="104">
      <c r="A104" s="33"/>
      <c r="B104" s="33"/>
      <c r="C104" s="33"/>
      <c r="D104" s="43"/>
      <c r="E104" s="33"/>
      <c r="F104" s="33"/>
      <c r="G104" s="33"/>
      <c r="H104" s="33"/>
      <c r="I104" s="33"/>
      <c r="J104" s="33"/>
      <c r="K104" s="33"/>
      <c r="L104" s="33"/>
      <c r="M104" s="43"/>
      <c r="N104" s="43"/>
      <c r="O104" s="33"/>
      <c r="P104" s="33"/>
      <c r="Q104" s="33"/>
      <c r="R104" s="33"/>
      <c r="S104" s="33"/>
      <c r="T104" s="33"/>
      <c r="U104" s="33"/>
      <c r="V104" s="33"/>
      <c r="W104" s="33"/>
      <c r="X104" s="33"/>
      <c r="Y104" s="33"/>
      <c r="Z104" s="33"/>
      <c r="AA104" s="33"/>
      <c r="AB104" s="33"/>
    </row>
    <row r="105">
      <c r="A105" s="33"/>
      <c r="B105" s="33"/>
      <c r="C105" s="33"/>
      <c r="D105" s="43"/>
      <c r="E105" s="33"/>
      <c r="F105" s="33"/>
      <c r="G105" s="33"/>
      <c r="H105" s="33"/>
      <c r="I105" s="33"/>
      <c r="J105" s="33"/>
      <c r="K105" s="33"/>
      <c r="L105" s="33"/>
      <c r="M105" s="43"/>
      <c r="N105" s="43"/>
      <c r="O105" s="33"/>
      <c r="P105" s="33"/>
      <c r="Q105" s="33"/>
      <c r="R105" s="33"/>
      <c r="S105" s="33"/>
      <c r="T105" s="33"/>
      <c r="U105" s="33"/>
      <c r="V105" s="33"/>
      <c r="W105" s="33"/>
      <c r="X105" s="33"/>
      <c r="Y105" s="33"/>
      <c r="Z105" s="33"/>
      <c r="AA105" s="33"/>
      <c r="AB105" s="33"/>
    </row>
    <row r="106">
      <c r="A106" s="33"/>
      <c r="B106" s="33"/>
      <c r="C106" s="33"/>
      <c r="D106" s="43"/>
      <c r="E106" s="33"/>
      <c r="F106" s="33"/>
      <c r="G106" s="33"/>
      <c r="H106" s="33"/>
      <c r="I106" s="33"/>
      <c r="J106" s="33"/>
      <c r="K106" s="33"/>
      <c r="L106" s="33"/>
      <c r="M106" s="43"/>
      <c r="N106" s="43"/>
      <c r="O106" s="33"/>
      <c r="P106" s="33"/>
      <c r="Q106" s="33"/>
      <c r="R106" s="33"/>
      <c r="S106" s="33"/>
      <c r="T106" s="33"/>
      <c r="U106" s="33"/>
      <c r="V106" s="33"/>
      <c r="W106" s="33"/>
      <c r="X106" s="33"/>
      <c r="Y106" s="33"/>
      <c r="Z106" s="33"/>
      <c r="AA106" s="33"/>
      <c r="AB106" s="33"/>
    </row>
    <row r="107">
      <c r="A107" s="33"/>
      <c r="B107" s="33"/>
      <c r="C107" s="33"/>
      <c r="D107" s="43"/>
      <c r="E107" s="33"/>
      <c r="F107" s="33"/>
      <c r="G107" s="33"/>
      <c r="H107" s="33"/>
      <c r="I107" s="33"/>
      <c r="J107" s="33"/>
      <c r="K107" s="33"/>
      <c r="L107" s="33"/>
      <c r="M107" s="43"/>
      <c r="N107" s="43"/>
      <c r="O107" s="33"/>
      <c r="P107" s="33"/>
      <c r="Q107" s="33"/>
      <c r="R107" s="33"/>
      <c r="S107" s="33"/>
      <c r="T107" s="33"/>
      <c r="U107" s="33"/>
      <c r="V107" s="33"/>
      <c r="W107" s="33"/>
      <c r="X107" s="33"/>
      <c r="Y107" s="33"/>
      <c r="Z107" s="33"/>
      <c r="AA107" s="33"/>
      <c r="AB107" s="33"/>
    </row>
    <row r="108">
      <c r="A108" s="33"/>
      <c r="B108" s="33"/>
      <c r="C108" s="33"/>
      <c r="D108" s="43"/>
      <c r="E108" s="33"/>
      <c r="F108" s="33"/>
      <c r="G108" s="33"/>
      <c r="H108" s="33"/>
      <c r="I108" s="33"/>
      <c r="J108" s="33"/>
      <c r="K108" s="33"/>
      <c r="L108" s="33"/>
      <c r="M108" s="43"/>
      <c r="N108" s="43"/>
      <c r="O108" s="33"/>
      <c r="P108" s="33"/>
      <c r="Q108" s="33"/>
      <c r="R108" s="33"/>
      <c r="S108" s="33"/>
      <c r="T108" s="33"/>
      <c r="U108" s="33"/>
      <c r="V108" s="33"/>
      <c r="W108" s="33"/>
      <c r="X108" s="33"/>
      <c r="Y108" s="33"/>
      <c r="Z108" s="33"/>
      <c r="AA108" s="33"/>
      <c r="AB108" s="33"/>
    </row>
    <row r="109">
      <c r="A109" s="33"/>
      <c r="B109" s="33"/>
      <c r="C109" s="33"/>
      <c r="D109" s="43"/>
      <c r="E109" s="33"/>
      <c r="F109" s="33"/>
      <c r="G109" s="33"/>
      <c r="H109" s="33"/>
      <c r="I109" s="33"/>
      <c r="J109" s="33"/>
      <c r="K109" s="33"/>
      <c r="L109" s="33"/>
      <c r="M109" s="43"/>
      <c r="N109" s="43"/>
      <c r="O109" s="33"/>
      <c r="P109" s="33"/>
      <c r="Q109" s="33"/>
      <c r="R109" s="33"/>
      <c r="S109" s="33"/>
      <c r="T109" s="33"/>
      <c r="U109" s="33"/>
      <c r="V109" s="33"/>
      <c r="W109" s="33"/>
      <c r="X109" s="33"/>
      <c r="Y109" s="33"/>
      <c r="Z109" s="33"/>
      <c r="AA109" s="33"/>
      <c r="AB109" s="33"/>
    </row>
    <row r="110">
      <c r="A110" s="33"/>
      <c r="B110" s="33"/>
      <c r="C110" s="33"/>
      <c r="D110" s="43"/>
      <c r="E110" s="33"/>
      <c r="F110" s="33"/>
      <c r="G110" s="33"/>
      <c r="H110" s="33"/>
      <c r="I110" s="33"/>
      <c r="J110" s="33"/>
      <c r="K110" s="33"/>
      <c r="L110" s="33"/>
      <c r="M110" s="43"/>
      <c r="N110" s="43"/>
      <c r="O110" s="33"/>
      <c r="P110" s="33"/>
      <c r="Q110" s="33"/>
      <c r="R110" s="33"/>
      <c r="S110" s="33"/>
      <c r="T110" s="33"/>
      <c r="U110" s="33"/>
      <c r="V110" s="33"/>
      <c r="W110" s="33"/>
      <c r="X110" s="33"/>
      <c r="Y110" s="33"/>
      <c r="Z110" s="33"/>
      <c r="AA110" s="33"/>
      <c r="AB110" s="33"/>
    </row>
    <row r="111">
      <c r="A111" s="33"/>
      <c r="B111" s="33"/>
      <c r="C111" s="33"/>
      <c r="D111" s="43"/>
      <c r="E111" s="33"/>
      <c r="F111" s="33"/>
      <c r="G111" s="33"/>
      <c r="H111" s="33"/>
      <c r="I111" s="33"/>
      <c r="J111" s="33"/>
      <c r="K111" s="33"/>
      <c r="L111" s="33"/>
      <c r="M111" s="43"/>
      <c r="N111" s="43"/>
      <c r="O111" s="33"/>
      <c r="P111" s="33"/>
      <c r="Q111" s="33"/>
      <c r="R111" s="33"/>
      <c r="S111" s="33"/>
      <c r="T111" s="33"/>
      <c r="U111" s="33"/>
      <c r="V111" s="33"/>
      <c r="W111" s="33"/>
      <c r="X111" s="33"/>
      <c r="Y111" s="33"/>
      <c r="Z111" s="33"/>
      <c r="AA111" s="33"/>
      <c r="AB111" s="33"/>
    </row>
    <row r="112">
      <c r="A112" s="33"/>
      <c r="B112" s="33"/>
      <c r="C112" s="33"/>
      <c r="D112" s="43"/>
      <c r="E112" s="33"/>
      <c r="F112" s="33"/>
      <c r="G112" s="33"/>
      <c r="H112" s="33"/>
      <c r="I112" s="33"/>
      <c r="J112" s="33"/>
      <c r="K112" s="33"/>
      <c r="L112" s="33"/>
      <c r="M112" s="43"/>
      <c r="N112" s="43"/>
      <c r="O112" s="33"/>
      <c r="P112" s="33"/>
      <c r="Q112" s="33"/>
      <c r="R112" s="33"/>
      <c r="S112" s="33"/>
      <c r="T112" s="33"/>
      <c r="U112" s="33"/>
      <c r="V112" s="33"/>
      <c r="W112" s="33"/>
      <c r="X112" s="33"/>
      <c r="Y112" s="33"/>
      <c r="Z112" s="33"/>
      <c r="AA112" s="33"/>
      <c r="AB112" s="33"/>
    </row>
    <row r="113">
      <c r="A113" s="33"/>
      <c r="B113" s="33"/>
      <c r="C113" s="33"/>
      <c r="D113" s="43"/>
      <c r="E113" s="33"/>
      <c r="F113" s="33"/>
      <c r="G113" s="33"/>
      <c r="H113" s="33"/>
      <c r="I113" s="33"/>
      <c r="J113" s="33"/>
      <c r="K113" s="33"/>
      <c r="L113" s="33"/>
      <c r="M113" s="43"/>
      <c r="N113" s="43"/>
      <c r="O113" s="33"/>
      <c r="P113" s="33"/>
      <c r="Q113" s="33"/>
      <c r="R113" s="33"/>
      <c r="S113" s="33"/>
      <c r="T113" s="33"/>
      <c r="U113" s="33"/>
      <c r="V113" s="33"/>
      <c r="W113" s="33"/>
      <c r="X113" s="33"/>
      <c r="Y113" s="33"/>
      <c r="Z113" s="33"/>
      <c r="AA113" s="33"/>
      <c r="AB113" s="33"/>
    </row>
    <row r="114">
      <c r="A114" s="33"/>
      <c r="B114" s="33"/>
      <c r="C114" s="33"/>
      <c r="D114" s="43"/>
      <c r="E114" s="33"/>
      <c r="F114" s="33"/>
      <c r="G114" s="33"/>
      <c r="H114" s="33"/>
      <c r="I114" s="33"/>
      <c r="J114" s="33"/>
      <c r="K114" s="33"/>
      <c r="L114" s="33"/>
      <c r="M114" s="43"/>
      <c r="N114" s="43"/>
      <c r="O114" s="33"/>
      <c r="P114" s="33"/>
      <c r="Q114" s="33"/>
      <c r="R114" s="33"/>
      <c r="S114" s="33"/>
      <c r="T114" s="33"/>
      <c r="U114" s="33"/>
      <c r="V114" s="33"/>
      <c r="W114" s="33"/>
      <c r="X114" s="33"/>
      <c r="Y114" s="33"/>
      <c r="Z114" s="33"/>
      <c r="AA114" s="33"/>
      <c r="AB114" s="33"/>
    </row>
    <row r="115">
      <c r="A115" s="33"/>
      <c r="B115" s="33"/>
      <c r="C115" s="33"/>
      <c r="D115" s="43"/>
      <c r="E115" s="33"/>
      <c r="F115" s="33"/>
      <c r="G115" s="33"/>
      <c r="H115" s="33"/>
      <c r="I115" s="33"/>
      <c r="J115" s="33"/>
      <c r="K115" s="33"/>
      <c r="L115" s="33"/>
      <c r="M115" s="43"/>
      <c r="N115" s="43"/>
      <c r="O115" s="33"/>
      <c r="P115" s="33"/>
      <c r="Q115" s="33"/>
      <c r="R115" s="33"/>
      <c r="S115" s="33"/>
      <c r="T115" s="33"/>
      <c r="U115" s="33"/>
      <c r="V115" s="33"/>
      <c r="W115" s="33"/>
      <c r="X115" s="33"/>
      <c r="Y115" s="33"/>
      <c r="Z115" s="33"/>
      <c r="AA115" s="33"/>
      <c r="AB115" s="33"/>
    </row>
    <row r="116">
      <c r="A116" s="33"/>
      <c r="B116" s="33"/>
      <c r="C116" s="33"/>
      <c r="D116" s="43"/>
      <c r="E116" s="33"/>
      <c r="F116" s="33"/>
      <c r="G116" s="33"/>
      <c r="H116" s="33"/>
      <c r="I116" s="33"/>
      <c r="J116" s="33"/>
      <c r="K116" s="33"/>
      <c r="L116" s="33"/>
      <c r="M116" s="43"/>
      <c r="N116" s="43"/>
      <c r="O116" s="33"/>
      <c r="P116" s="33"/>
      <c r="Q116" s="33"/>
      <c r="R116" s="33"/>
      <c r="S116" s="33"/>
      <c r="T116" s="33"/>
      <c r="U116" s="33"/>
      <c r="V116" s="33"/>
      <c r="W116" s="33"/>
      <c r="X116" s="33"/>
      <c r="Y116" s="33"/>
      <c r="Z116" s="33"/>
      <c r="AA116" s="33"/>
      <c r="AB116" s="33"/>
    </row>
    <row r="117">
      <c r="A117" s="33"/>
      <c r="B117" s="33"/>
      <c r="C117" s="33"/>
      <c r="D117" s="43"/>
      <c r="E117" s="33"/>
      <c r="F117" s="33"/>
      <c r="G117" s="33"/>
      <c r="H117" s="33"/>
      <c r="I117" s="33"/>
      <c r="J117" s="33"/>
      <c r="K117" s="33"/>
      <c r="L117" s="33"/>
      <c r="M117" s="43"/>
      <c r="N117" s="43"/>
      <c r="O117" s="33"/>
      <c r="P117" s="33"/>
      <c r="Q117" s="33"/>
      <c r="R117" s="33"/>
      <c r="S117" s="33"/>
      <c r="T117" s="33"/>
      <c r="U117" s="33"/>
      <c r="V117" s="33"/>
      <c r="W117" s="33"/>
      <c r="X117" s="33"/>
      <c r="Y117" s="33"/>
      <c r="Z117" s="33"/>
      <c r="AA117" s="33"/>
      <c r="AB117" s="33"/>
    </row>
    <row r="118">
      <c r="A118" s="33"/>
      <c r="B118" s="33"/>
      <c r="C118" s="33"/>
      <c r="D118" s="43"/>
      <c r="E118" s="33"/>
      <c r="F118" s="33"/>
      <c r="G118" s="33"/>
      <c r="H118" s="33"/>
      <c r="I118" s="33"/>
      <c r="J118" s="33"/>
      <c r="K118" s="33"/>
      <c r="L118" s="33"/>
      <c r="M118" s="43"/>
      <c r="N118" s="43"/>
      <c r="O118" s="33"/>
      <c r="P118" s="33"/>
      <c r="Q118" s="33"/>
      <c r="R118" s="33"/>
      <c r="S118" s="33"/>
      <c r="T118" s="33"/>
      <c r="U118" s="33"/>
      <c r="V118" s="33"/>
      <c r="W118" s="33"/>
      <c r="X118" s="33"/>
      <c r="Y118" s="33"/>
      <c r="Z118" s="33"/>
      <c r="AA118" s="33"/>
      <c r="AB118" s="33"/>
    </row>
    <row r="119">
      <c r="A119" s="33"/>
      <c r="B119" s="33"/>
      <c r="C119" s="33"/>
      <c r="D119" s="43"/>
      <c r="E119" s="33"/>
      <c r="F119" s="33"/>
      <c r="G119" s="33"/>
      <c r="H119" s="33"/>
      <c r="I119" s="33"/>
      <c r="J119" s="33"/>
      <c r="K119" s="33"/>
      <c r="L119" s="33"/>
      <c r="M119" s="43"/>
      <c r="N119" s="43"/>
      <c r="O119" s="33"/>
      <c r="P119" s="33"/>
      <c r="Q119" s="33"/>
      <c r="R119" s="33"/>
      <c r="S119" s="33"/>
      <c r="T119" s="33"/>
      <c r="U119" s="33"/>
      <c r="V119" s="33"/>
      <c r="W119" s="33"/>
      <c r="X119" s="33"/>
      <c r="Y119" s="33"/>
      <c r="Z119" s="33"/>
      <c r="AA119" s="33"/>
      <c r="AB119" s="33"/>
    </row>
    <row r="120">
      <c r="A120" s="33"/>
      <c r="B120" s="33"/>
      <c r="C120" s="33"/>
      <c r="D120" s="43"/>
      <c r="E120" s="33"/>
      <c r="F120" s="33"/>
      <c r="G120" s="33"/>
      <c r="H120" s="33"/>
      <c r="I120" s="33"/>
      <c r="J120" s="33"/>
      <c r="K120" s="33"/>
      <c r="L120" s="33"/>
      <c r="M120" s="43"/>
      <c r="N120" s="43"/>
      <c r="O120" s="33"/>
      <c r="P120" s="33"/>
      <c r="Q120" s="33"/>
      <c r="R120" s="33"/>
      <c r="S120" s="33"/>
      <c r="T120" s="33"/>
      <c r="U120" s="33"/>
      <c r="V120" s="33"/>
      <c r="W120" s="33"/>
      <c r="X120" s="33"/>
      <c r="Y120" s="33"/>
      <c r="Z120" s="33"/>
      <c r="AA120" s="33"/>
      <c r="AB120" s="33"/>
    </row>
    <row r="121">
      <c r="A121" s="33"/>
      <c r="B121" s="33"/>
      <c r="C121" s="33"/>
      <c r="D121" s="43"/>
      <c r="E121" s="33"/>
      <c r="F121" s="33"/>
      <c r="G121" s="33"/>
      <c r="H121" s="33"/>
      <c r="I121" s="33"/>
      <c r="J121" s="33"/>
      <c r="K121" s="33"/>
      <c r="L121" s="33"/>
      <c r="M121" s="43"/>
      <c r="N121" s="43"/>
      <c r="O121" s="33"/>
      <c r="P121" s="33"/>
      <c r="Q121" s="33"/>
      <c r="R121" s="33"/>
      <c r="S121" s="33"/>
      <c r="T121" s="33"/>
      <c r="U121" s="33"/>
      <c r="V121" s="33"/>
      <c r="W121" s="33"/>
      <c r="X121" s="33"/>
      <c r="Y121" s="33"/>
      <c r="Z121" s="33"/>
      <c r="AA121" s="33"/>
      <c r="AB121" s="33"/>
    </row>
    <row r="122">
      <c r="A122" s="33"/>
      <c r="B122" s="33"/>
      <c r="C122" s="33"/>
      <c r="D122" s="43"/>
      <c r="E122" s="33"/>
      <c r="F122" s="33"/>
      <c r="G122" s="33"/>
      <c r="H122" s="33"/>
      <c r="I122" s="33"/>
      <c r="J122" s="33"/>
      <c r="K122" s="33"/>
      <c r="L122" s="33"/>
      <c r="M122" s="43"/>
      <c r="N122" s="43"/>
      <c r="O122" s="33"/>
      <c r="P122" s="33"/>
      <c r="Q122" s="33"/>
      <c r="R122" s="33"/>
      <c r="S122" s="33"/>
      <c r="T122" s="33"/>
      <c r="U122" s="33"/>
      <c r="V122" s="33"/>
      <c r="W122" s="33"/>
      <c r="X122" s="33"/>
      <c r="Y122" s="33"/>
      <c r="Z122" s="33"/>
      <c r="AA122" s="33"/>
      <c r="AB122" s="33"/>
    </row>
    <row r="123">
      <c r="A123" s="33"/>
      <c r="B123" s="33"/>
      <c r="C123" s="33"/>
      <c r="D123" s="43"/>
      <c r="E123" s="33"/>
      <c r="F123" s="33"/>
      <c r="G123" s="33"/>
      <c r="H123" s="33"/>
      <c r="I123" s="33"/>
      <c r="J123" s="33"/>
      <c r="K123" s="33"/>
      <c r="L123" s="33"/>
      <c r="M123" s="43"/>
      <c r="N123" s="43"/>
      <c r="O123" s="33"/>
      <c r="P123" s="33"/>
      <c r="Q123" s="33"/>
      <c r="R123" s="33"/>
      <c r="S123" s="33"/>
      <c r="T123" s="33"/>
      <c r="U123" s="33"/>
      <c r="V123" s="33"/>
      <c r="W123" s="33"/>
      <c r="X123" s="33"/>
      <c r="Y123" s="33"/>
      <c r="Z123" s="33"/>
      <c r="AA123" s="33"/>
      <c r="AB123" s="33"/>
    </row>
    <row r="124">
      <c r="A124" s="33"/>
      <c r="B124" s="33"/>
      <c r="C124" s="33"/>
      <c r="D124" s="43"/>
      <c r="E124" s="33"/>
      <c r="F124" s="33"/>
      <c r="G124" s="33"/>
      <c r="H124" s="33"/>
      <c r="I124" s="33"/>
      <c r="J124" s="33"/>
      <c r="K124" s="33"/>
      <c r="L124" s="33"/>
      <c r="M124" s="43"/>
      <c r="N124" s="43"/>
      <c r="O124" s="33"/>
      <c r="P124" s="33"/>
      <c r="Q124" s="33"/>
      <c r="R124" s="33"/>
      <c r="S124" s="33"/>
      <c r="T124" s="33"/>
      <c r="U124" s="33"/>
      <c r="V124" s="33"/>
      <c r="W124" s="33"/>
      <c r="X124" s="33"/>
      <c r="Y124" s="33"/>
      <c r="Z124" s="33"/>
      <c r="AA124" s="33"/>
      <c r="AB124" s="33"/>
    </row>
    <row r="125">
      <c r="A125" s="33"/>
      <c r="B125" s="33"/>
      <c r="C125" s="33"/>
      <c r="D125" s="43"/>
      <c r="E125" s="33"/>
      <c r="F125" s="33"/>
      <c r="G125" s="33"/>
      <c r="H125" s="33"/>
      <c r="I125" s="33"/>
      <c r="J125" s="33"/>
      <c r="K125" s="33"/>
      <c r="L125" s="33"/>
      <c r="M125" s="43"/>
      <c r="N125" s="43"/>
      <c r="O125" s="33"/>
      <c r="P125" s="33"/>
      <c r="Q125" s="33"/>
      <c r="R125" s="33"/>
      <c r="S125" s="33"/>
      <c r="T125" s="33"/>
      <c r="U125" s="33"/>
      <c r="V125" s="33"/>
      <c r="W125" s="33"/>
      <c r="X125" s="33"/>
      <c r="Y125" s="33"/>
      <c r="Z125" s="33"/>
      <c r="AA125" s="33"/>
      <c r="AB125" s="33"/>
    </row>
    <row r="126">
      <c r="A126" s="33"/>
      <c r="B126" s="33"/>
      <c r="C126" s="33"/>
      <c r="D126" s="43"/>
      <c r="E126" s="33"/>
      <c r="F126" s="33"/>
      <c r="G126" s="33"/>
      <c r="H126" s="33"/>
      <c r="I126" s="33"/>
      <c r="J126" s="33"/>
      <c r="K126" s="33"/>
      <c r="L126" s="33"/>
      <c r="M126" s="43"/>
      <c r="N126" s="43"/>
      <c r="O126" s="33"/>
      <c r="P126" s="33"/>
      <c r="Q126" s="33"/>
      <c r="R126" s="33"/>
      <c r="S126" s="33"/>
      <c r="T126" s="33"/>
      <c r="U126" s="33"/>
      <c r="V126" s="33"/>
      <c r="W126" s="33"/>
      <c r="X126" s="33"/>
      <c r="Y126" s="33"/>
      <c r="Z126" s="33"/>
      <c r="AA126" s="33"/>
      <c r="AB126" s="33"/>
    </row>
    <row r="127">
      <c r="A127" s="33"/>
      <c r="B127" s="33"/>
      <c r="C127" s="33"/>
      <c r="D127" s="43"/>
      <c r="E127" s="33"/>
      <c r="F127" s="33"/>
      <c r="G127" s="33"/>
      <c r="H127" s="33"/>
      <c r="I127" s="33"/>
      <c r="J127" s="33"/>
      <c r="K127" s="33"/>
      <c r="L127" s="33"/>
      <c r="M127" s="43"/>
      <c r="N127" s="43"/>
      <c r="O127" s="33"/>
      <c r="P127" s="33"/>
      <c r="Q127" s="33"/>
      <c r="R127" s="33"/>
      <c r="S127" s="33"/>
      <c r="T127" s="33"/>
      <c r="U127" s="33"/>
      <c r="V127" s="33"/>
      <c r="W127" s="33"/>
      <c r="X127" s="33"/>
      <c r="Y127" s="33"/>
      <c r="Z127" s="33"/>
      <c r="AA127" s="33"/>
      <c r="AB127" s="33"/>
    </row>
    <row r="128">
      <c r="A128" s="33"/>
      <c r="B128" s="33"/>
      <c r="C128" s="33"/>
      <c r="D128" s="43"/>
      <c r="E128" s="33"/>
      <c r="F128" s="33"/>
      <c r="G128" s="33"/>
      <c r="H128" s="33"/>
      <c r="I128" s="33"/>
      <c r="J128" s="33"/>
      <c r="K128" s="33"/>
      <c r="L128" s="33"/>
      <c r="M128" s="43"/>
      <c r="N128" s="43"/>
      <c r="O128" s="33"/>
      <c r="P128" s="33"/>
      <c r="Q128" s="33"/>
      <c r="R128" s="33"/>
      <c r="S128" s="33"/>
      <c r="T128" s="33"/>
      <c r="U128" s="33"/>
      <c r="V128" s="33"/>
      <c r="W128" s="33"/>
      <c r="X128" s="33"/>
      <c r="Y128" s="33"/>
      <c r="Z128" s="33"/>
      <c r="AA128" s="33"/>
      <c r="AB128" s="33"/>
    </row>
    <row r="129">
      <c r="A129" s="33"/>
      <c r="B129" s="33"/>
      <c r="C129" s="33"/>
      <c r="D129" s="43"/>
      <c r="E129" s="33"/>
      <c r="F129" s="33"/>
      <c r="G129" s="33"/>
      <c r="H129" s="33"/>
      <c r="I129" s="33"/>
      <c r="J129" s="33"/>
      <c r="K129" s="33"/>
      <c r="L129" s="33"/>
      <c r="M129" s="43"/>
      <c r="N129" s="43"/>
      <c r="O129" s="33"/>
      <c r="P129" s="33"/>
      <c r="Q129" s="33"/>
      <c r="R129" s="33"/>
      <c r="S129" s="33"/>
      <c r="T129" s="33"/>
      <c r="U129" s="33"/>
      <c r="V129" s="33"/>
      <c r="W129" s="33"/>
      <c r="X129" s="33"/>
      <c r="Y129" s="33"/>
      <c r="Z129" s="33"/>
      <c r="AA129" s="33"/>
      <c r="AB129" s="33"/>
    </row>
    <row r="130">
      <c r="A130" s="33"/>
      <c r="B130" s="33"/>
      <c r="C130" s="33"/>
      <c r="D130" s="43"/>
      <c r="E130" s="33"/>
      <c r="F130" s="33"/>
      <c r="G130" s="33"/>
      <c r="H130" s="33"/>
      <c r="I130" s="33"/>
      <c r="J130" s="33"/>
      <c r="K130" s="33"/>
      <c r="L130" s="33"/>
      <c r="M130" s="43"/>
      <c r="N130" s="43"/>
      <c r="O130" s="33"/>
      <c r="P130" s="33"/>
      <c r="Q130" s="33"/>
      <c r="R130" s="33"/>
      <c r="S130" s="33"/>
      <c r="T130" s="33"/>
      <c r="U130" s="33"/>
      <c r="V130" s="33"/>
      <c r="W130" s="33"/>
      <c r="X130" s="33"/>
      <c r="Y130" s="33"/>
      <c r="Z130" s="33"/>
      <c r="AA130" s="33"/>
      <c r="AB130" s="33"/>
    </row>
    <row r="131">
      <c r="A131" s="33"/>
      <c r="B131" s="33"/>
      <c r="C131" s="33"/>
      <c r="D131" s="43"/>
      <c r="E131" s="33"/>
      <c r="F131" s="33"/>
      <c r="G131" s="33"/>
      <c r="H131" s="33"/>
      <c r="I131" s="33"/>
      <c r="J131" s="33"/>
      <c r="K131" s="33"/>
      <c r="L131" s="33"/>
      <c r="M131" s="43"/>
      <c r="N131" s="43"/>
      <c r="O131" s="33"/>
      <c r="P131" s="33"/>
      <c r="Q131" s="33"/>
      <c r="R131" s="33"/>
      <c r="S131" s="33"/>
      <c r="T131" s="33"/>
      <c r="U131" s="33"/>
      <c r="V131" s="33"/>
      <c r="W131" s="33"/>
      <c r="X131" s="33"/>
      <c r="Y131" s="33"/>
      <c r="Z131" s="33"/>
      <c r="AA131" s="33"/>
      <c r="AB131" s="33"/>
    </row>
    <row r="132">
      <c r="A132" s="33"/>
      <c r="B132" s="33"/>
      <c r="C132" s="33"/>
      <c r="D132" s="43"/>
      <c r="E132" s="33"/>
      <c r="F132" s="33"/>
      <c r="G132" s="33"/>
      <c r="H132" s="33"/>
      <c r="I132" s="33"/>
      <c r="J132" s="33"/>
      <c r="K132" s="33"/>
      <c r="L132" s="33"/>
      <c r="M132" s="43"/>
      <c r="N132" s="43"/>
      <c r="O132" s="33"/>
      <c r="P132" s="33"/>
      <c r="Q132" s="33"/>
      <c r="R132" s="33"/>
      <c r="S132" s="33"/>
      <c r="T132" s="33"/>
      <c r="U132" s="33"/>
      <c r="V132" s="33"/>
      <c r="W132" s="33"/>
      <c r="X132" s="33"/>
      <c r="Y132" s="33"/>
      <c r="Z132" s="33"/>
      <c r="AA132" s="33"/>
      <c r="AB132" s="33"/>
    </row>
    <row r="133">
      <c r="A133" s="33"/>
      <c r="B133" s="33"/>
      <c r="C133" s="33"/>
      <c r="D133" s="43"/>
      <c r="E133" s="33"/>
      <c r="F133" s="33"/>
      <c r="G133" s="33"/>
      <c r="H133" s="33"/>
      <c r="I133" s="33"/>
      <c r="J133" s="33"/>
      <c r="K133" s="33"/>
      <c r="L133" s="33"/>
      <c r="M133" s="43"/>
      <c r="N133" s="43"/>
      <c r="O133" s="33"/>
      <c r="P133" s="33"/>
      <c r="Q133" s="33"/>
      <c r="R133" s="33"/>
      <c r="S133" s="33"/>
      <c r="T133" s="33"/>
      <c r="U133" s="33"/>
      <c r="V133" s="33"/>
      <c r="W133" s="33"/>
      <c r="X133" s="33"/>
      <c r="Y133" s="33"/>
      <c r="Z133" s="33"/>
      <c r="AA133" s="33"/>
      <c r="AB133" s="33"/>
    </row>
    <row r="134">
      <c r="A134" s="33"/>
      <c r="B134" s="33"/>
      <c r="C134" s="33"/>
      <c r="D134" s="43"/>
      <c r="E134" s="33"/>
      <c r="F134" s="33"/>
      <c r="G134" s="33"/>
      <c r="H134" s="33"/>
      <c r="I134" s="33"/>
      <c r="J134" s="33"/>
      <c r="K134" s="33"/>
      <c r="L134" s="33"/>
      <c r="M134" s="43"/>
      <c r="N134" s="43"/>
      <c r="O134" s="33"/>
      <c r="P134" s="33"/>
      <c r="Q134" s="33"/>
      <c r="R134" s="33"/>
      <c r="S134" s="33"/>
      <c r="T134" s="33"/>
      <c r="U134" s="33"/>
      <c r="V134" s="33"/>
      <c r="W134" s="33"/>
      <c r="X134" s="33"/>
      <c r="Y134" s="33"/>
      <c r="Z134" s="33"/>
      <c r="AA134" s="33"/>
      <c r="AB134" s="33"/>
    </row>
    <row r="135">
      <c r="A135" s="33"/>
      <c r="B135" s="33"/>
      <c r="C135" s="33"/>
      <c r="D135" s="43"/>
      <c r="E135" s="33"/>
      <c r="F135" s="33"/>
      <c r="G135" s="33"/>
      <c r="H135" s="33"/>
      <c r="I135" s="33"/>
      <c r="J135" s="33"/>
      <c r="K135" s="33"/>
      <c r="L135" s="33"/>
      <c r="M135" s="43"/>
      <c r="N135" s="43"/>
      <c r="O135" s="33"/>
      <c r="P135" s="33"/>
      <c r="Q135" s="33"/>
      <c r="R135" s="33"/>
      <c r="S135" s="33"/>
      <c r="T135" s="33"/>
      <c r="U135" s="33"/>
      <c r="V135" s="33"/>
      <c r="W135" s="33"/>
      <c r="X135" s="33"/>
      <c r="Y135" s="33"/>
      <c r="Z135" s="33"/>
      <c r="AA135" s="33"/>
      <c r="AB135" s="33"/>
    </row>
    <row r="136">
      <c r="A136" s="33"/>
      <c r="B136" s="33"/>
      <c r="C136" s="33"/>
      <c r="D136" s="43"/>
      <c r="E136" s="33"/>
      <c r="F136" s="33"/>
      <c r="G136" s="33"/>
      <c r="H136" s="33"/>
      <c r="I136" s="33"/>
      <c r="J136" s="33"/>
      <c r="K136" s="33"/>
      <c r="L136" s="33"/>
      <c r="M136" s="43"/>
      <c r="N136" s="43"/>
      <c r="O136" s="33"/>
      <c r="P136" s="33"/>
      <c r="Q136" s="33"/>
      <c r="R136" s="33"/>
      <c r="S136" s="33"/>
      <c r="T136" s="33"/>
      <c r="U136" s="33"/>
      <c r="V136" s="33"/>
      <c r="W136" s="33"/>
      <c r="X136" s="33"/>
      <c r="Y136" s="33"/>
      <c r="Z136" s="33"/>
      <c r="AA136" s="33"/>
      <c r="AB136" s="33"/>
    </row>
    <row r="137">
      <c r="A137" s="33"/>
      <c r="B137" s="33"/>
      <c r="C137" s="33"/>
      <c r="D137" s="43"/>
      <c r="E137" s="33"/>
      <c r="F137" s="33"/>
      <c r="G137" s="33"/>
      <c r="H137" s="33"/>
      <c r="I137" s="33"/>
      <c r="J137" s="33"/>
      <c r="K137" s="33"/>
      <c r="L137" s="33"/>
      <c r="M137" s="43"/>
      <c r="N137" s="43"/>
      <c r="O137" s="33"/>
      <c r="P137" s="33"/>
      <c r="Q137" s="33"/>
      <c r="R137" s="33"/>
      <c r="S137" s="33"/>
      <c r="T137" s="33"/>
      <c r="U137" s="33"/>
      <c r="V137" s="33"/>
      <c r="W137" s="33"/>
      <c r="X137" s="33"/>
      <c r="Y137" s="33"/>
      <c r="Z137" s="33"/>
      <c r="AA137" s="33"/>
      <c r="AB137" s="33"/>
    </row>
    <row r="138">
      <c r="A138" s="33"/>
      <c r="B138" s="33"/>
      <c r="C138" s="33"/>
      <c r="D138" s="43"/>
      <c r="E138" s="33"/>
      <c r="F138" s="33"/>
      <c r="G138" s="33"/>
      <c r="H138" s="33"/>
      <c r="I138" s="33"/>
      <c r="J138" s="33"/>
      <c r="K138" s="33"/>
      <c r="L138" s="33"/>
      <c r="M138" s="43"/>
      <c r="N138" s="43"/>
      <c r="O138" s="33"/>
      <c r="P138" s="33"/>
      <c r="Q138" s="33"/>
      <c r="R138" s="33"/>
      <c r="S138" s="33"/>
      <c r="T138" s="33"/>
      <c r="U138" s="33"/>
      <c r="V138" s="33"/>
      <c r="W138" s="33"/>
      <c r="X138" s="33"/>
      <c r="Y138" s="33"/>
      <c r="Z138" s="33"/>
      <c r="AA138" s="33"/>
      <c r="AB138" s="33"/>
    </row>
    <row r="139">
      <c r="A139" s="33"/>
      <c r="B139" s="33"/>
      <c r="C139" s="33"/>
      <c r="D139" s="43"/>
      <c r="E139" s="33"/>
      <c r="F139" s="33"/>
      <c r="G139" s="33"/>
      <c r="H139" s="33"/>
      <c r="I139" s="33"/>
      <c r="J139" s="33"/>
      <c r="K139" s="33"/>
      <c r="L139" s="33"/>
      <c r="M139" s="43"/>
      <c r="N139" s="43"/>
      <c r="O139" s="33"/>
      <c r="P139" s="33"/>
      <c r="Q139" s="33"/>
      <c r="R139" s="33"/>
      <c r="S139" s="33"/>
      <c r="T139" s="33"/>
      <c r="U139" s="33"/>
      <c r="V139" s="33"/>
      <c r="W139" s="33"/>
      <c r="X139" s="33"/>
      <c r="Y139" s="33"/>
      <c r="Z139" s="33"/>
      <c r="AA139" s="33"/>
      <c r="AB139" s="33"/>
    </row>
    <row r="140">
      <c r="A140" s="33"/>
      <c r="B140" s="33"/>
      <c r="C140" s="33"/>
      <c r="D140" s="43"/>
      <c r="E140" s="33"/>
      <c r="F140" s="33"/>
      <c r="G140" s="33"/>
      <c r="H140" s="33"/>
      <c r="I140" s="33"/>
      <c r="J140" s="33"/>
      <c r="K140" s="33"/>
      <c r="L140" s="33"/>
      <c r="M140" s="43"/>
      <c r="N140" s="43"/>
      <c r="O140" s="33"/>
      <c r="P140" s="33"/>
      <c r="Q140" s="33"/>
      <c r="R140" s="33"/>
      <c r="S140" s="33"/>
      <c r="T140" s="33"/>
      <c r="U140" s="33"/>
      <c r="V140" s="33"/>
      <c r="W140" s="33"/>
      <c r="X140" s="33"/>
      <c r="Y140" s="33"/>
      <c r="Z140" s="33"/>
      <c r="AA140" s="33"/>
      <c r="AB140" s="33"/>
    </row>
    <row r="141">
      <c r="A141" s="33"/>
      <c r="B141" s="33"/>
      <c r="C141" s="33"/>
      <c r="D141" s="43"/>
      <c r="E141" s="33"/>
      <c r="F141" s="33"/>
      <c r="G141" s="33"/>
      <c r="H141" s="33"/>
      <c r="I141" s="33"/>
      <c r="J141" s="33"/>
      <c r="K141" s="33"/>
      <c r="L141" s="33"/>
      <c r="M141" s="43"/>
      <c r="N141" s="43"/>
      <c r="O141" s="33"/>
      <c r="P141" s="33"/>
      <c r="Q141" s="33"/>
      <c r="R141" s="33"/>
      <c r="S141" s="33"/>
      <c r="T141" s="33"/>
      <c r="U141" s="33"/>
      <c r="V141" s="33"/>
      <c r="W141" s="33"/>
      <c r="X141" s="33"/>
      <c r="Y141" s="33"/>
      <c r="Z141" s="33"/>
      <c r="AA141" s="33"/>
      <c r="AB141" s="33"/>
    </row>
    <row r="142">
      <c r="A142" s="33"/>
      <c r="B142" s="33"/>
      <c r="C142" s="33"/>
      <c r="D142" s="43"/>
      <c r="E142" s="33"/>
      <c r="F142" s="33"/>
      <c r="G142" s="33"/>
      <c r="H142" s="33"/>
      <c r="I142" s="33"/>
      <c r="J142" s="33"/>
      <c r="K142" s="33"/>
      <c r="L142" s="33"/>
      <c r="M142" s="43"/>
      <c r="N142" s="43"/>
      <c r="O142" s="33"/>
      <c r="P142" s="33"/>
      <c r="Q142" s="33"/>
      <c r="R142" s="33"/>
      <c r="S142" s="33"/>
      <c r="T142" s="33"/>
      <c r="U142" s="33"/>
      <c r="V142" s="33"/>
      <c r="W142" s="33"/>
      <c r="X142" s="33"/>
      <c r="Y142" s="33"/>
      <c r="Z142" s="33"/>
      <c r="AA142" s="33"/>
      <c r="AB142" s="33"/>
    </row>
    <row r="143">
      <c r="A143" s="33"/>
      <c r="B143" s="33"/>
      <c r="C143" s="33"/>
      <c r="D143" s="43"/>
      <c r="E143" s="33"/>
      <c r="F143" s="33"/>
      <c r="G143" s="33"/>
      <c r="H143" s="33"/>
      <c r="I143" s="33"/>
      <c r="J143" s="33"/>
      <c r="K143" s="33"/>
      <c r="L143" s="33"/>
      <c r="M143" s="43"/>
      <c r="N143" s="43"/>
      <c r="O143" s="33"/>
      <c r="P143" s="33"/>
      <c r="Q143" s="33"/>
      <c r="R143" s="33"/>
      <c r="S143" s="33"/>
      <c r="T143" s="33"/>
      <c r="U143" s="33"/>
      <c r="V143" s="33"/>
      <c r="W143" s="33"/>
      <c r="X143" s="33"/>
      <c r="Y143" s="33"/>
      <c r="Z143" s="33"/>
      <c r="AA143" s="33"/>
      <c r="AB143" s="33"/>
    </row>
    <row r="144">
      <c r="A144" s="33"/>
      <c r="B144" s="33"/>
      <c r="C144" s="33"/>
      <c r="D144" s="43"/>
      <c r="E144" s="33"/>
      <c r="F144" s="33"/>
      <c r="G144" s="33"/>
      <c r="H144" s="33"/>
      <c r="I144" s="33"/>
      <c r="J144" s="33"/>
      <c r="K144" s="33"/>
      <c r="L144" s="33"/>
      <c r="M144" s="43"/>
      <c r="N144" s="43"/>
      <c r="O144" s="33"/>
      <c r="P144" s="33"/>
      <c r="Q144" s="33"/>
      <c r="R144" s="33"/>
      <c r="S144" s="33"/>
      <c r="T144" s="33"/>
      <c r="U144" s="33"/>
      <c r="V144" s="33"/>
      <c r="W144" s="33"/>
      <c r="X144" s="33"/>
      <c r="Y144" s="33"/>
      <c r="Z144" s="33"/>
      <c r="AA144" s="33"/>
      <c r="AB144" s="33"/>
    </row>
    <row r="145">
      <c r="A145" s="33"/>
      <c r="B145" s="33"/>
      <c r="C145" s="33"/>
      <c r="D145" s="43"/>
      <c r="E145" s="33"/>
      <c r="F145" s="33"/>
      <c r="G145" s="33"/>
      <c r="H145" s="33"/>
      <c r="I145" s="33"/>
      <c r="J145" s="33"/>
      <c r="K145" s="33"/>
      <c r="L145" s="33"/>
      <c r="M145" s="43"/>
      <c r="N145" s="43"/>
      <c r="O145" s="33"/>
      <c r="P145" s="33"/>
      <c r="Q145" s="33"/>
      <c r="R145" s="33"/>
      <c r="S145" s="33"/>
      <c r="T145" s="33"/>
      <c r="U145" s="33"/>
      <c r="V145" s="33"/>
      <c r="W145" s="33"/>
      <c r="X145" s="33"/>
      <c r="Y145" s="33"/>
      <c r="Z145" s="33"/>
      <c r="AA145" s="33"/>
      <c r="AB145" s="33"/>
    </row>
    <row r="146">
      <c r="A146" s="33"/>
      <c r="B146" s="33"/>
      <c r="C146" s="33"/>
      <c r="D146" s="43"/>
      <c r="E146" s="33"/>
      <c r="F146" s="33"/>
      <c r="G146" s="33"/>
      <c r="H146" s="33"/>
      <c r="I146" s="33"/>
      <c r="J146" s="33"/>
      <c r="K146" s="33"/>
      <c r="L146" s="33"/>
      <c r="M146" s="43"/>
      <c r="N146" s="43"/>
      <c r="O146" s="33"/>
      <c r="P146" s="33"/>
      <c r="Q146" s="33"/>
      <c r="R146" s="33"/>
      <c r="S146" s="33"/>
      <c r="T146" s="33"/>
      <c r="U146" s="33"/>
      <c r="V146" s="33"/>
      <c r="W146" s="33"/>
      <c r="X146" s="33"/>
      <c r="Y146" s="33"/>
      <c r="Z146" s="33"/>
      <c r="AA146" s="33"/>
      <c r="AB146" s="33"/>
    </row>
    <row r="147">
      <c r="A147" s="33"/>
      <c r="B147" s="33"/>
      <c r="C147" s="33"/>
      <c r="D147" s="43"/>
      <c r="E147" s="33"/>
      <c r="F147" s="33"/>
      <c r="G147" s="33"/>
      <c r="H147" s="33"/>
      <c r="I147" s="33"/>
      <c r="J147" s="33"/>
      <c r="K147" s="33"/>
      <c r="L147" s="33"/>
      <c r="M147" s="43"/>
      <c r="N147" s="43"/>
      <c r="O147" s="33"/>
      <c r="P147" s="33"/>
      <c r="Q147" s="33"/>
      <c r="R147" s="33"/>
      <c r="S147" s="33"/>
      <c r="T147" s="33"/>
      <c r="U147" s="33"/>
      <c r="V147" s="33"/>
      <c r="W147" s="33"/>
      <c r="X147" s="33"/>
      <c r="Y147" s="33"/>
      <c r="Z147" s="33"/>
      <c r="AA147" s="33"/>
      <c r="AB147" s="33"/>
    </row>
    <row r="148">
      <c r="A148" s="33"/>
      <c r="B148" s="33"/>
      <c r="C148" s="33"/>
      <c r="D148" s="43"/>
      <c r="E148" s="33"/>
      <c r="F148" s="33"/>
      <c r="G148" s="33"/>
      <c r="H148" s="33"/>
      <c r="I148" s="33"/>
      <c r="J148" s="33"/>
      <c r="K148" s="33"/>
      <c r="L148" s="33"/>
      <c r="M148" s="43"/>
      <c r="N148" s="43"/>
      <c r="O148" s="33"/>
      <c r="P148" s="33"/>
      <c r="Q148" s="33"/>
      <c r="R148" s="33"/>
      <c r="S148" s="33"/>
      <c r="T148" s="33"/>
      <c r="U148" s="33"/>
      <c r="V148" s="33"/>
      <c r="W148" s="33"/>
      <c r="X148" s="33"/>
      <c r="Y148" s="33"/>
      <c r="Z148" s="33"/>
      <c r="AA148" s="33"/>
      <c r="AB148" s="33"/>
    </row>
    <row r="149">
      <c r="A149" s="33"/>
      <c r="B149" s="33"/>
      <c r="C149" s="33"/>
      <c r="D149" s="43"/>
      <c r="E149" s="33"/>
      <c r="F149" s="33"/>
      <c r="G149" s="33"/>
      <c r="H149" s="33"/>
      <c r="I149" s="33"/>
      <c r="J149" s="33"/>
      <c r="K149" s="33"/>
      <c r="L149" s="33"/>
      <c r="M149" s="43"/>
      <c r="N149" s="43"/>
      <c r="O149" s="33"/>
      <c r="P149" s="33"/>
      <c r="Q149" s="33"/>
      <c r="R149" s="33"/>
      <c r="S149" s="33"/>
      <c r="T149" s="33"/>
      <c r="U149" s="33"/>
      <c r="V149" s="33"/>
      <c r="W149" s="33"/>
      <c r="X149" s="33"/>
      <c r="Y149" s="33"/>
      <c r="Z149" s="33"/>
      <c r="AA149" s="33"/>
      <c r="AB149" s="33"/>
    </row>
    <row r="150">
      <c r="A150" s="33"/>
      <c r="B150" s="33"/>
      <c r="C150" s="33"/>
      <c r="D150" s="43"/>
      <c r="E150" s="33"/>
      <c r="F150" s="33"/>
      <c r="G150" s="33"/>
      <c r="H150" s="33"/>
      <c r="I150" s="33"/>
      <c r="J150" s="33"/>
      <c r="K150" s="33"/>
      <c r="L150" s="33"/>
      <c r="M150" s="43"/>
      <c r="N150" s="43"/>
      <c r="O150" s="33"/>
      <c r="P150" s="33"/>
      <c r="Q150" s="33"/>
      <c r="R150" s="33"/>
      <c r="S150" s="33"/>
      <c r="T150" s="33"/>
      <c r="U150" s="33"/>
      <c r="V150" s="33"/>
      <c r="W150" s="33"/>
      <c r="X150" s="33"/>
      <c r="Y150" s="33"/>
      <c r="Z150" s="33"/>
      <c r="AA150" s="33"/>
      <c r="AB150" s="33"/>
    </row>
    <row r="151">
      <c r="A151" s="33"/>
      <c r="B151" s="33"/>
      <c r="C151" s="33"/>
      <c r="D151" s="43"/>
      <c r="E151" s="33"/>
      <c r="F151" s="33"/>
      <c r="G151" s="33"/>
      <c r="H151" s="33"/>
      <c r="I151" s="33"/>
      <c r="J151" s="33"/>
      <c r="K151" s="33"/>
      <c r="L151" s="33"/>
      <c r="M151" s="43"/>
      <c r="N151" s="43"/>
      <c r="O151" s="33"/>
      <c r="P151" s="33"/>
      <c r="Q151" s="33"/>
      <c r="R151" s="33"/>
      <c r="S151" s="33"/>
      <c r="T151" s="33"/>
      <c r="U151" s="33"/>
      <c r="V151" s="33"/>
      <c r="W151" s="33"/>
      <c r="X151" s="33"/>
      <c r="Y151" s="33"/>
      <c r="Z151" s="33"/>
      <c r="AA151" s="33"/>
      <c r="AB151" s="33"/>
    </row>
    <row r="152">
      <c r="A152" s="33"/>
      <c r="B152" s="33"/>
      <c r="C152" s="33"/>
      <c r="D152" s="43"/>
      <c r="E152" s="33"/>
      <c r="F152" s="33"/>
      <c r="G152" s="33"/>
      <c r="H152" s="33"/>
      <c r="I152" s="33"/>
      <c r="J152" s="33"/>
      <c r="K152" s="33"/>
      <c r="L152" s="33"/>
      <c r="M152" s="43"/>
      <c r="N152" s="43"/>
      <c r="O152" s="33"/>
      <c r="P152" s="33"/>
      <c r="Q152" s="33"/>
      <c r="R152" s="33"/>
      <c r="S152" s="33"/>
      <c r="T152" s="33"/>
      <c r="U152" s="33"/>
      <c r="V152" s="33"/>
      <c r="W152" s="33"/>
      <c r="X152" s="33"/>
      <c r="Y152" s="33"/>
      <c r="Z152" s="33"/>
      <c r="AA152" s="33"/>
      <c r="AB152" s="33"/>
    </row>
    <row r="153">
      <c r="A153" s="33"/>
      <c r="B153" s="33"/>
      <c r="C153" s="33"/>
      <c r="D153" s="43"/>
      <c r="E153" s="33"/>
      <c r="F153" s="33"/>
      <c r="G153" s="33"/>
      <c r="H153" s="33"/>
      <c r="I153" s="33"/>
      <c r="J153" s="33"/>
      <c r="K153" s="33"/>
      <c r="L153" s="33"/>
      <c r="M153" s="43"/>
      <c r="N153" s="43"/>
      <c r="O153" s="33"/>
      <c r="P153" s="33"/>
      <c r="Q153" s="33"/>
      <c r="R153" s="33"/>
      <c r="S153" s="33"/>
      <c r="T153" s="33"/>
      <c r="U153" s="33"/>
      <c r="V153" s="33"/>
      <c r="W153" s="33"/>
      <c r="X153" s="33"/>
      <c r="Y153" s="33"/>
      <c r="Z153" s="33"/>
      <c r="AA153" s="33"/>
      <c r="AB153" s="33"/>
    </row>
    <row r="154">
      <c r="A154" s="33"/>
      <c r="B154" s="33"/>
      <c r="C154" s="33"/>
      <c r="D154" s="43"/>
      <c r="E154" s="33"/>
      <c r="F154" s="33"/>
      <c r="G154" s="33"/>
      <c r="H154" s="33"/>
      <c r="I154" s="33"/>
      <c r="J154" s="33"/>
      <c r="K154" s="33"/>
      <c r="L154" s="33"/>
      <c r="M154" s="43"/>
      <c r="N154" s="43"/>
      <c r="O154" s="33"/>
      <c r="P154" s="33"/>
      <c r="Q154" s="33"/>
      <c r="R154" s="33"/>
      <c r="S154" s="33"/>
      <c r="T154" s="33"/>
      <c r="U154" s="33"/>
      <c r="V154" s="33"/>
      <c r="W154" s="33"/>
      <c r="X154" s="33"/>
      <c r="Y154" s="33"/>
      <c r="Z154" s="33"/>
      <c r="AA154" s="33"/>
      <c r="AB154" s="33"/>
    </row>
    <row r="155">
      <c r="A155" s="33"/>
      <c r="B155" s="33"/>
      <c r="C155" s="33"/>
      <c r="D155" s="43"/>
      <c r="E155" s="33"/>
      <c r="F155" s="33"/>
      <c r="G155" s="33"/>
      <c r="H155" s="33"/>
      <c r="I155" s="33"/>
      <c r="J155" s="33"/>
      <c r="K155" s="33"/>
      <c r="L155" s="33"/>
      <c r="M155" s="43"/>
      <c r="N155" s="43"/>
      <c r="O155" s="33"/>
      <c r="P155" s="33"/>
      <c r="Q155" s="33"/>
      <c r="R155" s="33"/>
      <c r="S155" s="33"/>
      <c r="T155" s="33"/>
      <c r="U155" s="33"/>
      <c r="V155" s="33"/>
      <c r="W155" s="33"/>
      <c r="X155" s="33"/>
      <c r="Y155" s="33"/>
      <c r="Z155" s="33"/>
      <c r="AA155" s="33"/>
      <c r="AB155" s="33"/>
    </row>
    <row r="156">
      <c r="A156" s="33"/>
      <c r="B156" s="33"/>
      <c r="C156" s="33"/>
      <c r="D156" s="43"/>
      <c r="E156" s="33"/>
      <c r="F156" s="33"/>
      <c r="G156" s="33"/>
      <c r="H156" s="33"/>
      <c r="I156" s="33"/>
      <c r="J156" s="33"/>
      <c r="K156" s="33"/>
      <c r="L156" s="33"/>
      <c r="M156" s="43"/>
      <c r="N156" s="43"/>
      <c r="O156" s="33"/>
      <c r="P156" s="33"/>
      <c r="Q156" s="33"/>
      <c r="R156" s="33"/>
      <c r="S156" s="33"/>
      <c r="T156" s="33"/>
      <c r="U156" s="33"/>
      <c r="V156" s="33"/>
      <c r="W156" s="33"/>
      <c r="X156" s="33"/>
      <c r="Y156" s="33"/>
      <c r="Z156" s="33"/>
      <c r="AA156" s="33"/>
      <c r="AB156" s="33"/>
    </row>
    <row r="157">
      <c r="A157" s="33"/>
      <c r="B157" s="33"/>
      <c r="C157" s="33"/>
      <c r="D157" s="43"/>
      <c r="E157" s="33"/>
      <c r="F157" s="33"/>
      <c r="G157" s="33"/>
      <c r="H157" s="33"/>
      <c r="I157" s="33"/>
      <c r="J157" s="33"/>
      <c r="K157" s="33"/>
      <c r="L157" s="33"/>
      <c r="M157" s="43"/>
      <c r="N157" s="43"/>
      <c r="O157" s="33"/>
      <c r="P157" s="33"/>
      <c r="Q157" s="33"/>
      <c r="R157" s="33"/>
      <c r="S157" s="33"/>
      <c r="T157" s="33"/>
      <c r="U157" s="33"/>
      <c r="V157" s="33"/>
      <c r="W157" s="33"/>
      <c r="X157" s="33"/>
      <c r="Y157" s="33"/>
      <c r="Z157" s="33"/>
      <c r="AA157" s="33"/>
      <c r="AB157" s="33"/>
    </row>
    <row r="158">
      <c r="A158" s="33"/>
      <c r="B158" s="33"/>
      <c r="C158" s="33"/>
      <c r="D158" s="43"/>
      <c r="E158" s="33"/>
      <c r="F158" s="33"/>
      <c r="G158" s="33"/>
      <c r="H158" s="33"/>
      <c r="I158" s="33"/>
      <c r="J158" s="33"/>
      <c r="K158" s="33"/>
      <c r="L158" s="33"/>
      <c r="M158" s="43"/>
      <c r="N158" s="43"/>
      <c r="O158" s="33"/>
      <c r="P158" s="33"/>
      <c r="Q158" s="33"/>
      <c r="R158" s="33"/>
      <c r="S158" s="33"/>
      <c r="T158" s="33"/>
      <c r="U158" s="33"/>
      <c r="V158" s="33"/>
      <c r="W158" s="33"/>
      <c r="X158" s="33"/>
      <c r="Y158" s="33"/>
      <c r="Z158" s="33"/>
      <c r="AA158" s="33"/>
      <c r="AB158" s="33"/>
    </row>
    <row r="159">
      <c r="A159" s="33"/>
      <c r="B159" s="33"/>
      <c r="C159" s="33"/>
      <c r="D159" s="43"/>
      <c r="E159" s="33"/>
      <c r="F159" s="33"/>
      <c r="G159" s="33"/>
      <c r="H159" s="33"/>
      <c r="I159" s="33"/>
      <c r="J159" s="33"/>
      <c r="K159" s="33"/>
      <c r="L159" s="33"/>
      <c r="M159" s="43"/>
      <c r="N159" s="43"/>
      <c r="O159" s="33"/>
      <c r="P159" s="33"/>
      <c r="Q159" s="33"/>
      <c r="R159" s="33"/>
      <c r="S159" s="33"/>
      <c r="T159" s="33"/>
      <c r="U159" s="33"/>
      <c r="V159" s="33"/>
      <c r="W159" s="33"/>
      <c r="X159" s="33"/>
      <c r="Y159" s="33"/>
      <c r="Z159" s="33"/>
      <c r="AA159" s="33"/>
      <c r="AB159" s="33"/>
    </row>
    <row r="160">
      <c r="A160" s="33"/>
      <c r="B160" s="33"/>
      <c r="C160" s="33"/>
      <c r="D160" s="43"/>
      <c r="E160" s="33"/>
      <c r="F160" s="33"/>
      <c r="G160" s="33"/>
      <c r="H160" s="33"/>
      <c r="I160" s="33"/>
      <c r="J160" s="33"/>
      <c r="K160" s="33"/>
      <c r="L160" s="33"/>
      <c r="M160" s="43"/>
      <c r="N160" s="43"/>
      <c r="O160" s="33"/>
      <c r="P160" s="33"/>
      <c r="Q160" s="33"/>
      <c r="R160" s="33"/>
      <c r="S160" s="33"/>
      <c r="T160" s="33"/>
      <c r="U160" s="33"/>
      <c r="V160" s="33"/>
      <c r="W160" s="33"/>
      <c r="X160" s="33"/>
      <c r="Y160" s="33"/>
      <c r="Z160" s="33"/>
      <c r="AA160" s="33"/>
      <c r="AB160" s="33"/>
    </row>
    <row r="161">
      <c r="A161" s="33"/>
      <c r="B161" s="33"/>
      <c r="C161" s="33"/>
      <c r="D161" s="43"/>
      <c r="E161" s="33"/>
      <c r="F161" s="33"/>
      <c r="G161" s="33"/>
      <c r="H161" s="33"/>
      <c r="I161" s="33"/>
      <c r="J161" s="33"/>
      <c r="K161" s="33"/>
      <c r="L161" s="33"/>
      <c r="M161" s="43"/>
      <c r="N161" s="43"/>
      <c r="O161" s="33"/>
      <c r="P161" s="33"/>
      <c r="Q161" s="33"/>
      <c r="R161" s="33"/>
      <c r="S161" s="33"/>
      <c r="T161" s="33"/>
      <c r="U161" s="33"/>
      <c r="V161" s="33"/>
      <c r="W161" s="33"/>
      <c r="X161" s="33"/>
      <c r="Y161" s="33"/>
      <c r="Z161" s="33"/>
      <c r="AA161" s="33"/>
      <c r="AB161" s="33"/>
    </row>
    <row r="162">
      <c r="A162" s="33"/>
      <c r="B162" s="33"/>
      <c r="C162" s="33"/>
      <c r="D162" s="43"/>
      <c r="E162" s="33"/>
      <c r="F162" s="33"/>
      <c r="G162" s="33"/>
      <c r="H162" s="33"/>
      <c r="I162" s="33"/>
      <c r="J162" s="33"/>
      <c r="K162" s="33"/>
      <c r="L162" s="33"/>
      <c r="M162" s="43"/>
      <c r="N162" s="43"/>
      <c r="O162" s="33"/>
      <c r="P162" s="33"/>
      <c r="Q162" s="33"/>
      <c r="R162" s="33"/>
      <c r="S162" s="33"/>
      <c r="T162" s="33"/>
      <c r="U162" s="33"/>
      <c r="V162" s="33"/>
      <c r="W162" s="33"/>
      <c r="X162" s="33"/>
      <c r="Y162" s="33"/>
      <c r="Z162" s="33"/>
      <c r="AA162" s="33"/>
      <c r="AB162" s="33"/>
    </row>
    <row r="163">
      <c r="A163" s="33"/>
      <c r="B163" s="33"/>
      <c r="C163" s="33"/>
      <c r="D163" s="43"/>
      <c r="E163" s="33"/>
      <c r="F163" s="33"/>
      <c r="G163" s="33"/>
      <c r="H163" s="33"/>
      <c r="I163" s="33"/>
      <c r="J163" s="33"/>
      <c r="K163" s="33"/>
      <c r="L163" s="33"/>
      <c r="M163" s="43"/>
      <c r="N163" s="43"/>
      <c r="O163" s="33"/>
      <c r="P163" s="33"/>
      <c r="Q163" s="33"/>
      <c r="R163" s="33"/>
      <c r="S163" s="33"/>
      <c r="T163" s="33"/>
      <c r="U163" s="33"/>
      <c r="V163" s="33"/>
      <c r="W163" s="33"/>
      <c r="X163" s="33"/>
      <c r="Y163" s="33"/>
      <c r="Z163" s="33"/>
      <c r="AA163" s="33"/>
      <c r="AB163" s="33"/>
    </row>
    <row r="164">
      <c r="A164" s="33"/>
      <c r="B164" s="33"/>
      <c r="C164" s="33"/>
      <c r="D164" s="43"/>
      <c r="E164" s="33"/>
      <c r="F164" s="33"/>
      <c r="G164" s="33"/>
      <c r="H164" s="33"/>
      <c r="I164" s="33"/>
      <c r="J164" s="33"/>
      <c r="K164" s="33"/>
      <c r="L164" s="33"/>
      <c r="M164" s="43"/>
      <c r="N164" s="43"/>
      <c r="O164" s="33"/>
      <c r="P164" s="33"/>
      <c r="Q164" s="33"/>
      <c r="R164" s="33"/>
      <c r="S164" s="33"/>
      <c r="T164" s="33"/>
      <c r="U164" s="33"/>
      <c r="V164" s="33"/>
      <c r="W164" s="33"/>
      <c r="X164" s="33"/>
      <c r="Y164" s="33"/>
      <c r="Z164" s="33"/>
      <c r="AA164" s="33"/>
      <c r="AB164" s="33"/>
    </row>
    <row r="165">
      <c r="A165" s="33"/>
      <c r="B165" s="33"/>
      <c r="C165" s="33"/>
      <c r="D165" s="43"/>
      <c r="E165" s="33"/>
      <c r="F165" s="33"/>
      <c r="G165" s="33"/>
      <c r="H165" s="33"/>
      <c r="I165" s="33"/>
      <c r="J165" s="33"/>
      <c r="K165" s="33"/>
      <c r="L165" s="33"/>
      <c r="M165" s="43"/>
      <c r="N165" s="43"/>
      <c r="O165" s="33"/>
      <c r="P165" s="33"/>
      <c r="Q165" s="33"/>
      <c r="R165" s="33"/>
      <c r="S165" s="33"/>
      <c r="T165" s="33"/>
      <c r="U165" s="33"/>
      <c r="V165" s="33"/>
      <c r="W165" s="33"/>
      <c r="X165" s="33"/>
      <c r="Y165" s="33"/>
      <c r="Z165" s="33"/>
      <c r="AA165" s="33"/>
      <c r="AB165" s="33"/>
    </row>
    <row r="166">
      <c r="A166" s="33"/>
      <c r="B166" s="33"/>
      <c r="C166" s="33"/>
      <c r="D166" s="43"/>
      <c r="E166" s="33"/>
      <c r="F166" s="33"/>
      <c r="G166" s="33"/>
      <c r="H166" s="33"/>
      <c r="I166" s="33"/>
      <c r="J166" s="33"/>
      <c r="K166" s="33"/>
      <c r="L166" s="33"/>
      <c r="M166" s="43"/>
      <c r="N166" s="43"/>
      <c r="O166" s="33"/>
      <c r="P166" s="33"/>
      <c r="Q166" s="33"/>
      <c r="R166" s="33"/>
      <c r="S166" s="33"/>
      <c r="T166" s="33"/>
      <c r="U166" s="33"/>
      <c r="V166" s="33"/>
      <c r="W166" s="33"/>
      <c r="X166" s="33"/>
      <c r="Y166" s="33"/>
      <c r="Z166" s="33"/>
      <c r="AA166" s="33"/>
      <c r="AB166" s="33"/>
    </row>
    <row r="167">
      <c r="A167" s="33"/>
      <c r="B167" s="33"/>
      <c r="C167" s="33"/>
      <c r="D167" s="43"/>
      <c r="E167" s="33"/>
      <c r="F167" s="33"/>
      <c r="G167" s="33"/>
      <c r="H167" s="33"/>
      <c r="I167" s="33"/>
      <c r="J167" s="33"/>
      <c r="K167" s="33"/>
      <c r="L167" s="33"/>
      <c r="M167" s="43"/>
      <c r="N167" s="43"/>
      <c r="O167" s="33"/>
      <c r="P167" s="33"/>
      <c r="Q167" s="33"/>
      <c r="R167" s="33"/>
      <c r="S167" s="33"/>
      <c r="T167" s="33"/>
      <c r="U167" s="33"/>
      <c r="V167" s="33"/>
      <c r="W167" s="33"/>
      <c r="X167" s="33"/>
      <c r="Y167" s="33"/>
      <c r="Z167" s="33"/>
      <c r="AA167" s="33"/>
      <c r="AB167" s="33"/>
    </row>
    <row r="168">
      <c r="A168" s="33"/>
      <c r="B168" s="33"/>
      <c r="C168" s="33"/>
      <c r="D168" s="43"/>
      <c r="E168" s="33"/>
      <c r="F168" s="33"/>
      <c r="G168" s="33"/>
      <c r="H168" s="33"/>
      <c r="I168" s="33"/>
      <c r="J168" s="33"/>
      <c r="K168" s="33"/>
      <c r="L168" s="33"/>
      <c r="M168" s="43"/>
      <c r="N168" s="43"/>
      <c r="O168" s="33"/>
      <c r="P168" s="33"/>
      <c r="Q168" s="33"/>
      <c r="R168" s="33"/>
      <c r="S168" s="33"/>
      <c r="T168" s="33"/>
      <c r="U168" s="33"/>
      <c r="V168" s="33"/>
      <c r="W168" s="33"/>
      <c r="X168" s="33"/>
      <c r="Y168" s="33"/>
      <c r="Z168" s="33"/>
      <c r="AA168" s="33"/>
      <c r="AB168" s="33"/>
    </row>
    <row r="169">
      <c r="A169" s="33"/>
      <c r="B169" s="33"/>
      <c r="C169" s="33"/>
      <c r="D169" s="43"/>
      <c r="E169" s="33"/>
      <c r="F169" s="33"/>
      <c r="G169" s="33"/>
      <c r="H169" s="33"/>
      <c r="I169" s="33"/>
      <c r="J169" s="33"/>
      <c r="K169" s="33"/>
      <c r="L169" s="33"/>
      <c r="M169" s="43"/>
      <c r="N169" s="43"/>
      <c r="O169" s="33"/>
      <c r="P169" s="33"/>
      <c r="Q169" s="33"/>
      <c r="R169" s="33"/>
      <c r="S169" s="33"/>
      <c r="T169" s="33"/>
      <c r="U169" s="33"/>
      <c r="V169" s="33"/>
      <c r="W169" s="33"/>
      <c r="X169" s="33"/>
      <c r="Y169" s="33"/>
      <c r="Z169" s="33"/>
      <c r="AA169" s="33"/>
      <c r="AB169" s="33"/>
    </row>
    <row r="170">
      <c r="A170" s="33"/>
      <c r="B170" s="33"/>
      <c r="C170" s="33"/>
      <c r="D170" s="43"/>
      <c r="E170" s="33"/>
      <c r="F170" s="33"/>
      <c r="G170" s="33"/>
      <c r="H170" s="33"/>
      <c r="I170" s="33"/>
      <c r="J170" s="33"/>
      <c r="K170" s="33"/>
      <c r="L170" s="33"/>
      <c r="M170" s="43"/>
      <c r="N170" s="43"/>
      <c r="O170" s="33"/>
      <c r="P170" s="33"/>
      <c r="Q170" s="33"/>
      <c r="R170" s="33"/>
      <c r="S170" s="33"/>
      <c r="T170" s="33"/>
      <c r="U170" s="33"/>
      <c r="V170" s="33"/>
      <c r="W170" s="33"/>
      <c r="X170" s="33"/>
      <c r="Y170" s="33"/>
      <c r="Z170" s="33"/>
      <c r="AA170" s="33"/>
      <c r="AB170" s="33"/>
    </row>
    <row r="171">
      <c r="A171" s="33"/>
      <c r="B171" s="33"/>
      <c r="C171" s="33"/>
      <c r="D171" s="43"/>
      <c r="E171" s="33"/>
      <c r="F171" s="33"/>
      <c r="G171" s="33"/>
      <c r="H171" s="33"/>
      <c r="I171" s="33"/>
      <c r="J171" s="33"/>
      <c r="K171" s="33"/>
      <c r="L171" s="33"/>
      <c r="M171" s="43"/>
      <c r="N171" s="43"/>
      <c r="O171" s="33"/>
      <c r="P171" s="33"/>
      <c r="Q171" s="33"/>
      <c r="R171" s="33"/>
      <c r="S171" s="33"/>
      <c r="T171" s="33"/>
      <c r="U171" s="33"/>
      <c r="V171" s="33"/>
      <c r="W171" s="33"/>
      <c r="X171" s="33"/>
      <c r="Y171" s="33"/>
      <c r="Z171" s="33"/>
      <c r="AA171" s="33"/>
      <c r="AB171" s="33"/>
    </row>
    <row r="172">
      <c r="A172" s="33"/>
      <c r="B172" s="33"/>
      <c r="C172" s="33"/>
      <c r="D172" s="43"/>
      <c r="E172" s="33"/>
      <c r="F172" s="33"/>
      <c r="G172" s="33"/>
      <c r="H172" s="33"/>
      <c r="I172" s="33"/>
      <c r="J172" s="33"/>
      <c r="K172" s="33"/>
      <c r="L172" s="33"/>
      <c r="M172" s="43"/>
      <c r="N172" s="43"/>
      <c r="O172" s="33"/>
      <c r="P172" s="33"/>
      <c r="Q172" s="33"/>
      <c r="R172" s="33"/>
      <c r="S172" s="33"/>
      <c r="T172" s="33"/>
      <c r="U172" s="33"/>
      <c r="V172" s="33"/>
      <c r="W172" s="33"/>
      <c r="X172" s="33"/>
      <c r="Y172" s="33"/>
      <c r="Z172" s="33"/>
      <c r="AA172" s="33"/>
      <c r="AB172" s="33"/>
    </row>
    <row r="173">
      <c r="A173" s="33"/>
      <c r="B173" s="33"/>
      <c r="C173" s="33"/>
      <c r="D173" s="43"/>
      <c r="E173" s="33"/>
      <c r="F173" s="33"/>
      <c r="G173" s="33"/>
      <c r="H173" s="33"/>
      <c r="I173" s="33"/>
      <c r="J173" s="33"/>
      <c r="K173" s="33"/>
      <c r="L173" s="33"/>
      <c r="M173" s="43"/>
      <c r="N173" s="43"/>
      <c r="O173" s="33"/>
      <c r="P173" s="33"/>
      <c r="Q173" s="33"/>
      <c r="R173" s="33"/>
      <c r="S173" s="33"/>
      <c r="T173" s="33"/>
      <c r="U173" s="33"/>
      <c r="V173" s="33"/>
      <c r="W173" s="33"/>
      <c r="X173" s="33"/>
      <c r="Y173" s="33"/>
      <c r="Z173" s="33"/>
      <c r="AA173" s="33"/>
      <c r="AB173" s="33"/>
    </row>
    <row r="174">
      <c r="A174" s="33"/>
      <c r="B174" s="33"/>
      <c r="C174" s="33"/>
      <c r="D174" s="43"/>
      <c r="E174" s="33"/>
      <c r="F174" s="33"/>
      <c r="G174" s="33"/>
      <c r="H174" s="33"/>
      <c r="I174" s="33"/>
      <c r="J174" s="33"/>
      <c r="K174" s="33"/>
      <c r="L174" s="33"/>
      <c r="M174" s="43"/>
      <c r="N174" s="43"/>
      <c r="O174" s="33"/>
      <c r="P174" s="33"/>
      <c r="Q174" s="33"/>
      <c r="R174" s="33"/>
      <c r="S174" s="33"/>
      <c r="T174" s="33"/>
      <c r="U174" s="33"/>
      <c r="V174" s="33"/>
      <c r="W174" s="33"/>
      <c r="X174" s="33"/>
      <c r="Y174" s="33"/>
      <c r="Z174" s="33"/>
      <c r="AA174" s="33"/>
      <c r="AB174" s="33"/>
    </row>
    <row r="175">
      <c r="A175" s="33"/>
      <c r="B175" s="33"/>
      <c r="C175" s="33"/>
      <c r="D175" s="43"/>
      <c r="E175" s="33"/>
      <c r="F175" s="33"/>
      <c r="G175" s="33"/>
      <c r="H175" s="33"/>
      <c r="I175" s="33"/>
      <c r="J175" s="33"/>
      <c r="K175" s="33"/>
      <c r="L175" s="33"/>
      <c r="M175" s="43"/>
      <c r="N175" s="43"/>
      <c r="O175" s="33"/>
      <c r="P175" s="33"/>
      <c r="Q175" s="33"/>
      <c r="R175" s="33"/>
      <c r="S175" s="33"/>
      <c r="T175" s="33"/>
      <c r="U175" s="33"/>
      <c r="V175" s="33"/>
      <c r="W175" s="33"/>
      <c r="X175" s="33"/>
      <c r="Y175" s="33"/>
      <c r="Z175" s="33"/>
      <c r="AA175" s="33"/>
      <c r="AB175" s="33"/>
    </row>
    <row r="176">
      <c r="A176" s="33"/>
      <c r="B176" s="33"/>
      <c r="C176" s="33"/>
      <c r="D176" s="43"/>
      <c r="E176" s="33"/>
      <c r="F176" s="33"/>
      <c r="G176" s="33"/>
      <c r="H176" s="33"/>
      <c r="I176" s="33"/>
      <c r="J176" s="33"/>
      <c r="K176" s="33"/>
      <c r="L176" s="33"/>
      <c r="M176" s="43"/>
      <c r="N176" s="43"/>
      <c r="O176" s="33"/>
      <c r="P176" s="33"/>
      <c r="Q176" s="33"/>
      <c r="R176" s="33"/>
      <c r="S176" s="33"/>
      <c r="T176" s="33"/>
      <c r="U176" s="33"/>
      <c r="V176" s="33"/>
      <c r="W176" s="33"/>
      <c r="X176" s="33"/>
      <c r="Y176" s="33"/>
      <c r="Z176" s="33"/>
      <c r="AA176" s="33"/>
      <c r="AB176" s="33"/>
    </row>
    <row r="177">
      <c r="A177" s="33"/>
      <c r="B177" s="33"/>
      <c r="C177" s="33"/>
      <c r="D177" s="43"/>
      <c r="E177" s="33"/>
      <c r="F177" s="33"/>
      <c r="G177" s="33"/>
      <c r="H177" s="33"/>
      <c r="I177" s="33"/>
      <c r="J177" s="33"/>
      <c r="K177" s="33"/>
      <c r="L177" s="33"/>
      <c r="M177" s="43"/>
      <c r="N177" s="43"/>
      <c r="O177" s="33"/>
      <c r="P177" s="33"/>
      <c r="Q177" s="33"/>
      <c r="R177" s="33"/>
      <c r="S177" s="33"/>
      <c r="T177" s="33"/>
      <c r="U177" s="33"/>
      <c r="V177" s="33"/>
      <c r="W177" s="33"/>
      <c r="X177" s="33"/>
      <c r="Y177" s="33"/>
      <c r="Z177" s="33"/>
      <c r="AA177" s="33"/>
      <c r="AB177" s="33"/>
    </row>
    <row r="178">
      <c r="A178" s="33"/>
      <c r="B178" s="33"/>
      <c r="C178" s="33"/>
      <c r="D178" s="43"/>
      <c r="E178" s="33"/>
      <c r="F178" s="33"/>
      <c r="G178" s="33"/>
      <c r="H178" s="33"/>
      <c r="I178" s="33"/>
      <c r="J178" s="33"/>
      <c r="K178" s="33"/>
      <c r="L178" s="33"/>
      <c r="M178" s="43"/>
      <c r="N178" s="43"/>
      <c r="O178" s="33"/>
      <c r="P178" s="33"/>
      <c r="Q178" s="33"/>
      <c r="R178" s="33"/>
      <c r="S178" s="33"/>
      <c r="T178" s="33"/>
      <c r="U178" s="33"/>
      <c r="V178" s="33"/>
      <c r="W178" s="33"/>
      <c r="X178" s="33"/>
      <c r="Y178" s="33"/>
      <c r="Z178" s="33"/>
      <c r="AA178" s="33"/>
      <c r="AB178" s="33"/>
    </row>
    <row r="179">
      <c r="A179" s="33"/>
      <c r="B179" s="33"/>
      <c r="C179" s="33"/>
      <c r="D179" s="43"/>
      <c r="E179" s="33"/>
      <c r="F179" s="33"/>
      <c r="G179" s="33"/>
      <c r="H179" s="33"/>
      <c r="I179" s="33"/>
      <c r="J179" s="33"/>
      <c r="K179" s="33"/>
      <c r="L179" s="33"/>
      <c r="M179" s="43"/>
      <c r="N179" s="43"/>
      <c r="O179" s="33"/>
      <c r="P179" s="33"/>
      <c r="Q179" s="33"/>
      <c r="R179" s="33"/>
      <c r="S179" s="33"/>
      <c r="T179" s="33"/>
      <c r="U179" s="33"/>
      <c r="V179" s="33"/>
      <c r="W179" s="33"/>
      <c r="X179" s="33"/>
      <c r="Y179" s="33"/>
      <c r="Z179" s="33"/>
      <c r="AA179" s="33"/>
      <c r="AB179" s="33"/>
    </row>
    <row r="180">
      <c r="A180" s="33"/>
      <c r="B180" s="33"/>
      <c r="C180" s="33"/>
      <c r="D180" s="43"/>
      <c r="E180" s="33"/>
      <c r="F180" s="33"/>
      <c r="G180" s="33"/>
      <c r="H180" s="33"/>
      <c r="I180" s="33"/>
      <c r="J180" s="33"/>
      <c r="K180" s="33"/>
      <c r="L180" s="33"/>
      <c r="M180" s="43"/>
      <c r="N180" s="43"/>
      <c r="O180" s="33"/>
      <c r="P180" s="33"/>
      <c r="Q180" s="33"/>
      <c r="R180" s="33"/>
      <c r="S180" s="33"/>
      <c r="T180" s="33"/>
      <c r="U180" s="33"/>
      <c r="V180" s="33"/>
      <c r="W180" s="33"/>
      <c r="X180" s="33"/>
      <c r="Y180" s="33"/>
      <c r="Z180" s="33"/>
      <c r="AA180" s="33"/>
      <c r="AB180" s="33"/>
    </row>
    <row r="181">
      <c r="A181" s="33"/>
      <c r="B181" s="33"/>
      <c r="C181" s="33"/>
      <c r="D181" s="43"/>
      <c r="E181" s="33"/>
      <c r="F181" s="33"/>
      <c r="G181" s="33"/>
      <c r="H181" s="33"/>
      <c r="I181" s="33"/>
      <c r="J181" s="33"/>
      <c r="K181" s="33"/>
      <c r="L181" s="33"/>
      <c r="M181" s="43"/>
      <c r="N181" s="43"/>
      <c r="O181" s="33"/>
      <c r="P181" s="33"/>
      <c r="Q181" s="33"/>
      <c r="R181" s="33"/>
      <c r="S181" s="33"/>
      <c r="T181" s="33"/>
      <c r="U181" s="33"/>
      <c r="V181" s="33"/>
      <c r="W181" s="33"/>
      <c r="X181" s="33"/>
      <c r="Y181" s="33"/>
      <c r="Z181" s="33"/>
      <c r="AA181" s="33"/>
      <c r="AB181" s="33"/>
    </row>
    <row r="182">
      <c r="A182" s="33"/>
      <c r="B182" s="33"/>
      <c r="C182" s="33"/>
      <c r="D182" s="43"/>
      <c r="E182" s="33"/>
      <c r="F182" s="33"/>
      <c r="G182" s="33"/>
      <c r="H182" s="33"/>
      <c r="I182" s="33"/>
      <c r="J182" s="33"/>
      <c r="K182" s="33"/>
      <c r="L182" s="33"/>
      <c r="M182" s="43"/>
      <c r="N182" s="43"/>
      <c r="O182" s="33"/>
      <c r="P182" s="33"/>
      <c r="Q182" s="33"/>
      <c r="R182" s="33"/>
      <c r="S182" s="33"/>
      <c r="T182" s="33"/>
      <c r="U182" s="33"/>
      <c r="V182" s="33"/>
      <c r="W182" s="33"/>
      <c r="X182" s="33"/>
      <c r="Y182" s="33"/>
      <c r="Z182" s="33"/>
      <c r="AA182" s="33"/>
      <c r="AB182" s="33"/>
    </row>
    <row r="183">
      <c r="A183" s="33"/>
      <c r="B183" s="33"/>
      <c r="C183" s="33"/>
      <c r="D183" s="43"/>
      <c r="E183" s="33"/>
      <c r="F183" s="33"/>
      <c r="G183" s="33"/>
      <c r="H183" s="33"/>
      <c r="I183" s="33"/>
      <c r="J183" s="33"/>
      <c r="K183" s="33"/>
      <c r="L183" s="33"/>
      <c r="M183" s="43"/>
      <c r="N183" s="43"/>
      <c r="O183" s="33"/>
      <c r="P183" s="33"/>
      <c r="Q183" s="33"/>
      <c r="R183" s="33"/>
      <c r="S183" s="33"/>
      <c r="T183" s="33"/>
      <c r="U183" s="33"/>
      <c r="V183" s="33"/>
      <c r="W183" s="33"/>
      <c r="X183" s="33"/>
      <c r="Y183" s="33"/>
      <c r="Z183" s="33"/>
      <c r="AA183" s="33"/>
      <c r="AB183" s="33"/>
    </row>
    <row r="184">
      <c r="A184" s="33"/>
      <c r="B184" s="33"/>
      <c r="C184" s="33"/>
      <c r="D184" s="43"/>
      <c r="E184" s="33"/>
      <c r="F184" s="33"/>
      <c r="G184" s="33"/>
      <c r="H184" s="33"/>
      <c r="I184" s="33"/>
      <c r="J184" s="33"/>
      <c r="K184" s="33"/>
      <c r="L184" s="33"/>
      <c r="M184" s="43"/>
      <c r="N184" s="43"/>
      <c r="O184" s="33"/>
      <c r="P184" s="33"/>
      <c r="Q184" s="33"/>
      <c r="R184" s="33"/>
      <c r="S184" s="33"/>
      <c r="T184" s="33"/>
      <c r="U184" s="33"/>
      <c r="V184" s="33"/>
      <c r="W184" s="33"/>
      <c r="X184" s="33"/>
      <c r="Y184" s="33"/>
      <c r="Z184" s="33"/>
      <c r="AA184" s="33"/>
      <c r="AB184" s="33"/>
    </row>
    <row r="185">
      <c r="A185" s="33"/>
      <c r="B185" s="33"/>
      <c r="C185" s="33"/>
      <c r="D185" s="43"/>
      <c r="E185" s="33"/>
      <c r="F185" s="33"/>
      <c r="G185" s="33"/>
      <c r="H185" s="33"/>
      <c r="I185" s="33"/>
      <c r="J185" s="33"/>
      <c r="K185" s="33"/>
      <c r="L185" s="33"/>
      <c r="M185" s="43"/>
      <c r="N185" s="43"/>
      <c r="O185" s="33"/>
      <c r="P185" s="33"/>
      <c r="Q185" s="33"/>
      <c r="R185" s="33"/>
      <c r="S185" s="33"/>
      <c r="T185" s="33"/>
      <c r="U185" s="33"/>
      <c r="V185" s="33"/>
      <c r="W185" s="33"/>
      <c r="X185" s="33"/>
      <c r="Y185" s="33"/>
      <c r="Z185" s="33"/>
      <c r="AA185" s="33"/>
      <c r="AB185" s="33"/>
    </row>
    <row r="186">
      <c r="A186" s="33"/>
      <c r="B186" s="33"/>
      <c r="C186" s="33"/>
      <c r="D186" s="43"/>
      <c r="E186" s="33"/>
      <c r="F186" s="33"/>
      <c r="G186" s="33"/>
      <c r="H186" s="33"/>
      <c r="I186" s="33"/>
      <c r="J186" s="33"/>
      <c r="K186" s="33"/>
      <c r="L186" s="33"/>
      <c r="M186" s="43"/>
      <c r="N186" s="43"/>
      <c r="O186" s="33"/>
      <c r="P186" s="33"/>
      <c r="Q186" s="33"/>
      <c r="R186" s="33"/>
      <c r="S186" s="33"/>
      <c r="T186" s="33"/>
      <c r="U186" s="33"/>
      <c r="V186" s="33"/>
      <c r="W186" s="33"/>
      <c r="X186" s="33"/>
      <c r="Y186" s="33"/>
      <c r="Z186" s="33"/>
      <c r="AA186" s="33"/>
      <c r="AB186" s="33"/>
    </row>
    <row r="187">
      <c r="A187" s="33"/>
      <c r="B187" s="33"/>
      <c r="C187" s="33"/>
      <c r="D187" s="43"/>
      <c r="E187" s="33"/>
      <c r="F187" s="33"/>
      <c r="G187" s="33"/>
      <c r="H187" s="33"/>
      <c r="I187" s="33"/>
      <c r="J187" s="33"/>
      <c r="K187" s="33"/>
      <c r="L187" s="33"/>
      <c r="M187" s="43"/>
      <c r="N187" s="43"/>
      <c r="O187" s="33"/>
      <c r="P187" s="33"/>
      <c r="Q187" s="33"/>
      <c r="R187" s="33"/>
      <c r="S187" s="33"/>
      <c r="T187" s="33"/>
      <c r="U187" s="33"/>
      <c r="V187" s="33"/>
      <c r="W187" s="33"/>
      <c r="X187" s="33"/>
      <c r="Y187" s="33"/>
      <c r="Z187" s="33"/>
      <c r="AA187" s="33"/>
      <c r="AB187" s="33"/>
    </row>
    <row r="188">
      <c r="A188" s="33"/>
      <c r="B188" s="33"/>
      <c r="C188" s="33"/>
      <c r="D188" s="43"/>
      <c r="E188" s="33"/>
      <c r="F188" s="33"/>
      <c r="G188" s="33"/>
      <c r="H188" s="33"/>
      <c r="I188" s="33"/>
      <c r="J188" s="33"/>
      <c r="K188" s="33"/>
      <c r="L188" s="33"/>
      <c r="M188" s="43"/>
      <c r="N188" s="43"/>
      <c r="O188" s="33"/>
      <c r="P188" s="33"/>
      <c r="Q188" s="33"/>
      <c r="R188" s="33"/>
      <c r="S188" s="33"/>
      <c r="T188" s="33"/>
      <c r="U188" s="33"/>
      <c r="V188" s="33"/>
      <c r="W188" s="33"/>
      <c r="X188" s="33"/>
      <c r="Y188" s="33"/>
      <c r="Z188" s="33"/>
      <c r="AA188" s="33"/>
      <c r="AB188" s="33"/>
    </row>
    <row r="189">
      <c r="A189" s="33"/>
      <c r="B189" s="33"/>
      <c r="C189" s="33"/>
      <c r="D189" s="43"/>
      <c r="E189" s="33"/>
      <c r="F189" s="33"/>
      <c r="G189" s="33"/>
      <c r="H189" s="33"/>
      <c r="I189" s="33"/>
      <c r="J189" s="33"/>
      <c r="K189" s="33"/>
      <c r="L189" s="33"/>
      <c r="M189" s="43"/>
      <c r="N189" s="43"/>
      <c r="O189" s="33"/>
      <c r="P189" s="33"/>
      <c r="Q189" s="33"/>
      <c r="R189" s="33"/>
      <c r="S189" s="33"/>
      <c r="T189" s="33"/>
      <c r="U189" s="33"/>
      <c r="V189" s="33"/>
      <c r="W189" s="33"/>
      <c r="X189" s="33"/>
      <c r="Y189" s="33"/>
      <c r="Z189" s="33"/>
      <c r="AA189" s="33"/>
      <c r="AB189" s="33"/>
    </row>
    <row r="190">
      <c r="A190" s="33"/>
      <c r="B190" s="33"/>
      <c r="C190" s="33"/>
      <c r="D190" s="43"/>
      <c r="E190" s="33"/>
      <c r="F190" s="33"/>
      <c r="G190" s="33"/>
      <c r="H190" s="33"/>
      <c r="I190" s="33"/>
      <c r="J190" s="33"/>
      <c r="K190" s="33"/>
      <c r="L190" s="33"/>
      <c r="M190" s="43"/>
      <c r="N190" s="43"/>
      <c r="O190" s="33"/>
      <c r="P190" s="33"/>
      <c r="Q190" s="33"/>
      <c r="R190" s="33"/>
      <c r="S190" s="33"/>
      <c r="T190" s="33"/>
      <c r="U190" s="33"/>
      <c r="V190" s="33"/>
      <c r="W190" s="33"/>
      <c r="X190" s="33"/>
      <c r="Y190" s="33"/>
      <c r="Z190" s="33"/>
      <c r="AA190" s="33"/>
      <c r="AB190" s="33"/>
    </row>
    <row r="191">
      <c r="A191" s="33"/>
      <c r="B191" s="33"/>
      <c r="C191" s="33"/>
      <c r="D191" s="43"/>
      <c r="E191" s="33"/>
      <c r="F191" s="33"/>
      <c r="G191" s="33"/>
      <c r="H191" s="33"/>
      <c r="I191" s="33"/>
      <c r="J191" s="33"/>
      <c r="K191" s="33"/>
      <c r="L191" s="33"/>
      <c r="M191" s="43"/>
      <c r="N191" s="43"/>
      <c r="O191" s="33"/>
      <c r="P191" s="33"/>
      <c r="Q191" s="33"/>
      <c r="R191" s="33"/>
      <c r="S191" s="33"/>
      <c r="T191" s="33"/>
      <c r="U191" s="33"/>
      <c r="V191" s="33"/>
      <c r="W191" s="33"/>
      <c r="X191" s="33"/>
      <c r="Y191" s="33"/>
      <c r="Z191" s="33"/>
      <c r="AA191" s="33"/>
      <c r="AB191" s="33"/>
    </row>
    <row r="192">
      <c r="A192" s="33"/>
      <c r="B192" s="33"/>
      <c r="C192" s="33"/>
      <c r="D192" s="43"/>
      <c r="E192" s="33"/>
      <c r="F192" s="33"/>
      <c r="G192" s="33"/>
      <c r="H192" s="33"/>
      <c r="I192" s="33"/>
      <c r="J192" s="33"/>
      <c r="K192" s="33"/>
      <c r="L192" s="33"/>
      <c r="M192" s="43"/>
      <c r="N192" s="43"/>
      <c r="O192" s="33"/>
      <c r="P192" s="33"/>
      <c r="Q192" s="33"/>
      <c r="R192" s="33"/>
      <c r="S192" s="33"/>
      <c r="T192" s="33"/>
      <c r="U192" s="33"/>
      <c r="V192" s="33"/>
      <c r="W192" s="33"/>
      <c r="X192" s="33"/>
      <c r="Y192" s="33"/>
      <c r="Z192" s="33"/>
      <c r="AA192" s="33"/>
      <c r="AB192" s="33"/>
    </row>
    <row r="193">
      <c r="A193" s="33"/>
      <c r="B193" s="33"/>
      <c r="C193" s="33"/>
      <c r="D193" s="43"/>
      <c r="E193" s="33"/>
      <c r="F193" s="33"/>
      <c r="G193" s="33"/>
      <c r="H193" s="33"/>
      <c r="I193" s="33"/>
      <c r="J193" s="33"/>
      <c r="K193" s="33"/>
      <c r="L193" s="33"/>
      <c r="M193" s="43"/>
      <c r="N193" s="43"/>
      <c r="O193" s="33"/>
      <c r="P193" s="33"/>
      <c r="Q193" s="33"/>
      <c r="R193" s="33"/>
      <c r="S193" s="33"/>
      <c r="T193" s="33"/>
      <c r="U193" s="33"/>
      <c r="V193" s="33"/>
      <c r="W193" s="33"/>
      <c r="X193" s="33"/>
      <c r="Y193" s="33"/>
      <c r="Z193" s="33"/>
      <c r="AA193" s="33"/>
      <c r="AB193" s="33"/>
    </row>
    <row r="194">
      <c r="A194" s="33"/>
      <c r="B194" s="33"/>
      <c r="C194" s="33"/>
      <c r="D194" s="43"/>
      <c r="E194" s="33"/>
      <c r="F194" s="33"/>
      <c r="G194" s="33"/>
      <c r="H194" s="33"/>
      <c r="I194" s="33"/>
      <c r="J194" s="33"/>
      <c r="K194" s="33"/>
      <c r="L194" s="33"/>
      <c r="M194" s="43"/>
      <c r="N194" s="43"/>
      <c r="O194" s="33"/>
      <c r="P194" s="33"/>
      <c r="Q194" s="33"/>
      <c r="R194" s="33"/>
      <c r="S194" s="33"/>
      <c r="T194" s="33"/>
      <c r="U194" s="33"/>
      <c r="V194" s="33"/>
      <c r="W194" s="33"/>
      <c r="X194" s="33"/>
      <c r="Y194" s="33"/>
      <c r="Z194" s="33"/>
      <c r="AA194" s="33"/>
      <c r="AB194" s="33"/>
    </row>
    <row r="195">
      <c r="A195" s="33"/>
      <c r="B195" s="33"/>
      <c r="C195" s="33"/>
      <c r="D195" s="43"/>
      <c r="E195" s="33"/>
      <c r="F195" s="33"/>
      <c r="G195" s="33"/>
      <c r="H195" s="33"/>
      <c r="I195" s="33"/>
      <c r="J195" s="33"/>
      <c r="K195" s="33"/>
      <c r="L195" s="33"/>
      <c r="M195" s="43"/>
      <c r="N195" s="43"/>
      <c r="O195" s="33"/>
      <c r="P195" s="33"/>
      <c r="Q195" s="33"/>
      <c r="R195" s="33"/>
      <c r="S195" s="33"/>
      <c r="T195" s="33"/>
      <c r="U195" s="33"/>
      <c r="V195" s="33"/>
      <c r="W195" s="33"/>
      <c r="X195" s="33"/>
      <c r="Y195" s="33"/>
      <c r="Z195" s="33"/>
      <c r="AA195" s="33"/>
      <c r="AB195" s="33"/>
    </row>
    <row r="196">
      <c r="A196" s="33"/>
      <c r="B196" s="33"/>
      <c r="C196" s="33"/>
      <c r="D196" s="43"/>
      <c r="E196" s="33"/>
      <c r="F196" s="33"/>
      <c r="G196" s="33"/>
      <c r="H196" s="33"/>
      <c r="I196" s="33"/>
      <c r="J196" s="33"/>
      <c r="K196" s="33"/>
      <c r="L196" s="33"/>
      <c r="M196" s="43"/>
      <c r="N196" s="43"/>
      <c r="O196" s="33"/>
      <c r="P196" s="33"/>
      <c r="Q196" s="33"/>
      <c r="R196" s="33"/>
      <c r="S196" s="33"/>
      <c r="T196" s="33"/>
      <c r="U196" s="33"/>
      <c r="V196" s="33"/>
      <c r="W196" s="33"/>
      <c r="X196" s="33"/>
      <c r="Y196" s="33"/>
      <c r="Z196" s="33"/>
      <c r="AA196" s="33"/>
      <c r="AB196" s="33"/>
    </row>
    <row r="197">
      <c r="A197" s="33"/>
      <c r="B197" s="33"/>
      <c r="C197" s="33"/>
      <c r="D197" s="43"/>
      <c r="E197" s="33"/>
      <c r="F197" s="33"/>
      <c r="G197" s="33"/>
      <c r="H197" s="33"/>
      <c r="I197" s="33"/>
      <c r="J197" s="33"/>
      <c r="K197" s="33"/>
      <c r="L197" s="33"/>
      <c r="M197" s="43"/>
      <c r="N197" s="43"/>
      <c r="O197" s="33"/>
      <c r="P197" s="33"/>
      <c r="Q197" s="33"/>
      <c r="R197" s="33"/>
      <c r="S197" s="33"/>
      <c r="T197" s="33"/>
      <c r="U197" s="33"/>
      <c r="V197" s="33"/>
      <c r="W197" s="33"/>
      <c r="X197" s="33"/>
      <c r="Y197" s="33"/>
      <c r="Z197" s="33"/>
      <c r="AA197" s="33"/>
      <c r="AB197" s="33"/>
    </row>
    <row r="198">
      <c r="A198" s="33"/>
      <c r="B198" s="33"/>
      <c r="C198" s="33"/>
      <c r="D198" s="43"/>
      <c r="E198" s="33"/>
      <c r="F198" s="33"/>
      <c r="G198" s="33"/>
      <c r="H198" s="33"/>
      <c r="I198" s="33"/>
      <c r="J198" s="33"/>
      <c r="K198" s="33"/>
      <c r="L198" s="33"/>
      <c r="M198" s="43"/>
      <c r="N198" s="43"/>
      <c r="O198" s="33"/>
      <c r="P198" s="33"/>
      <c r="Q198" s="33"/>
      <c r="R198" s="33"/>
      <c r="S198" s="33"/>
      <c r="T198" s="33"/>
      <c r="U198" s="33"/>
      <c r="V198" s="33"/>
      <c r="W198" s="33"/>
      <c r="X198" s="33"/>
      <c r="Y198" s="33"/>
      <c r="Z198" s="33"/>
      <c r="AA198" s="33"/>
      <c r="AB198" s="33"/>
    </row>
    <row r="199">
      <c r="A199" s="33"/>
      <c r="B199" s="33"/>
      <c r="C199" s="33"/>
      <c r="D199" s="43"/>
      <c r="E199" s="33"/>
      <c r="F199" s="33"/>
      <c r="G199" s="33"/>
      <c r="H199" s="33"/>
      <c r="I199" s="33"/>
      <c r="J199" s="33"/>
      <c r="K199" s="33"/>
      <c r="L199" s="33"/>
      <c r="M199" s="43"/>
      <c r="N199" s="43"/>
      <c r="O199" s="33"/>
      <c r="P199" s="33"/>
      <c r="Q199" s="33"/>
      <c r="R199" s="33"/>
      <c r="S199" s="33"/>
      <c r="T199" s="33"/>
      <c r="U199" s="33"/>
      <c r="V199" s="33"/>
      <c r="W199" s="33"/>
      <c r="X199" s="33"/>
      <c r="Y199" s="33"/>
      <c r="Z199" s="33"/>
      <c r="AA199" s="33"/>
      <c r="AB199" s="33"/>
    </row>
    <row r="200">
      <c r="A200" s="33"/>
      <c r="B200" s="33"/>
      <c r="C200" s="33"/>
      <c r="D200" s="43"/>
      <c r="E200" s="33"/>
      <c r="F200" s="33"/>
      <c r="G200" s="33"/>
      <c r="H200" s="33"/>
      <c r="I200" s="33"/>
      <c r="J200" s="33"/>
      <c r="K200" s="33"/>
      <c r="L200" s="33"/>
      <c r="M200" s="43"/>
      <c r="N200" s="43"/>
      <c r="O200" s="33"/>
      <c r="P200" s="33"/>
      <c r="Q200" s="33"/>
      <c r="R200" s="33"/>
      <c r="S200" s="33"/>
      <c r="T200" s="33"/>
      <c r="U200" s="33"/>
      <c r="V200" s="33"/>
      <c r="W200" s="33"/>
      <c r="X200" s="33"/>
      <c r="Y200" s="33"/>
      <c r="Z200" s="33"/>
      <c r="AA200" s="33"/>
      <c r="AB200" s="33"/>
    </row>
    <row r="201">
      <c r="A201" s="33"/>
      <c r="B201" s="33"/>
      <c r="C201" s="33"/>
      <c r="D201" s="43"/>
      <c r="E201" s="33"/>
      <c r="F201" s="33"/>
      <c r="G201" s="33"/>
      <c r="H201" s="33"/>
      <c r="I201" s="33"/>
      <c r="J201" s="33"/>
      <c r="K201" s="33"/>
      <c r="L201" s="33"/>
      <c r="M201" s="43"/>
      <c r="N201" s="43"/>
      <c r="O201" s="33"/>
      <c r="P201" s="33"/>
      <c r="Q201" s="33"/>
      <c r="R201" s="33"/>
      <c r="S201" s="33"/>
      <c r="T201" s="33"/>
      <c r="U201" s="33"/>
      <c r="V201" s="33"/>
      <c r="W201" s="33"/>
      <c r="X201" s="33"/>
      <c r="Y201" s="33"/>
      <c r="Z201" s="33"/>
      <c r="AA201" s="33"/>
      <c r="AB201" s="33"/>
    </row>
    <row r="202">
      <c r="A202" s="33"/>
      <c r="B202" s="33"/>
      <c r="C202" s="33"/>
      <c r="D202" s="43"/>
      <c r="E202" s="33"/>
      <c r="F202" s="33"/>
      <c r="G202" s="33"/>
      <c r="H202" s="33"/>
      <c r="I202" s="33"/>
      <c r="J202" s="33"/>
      <c r="K202" s="33"/>
      <c r="L202" s="33"/>
      <c r="M202" s="43"/>
      <c r="N202" s="43"/>
      <c r="O202" s="33"/>
      <c r="P202" s="33"/>
      <c r="Q202" s="33"/>
      <c r="R202" s="33"/>
      <c r="S202" s="33"/>
      <c r="T202" s="33"/>
      <c r="U202" s="33"/>
      <c r="V202" s="33"/>
      <c r="W202" s="33"/>
      <c r="X202" s="33"/>
      <c r="Y202" s="33"/>
      <c r="Z202" s="33"/>
      <c r="AA202" s="33"/>
      <c r="AB202" s="33"/>
    </row>
    <row r="203">
      <c r="A203" s="33"/>
      <c r="B203" s="33"/>
      <c r="C203" s="33"/>
      <c r="D203" s="43"/>
      <c r="E203" s="33"/>
      <c r="F203" s="33"/>
      <c r="G203" s="33"/>
      <c r="H203" s="33"/>
      <c r="I203" s="33"/>
      <c r="J203" s="33"/>
      <c r="K203" s="33"/>
      <c r="L203" s="33"/>
      <c r="M203" s="43"/>
      <c r="N203" s="43"/>
      <c r="O203" s="33"/>
      <c r="P203" s="33"/>
      <c r="Q203" s="33"/>
      <c r="R203" s="33"/>
      <c r="S203" s="33"/>
      <c r="T203" s="33"/>
      <c r="U203" s="33"/>
      <c r="V203" s="33"/>
      <c r="W203" s="33"/>
      <c r="X203" s="33"/>
      <c r="Y203" s="33"/>
      <c r="Z203" s="33"/>
      <c r="AA203" s="33"/>
      <c r="AB203" s="33"/>
    </row>
    <row r="204">
      <c r="A204" s="33"/>
      <c r="B204" s="33"/>
      <c r="C204" s="33"/>
      <c r="D204" s="43"/>
      <c r="E204" s="33"/>
      <c r="F204" s="33"/>
      <c r="G204" s="33"/>
      <c r="H204" s="33"/>
      <c r="I204" s="33"/>
      <c r="J204" s="33"/>
      <c r="K204" s="33"/>
      <c r="L204" s="33"/>
      <c r="M204" s="43"/>
      <c r="N204" s="43"/>
      <c r="O204" s="33"/>
      <c r="P204" s="33"/>
      <c r="Q204" s="33"/>
      <c r="R204" s="33"/>
      <c r="S204" s="33"/>
      <c r="T204" s="33"/>
      <c r="U204" s="33"/>
      <c r="V204" s="33"/>
      <c r="W204" s="33"/>
      <c r="X204" s="33"/>
      <c r="Y204" s="33"/>
      <c r="Z204" s="33"/>
      <c r="AA204" s="33"/>
      <c r="AB204" s="33"/>
    </row>
    <row r="205">
      <c r="A205" s="33"/>
      <c r="B205" s="33"/>
      <c r="C205" s="33"/>
      <c r="D205" s="43"/>
      <c r="E205" s="33"/>
      <c r="F205" s="33"/>
      <c r="G205" s="33"/>
      <c r="H205" s="33"/>
      <c r="I205" s="33"/>
      <c r="J205" s="33"/>
      <c r="K205" s="33"/>
      <c r="L205" s="33"/>
      <c r="M205" s="43"/>
      <c r="N205" s="43"/>
      <c r="O205" s="33"/>
      <c r="P205" s="33"/>
      <c r="Q205" s="33"/>
      <c r="R205" s="33"/>
      <c r="S205" s="33"/>
      <c r="T205" s="33"/>
      <c r="U205" s="33"/>
      <c r="V205" s="33"/>
      <c r="W205" s="33"/>
      <c r="X205" s="33"/>
      <c r="Y205" s="33"/>
      <c r="Z205" s="33"/>
      <c r="AA205" s="33"/>
      <c r="AB205" s="33"/>
    </row>
    <row r="206">
      <c r="A206" s="33"/>
      <c r="B206" s="33"/>
      <c r="C206" s="33"/>
      <c r="D206" s="43"/>
      <c r="E206" s="33"/>
      <c r="F206" s="33"/>
      <c r="G206" s="33"/>
      <c r="H206" s="33"/>
      <c r="I206" s="33"/>
      <c r="J206" s="33"/>
      <c r="K206" s="33"/>
      <c r="L206" s="33"/>
      <c r="M206" s="43"/>
      <c r="N206" s="43"/>
      <c r="O206" s="33"/>
      <c r="P206" s="33"/>
      <c r="Q206" s="33"/>
      <c r="R206" s="33"/>
      <c r="S206" s="33"/>
      <c r="T206" s="33"/>
      <c r="U206" s="33"/>
      <c r="V206" s="33"/>
      <c r="W206" s="33"/>
      <c r="X206" s="33"/>
      <c r="Y206" s="33"/>
      <c r="Z206" s="33"/>
      <c r="AA206" s="33"/>
      <c r="AB206" s="33"/>
    </row>
    <row r="207">
      <c r="A207" s="33"/>
      <c r="B207" s="33"/>
      <c r="C207" s="33"/>
      <c r="D207" s="43"/>
      <c r="E207" s="33"/>
      <c r="F207" s="33"/>
      <c r="G207" s="33"/>
      <c r="H207" s="33"/>
      <c r="I207" s="33"/>
      <c r="J207" s="33"/>
      <c r="K207" s="33"/>
      <c r="L207" s="33"/>
      <c r="M207" s="43"/>
      <c r="N207" s="43"/>
      <c r="O207" s="33"/>
      <c r="P207" s="33"/>
      <c r="Q207" s="33"/>
      <c r="R207" s="33"/>
      <c r="S207" s="33"/>
      <c r="T207" s="33"/>
      <c r="U207" s="33"/>
      <c r="V207" s="33"/>
      <c r="W207" s="33"/>
      <c r="X207" s="33"/>
      <c r="Y207" s="33"/>
      <c r="Z207" s="33"/>
      <c r="AA207" s="33"/>
      <c r="AB207" s="33"/>
    </row>
    <row r="208">
      <c r="A208" s="33"/>
      <c r="B208" s="33"/>
      <c r="C208" s="33"/>
      <c r="D208" s="43"/>
      <c r="E208" s="33"/>
      <c r="F208" s="33"/>
      <c r="G208" s="33"/>
      <c r="H208" s="33"/>
      <c r="I208" s="33"/>
      <c r="J208" s="33"/>
      <c r="K208" s="33"/>
      <c r="L208" s="33"/>
      <c r="M208" s="43"/>
      <c r="N208" s="43"/>
      <c r="O208" s="33"/>
      <c r="P208" s="33"/>
      <c r="Q208" s="33"/>
      <c r="R208" s="33"/>
      <c r="S208" s="33"/>
      <c r="T208" s="33"/>
      <c r="U208" s="33"/>
      <c r="V208" s="33"/>
      <c r="W208" s="33"/>
      <c r="X208" s="33"/>
      <c r="Y208" s="33"/>
      <c r="Z208" s="33"/>
      <c r="AA208" s="33"/>
      <c r="AB208" s="33"/>
    </row>
    <row r="209">
      <c r="A209" s="33"/>
      <c r="B209" s="33"/>
      <c r="C209" s="33"/>
      <c r="D209" s="43"/>
      <c r="E209" s="33"/>
      <c r="F209" s="33"/>
      <c r="G209" s="33"/>
      <c r="H209" s="33"/>
      <c r="I209" s="33"/>
      <c r="J209" s="33"/>
      <c r="K209" s="33"/>
      <c r="L209" s="33"/>
      <c r="M209" s="43"/>
      <c r="N209" s="43"/>
      <c r="O209" s="33"/>
      <c r="P209" s="33"/>
      <c r="Q209" s="33"/>
      <c r="R209" s="33"/>
      <c r="S209" s="33"/>
      <c r="T209" s="33"/>
      <c r="U209" s="33"/>
      <c r="V209" s="33"/>
      <c r="W209" s="33"/>
      <c r="X209" s="33"/>
      <c r="Y209" s="33"/>
      <c r="Z209" s="33"/>
      <c r="AA209" s="33"/>
      <c r="AB209" s="33"/>
    </row>
    <row r="210">
      <c r="A210" s="33"/>
      <c r="B210" s="33"/>
      <c r="C210" s="33"/>
      <c r="D210" s="43"/>
      <c r="E210" s="33"/>
      <c r="F210" s="33"/>
      <c r="G210" s="33"/>
      <c r="H210" s="33"/>
      <c r="I210" s="33"/>
      <c r="J210" s="33"/>
      <c r="K210" s="33"/>
      <c r="L210" s="33"/>
      <c r="M210" s="43"/>
      <c r="N210" s="43"/>
      <c r="O210" s="33"/>
      <c r="P210" s="33"/>
      <c r="Q210" s="33"/>
      <c r="R210" s="33"/>
      <c r="S210" s="33"/>
      <c r="T210" s="33"/>
      <c r="U210" s="33"/>
      <c r="V210" s="33"/>
      <c r="W210" s="33"/>
      <c r="X210" s="33"/>
      <c r="Y210" s="33"/>
      <c r="Z210" s="33"/>
      <c r="AA210" s="33"/>
      <c r="AB210" s="33"/>
    </row>
    <row r="211">
      <c r="A211" s="33"/>
      <c r="B211" s="33"/>
      <c r="C211" s="33"/>
      <c r="D211" s="43"/>
      <c r="E211" s="33"/>
      <c r="F211" s="33"/>
      <c r="G211" s="33"/>
      <c r="H211" s="33"/>
      <c r="I211" s="33"/>
      <c r="J211" s="33"/>
      <c r="K211" s="33"/>
      <c r="L211" s="33"/>
      <c r="M211" s="43"/>
      <c r="N211" s="43"/>
      <c r="O211" s="33"/>
      <c r="P211" s="33"/>
      <c r="Q211" s="33"/>
      <c r="R211" s="33"/>
      <c r="S211" s="33"/>
      <c r="T211" s="33"/>
      <c r="U211" s="33"/>
      <c r="V211" s="33"/>
      <c r="W211" s="33"/>
      <c r="X211" s="33"/>
      <c r="Y211" s="33"/>
      <c r="Z211" s="33"/>
      <c r="AA211" s="33"/>
      <c r="AB211" s="33"/>
    </row>
    <row r="212">
      <c r="A212" s="33"/>
      <c r="B212" s="33"/>
      <c r="C212" s="33"/>
      <c r="D212" s="43"/>
      <c r="E212" s="33"/>
      <c r="F212" s="33"/>
      <c r="G212" s="33"/>
      <c r="H212" s="33"/>
      <c r="I212" s="33"/>
      <c r="J212" s="33"/>
      <c r="K212" s="33"/>
      <c r="L212" s="33"/>
      <c r="M212" s="43"/>
      <c r="N212" s="43"/>
      <c r="O212" s="33"/>
      <c r="P212" s="33"/>
      <c r="Q212" s="33"/>
      <c r="R212" s="33"/>
      <c r="S212" s="33"/>
      <c r="T212" s="33"/>
      <c r="U212" s="33"/>
      <c r="V212" s="33"/>
      <c r="W212" s="33"/>
      <c r="X212" s="33"/>
      <c r="Y212" s="33"/>
      <c r="Z212" s="33"/>
      <c r="AA212" s="33"/>
      <c r="AB212" s="33"/>
    </row>
    <row r="213">
      <c r="A213" s="33"/>
      <c r="B213" s="33"/>
      <c r="C213" s="33"/>
      <c r="D213" s="43"/>
      <c r="E213" s="33"/>
      <c r="F213" s="33"/>
      <c r="G213" s="33"/>
      <c r="H213" s="33"/>
      <c r="I213" s="33"/>
      <c r="J213" s="33"/>
      <c r="K213" s="33"/>
      <c r="L213" s="33"/>
      <c r="M213" s="43"/>
      <c r="N213" s="43"/>
      <c r="O213" s="33"/>
      <c r="P213" s="33"/>
      <c r="Q213" s="33"/>
      <c r="R213" s="33"/>
      <c r="S213" s="33"/>
      <c r="T213" s="33"/>
      <c r="U213" s="33"/>
      <c r="V213" s="33"/>
      <c r="W213" s="33"/>
      <c r="X213" s="33"/>
      <c r="Y213" s="33"/>
      <c r="Z213" s="33"/>
      <c r="AA213" s="33"/>
      <c r="AB213" s="33"/>
    </row>
    <row r="214">
      <c r="A214" s="33"/>
      <c r="B214" s="33"/>
      <c r="C214" s="33"/>
      <c r="D214" s="43"/>
      <c r="E214" s="33"/>
      <c r="F214" s="33"/>
      <c r="G214" s="33"/>
      <c r="H214" s="33"/>
      <c r="I214" s="33"/>
      <c r="J214" s="33"/>
      <c r="K214" s="33"/>
      <c r="L214" s="33"/>
      <c r="M214" s="43"/>
      <c r="N214" s="43"/>
      <c r="O214" s="33"/>
      <c r="P214" s="33"/>
      <c r="Q214" s="33"/>
      <c r="R214" s="33"/>
      <c r="S214" s="33"/>
      <c r="T214" s="33"/>
      <c r="U214" s="33"/>
      <c r="V214" s="33"/>
      <c r="W214" s="33"/>
      <c r="X214" s="33"/>
      <c r="Y214" s="33"/>
      <c r="Z214" s="33"/>
      <c r="AA214" s="33"/>
      <c r="AB214" s="33"/>
    </row>
    <row r="215">
      <c r="A215" s="33"/>
      <c r="B215" s="33"/>
      <c r="C215" s="33"/>
      <c r="D215" s="43"/>
      <c r="E215" s="33"/>
      <c r="F215" s="33"/>
      <c r="G215" s="33"/>
      <c r="H215" s="33"/>
      <c r="I215" s="33"/>
      <c r="J215" s="33"/>
      <c r="K215" s="33"/>
      <c r="L215" s="33"/>
      <c r="M215" s="43"/>
      <c r="N215" s="43"/>
      <c r="O215" s="33"/>
      <c r="P215" s="33"/>
      <c r="Q215" s="33"/>
      <c r="R215" s="33"/>
      <c r="S215" s="33"/>
      <c r="T215" s="33"/>
      <c r="U215" s="33"/>
      <c r="V215" s="33"/>
      <c r="W215" s="33"/>
      <c r="X215" s="33"/>
      <c r="Y215" s="33"/>
      <c r="Z215" s="33"/>
      <c r="AA215" s="33"/>
      <c r="AB215" s="33"/>
    </row>
    <row r="216">
      <c r="A216" s="33"/>
      <c r="B216" s="33"/>
      <c r="C216" s="33"/>
      <c r="D216" s="43"/>
      <c r="E216" s="33"/>
      <c r="F216" s="33"/>
      <c r="G216" s="33"/>
      <c r="H216" s="33"/>
      <c r="I216" s="33"/>
      <c r="J216" s="33"/>
      <c r="K216" s="33"/>
      <c r="L216" s="33"/>
      <c r="M216" s="43"/>
      <c r="N216" s="43"/>
      <c r="O216" s="33"/>
      <c r="P216" s="33"/>
      <c r="Q216" s="33"/>
      <c r="R216" s="33"/>
      <c r="S216" s="33"/>
      <c r="T216" s="33"/>
      <c r="U216" s="33"/>
      <c r="V216" s="33"/>
      <c r="W216" s="33"/>
      <c r="X216" s="33"/>
      <c r="Y216" s="33"/>
      <c r="Z216" s="33"/>
      <c r="AA216" s="33"/>
      <c r="AB216" s="33"/>
    </row>
    <row r="217">
      <c r="A217" s="33"/>
      <c r="B217" s="33"/>
      <c r="C217" s="33"/>
      <c r="D217" s="43"/>
      <c r="E217" s="33"/>
      <c r="F217" s="33"/>
      <c r="G217" s="33"/>
      <c r="H217" s="33"/>
      <c r="I217" s="33"/>
      <c r="J217" s="33"/>
      <c r="K217" s="33"/>
      <c r="L217" s="33"/>
      <c r="M217" s="43"/>
      <c r="N217" s="43"/>
      <c r="O217" s="33"/>
      <c r="P217" s="33"/>
      <c r="Q217" s="33"/>
      <c r="R217" s="33"/>
      <c r="S217" s="33"/>
      <c r="T217" s="33"/>
      <c r="U217" s="33"/>
      <c r="V217" s="33"/>
      <c r="W217" s="33"/>
      <c r="X217" s="33"/>
      <c r="Y217" s="33"/>
      <c r="Z217" s="33"/>
      <c r="AA217" s="33"/>
      <c r="AB217" s="33"/>
    </row>
    <row r="218">
      <c r="A218" s="33"/>
      <c r="B218" s="33"/>
      <c r="C218" s="33"/>
      <c r="D218" s="43"/>
      <c r="E218" s="33"/>
      <c r="F218" s="33"/>
      <c r="G218" s="33"/>
      <c r="H218" s="33"/>
      <c r="I218" s="33"/>
      <c r="J218" s="33"/>
      <c r="K218" s="33"/>
      <c r="L218" s="33"/>
      <c r="M218" s="43"/>
      <c r="N218" s="43"/>
      <c r="O218" s="33"/>
      <c r="P218" s="33"/>
      <c r="Q218" s="33"/>
      <c r="R218" s="33"/>
      <c r="S218" s="33"/>
      <c r="T218" s="33"/>
      <c r="U218" s="33"/>
      <c r="V218" s="33"/>
      <c r="W218" s="33"/>
      <c r="X218" s="33"/>
      <c r="Y218" s="33"/>
      <c r="Z218" s="33"/>
      <c r="AA218" s="33"/>
      <c r="AB218" s="33"/>
    </row>
    <row r="219">
      <c r="A219" s="33"/>
      <c r="B219" s="33"/>
      <c r="C219" s="33"/>
      <c r="D219" s="43"/>
      <c r="E219" s="33"/>
      <c r="F219" s="33"/>
      <c r="G219" s="33"/>
      <c r="H219" s="33"/>
      <c r="I219" s="33"/>
      <c r="J219" s="33"/>
      <c r="K219" s="33"/>
      <c r="L219" s="33"/>
      <c r="M219" s="43"/>
      <c r="N219" s="43"/>
      <c r="O219" s="33"/>
      <c r="P219" s="33"/>
      <c r="Q219" s="33"/>
      <c r="R219" s="33"/>
      <c r="S219" s="33"/>
      <c r="T219" s="33"/>
      <c r="U219" s="33"/>
      <c r="V219" s="33"/>
      <c r="W219" s="33"/>
      <c r="X219" s="33"/>
      <c r="Y219" s="33"/>
      <c r="Z219" s="33"/>
      <c r="AA219" s="33"/>
      <c r="AB219" s="33"/>
    </row>
    <row r="220">
      <c r="A220" s="33"/>
      <c r="B220" s="33"/>
      <c r="C220" s="33"/>
      <c r="D220" s="43"/>
      <c r="E220" s="33"/>
      <c r="F220" s="33"/>
      <c r="G220" s="33"/>
      <c r="H220" s="33"/>
      <c r="I220" s="33"/>
      <c r="J220" s="33"/>
      <c r="K220" s="33"/>
      <c r="L220" s="33"/>
      <c r="M220" s="43"/>
      <c r="N220" s="43"/>
      <c r="O220" s="33"/>
      <c r="P220" s="33"/>
      <c r="Q220" s="33"/>
      <c r="R220" s="33"/>
      <c r="S220" s="33"/>
      <c r="T220" s="33"/>
      <c r="U220" s="33"/>
      <c r="V220" s="33"/>
      <c r="W220" s="33"/>
      <c r="X220" s="33"/>
      <c r="Y220" s="33"/>
      <c r="Z220" s="33"/>
      <c r="AA220" s="33"/>
      <c r="AB220" s="33"/>
    </row>
    <row r="221">
      <c r="A221" s="33"/>
      <c r="B221" s="33"/>
      <c r="C221" s="33"/>
      <c r="D221" s="43"/>
      <c r="E221" s="33"/>
      <c r="F221" s="33"/>
      <c r="G221" s="33"/>
      <c r="H221" s="33"/>
      <c r="I221" s="33"/>
      <c r="J221" s="33"/>
      <c r="K221" s="33"/>
      <c r="L221" s="33"/>
      <c r="M221" s="43"/>
      <c r="N221" s="43"/>
      <c r="O221" s="33"/>
      <c r="P221" s="33"/>
      <c r="Q221" s="33"/>
      <c r="R221" s="33"/>
      <c r="S221" s="33"/>
      <c r="T221" s="33"/>
      <c r="U221" s="33"/>
      <c r="V221" s="33"/>
      <c r="W221" s="33"/>
      <c r="X221" s="33"/>
      <c r="Y221" s="33"/>
      <c r="Z221" s="33"/>
      <c r="AA221" s="33"/>
      <c r="AB221" s="33"/>
    </row>
    <row r="222">
      <c r="A222" s="33"/>
      <c r="B222" s="33"/>
      <c r="C222" s="33"/>
      <c r="D222" s="43"/>
      <c r="E222" s="33"/>
      <c r="F222" s="33"/>
      <c r="G222" s="33"/>
      <c r="H222" s="33"/>
      <c r="I222" s="33"/>
      <c r="J222" s="33"/>
      <c r="K222" s="33"/>
      <c r="L222" s="33"/>
      <c r="M222" s="43"/>
      <c r="N222" s="43"/>
      <c r="O222" s="33"/>
      <c r="P222" s="33"/>
      <c r="Q222" s="33"/>
      <c r="R222" s="33"/>
      <c r="S222" s="33"/>
      <c r="T222" s="33"/>
      <c r="U222" s="33"/>
      <c r="V222" s="33"/>
      <c r="W222" s="33"/>
      <c r="X222" s="33"/>
      <c r="Y222" s="33"/>
      <c r="Z222" s="33"/>
      <c r="AA222" s="33"/>
      <c r="AB222" s="33"/>
    </row>
    <row r="223">
      <c r="A223" s="33"/>
      <c r="B223" s="33"/>
      <c r="C223" s="33"/>
      <c r="D223" s="43"/>
      <c r="E223" s="33"/>
      <c r="F223" s="33"/>
      <c r="G223" s="33"/>
      <c r="H223" s="33"/>
      <c r="I223" s="33"/>
      <c r="J223" s="33"/>
      <c r="K223" s="33"/>
      <c r="L223" s="33"/>
      <c r="M223" s="43"/>
      <c r="N223" s="43"/>
      <c r="O223" s="33"/>
      <c r="P223" s="33"/>
      <c r="Q223" s="33"/>
      <c r="R223" s="33"/>
      <c r="S223" s="33"/>
      <c r="T223" s="33"/>
      <c r="U223" s="33"/>
      <c r="V223" s="33"/>
      <c r="W223" s="33"/>
      <c r="X223" s="33"/>
      <c r="Y223" s="33"/>
      <c r="Z223" s="33"/>
      <c r="AA223" s="33"/>
      <c r="AB223" s="33"/>
    </row>
    <row r="224">
      <c r="A224" s="33"/>
      <c r="B224" s="33"/>
      <c r="C224" s="33"/>
      <c r="D224" s="43"/>
      <c r="E224" s="33"/>
      <c r="F224" s="33"/>
      <c r="G224" s="33"/>
      <c r="H224" s="33"/>
      <c r="I224" s="33"/>
      <c r="J224" s="33"/>
      <c r="K224" s="33"/>
      <c r="L224" s="33"/>
      <c r="M224" s="43"/>
      <c r="N224" s="43"/>
      <c r="O224" s="33"/>
      <c r="P224" s="33"/>
      <c r="Q224" s="33"/>
      <c r="R224" s="33"/>
      <c r="S224" s="33"/>
      <c r="T224" s="33"/>
      <c r="U224" s="33"/>
      <c r="V224" s="33"/>
      <c r="W224" s="33"/>
      <c r="X224" s="33"/>
      <c r="Y224" s="33"/>
      <c r="Z224" s="33"/>
      <c r="AA224" s="33"/>
      <c r="AB224" s="33"/>
    </row>
    <row r="225">
      <c r="A225" s="33"/>
      <c r="B225" s="33"/>
      <c r="C225" s="33"/>
      <c r="D225" s="43"/>
      <c r="E225" s="33"/>
      <c r="F225" s="33"/>
      <c r="G225" s="33"/>
      <c r="H225" s="33"/>
      <c r="I225" s="33"/>
      <c r="J225" s="33"/>
      <c r="K225" s="33"/>
      <c r="L225" s="33"/>
      <c r="M225" s="43"/>
      <c r="N225" s="43"/>
      <c r="O225" s="33"/>
      <c r="P225" s="33"/>
      <c r="Q225" s="33"/>
      <c r="R225" s="33"/>
      <c r="S225" s="33"/>
      <c r="T225" s="33"/>
      <c r="U225" s="33"/>
      <c r="V225" s="33"/>
      <c r="W225" s="33"/>
      <c r="X225" s="33"/>
      <c r="Y225" s="33"/>
      <c r="Z225" s="33"/>
      <c r="AA225" s="33"/>
      <c r="AB225" s="33"/>
    </row>
    <row r="226">
      <c r="A226" s="33"/>
      <c r="B226" s="33"/>
      <c r="C226" s="33"/>
      <c r="D226" s="43"/>
      <c r="E226" s="33"/>
      <c r="F226" s="33"/>
      <c r="G226" s="33"/>
      <c r="H226" s="33"/>
      <c r="I226" s="33"/>
      <c r="J226" s="33"/>
      <c r="K226" s="33"/>
      <c r="L226" s="33"/>
      <c r="M226" s="43"/>
      <c r="N226" s="43"/>
      <c r="O226" s="33"/>
      <c r="P226" s="33"/>
      <c r="Q226" s="33"/>
      <c r="R226" s="33"/>
      <c r="S226" s="33"/>
      <c r="T226" s="33"/>
      <c r="U226" s="33"/>
      <c r="V226" s="33"/>
      <c r="W226" s="33"/>
      <c r="X226" s="33"/>
      <c r="Y226" s="33"/>
      <c r="Z226" s="33"/>
      <c r="AA226" s="33"/>
      <c r="AB226" s="33"/>
    </row>
    <row r="227">
      <c r="A227" s="33"/>
      <c r="B227" s="33"/>
      <c r="C227" s="33"/>
      <c r="D227" s="43"/>
      <c r="E227" s="33"/>
      <c r="F227" s="33"/>
      <c r="G227" s="33"/>
      <c r="H227" s="33"/>
      <c r="I227" s="33"/>
      <c r="J227" s="33"/>
      <c r="K227" s="33"/>
      <c r="L227" s="33"/>
      <c r="M227" s="43"/>
      <c r="N227" s="43"/>
      <c r="O227" s="33"/>
      <c r="P227" s="33"/>
      <c r="Q227" s="33"/>
      <c r="R227" s="33"/>
      <c r="S227" s="33"/>
      <c r="T227" s="33"/>
      <c r="U227" s="33"/>
      <c r="V227" s="33"/>
      <c r="W227" s="33"/>
      <c r="X227" s="33"/>
      <c r="Y227" s="33"/>
      <c r="Z227" s="33"/>
      <c r="AA227" s="33"/>
      <c r="AB227" s="33"/>
    </row>
    <row r="228">
      <c r="A228" s="33"/>
      <c r="B228" s="33"/>
      <c r="C228" s="33"/>
      <c r="D228" s="43"/>
      <c r="E228" s="33"/>
      <c r="F228" s="33"/>
      <c r="G228" s="33"/>
      <c r="H228" s="33"/>
      <c r="I228" s="33"/>
      <c r="J228" s="33"/>
      <c r="K228" s="33"/>
      <c r="L228" s="33"/>
      <c r="M228" s="43"/>
      <c r="N228" s="43"/>
      <c r="O228" s="33"/>
      <c r="P228" s="33"/>
      <c r="Q228" s="33"/>
      <c r="R228" s="33"/>
      <c r="S228" s="33"/>
      <c r="T228" s="33"/>
      <c r="U228" s="33"/>
      <c r="V228" s="33"/>
      <c r="W228" s="33"/>
      <c r="X228" s="33"/>
      <c r="Y228" s="33"/>
      <c r="Z228" s="33"/>
      <c r="AA228" s="33"/>
      <c r="AB228" s="33"/>
    </row>
    <row r="229">
      <c r="A229" s="33"/>
      <c r="B229" s="33"/>
      <c r="C229" s="33"/>
      <c r="D229" s="43"/>
      <c r="E229" s="33"/>
      <c r="F229" s="33"/>
      <c r="G229" s="33"/>
      <c r="H229" s="33"/>
      <c r="I229" s="33"/>
      <c r="J229" s="33"/>
      <c r="K229" s="33"/>
      <c r="L229" s="33"/>
      <c r="M229" s="43"/>
      <c r="N229" s="43"/>
      <c r="O229" s="33"/>
      <c r="P229" s="33"/>
      <c r="Q229" s="33"/>
      <c r="R229" s="33"/>
      <c r="S229" s="33"/>
      <c r="T229" s="33"/>
      <c r="U229" s="33"/>
      <c r="V229" s="33"/>
      <c r="W229" s="33"/>
      <c r="X229" s="33"/>
      <c r="Y229" s="33"/>
      <c r="Z229" s="33"/>
      <c r="AA229" s="33"/>
      <c r="AB229" s="33"/>
    </row>
    <row r="230">
      <c r="A230" s="33"/>
      <c r="B230" s="33"/>
      <c r="C230" s="33"/>
      <c r="D230" s="43"/>
      <c r="E230" s="33"/>
      <c r="F230" s="33"/>
      <c r="G230" s="33"/>
      <c r="H230" s="33"/>
      <c r="I230" s="33"/>
      <c r="J230" s="33"/>
      <c r="K230" s="33"/>
      <c r="L230" s="33"/>
      <c r="M230" s="43"/>
      <c r="N230" s="43"/>
      <c r="O230" s="33"/>
      <c r="P230" s="33"/>
      <c r="Q230" s="33"/>
      <c r="R230" s="33"/>
      <c r="S230" s="33"/>
      <c r="T230" s="33"/>
      <c r="U230" s="33"/>
      <c r="V230" s="33"/>
      <c r="W230" s="33"/>
      <c r="X230" s="33"/>
      <c r="Y230" s="33"/>
      <c r="Z230" s="33"/>
      <c r="AA230" s="33"/>
      <c r="AB230" s="33"/>
    </row>
    <row r="231">
      <c r="A231" s="33"/>
      <c r="B231" s="33"/>
      <c r="C231" s="33"/>
      <c r="D231" s="43"/>
      <c r="E231" s="33"/>
      <c r="F231" s="33"/>
      <c r="G231" s="33"/>
      <c r="H231" s="33"/>
      <c r="I231" s="33"/>
      <c r="J231" s="33"/>
      <c r="K231" s="33"/>
      <c r="L231" s="33"/>
      <c r="M231" s="43"/>
      <c r="N231" s="43"/>
      <c r="O231" s="33"/>
      <c r="P231" s="33"/>
      <c r="Q231" s="33"/>
      <c r="R231" s="33"/>
      <c r="S231" s="33"/>
      <c r="T231" s="33"/>
      <c r="U231" s="33"/>
      <c r="V231" s="33"/>
      <c r="W231" s="33"/>
      <c r="X231" s="33"/>
      <c r="Y231" s="33"/>
      <c r="Z231" s="33"/>
      <c r="AA231" s="33"/>
      <c r="AB231" s="33"/>
    </row>
    <row r="232">
      <c r="A232" s="33"/>
      <c r="B232" s="33"/>
      <c r="C232" s="33"/>
      <c r="D232" s="43"/>
      <c r="E232" s="33"/>
      <c r="F232" s="33"/>
      <c r="G232" s="33"/>
      <c r="H232" s="33"/>
      <c r="I232" s="33"/>
      <c r="J232" s="33"/>
      <c r="K232" s="33"/>
      <c r="L232" s="33"/>
      <c r="M232" s="43"/>
      <c r="N232" s="43"/>
      <c r="O232" s="33"/>
      <c r="P232" s="33"/>
      <c r="Q232" s="33"/>
      <c r="R232" s="33"/>
      <c r="S232" s="33"/>
      <c r="T232" s="33"/>
      <c r="U232" s="33"/>
      <c r="V232" s="33"/>
      <c r="W232" s="33"/>
      <c r="X232" s="33"/>
      <c r="Y232" s="33"/>
      <c r="Z232" s="33"/>
      <c r="AA232" s="33"/>
      <c r="AB232" s="33"/>
    </row>
    <row r="233">
      <c r="A233" s="33"/>
      <c r="B233" s="33"/>
      <c r="C233" s="33"/>
      <c r="D233" s="43"/>
      <c r="E233" s="33"/>
      <c r="F233" s="33"/>
      <c r="G233" s="33"/>
      <c r="H233" s="33"/>
      <c r="I233" s="33"/>
      <c r="J233" s="33"/>
      <c r="K233" s="33"/>
      <c r="L233" s="33"/>
      <c r="M233" s="43"/>
      <c r="N233" s="43"/>
      <c r="O233" s="33"/>
      <c r="P233" s="33"/>
      <c r="Q233" s="33"/>
      <c r="R233" s="33"/>
      <c r="S233" s="33"/>
      <c r="T233" s="33"/>
      <c r="U233" s="33"/>
      <c r="V233" s="33"/>
      <c r="W233" s="33"/>
      <c r="X233" s="33"/>
      <c r="Y233" s="33"/>
      <c r="Z233" s="33"/>
      <c r="AA233" s="33"/>
      <c r="AB233" s="33"/>
    </row>
    <row r="234">
      <c r="A234" s="33"/>
      <c r="B234" s="33"/>
      <c r="C234" s="33"/>
      <c r="D234" s="43"/>
      <c r="E234" s="33"/>
      <c r="F234" s="33"/>
      <c r="G234" s="33"/>
      <c r="H234" s="33"/>
      <c r="I234" s="33"/>
      <c r="J234" s="33"/>
      <c r="K234" s="33"/>
      <c r="L234" s="33"/>
      <c r="M234" s="43"/>
      <c r="N234" s="43"/>
      <c r="O234" s="33"/>
      <c r="P234" s="33"/>
      <c r="Q234" s="33"/>
      <c r="R234" s="33"/>
      <c r="S234" s="33"/>
      <c r="T234" s="33"/>
      <c r="U234" s="33"/>
      <c r="V234" s="33"/>
      <c r="W234" s="33"/>
      <c r="X234" s="33"/>
      <c r="Y234" s="33"/>
      <c r="Z234" s="33"/>
      <c r="AA234" s="33"/>
      <c r="AB234" s="33"/>
    </row>
    <row r="235">
      <c r="A235" s="33"/>
      <c r="B235" s="33"/>
      <c r="C235" s="33"/>
      <c r="D235" s="43"/>
      <c r="E235" s="33"/>
      <c r="F235" s="33"/>
      <c r="G235" s="33"/>
      <c r="H235" s="33"/>
      <c r="I235" s="33"/>
      <c r="J235" s="33"/>
      <c r="K235" s="33"/>
      <c r="L235" s="33"/>
      <c r="M235" s="43"/>
      <c r="N235" s="43"/>
      <c r="O235" s="33"/>
      <c r="P235" s="33"/>
      <c r="Q235" s="33"/>
      <c r="R235" s="33"/>
      <c r="S235" s="33"/>
      <c r="T235" s="33"/>
      <c r="U235" s="33"/>
      <c r="V235" s="33"/>
      <c r="W235" s="33"/>
      <c r="X235" s="33"/>
      <c r="Y235" s="33"/>
      <c r="Z235" s="33"/>
      <c r="AA235" s="33"/>
      <c r="AB235" s="33"/>
    </row>
    <row r="236">
      <c r="A236" s="33"/>
      <c r="B236" s="33"/>
      <c r="C236" s="33"/>
      <c r="D236" s="43"/>
      <c r="E236" s="33"/>
      <c r="F236" s="33"/>
      <c r="G236" s="33"/>
      <c r="H236" s="33"/>
      <c r="I236" s="33"/>
      <c r="J236" s="33"/>
      <c r="K236" s="33"/>
      <c r="L236" s="33"/>
      <c r="M236" s="43"/>
      <c r="N236" s="43"/>
      <c r="O236" s="33"/>
      <c r="P236" s="33"/>
      <c r="Q236" s="33"/>
      <c r="R236" s="33"/>
      <c r="S236" s="33"/>
      <c r="T236" s="33"/>
      <c r="U236" s="33"/>
      <c r="V236" s="33"/>
      <c r="W236" s="33"/>
      <c r="X236" s="33"/>
      <c r="Y236" s="33"/>
      <c r="Z236" s="33"/>
      <c r="AA236" s="33"/>
      <c r="AB236" s="33"/>
    </row>
    <row r="237">
      <c r="A237" s="33"/>
      <c r="B237" s="33"/>
      <c r="C237" s="33"/>
      <c r="D237" s="43"/>
      <c r="E237" s="33"/>
      <c r="F237" s="33"/>
      <c r="G237" s="33"/>
      <c r="H237" s="33"/>
      <c r="I237" s="33"/>
      <c r="J237" s="33"/>
      <c r="K237" s="33"/>
      <c r="L237" s="33"/>
      <c r="M237" s="43"/>
      <c r="N237" s="43"/>
      <c r="O237" s="33"/>
      <c r="P237" s="33"/>
      <c r="Q237" s="33"/>
      <c r="R237" s="33"/>
      <c r="S237" s="33"/>
      <c r="T237" s="33"/>
      <c r="U237" s="33"/>
      <c r="V237" s="33"/>
      <c r="W237" s="33"/>
      <c r="X237" s="33"/>
      <c r="Y237" s="33"/>
      <c r="Z237" s="33"/>
      <c r="AA237" s="33"/>
      <c r="AB237" s="33"/>
    </row>
    <row r="238">
      <c r="A238" s="33"/>
      <c r="B238" s="33"/>
      <c r="C238" s="33"/>
      <c r="D238" s="43"/>
      <c r="E238" s="33"/>
      <c r="F238" s="33"/>
      <c r="G238" s="33"/>
      <c r="H238" s="33"/>
      <c r="I238" s="33"/>
      <c r="J238" s="33"/>
      <c r="K238" s="33"/>
      <c r="L238" s="33"/>
      <c r="M238" s="43"/>
      <c r="N238" s="43"/>
      <c r="O238" s="33"/>
      <c r="P238" s="33"/>
      <c r="Q238" s="33"/>
      <c r="R238" s="33"/>
      <c r="S238" s="33"/>
      <c r="T238" s="33"/>
      <c r="U238" s="33"/>
      <c r="V238" s="33"/>
      <c r="W238" s="33"/>
      <c r="X238" s="33"/>
      <c r="Y238" s="33"/>
      <c r="Z238" s="33"/>
      <c r="AA238" s="33"/>
      <c r="AB238" s="33"/>
    </row>
    <row r="239">
      <c r="A239" s="33"/>
      <c r="B239" s="33"/>
      <c r="C239" s="33"/>
      <c r="D239" s="43"/>
      <c r="E239" s="33"/>
      <c r="F239" s="33"/>
      <c r="G239" s="33"/>
      <c r="H239" s="33"/>
      <c r="I239" s="33"/>
      <c r="J239" s="33"/>
      <c r="K239" s="33"/>
      <c r="L239" s="33"/>
      <c r="M239" s="43"/>
      <c r="N239" s="43"/>
      <c r="O239" s="33"/>
      <c r="P239" s="33"/>
      <c r="Q239" s="33"/>
      <c r="R239" s="33"/>
      <c r="S239" s="33"/>
      <c r="T239" s="33"/>
      <c r="U239" s="33"/>
      <c r="V239" s="33"/>
      <c r="W239" s="33"/>
      <c r="X239" s="33"/>
      <c r="Y239" s="33"/>
      <c r="Z239" s="33"/>
      <c r="AA239" s="33"/>
      <c r="AB239" s="33"/>
    </row>
    <row r="240">
      <c r="A240" s="33"/>
      <c r="B240" s="33"/>
      <c r="C240" s="33"/>
      <c r="D240" s="43"/>
      <c r="E240" s="33"/>
      <c r="F240" s="33"/>
      <c r="G240" s="33"/>
      <c r="H240" s="33"/>
      <c r="I240" s="33"/>
      <c r="J240" s="33"/>
      <c r="K240" s="33"/>
      <c r="L240" s="33"/>
      <c r="M240" s="43"/>
      <c r="N240" s="43"/>
      <c r="O240" s="33"/>
      <c r="P240" s="33"/>
      <c r="Q240" s="33"/>
      <c r="R240" s="33"/>
      <c r="S240" s="33"/>
      <c r="T240" s="33"/>
      <c r="U240" s="33"/>
      <c r="V240" s="33"/>
      <c r="W240" s="33"/>
      <c r="X240" s="33"/>
      <c r="Y240" s="33"/>
      <c r="Z240" s="33"/>
      <c r="AA240" s="33"/>
      <c r="AB240" s="33"/>
    </row>
    <row r="241">
      <c r="A241" s="33"/>
      <c r="B241" s="33"/>
      <c r="C241" s="33"/>
      <c r="D241" s="43"/>
      <c r="E241" s="33"/>
      <c r="F241" s="33"/>
      <c r="G241" s="33"/>
      <c r="H241" s="33"/>
      <c r="I241" s="33"/>
      <c r="J241" s="33"/>
      <c r="K241" s="33"/>
      <c r="L241" s="33"/>
      <c r="M241" s="43"/>
      <c r="N241" s="43"/>
      <c r="O241" s="33"/>
      <c r="P241" s="33"/>
      <c r="Q241" s="33"/>
      <c r="R241" s="33"/>
      <c r="S241" s="33"/>
      <c r="T241" s="33"/>
      <c r="U241" s="33"/>
      <c r="V241" s="33"/>
      <c r="W241" s="33"/>
      <c r="X241" s="33"/>
      <c r="Y241" s="33"/>
      <c r="Z241" s="33"/>
      <c r="AA241" s="33"/>
      <c r="AB241" s="33"/>
    </row>
    <row r="242">
      <c r="A242" s="33"/>
      <c r="B242" s="33"/>
      <c r="C242" s="33"/>
      <c r="D242" s="43"/>
      <c r="E242" s="33"/>
      <c r="F242" s="33"/>
      <c r="G242" s="33"/>
      <c r="H242" s="33"/>
      <c r="I242" s="33"/>
      <c r="J242" s="33"/>
      <c r="K242" s="33"/>
      <c r="L242" s="33"/>
      <c r="M242" s="43"/>
      <c r="N242" s="43"/>
      <c r="O242" s="33"/>
      <c r="P242" s="33"/>
      <c r="Q242" s="33"/>
      <c r="R242" s="33"/>
      <c r="S242" s="33"/>
      <c r="T242" s="33"/>
      <c r="U242" s="33"/>
      <c r="V242" s="33"/>
      <c r="W242" s="33"/>
      <c r="X242" s="33"/>
      <c r="Y242" s="33"/>
      <c r="Z242" s="33"/>
      <c r="AA242" s="33"/>
      <c r="AB242" s="33"/>
    </row>
    <row r="243">
      <c r="A243" s="33"/>
      <c r="B243" s="33"/>
      <c r="C243" s="33"/>
      <c r="D243" s="43"/>
      <c r="E243" s="33"/>
      <c r="F243" s="33"/>
      <c r="G243" s="33"/>
      <c r="H243" s="33"/>
      <c r="I243" s="33"/>
      <c r="J243" s="33"/>
      <c r="K243" s="33"/>
      <c r="L243" s="33"/>
      <c r="M243" s="43"/>
      <c r="N243" s="43"/>
      <c r="O243" s="33"/>
      <c r="P243" s="33"/>
      <c r="Q243" s="33"/>
      <c r="R243" s="33"/>
      <c r="S243" s="33"/>
      <c r="T243" s="33"/>
      <c r="U243" s="33"/>
      <c r="V243" s="33"/>
      <c r="W243" s="33"/>
      <c r="X243" s="33"/>
      <c r="Y243" s="33"/>
      <c r="Z243" s="33"/>
      <c r="AA243" s="33"/>
      <c r="AB243" s="33"/>
    </row>
    <row r="244">
      <c r="A244" s="33"/>
      <c r="B244" s="33"/>
      <c r="C244" s="33"/>
      <c r="D244" s="43"/>
      <c r="E244" s="33"/>
      <c r="F244" s="33"/>
      <c r="G244" s="33"/>
      <c r="H244" s="33"/>
      <c r="I244" s="33"/>
      <c r="J244" s="33"/>
      <c r="K244" s="33"/>
      <c r="L244" s="33"/>
      <c r="M244" s="43"/>
      <c r="N244" s="43"/>
      <c r="O244" s="33"/>
      <c r="P244" s="33"/>
      <c r="Q244" s="33"/>
      <c r="R244" s="33"/>
      <c r="S244" s="33"/>
      <c r="T244" s="33"/>
      <c r="U244" s="33"/>
      <c r="V244" s="33"/>
      <c r="W244" s="33"/>
      <c r="X244" s="33"/>
      <c r="Y244" s="33"/>
      <c r="Z244" s="33"/>
      <c r="AA244" s="33"/>
      <c r="AB244" s="33"/>
    </row>
    <row r="245">
      <c r="A245" s="33"/>
      <c r="B245" s="33"/>
      <c r="C245" s="33"/>
      <c r="D245" s="43"/>
      <c r="E245" s="33"/>
      <c r="F245" s="33"/>
      <c r="G245" s="33"/>
      <c r="H245" s="33"/>
      <c r="I245" s="33"/>
      <c r="J245" s="33"/>
      <c r="K245" s="33"/>
      <c r="L245" s="33"/>
      <c r="M245" s="43"/>
      <c r="N245" s="43"/>
      <c r="O245" s="33"/>
      <c r="P245" s="33"/>
      <c r="Q245" s="33"/>
      <c r="R245" s="33"/>
      <c r="S245" s="33"/>
      <c r="T245" s="33"/>
      <c r="U245" s="33"/>
      <c r="V245" s="33"/>
      <c r="W245" s="33"/>
      <c r="X245" s="33"/>
      <c r="Y245" s="33"/>
      <c r="Z245" s="33"/>
      <c r="AA245" s="33"/>
      <c r="AB245" s="33"/>
    </row>
    <row r="246">
      <c r="A246" s="33"/>
      <c r="B246" s="33"/>
      <c r="C246" s="33"/>
      <c r="D246" s="43"/>
      <c r="E246" s="33"/>
      <c r="F246" s="33"/>
      <c r="G246" s="33"/>
      <c r="H246" s="33"/>
      <c r="I246" s="33"/>
      <c r="J246" s="33"/>
      <c r="K246" s="33"/>
      <c r="L246" s="33"/>
      <c r="M246" s="43"/>
      <c r="N246" s="43"/>
      <c r="O246" s="33"/>
      <c r="P246" s="33"/>
      <c r="Q246" s="33"/>
      <c r="R246" s="33"/>
      <c r="S246" s="33"/>
      <c r="T246" s="33"/>
      <c r="U246" s="33"/>
      <c r="V246" s="33"/>
      <c r="W246" s="33"/>
      <c r="X246" s="33"/>
      <c r="Y246" s="33"/>
      <c r="Z246" s="33"/>
      <c r="AA246" s="33"/>
      <c r="AB246" s="33"/>
    </row>
    <row r="247">
      <c r="A247" s="33"/>
      <c r="B247" s="33"/>
      <c r="C247" s="33"/>
      <c r="D247" s="43"/>
      <c r="E247" s="33"/>
      <c r="F247" s="33"/>
      <c r="G247" s="33"/>
      <c r="H247" s="33"/>
      <c r="I247" s="33"/>
      <c r="J247" s="33"/>
      <c r="K247" s="33"/>
      <c r="L247" s="33"/>
      <c r="M247" s="43"/>
      <c r="N247" s="43"/>
      <c r="O247" s="33"/>
      <c r="P247" s="33"/>
      <c r="Q247" s="33"/>
      <c r="R247" s="33"/>
      <c r="S247" s="33"/>
      <c r="T247" s="33"/>
      <c r="U247" s="33"/>
      <c r="V247" s="33"/>
      <c r="W247" s="33"/>
      <c r="X247" s="33"/>
      <c r="Y247" s="33"/>
      <c r="Z247" s="33"/>
      <c r="AA247" s="33"/>
      <c r="AB247" s="33"/>
    </row>
    <row r="248">
      <c r="A248" s="33"/>
      <c r="B248" s="33"/>
      <c r="C248" s="33"/>
      <c r="D248" s="43"/>
      <c r="E248" s="33"/>
      <c r="F248" s="33"/>
      <c r="G248" s="33"/>
      <c r="H248" s="33"/>
      <c r="I248" s="33"/>
      <c r="J248" s="33"/>
      <c r="K248" s="33"/>
      <c r="L248" s="33"/>
      <c r="M248" s="43"/>
      <c r="N248" s="43"/>
      <c r="O248" s="33"/>
      <c r="P248" s="33"/>
      <c r="Q248" s="33"/>
      <c r="R248" s="33"/>
      <c r="S248" s="33"/>
      <c r="T248" s="33"/>
      <c r="U248" s="33"/>
      <c r="V248" s="33"/>
      <c r="W248" s="33"/>
      <c r="X248" s="33"/>
      <c r="Y248" s="33"/>
      <c r="Z248" s="33"/>
      <c r="AA248" s="33"/>
      <c r="AB248" s="33"/>
    </row>
    <row r="249">
      <c r="A249" s="33"/>
      <c r="B249" s="33"/>
      <c r="C249" s="33"/>
      <c r="D249" s="43"/>
      <c r="E249" s="33"/>
      <c r="F249" s="33"/>
      <c r="G249" s="33"/>
      <c r="H249" s="33"/>
      <c r="I249" s="33"/>
      <c r="J249" s="33"/>
      <c r="K249" s="33"/>
      <c r="L249" s="33"/>
      <c r="M249" s="43"/>
      <c r="N249" s="43"/>
      <c r="O249" s="33"/>
      <c r="P249" s="33"/>
      <c r="Q249" s="33"/>
      <c r="R249" s="33"/>
      <c r="S249" s="33"/>
      <c r="T249" s="33"/>
      <c r="U249" s="33"/>
      <c r="V249" s="33"/>
      <c r="W249" s="33"/>
      <c r="X249" s="33"/>
      <c r="Y249" s="33"/>
      <c r="Z249" s="33"/>
      <c r="AA249" s="33"/>
      <c r="AB249" s="33"/>
    </row>
    <row r="250">
      <c r="A250" s="33"/>
      <c r="B250" s="33"/>
      <c r="C250" s="33"/>
      <c r="D250" s="43"/>
      <c r="E250" s="33"/>
      <c r="F250" s="33"/>
      <c r="G250" s="33"/>
      <c r="H250" s="33"/>
      <c r="I250" s="33"/>
      <c r="J250" s="33"/>
      <c r="K250" s="33"/>
      <c r="L250" s="33"/>
      <c r="M250" s="43"/>
      <c r="N250" s="43"/>
      <c r="O250" s="33"/>
      <c r="P250" s="33"/>
      <c r="Q250" s="33"/>
      <c r="R250" s="33"/>
      <c r="S250" s="33"/>
      <c r="T250" s="33"/>
      <c r="U250" s="33"/>
      <c r="V250" s="33"/>
      <c r="W250" s="33"/>
      <c r="X250" s="33"/>
      <c r="Y250" s="33"/>
      <c r="Z250" s="33"/>
      <c r="AA250" s="33"/>
      <c r="AB250" s="33"/>
    </row>
    <row r="251">
      <c r="A251" s="33"/>
      <c r="B251" s="33"/>
      <c r="C251" s="33"/>
      <c r="D251" s="43"/>
      <c r="E251" s="33"/>
      <c r="F251" s="33"/>
      <c r="G251" s="33"/>
      <c r="H251" s="33"/>
      <c r="I251" s="33"/>
      <c r="J251" s="33"/>
      <c r="K251" s="33"/>
      <c r="L251" s="33"/>
      <c r="M251" s="43"/>
      <c r="N251" s="43"/>
      <c r="O251" s="33"/>
      <c r="P251" s="33"/>
      <c r="Q251" s="33"/>
      <c r="R251" s="33"/>
      <c r="S251" s="33"/>
      <c r="T251" s="33"/>
      <c r="U251" s="33"/>
      <c r="V251" s="33"/>
      <c r="W251" s="33"/>
      <c r="X251" s="33"/>
      <c r="Y251" s="33"/>
      <c r="Z251" s="33"/>
      <c r="AA251" s="33"/>
      <c r="AB251" s="33"/>
    </row>
    <row r="252">
      <c r="A252" s="33"/>
      <c r="B252" s="33"/>
      <c r="C252" s="33"/>
      <c r="D252" s="43"/>
      <c r="E252" s="33"/>
      <c r="F252" s="33"/>
      <c r="G252" s="33"/>
      <c r="H252" s="33"/>
      <c r="I252" s="33"/>
      <c r="J252" s="33"/>
      <c r="K252" s="33"/>
      <c r="L252" s="33"/>
      <c r="M252" s="43"/>
      <c r="N252" s="43"/>
      <c r="O252" s="33"/>
      <c r="P252" s="33"/>
      <c r="Q252" s="33"/>
      <c r="R252" s="33"/>
      <c r="S252" s="33"/>
      <c r="T252" s="33"/>
      <c r="U252" s="33"/>
      <c r="V252" s="33"/>
      <c r="W252" s="33"/>
      <c r="X252" s="33"/>
      <c r="Y252" s="33"/>
      <c r="Z252" s="33"/>
      <c r="AA252" s="33"/>
      <c r="AB252" s="33"/>
    </row>
    <row r="253">
      <c r="A253" s="33"/>
      <c r="B253" s="33"/>
      <c r="C253" s="33"/>
      <c r="D253" s="43"/>
      <c r="E253" s="33"/>
      <c r="F253" s="33"/>
      <c r="G253" s="33"/>
      <c r="H253" s="33"/>
      <c r="I253" s="33"/>
      <c r="J253" s="33"/>
      <c r="K253" s="33"/>
      <c r="L253" s="33"/>
      <c r="M253" s="43"/>
      <c r="N253" s="43"/>
      <c r="O253" s="33"/>
      <c r="P253" s="33"/>
      <c r="Q253" s="33"/>
      <c r="R253" s="33"/>
      <c r="S253" s="33"/>
      <c r="T253" s="33"/>
      <c r="U253" s="33"/>
      <c r="V253" s="33"/>
      <c r="W253" s="33"/>
      <c r="X253" s="33"/>
      <c r="Y253" s="33"/>
      <c r="Z253" s="33"/>
      <c r="AA253" s="33"/>
      <c r="AB253" s="33"/>
    </row>
    <row r="254">
      <c r="A254" s="33"/>
      <c r="B254" s="33"/>
      <c r="C254" s="33"/>
      <c r="D254" s="43"/>
      <c r="E254" s="33"/>
      <c r="F254" s="33"/>
      <c r="G254" s="33"/>
      <c r="H254" s="33"/>
      <c r="I254" s="33"/>
      <c r="J254" s="33"/>
      <c r="K254" s="33"/>
      <c r="L254" s="33"/>
      <c r="M254" s="43"/>
      <c r="N254" s="43"/>
      <c r="O254" s="33"/>
      <c r="P254" s="33"/>
      <c r="Q254" s="33"/>
      <c r="R254" s="33"/>
      <c r="S254" s="33"/>
      <c r="T254" s="33"/>
      <c r="U254" s="33"/>
      <c r="V254" s="33"/>
      <c r="W254" s="33"/>
      <c r="X254" s="33"/>
      <c r="Y254" s="33"/>
      <c r="Z254" s="33"/>
      <c r="AA254" s="33"/>
      <c r="AB254" s="33"/>
    </row>
    <row r="255">
      <c r="A255" s="33"/>
      <c r="B255" s="33"/>
      <c r="C255" s="33"/>
      <c r="D255" s="43"/>
      <c r="E255" s="33"/>
      <c r="F255" s="33"/>
      <c r="G255" s="33"/>
      <c r="H255" s="33"/>
      <c r="I255" s="33"/>
      <c r="J255" s="33"/>
      <c r="K255" s="33"/>
      <c r="L255" s="33"/>
      <c r="M255" s="43"/>
      <c r="N255" s="43"/>
      <c r="O255" s="33"/>
      <c r="P255" s="33"/>
      <c r="Q255" s="33"/>
      <c r="R255" s="33"/>
      <c r="S255" s="33"/>
      <c r="T255" s="33"/>
      <c r="U255" s="33"/>
      <c r="V255" s="33"/>
      <c r="W255" s="33"/>
      <c r="X255" s="33"/>
      <c r="Y255" s="33"/>
      <c r="Z255" s="33"/>
      <c r="AA255" s="33"/>
      <c r="AB255" s="33"/>
    </row>
    <row r="256">
      <c r="A256" s="33"/>
      <c r="B256" s="33"/>
      <c r="C256" s="33"/>
      <c r="D256" s="43"/>
      <c r="E256" s="33"/>
      <c r="F256" s="33"/>
      <c r="G256" s="33"/>
      <c r="H256" s="33"/>
      <c r="I256" s="33"/>
      <c r="J256" s="33"/>
      <c r="K256" s="33"/>
      <c r="L256" s="33"/>
      <c r="M256" s="43"/>
      <c r="N256" s="43"/>
      <c r="O256" s="33"/>
      <c r="P256" s="33"/>
      <c r="Q256" s="33"/>
      <c r="R256" s="33"/>
      <c r="S256" s="33"/>
      <c r="T256" s="33"/>
      <c r="U256" s="33"/>
      <c r="V256" s="33"/>
      <c r="W256" s="33"/>
      <c r="X256" s="33"/>
      <c r="Y256" s="33"/>
      <c r="Z256" s="33"/>
      <c r="AA256" s="33"/>
      <c r="AB256" s="33"/>
    </row>
    <row r="257">
      <c r="A257" s="33"/>
      <c r="B257" s="33"/>
      <c r="C257" s="33"/>
      <c r="D257" s="43"/>
      <c r="E257" s="33"/>
      <c r="F257" s="33"/>
      <c r="G257" s="33"/>
      <c r="H257" s="33"/>
      <c r="I257" s="33"/>
      <c r="J257" s="33"/>
      <c r="K257" s="33"/>
      <c r="L257" s="33"/>
      <c r="M257" s="43"/>
      <c r="N257" s="43"/>
      <c r="O257" s="33"/>
      <c r="P257" s="33"/>
      <c r="Q257" s="33"/>
      <c r="R257" s="33"/>
      <c r="S257" s="33"/>
      <c r="T257" s="33"/>
      <c r="U257" s="33"/>
      <c r="V257" s="33"/>
      <c r="W257" s="33"/>
      <c r="X257" s="33"/>
      <c r="Y257" s="33"/>
      <c r="Z257" s="33"/>
      <c r="AA257" s="33"/>
      <c r="AB257" s="33"/>
    </row>
    <row r="258">
      <c r="A258" s="33"/>
      <c r="B258" s="33"/>
      <c r="C258" s="33"/>
      <c r="D258" s="43"/>
      <c r="E258" s="33"/>
      <c r="F258" s="33"/>
      <c r="G258" s="33"/>
      <c r="H258" s="33"/>
      <c r="I258" s="33"/>
      <c r="J258" s="33"/>
      <c r="K258" s="33"/>
      <c r="L258" s="33"/>
      <c r="M258" s="43"/>
      <c r="N258" s="43"/>
      <c r="O258" s="33"/>
      <c r="P258" s="33"/>
      <c r="Q258" s="33"/>
      <c r="R258" s="33"/>
      <c r="S258" s="33"/>
      <c r="T258" s="33"/>
      <c r="U258" s="33"/>
      <c r="V258" s="33"/>
      <c r="W258" s="33"/>
      <c r="X258" s="33"/>
      <c r="Y258" s="33"/>
      <c r="Z258" s="33"/>
      <c r="AA258" s="33"/>
      <c r="AB258" s="33"/>
    </row>
    <row r="259">
      <c r="A259" s="33"/>
      <c r="B259" s="33"/>
      <c r="C259" s="33"/>
      <c r="D259" s="43"/>
      <c r="E259" s="33"/>
      <c r="F259" s="33"/>
      <c r="G259" s="33"/>
      <c r="H259" s="33"/>
      <c r="I259" s="33"/>
      <c r="J259" s="33"/>
      <c r="K259" s="33"/>
      <c r="L259" s="33"/>
      <c r="M259" s="43"/>
      <c r="N259" s="43"/>
      <c r="O259" s="33"/>
      <c r="P259" s="33"/>
      <c r="Q259" s="33"/>
      <c r="R259" s="33"/>
      <c r="S259" s="33"/>
      <c r="T259" s="33"/>
      <c r="U259" s="33"/>
      <c r="V259" s="33"/>
      <c r="W259" s="33"/>
      <c r="X259" s="33"/>
      <c r="Y259" s="33"/>
      <c r="Z259" s="33"/>
      <c r="AA259" s="33"/>
      <c r="AB259" s="33"/>
    </row>
    <row r="260">
      <c r="A260" s="33"/>
      <c r="B260" s="33"/>
      <c r="C260" s="33"/>
      <c r="D260" s="43"/>
      <c r="E260" s="33"/>
      <c r="F260" s="33"/>
      <c r="G260" s="33"/>
      <c r="H260" s="33"/>
      <c r="I260" s="33"/>
      <c r="J260" s="33"/>
      <c r="K260" s="33"/>
      <c r="L260" s="33"/>
      <c r="M260" s="43"/>
      <c r="N260" s="43"/>
      <c r="O260" s="33"/>
      <c r="P260" s="33"/>
      <c r="Q260" s="33"/>
      <c r="R260" s="33"/>
      <c r="S260" s="33"/>
      <c r="T260" s="33"/>
      <c r="U260" s="33"/>
      <c r="V260" s="33"/>
      <c r="W260" s="33"/>
      <c r="X260" s="33"/>
      <c r="Y260" s="33"/>
      <c r="Z260" s="33"/>
      <c r="AA260" s="33"/>
      <c r="AB260" s="33"/>
    </row>
    <row r="261">
      <c r="A261" s="33"/>
      <c r="B261" s="33"/>
      <c r="C261" s="33"/>
      <c r="D261" s="43"/>
      <c r="E261" s="33"/>
      <c r="F261" s="33"/>
      <c r="G261" s="33"/>
      <c r="H261" s="33"/>
      <c r="I261" s="33"/>
      <c r="J261" s="33"/>
      <c r="K261" s="33"/>
      <c r="L261" s="33"/>
      <c r="M261" s="43"/>
      <c r="N261" s="43"/>
      <c r="O261" s="33"/>
      <c r="P261" s="33"/>
      <c r="Q261" s="33"/>
      <c r="R261" s="33"/>
      <c r="S261" s="33"/>
      <c r="T261" s="33"/>
      <c r="U261" s="33"/>
      <c r="V261" s="33"/>
      <c r="W261" s="33"/>
      <c r="X261" s="33"/>
      <c r="Y261" s="33"/>
      <c r="Z261" s="33"/>
      <c r="AA261" s="33"/>
      <c r="AB261" s="33"/>
    </row>
    <row r="262">
      <c r="A262" s="33"/>
      <c r="B262" s="33"/>
      <c r="C262" s="33"/>
      <c r="D262" s="43"/>
      <c r="E262" s="33"/>
      <c r="F262" s="33"/>
      <c r="G262" s="33"/>
      <c r="H262" s="33"/>
      <c r="I262" s="33"/>
      <c r="J262" s="33"/>
      <c r="K262" s="33"/>
      <c r="L262" s="33"/>
      <c r="M262" s="43"/>
      <c r="N262" s="43"/>
      <c r="O262" s="33"/>
      <c r="P262" s="33"/>
      <c r="Q262" s="33"/>
      <c r="R262" s="33"/>
      <c r="S262" s="33"/>
      <c r="T262" s="33"/>
      <c r="U262" s="33"/>
      <c r="V262" s="33"/>
      <c r="W262" s="33"/>
      <c r="X262" s="33"/>
      <c r="Y262" s="33"/>
      <c r="Z262" s="33"/>
      <c r="AA262" s="33"/>
      <c r="AB262" s="33"/>
    </row>
    <row r="263">
      <c r="A263" s="33"/>
      <c r="B263" s="33"/>
      <c r="C263" s="33"/>
      <c r="D263" s="43"/>
      <c r="E263" s="33"/>
      <c r="F263" s="33"/>
      <c r="G263" s="33"/>
      <c r="H263" s="33"/>
      <c r="I263" s="33"/>
      <c r="J263" s="33"/>
      <c r="K263" s="33"/>
      <c r="L263" s="33"/>
      <c r="M263" s="43"/>
      <c r="N263" s="43"/>
      <c r="O263" s="33"/>
      <c r="P263" s="33"/>
      <c r="Q263" s="33"/>
      <c r="R263" s="33"/>
      <c r="S263" s="33"/>
      <c r="T263" s="33"/>
      <c r="U263" s="33"/>
      <c r="V263" s="33"/>
      <c r="W263" s="33"/>
      <c r="X263" s="33"/>
      <c r="Y263" s="33"/>
      <c r="Z263" s="33"/>
      <c r="AA263" s="33"/>
      <c r="AB263" s="33"/>
    </row>
    <row r="264">
      <c r="A264" s="33"/>
      <c r="B264" s="33"/>
      <c r="C264" s="33"/>
      <c r="D264" s="43"/>
      <c r="E264" s="33"/>
      <c r="F264" s="33"/>
      <c r="G264" s="33"/>
      <c r="H264" s="33"/>
      <c r="I264" s="33"/>
      <c r="J264" s="33"/>
      <c r="K264" s="33"/>
      <c r="L264" s="33"/>
      <c r="M264" s="43"/>
      <c r="N264" s="43"/>
      <c r="O264" s="33"/>
      <c r="P264" s="33"/>
      <c r="Q264" s="33"/>
      <c r="R264" s="33"/>
      <c r="S264" s="33"/>
      <c r="T264" s="33"/>
      <c r="U264" s="33"/>
      <c r="V264" s="33"/>
      <c r="W264" s="33"/>
      <c r="X264" s="33"/>
      <c r="Y264" s="33"/>
      <c r="Z264" s="33"/>
      <c r="AA264" s="33"/>
      <c r="AB264" s="33"/>
    </row>
    <row r="265">
      <c r="A265" s="33"/>
      <c r="B265" s="33"/>
      <c r="C265" s="33"/>
      <c r="D265" s="43"/>
      <c r="E265" s="33"/>
      <c r="F265" s="33"/>
      <c r="G265" s="33"/>
      <c r="H265" s="33"/>
      <c r="I265" s="33"/>
      <c r="J265" s="33"/>
      <c r="K265" s="33"/>
      <c r="L265" s="33"/>
      <c r="M265" s="43"/>
      <c r="N265" s="43"/>
      <c r="O265" s="33"/>
      <c r="P265" s="33"/>
      <c r="Q265" s="33"/>
      <c r="R265" s="33"/>
      <c r="S265" s="33"/>
      <c r="T265" s="33"/>
      <c r="U265" s="33"/>
      <c r="V265" s="33"/>
      <c r="W265" s="33"/>
      <c r="X265" s="33"/>
      <c r="Y265" s="33"/>
      <c r="Z265" s="33"/>
      <c r="AA265" s="33"/>
      <c r="AB265" s="33"/>
    </row>
    <row r="266">
      <c r="A266" s="33"/>
      <c r="B266" s="33"/>
      <c r="C266" s="33"/>
      <c r="D266" s="43"/>
      <c r="E266" s="33"/>
      <c r="F266" s="33"/>
      <c r="G266" s="33"/>
      <c r="H266" s="33"/>
      <c r="I266" s="33"/>
      <c r="J266" s="33"/>
      <c r="K266" s="33"/>
      <c r="L266" s="33"/>
      <c r="M266" s="43"/>
      <c r="N266" s="43"/>
      <c r="O266" s="33"/>
      <c r="P266" s="33"/>
      <c r="Q266" s="33"/>
      <c r="R266" s="33"/>
      <c r="S266" s="33"/>
      <c r="T266" s="33"/>
      <c r="U266" s="33"/>
      <c r="V266" s="33"/>
      <c r="W266" s="33"/>
      <c r="X266" s="33"/>
      <c r="Y266" s="33"/>
      <c r="Z266" s="33"/>
      <c r="AA266" s="33"/>
      <c r="AB266" s="33"/>
    </row>
    <row r="267">
      <c r="A267" s="33"/>
      <c r="B267" s="33"/>
      <c r="C267" s="33"/>
      <c r="D267" s="43"/>
      <c r="E267" s="33"/>
      <c r="F267" s="33"/>
      <c r="G267" s="33"/>
      <c r="H267" s="33"/>
      <c r="I267" s="33"/>
      <c r="J267" s="33"/>
      <c r="K267" s="33"/>
      <c r="L267" s="33"/>
      <c r="M267" s="43"/>
      <c r="N267" s="43"/>
      <c r="O267" s="33"/>
      <c r="P267" s="33"/>
      <c r="Q267" s="33"/>
      <c r="R267" s="33"/>
      <c r="S267" s="33"/>
      <c r="T267" s="33"/>
      <c r="U267" s="33"/>
      <c r="V267" s="33"/>
      <c r="W267" s="33"/>
      <c r="X267" s="33"/>
      <c r="Y267" s="33"/>
      <c r="Z267" s="33"/>
      <c r="AA267" s="33"/>
      <c r="AB267" s="33"/>
    </row>
    <row r="268">
      <c r="A268" s="33"/>
      <c r="B268" s="33"/>
      <c r="C268" s="33"/>
      <c r="D268" s="43"/>
      <c r="E268" s="33"/>
      <c r="F268" s="33"/>
      <c r="G268" s="33"/>
      <c r="H268" s="33"/>
      <c r="I268" s="33"/>
      <c r="J268" s="33"/>
      <c r="K268" s="33"/>
      <c r="L268" s="33"/>
      <c r="M268" s="43"/>
      <c r="N268" s="43"/>
      <c r="O268" s="33"/>
      <c r="P268" s="33"/>
      <c r="Q268" s="33"/>
      <c r="R268" s="33"/>
      <c r="S268" s="33"/>
      <c r="T268" s="33"/>
      <c r="U268" s="33"/>
      <c r="V268" s="33"/>
      <c r="W268" s="33"/>
      <c r="X268" s="33"/>
      <c r="Y268" s="33"/>
      <c r="Z268" s="33"/>
      <c r="AA268" s="33"/>
      <c r="AB268" s="33"/>
    </row>
    <row r="269">
      <c r="A269" s="33"/>
      <c r="B269" s="33"/>
      <c r="C269" s="33"/>
      <c r="D269" s="43"/>
      <c r="E269" s="33"/>
      <c r="F269" s="33"/>
      <c r="G269" s="33"/>
      <c r="H269" s="33"/>
      <c r="I269" s="33"/>
      <c r="J269" s="33"/>
      <c r="K269" s="33"/>
      <c r="L269" s="33"/>
      <c r="M269" s="43"/>
      <c r="N269" s="43"/>
      <c r="O269" s="33"/>
      <c r="P269" s="33"/>
      <c r="Q269" s="33"/>
      <c r="R269" s="33"/>
      <c r="S269" s="33"/>
      <c r="T269" s="33"/>
      <c r="U269" s="33"/>
      <c r="V269" s="33"/>
      <c r="W269" s="33"/>
      <c r="X269" s="33"/>
      <c r="Y269" s="33"/>
      <c r="Z269" s="33"/>
      <c r="AA269" s="33"/>
      <c r="AB269" s="33"/>
    </row>
    <row r="270">
      <c r="A270" s="33"/>
      <c r="B270" s="33"/>
      <c r="C270" s="33"/>
      <c r="D270" s="43"/>
      <c r="E270" s="33"/>
      <c r="F270" s="33"/>
      <c r="G270" s="33"/>
      <c r="H270" s="33"/>
      <c r="I270" s="33"/>
      <c r="J270" s="33"/>
      <c r="K270" s="33"/>
      <c r="L270" s="33"/>
      <c r="M270" s="43"/>
      <c r="N270" s="43"/>
      <c r="O270" s="33"/>
      <c r="P270" s="33"/>
      <c r="Q270" s="33"/>
      <c r="R270" s="33"/>
      <c r="S270" s="33"/>
      <c r="T270" s="33"/>
      <c r="U270" s="33"/>
      <c r="V270" s="33"/>
      <c r="W270" s="33"/>
      <c r="X270" s="33"/>
      <c r="Y270" s="33"/>
      <c r="Z270" s="33"/>
      <c r="AA270" s="33"/>
      <c r="AB270" s="33"/>
    </row>
    <row r="271">
      <c r="A271" s="33"/>
      <c r="B271" s="33"/>
      <c r="C271" s="33"/>
      <c r="D271" s="43"/>
      <c r="E271" s="33"/>
      <c r="F271" s="33"/>
      <c r="G271" s="33"/>
      <c r="H271" s="33"/>
      <c r="I271" s="33"/>
      <c r="J271" s="33"/>
      <c r="K271" s="33"/>
      <c r="L271" s="33"/>
      <c r="M271" s="43"/>
      <c r="N271" s="43"/>
      <c r="O271" s="33"/>
      <c r="P271" s="33"/>
      <c r="Q271" s="33"/>
      <c r="R271" s="33"/>
      <c r="S271" s="33"/>
      <c r="T271" s="33"/>
      <c r="U271" s="33"/>
      <c r="V271" s="33"/>
      <c r="W271" s="33"/>
      <c r="X271" s="33"/>
      <c r="Y271" s="33"/>
      <c r="Z271" s="33"/>
      <c r="AA271" s="33"/>
      <c r="AB271" s="33"/>
    </row>
    <row r="272">
      <c r="A272" s="33"/>
      <c r="B272" s="33"/>
      <c r="C272" s="33"/>
      <c r="D272" s="43"/>
      <c r="E272" s="33"/>
      <c r="F272" s="33"/>
      <c r="G272" s="33"/>
      <c r="H272" s="33"/>
      <c r="I272" s="33"/>
      <c r="J272" s="33"/>
      <c r="K272" s="33"/>
      <c r="L272" s="33"/>
      <c r="M272" s="43"/>
      <c r="N272" s="43"/>
      <c r="O272" s="33"/>
      <c r="P272" s="33"/>
      <c r="Q272" s="33"/>
      <c r="R272" s="33"/>
      <c r="S272" s="33"/>
      <c r="T272" s="33"/>
      <c r="U272" s="33"/>
      <c r="V272" s="33"/>
      <c r="W272" s="33"/>
      <c r="X272" s="33"/>
      <c r="Y272" s="33"/>
      <c r="Z272" s="33"/>
      <c r="AA272" s="33"/>
      <c r="AB272" s="33"/>
    </row>
    <row r="273">
      <c r="A273" s="33"/>
      <c r="B273" s="33"/>
      <c r="C273" s="33"/>
      <c r="D273" s="43"/>
      <c r="E273" s="33"/>
      <c r="F273" s="33"/>
      <c r="G273" s="33"/>
      <c r="H273" s="33"/>
      <c r="I273" s="33"/>
      <c r="J273" s="33"/>
      <c r="K273" s="33"/>
      <c r="L273" s="33"/>
      <c r="M273" s="43"/>
      <c r="N273" s="43"/>
      <c r="O273" s="33"/>
      <c r="P273" s="33"/>
      <c r="Q273" s="33"/>
      <c r="R273" s="33"/>
      <c r="S273" s="33"/>
      <c r="T273" s="33"/>
      <c r="U273" s="33"/>
      <c r="V273" s="33"/>
      <c r="W273" s="33"/>
      <c r="X273" s="33"/>
      <c r="Y273" s="33"/>
      <c r="Z273" s="33"/>
      <c r="AA273" s="33"/>
      <c r="AB273" s="33"/>
    </row>
    <row r="274">
      <c r="A274" s="33"/>
      <c r="B274" s="33"/>
      <c r="C274" s="33"/>
      <c r="D274" s="43"/>
      <c r="E274" s="33"/>
      <c r="F274" s="33"/>
      <c r="G274" s="33"/>
      <c r="H274" s="33"/>
      <c r="I274" s="33"/>
      <c r="J274" s="33"/>
      <c r="K274" s="33"/>
      <c r="L274" s="33"/>
      <c r="M274" s="43"/>
      <c r="N274" s="43"/>
      <c r="O274" s="33"/>
      <c r="P274" s="33"/>
      <c r="Q274" s="33"/>
      <c r="R274" s="33"/>
      <c r="S274" s="33"/>
      <c r="T274" s="33"/>
      <c r="U274" s="33"/>
      <c r="V274" s="33"/>
      <c r="W274" s="33"/>
      <c r="X274" s="33"/>
      <c r="Y274" s="33"/>
      <c r="Z274" s="33"/>
      <c r="AA274" s="33"/>
      <c r="AB274" s="33"/>
    </row>
    <row r="275">
      <c r="A275" s="33"/>
      <c r="B275" s="33"/>
      <c r="C275" s="33"/>
      <c r="D275" s="43"/>
      <c r="E275" s="33"/>
      <c r="F275" s="33"/>
      <c r="G275" s="33"/>
      <c r="H275" s="33"/>
      <c r="I275" s="33"/>
      <c r="J275" s="33"/>
      <c r="K275" s="33"/>
      <c r="L275" s="33"/>
      <c r="M275" s="43"/>
      <c r="N275" s="43"/>
      <c r="O275" s="33"/>
      <c r="P275" s="33"/>
      <c r="Q275" s="33"/>
      <c r="R275" s="33"/>
      <c r="S275" s="33"/>
      <c r="T275" s="33"/>
      <c r="U275" s="33"/>
      <c r="V275" s="33"/>
      <c r="W275" s="33"/>
      <c r="X275" s="33"/>
      <c r="Y275" s="33"/>
      <c r="Z275" s="33"/>
      <c r="AA275" s="33"/>
      <c r="AB275" s="33"/>
    </row>
    <row r="276">
      <c r="A276" s="33"/>
      <c r="B276" s="33"/>
      <c r="C276" s="33"/>
      <c r="D276" s="43"/>
      <c r="E276" s="33"/>
      <c r="F276" s="33"/>
      <c r="G276" s="33"/>
      <c r="H276" s="33"/>
      <c r="I276" s="33"/>
      <c r="J276" s="33"/>
      <c r="K276" s="33"/>
      <c r="L276" s="33"/>
      <c r="M276" s="43"/>
      <c r="N276" s="43"/>
      <c r="O276" s="33"/>
      <c r="P276" s="33"/>
      <c r="Q276" s="33"/>
      <c r="R276" s="33"/>
      <c r="S276" s="33"/>
      <c r="T276" s="33"/>
      <c r="U276" s="33"/>
      <c r="V276" s="33"/>
      <c r="W276" s="33"/>
      <c r="X276" s="33"/>
      <c r="Y276" s="33"/>
      <c r="Z276" s="33"/>
      <c r="AA276" s="33"/>
      <c r="AB276" s="33"/>
    </row>
    <row r="277">
      <c r="A277" s="33"/>
      <c r="B277" s="33"/>
      <c r="C277" s="33"/>
      <c r="D277" s="43"/>
      <c r="E277" s="33"/>
      <c r="F277" s="33"/>
      <c r="G277" s="33"/>
      <c r="H277" s="33"/>
      <c r="I277" s="33"/>
      <c r="J277" s="33"/>
      <c r="K277" s="33"/>
      <c r="L277" s="33"/>
      <c r="M277" s="43"/>
      <c r="N277" s="43"/>
      <c r="O277" s="33"/>
      <c r="P277" s="33"/>
      <c r="Q277" s="33"/>
      <c r="R277" s="33"/>
      <c r="S277" s="33"/>
      <c r="T277" s="33"/>
      <c r="U277" s="33"/>
      <c r="V277" s="33"/>
      <c r="W277" s="33"/>
      <c r="X277" s="33"/>
      <c r="Y277" s="33"/>
      <c r="Z277" s="33"/>
      <c r="AA277" s="33"/>
      <c r="AB277" s="33"/>
    </row>
    <row r="278">
      <c r="A278" s="33"/>
      <c r="B278" s="33"/>
      <c r="C278" s="33"/>
      <c r="D278" s="43"/>
      <c r="E278" s="33"/>
      <c r="F278" s="33"/>
      <c r="G278" s="33"/>
      <c r="H278" s="33"/>
      <c r="I278" s="33"/>
      <c r="J278" s="33"/>
      <c r="K278" s="33"/>
      <c r="L278" s="33"/>
      <c r="M278" s="43"/>
      <c r="N278" s="43"/>
      <c r="O278" s="33"/>
      <c r="P278" s="33"/>
      <c r="Q278" s="33"/>
      <c r="R278" s="33"/>
      <c r="S278" s="33"/>
      <c r="T278" s="33"/>
      <c r="U278" s="33"/>
      <c r="V278" s="33"/>
      <c r="W278" s="33"/>
      <c r="X278" s="33"/>
      <c r="Y278" s="33"/>
      <c r="Z278" s="33"/>
      <c r="AA278" s="33"/>
      <c r="AB278" s="33"/>
    </row>
    <row r="279">
      <c r="A279" s="33"/>
      <c r="B279" s="33"/>
      <c r="C279" s="33"/>
      <c r="D279" s="43"/>
      <c r="E279" s="33"/>
      <c r="F279" s="33"/>
      <c r="G279" s="33"/>
      <c r="H279" s="33"/>
      <c r="I279" s="33"/>
      <c r="J279" s="33"/>
      <c r="K279" s="33"/>
      <c r="L279" s="33"/>
      <c r="M279" s="43"/>
      <c r="N279" s="43"/>
      <c r="O279" s="33"/>
      <c r="P279" s="33"/>
      <c r="Q279" s="33"/>
      <c r="R279" s="33"/>
      <c r="S279" s="33"/>
      <c r="T279" s="33"/>
      <c r="U279" s="33"/>
      <c r="V279" s="33"/>
      <c r="W279" s="33"/>
      <c r="X279" s="33"/>
      <c r="Y279" s="33"/>
      <c r="Z279" s="33"/>
      <c r="AA279" s="33"/>
      <c r="AB279" s="33"/>
    </row>
    <row r="280">
      <c r="A280" s="33"/>
      <c r="B280" s="33"/>
      <c r="C280" s="33"/>
      <c r="D280" s="43"/>
      <c r="E280" s="33"/>
      <c r="F280" s="33"/>
      <c r="G280" s="33"/>
      <c r="H280" s="33"/>
      <c r="I280" s="33"/>
      <c r="J280" s="33"/>
      <c r="K280" s="33"/>
      <c r="L280" s="33"/>
      <c r="M280" s="43"/>
      <c r="N280" s="43"/>
      <c r="O280" s="33"/>
      <c r="P280" s="33"/>
      <c r="Q280" s="33"/>
      <c r="R280" s="33"/>
      <c r="S280" s="33"/>
      <c r="T280" s="33"/>
      <c r="U280" s="33"/>
      <c r="V280" s="33"/>
      <c r="W280" s="33"/>
      <c r="X280" s="33"/>
      <c r="Y280" s="33"/>
      <c r="Z280" s="33"/>
      <c r="AA280" s="33"/>
      <c r="AB280" s="33"/>
    </row>
    <row r="281">
      <c r="A281" s="33"/>
      <c r="B281" s="33"/>
      <c r="C281" s="33"/>
      <c r="D281" s="43"/>
      <c r="E281" s="33"/>
      <c r="F281" s="33"/>
      <c r="G281" s="33"/>
      <c r="H281" s="33"/>
      <c r="I281" s="33"/>
      <c r="J281" s="33"/>
      <c r="K281" s="33"/>
      <c r="L281" s="33"/>
      <c r="M281" s="43"/>
      <c r="N281" s="43"/>
      <c r="O281" s="33"/>
      <c r="P281" s="33"/>
      <c r="Q281" s="33"/>
      <c r="R281" s="33"/>
      <c r="S281" s="33"/>
      <c r="T281" s="33"/>
      <c r="U281" s="33"/>
      <c r="V281" s="33"/>
      <c r="W281" s="33"/>
      <c r="X281" s="33"/>
      <c r="Y281" s="33"/>
      <c r="Z281" s="33"/>
      <c r="AA281" s="33"/>
      <c r="AB281" s="33"/>
    </row>
    <row r="282">
      <c r="A282" s="33"/>
      <c r="B282" s="33"/>
      <c r="C282" s="33"/>
      <c r="D282" s="43"/>
      <c r="E282" s="33"/>
      <c r="F282" s="33"/>
      <c r="G282" s="33"/>
      <c r="H282" s="33"/>
      <c r="I282" s="33"/>
      <c r="J282" s="33"/>
      <c r="K282" s="33"/>
      <c r="L282" s="33"/>
      <c r="M282" s="43"/>
      <c r="N282" s="43"/>
      <c r="O282" s="33"/>
      <c r="P282" s="33"/>
      <c r="Q282" s="33"/>
      <c r="R282" s="33"/>
      <c r="S282" s="33"/>
      <c r="T282" s="33"/>
      <c r="U282" s="33"/>
      <c r="V282" s="33"/>
      <c r="W282" s="33"/>
      <c r="X282" s="33"/>
      <c r="Y282" s="33"/>
      <c r="Z282" s="33"/>
      <c r="AA282" s="33"/>
      <c r="AB282" s="33"/>
    </row>
    <row r="283">
      <c r="A283" s="33"/>
      <c r="B283" s="33"/>
      <c r="C283" s="33"/>
      <c r="D283" s="43"/>
      <c r="E283" s="33"/>
      <c r="F283" s="33"/>
      <c r="G283" s="33"/>
      <c r="H283" s="33"/>
      <c r="I283" s="33"/>
      <c r="J283" s="33"/>
      <c r="K283" s="33"/>
      <c r="L283" s="33"/>
      <c r="M283" s="43"/>
      <c r="N283" s="43"/>
      <c r="O283" s="33"/>
      <c r="P283" s="33"/>
      <c r="Q283" s="33"/>
      <c r="R283" s="33"/>
      <c r="S283" s="33"/>
      <c r="T283" s="33"/>
      <c r="U283" s="33"/>
      <c r="V283" s="33"/>
      <c r="W283" s="33"/>
      <c r="X283" s="33"/>
      <c r="Y283" s="33"/>
      <c r="Z283" s="33"/>
      <c r="AA283" s="33"/>
      <c r="AB283" s="33"/>
    </row>
    <row r="284">
      <c r="A284" s="33"/>
      <c r="B284" s="33"/>
      <c r="C284" s="33"/>
      <c r="D284" s="43"/>
      <c r="E284" s="33"/>
      <c r="F284" s="33"/>
      <c r="G284" s="33"/>
      <c r="H284" s="33"/>
      <c r="I284" s="33"/>
      <c r="J284" s="33"/>
      <c r="K284" s="33"/>
      <c r="L284" s="33"/>
      <c r="M284" s="43"/>
      <c r="N284" s="43"/>
      <c r="O284" s="33"/>
      <c r="P284" s="33"/>
      <c r="Q284" s="33"/>
      <c r="R284" s="33"/>
      <c r="S284" s="33"/>
      <c r="T284" s="33"/>
      <c r="U284" s="33"/>
      <c r="V284" s="33"/>
      <c r="W284" s="33"/>
      <c r="X284" s="33"/>
      <c r="Y284" s="33"/>
      <c r="Z284" s="33"/>
      <c r="AA284" s="33"/>
      <c r="AB284" s="33"/>
    </row>
    <row r="285">
      <c r="A285" s="33"/>
      <c r="B285" s="33"/>
      <c r="C285" s="33"/>
      <c r="D285" s="43"/>
      <c r="E285" s="33"/>
      <c r="F285" s="33"/>
      <c r="G285" s="33"/>
      <c r="H285" s="33"/>
      <c r="I285" s="33"/>
      <c r="J285" s="33"/>
      <c r="K285" s="33"/>
      <c r="L285" s="33"/>
      <c r="M285" s="43"/>
      <c r="N285" s="43"/>
      <c r="O285" s="33"/>
      <c r="P285" s="33"/>
      <c r="Q285" s="33"/>
      <c r="R285" s="33"/>
      <c r="S285" s="33"/>
      <c r="T285" s="33"/>
      <c r="U285" s="33"/>
      <c r="V285" s="33"/>
      <c r="W285" s="33"/>
      <c r="X285" s="33"/>
      <c r="Y285" s="33"/>
      <c r="Z285" s="33"/>
      <c r="AA285" s="33"/>
      <c r="AB285" s="33"/>
    </row>
    <row r="286">
      <c r="A286" s="33"/>
      <c r="B286" s="33"/>
      <c r="C286" s="33"/>
      <c r="D286" s="43"/>
      <c r="E286" s="33"/>
      <c r="F286" s="33"/>
      <c r="G286" s="33"/>
      <c r="H286" s="33"/>
      <c r="I286" s="33"/>
      <c r="J286" s="33"/>
      <c r="K286" s="33"/>
      <c r="L286" s="33"/>
      <c r="M286" s="43"/>
      <c r="N286" s="43"/>
      <c r="O286" s="33"/>
      <c r="P286" s="33"/>
      <c r="Q286" s="33"/>
      <c r="R286" s="33"/>
      <c r="S286" s="33"/>
      <c r="T286" s="33"/>
      <c r="U286" s="33"/>
      <c r="V286" s="33"/>
      <c r="W286" s="33"/>
      <c r="X286" s="33"/>
      <c r="Y286" s="33"/>
      <c r="Z286" s="33"/>
      <c r="AA286" s="33"/>
      <c r="AB286" s="33"/>
    </row>
    <row r="287">
      <c r="A287" s="33"/>
      <c r="B287" s="33"/>
      <c r="C287" s="33"/>
      <c r="D287" s="43"/>
      <c r="E287" s="33"/>
      <c r="F287" s="33"/>
      <c r="G287" s="33"/>
      <c r="H287" s="33"/>
      <c r="I287" s="33"/>
      <c r="J287" s="33"/>
      <c r="K287" s="33"/>
      <c r="L287" s="33"/>
      <c r="M287" s="43"/>
      <c r="N287" s="43"/>
      <c r="O287" s="33"/>
      <c r="P287" s="33"/>
      <c r="Q287" s="33"/>
      <c r="R287" s="33"/>
      <c r="S287" s="33"/>
      <c r="T287" s="33"/>
      <c r="U287" s="33"/>
      <c r="V287" s="33"/>
      <c r="W287" s="33"/>
      <c r="X287" s="33"/>
      <c r="Y287" s="33"/>
      <c r="Z287" s="33"/>
      <c r="AA287" s="33"/>
      <c r="AB287" s="33"/>
    </row>
    <row r="288">
      <c r="A288" s="33"/>
      <c r="B288" s="33"/>
      <c r="C288" s="33"/>
      <c r="D288" s="43"/>
      <c r="E288" s="33"/>
      <c r="F288" s="33"/>
      <c r="G288" s="33"/>
      <c r="H288" s="33"/>
      <c r="I288" s="33"/>
      <c r="J288" s="33"/>
      <c r="K288" s="33"/>
      <c r="L288" s="33"/>
      <c r="M288" s="43"/>
      <c r="N288" s="43"/>
      <c r="O288" s="33"/>
      <c r="P288" s="33"/>
      <c r="Q288" s="33"/>
      <c r="R288" s="33"/>
      <c r="S288" s="33"/>
      <c r="T288" s="33"/>
      <c r="U288" s="33"/>
      <c r="V288" s="33"/>
      <c r="W288" s="33"/>
      <c r="X288" s="33"/>
      <c r="Y288" s="33"/>
      <c r="Z288" s="33"/>
      <c r="AA288" s="33"/>
      <c r="AB288" s="33"/>
    </row>
    <row r="289">
      <c r="A289" s="33"/>
      <c r="B289" s="33"/>
      <c r="C289" s="33"/>
      <c r="D289" s="43"/>
      <c r="E289" s="33"/>
      <c r="F289" s="33"/>
      <c r="G289" s="33"/>
      <c r="H289" s="33"/>
      <c r="I289" s="33"/>
      <c r="J289" s="33"/>
      <c r="K289" s="33"/>
      <c r="L289" s="33"/>
      <c r="M289" s="43"/>
      <c r="N289" s="43"/>
      <c r="O289" s="33"/>
      <c r="P289" s="33"/>
      <c r="Q289" s="33"/>
      <c r="R289" s="33"/>
      <c r="S289" s="33"/>
      <c r="T289" s="33"/>
      <c r="U289" s="33"/>
      <c r="V289" s="33"/>
      <c r="W289" s="33"/>
      <c r="X289" s="33"/>
      <c r="Y289" s="33"/>
      <c r="Z289" s="33"/>
      <c r="AA289" s="33"/>
      <c r="AB289" s="33"/>
    </row>
    <row r="290">
      <c r="A290" s="33"/>
      <c r="B290" s="33"/>
      <c r="C290" s="33"/>
      <c r="D290" s="43"/>
      <c r="E290" s="33"/>
      <c r="F290" s="33"/>
      <c r="G290" s="33"/>
      <c r="H290" s="33"/>
      <c r="I290" s="33"/>
      <c r="J290" s="33"/>
      <c r="K290" s="33"/>
      <c r="L290" s="33"/>
      <c r="M290" s="43"/>
      <c r="N290" s="43"/>
      <c r="O290" s="33"/>
      <c r="P290" s="33"/>
      <c r="Q290" s="33"/>
      <c r="R290" s="33"/>
      <c r="S290" s="33"/>
      <c r="T290" s="33"/>
      <c r="U290" s="33"/>
      <c r="V290" s="33"/>
      <c r="W290" s="33"/>
      <c r="X290" s="33"/>
      <c r="Y290" s="33"/>
      <c r="Z290" s="33"/>
      <c r="AA290" s="33"/>
      <c r="AB290" s="33"/>
    </row>
    <row r="291">
      <c r="A291" s="33"/>
      <c r="B291" s="33"/>
      <c r="C291" s="33"/>
      <c r="D291" s="43"/>
      <c r="E291" s="33"/>
      <c r="F291" s="33"/>
      <c r="G291" s="33"/>
      <c r="H291" s="33"/>
      <c r="I291" s="33"/>
      <c r="J291" s="33"/>
      <c r="K291" s="33"/>
      <c r="L291" s="33"/>
      <c r="M291" s="43"/>
      <c r="N291" s="43"/>
      <c r="O291" s="33"/>
      <c r="P291" s="33"/>
      <c r="Q291" s="33"/>
      <c r="R291" s="33"/>
      <c r="S291" s="33"/>
      <c r="T291" s="33"/>
      <c r="U291" s="33"/>
      <c r="V291" s="33"/>
      <c r="W291" s="33"/>
      <c r="X291" s="33"/>
      <c r="Y291" s="33"/>
      <c r="Z291" s="33"/>
      <c r="AA291" s="33"/>
      <c r="AB291" s="33"/>
    </row>
    <row r="292">
      <c r="A292" s="33"/>
      <c r="B292" s="33"/>
      <c r="C292" s="33"/>
      <c r="D292" s="43"/>
      <c r="E292" s="33"/>
      <c r="F292" s="33"/>
      <c r="G292" s="33"/>
      <c r="H292" s="33"/>
      <c r="I292" s="33"/>
      <c r="J292" s="33"/>
      <c r="K292" s="33"/>
      <c r="L292" s="33"/>
      <c r="M292" s="43"/>
      <c r="N292" s="43"/>
      <c r="O292" s="33"/>
      <c r="P292" s="33"/>
      <c r="Q292" s="33"/>
      <c r="R292" s="33"/>
      <c r="S292" s="33"/>
      <c r="T292" s="33"/>
      <c r="U292" s="33"/>
      <c r="V292" s="33"/>
      <c r="W292" s="33"/>
      <c r="X292" s="33"/>
      <c r="Y292" s="33"/>
      <c r="Z292" s="33"/>
      <c r="AA292" s="33"/>
      <c r="AB292" s="33"/>
    </row>
    <row r="293">
      <c r="A293" s="33"/>
      <c r="B293" s="33"/>
      <c r="C293" s="33"/>
      <c r="D293" s="43"/>
      <c r="E293" s="33"/>
      <c r="F293" s="33"/>
      <c r="G293" s="33"/>
      <c r="H293" s="33"/>
      <c r="I293" s="33"/>
      <c r="J293" s="33"/>
      <c r="K293" s="33"/>
      <c r="L293" s="33"/>
      <c r="M293" s="43"/>
      <c r="N293" s="43"/>
      <c r="O293" s="33"/>
      <c r="P293" s="33"/>
      <c r="Q293" s="33"/>
      <c r="R293" s="33"/>
      <c r="S293" s="33"/>
      <c r="T293" s="33"/>
      <c r="U293" s="33"/>
      <c r="V293" s="33"/>
      <c r="W293" s="33"/>
      <c r="X293" s="33"/>
      <c r="Y293" s="33"/>
      <c r="Z293" s="33"/>
      <c r="AA293" s="33"/>
      <c r="AB293" s="33"/>
    </row>
    <row r="294">
      <c r="A294" s="33"/>
      <c r="B294" s="33"/>
      <c r="C294" s="33"/>
      <c r="D294" s="43"/>
      <c r="E294" s="33"/>
      <c r="F294" s="33"/>
      <c r="G294" s="33"/>
      <c r="H294" s="33"/>
      <c r="I294" s="33"/>
      <c r="J294" s="33"/>
      <c r="K294" s="33"/>
      <c r="L294" s="33"/>
      <c r="M294" s="43"/>
      <c r="N294" s="43"/>
      <c r="O294" s="33"/>
      <c r="P294" s="33"/>
      <c r="Q294" s="33"/>
      <c r="R294" s="33"/>
      <c r="S294" s="33"/>
      <c r="T294" s="33"/>
      <c r="U294" s="33"/>
      <c r="V294" s="33"/>
      <c r="W294" s="33"/>
      <c r="X294" s="33"/>
      <c r="Y294" s="33"/>
      <c r="Z294" s="33"/>
      <c r="AA294" s="33"/>
      <c r="AB294" s="33"/>
    </row>
    <row r="295">
      <c r="A295" s="33"/>
      <c r="B295" s="33"/>
      <c r="C295" s="33"/>
      <c r="D295" s="43"/>
      <c r="E295" s="33"/>
      <c r="F295" s="33"/>
      <c r="G295" s="33"/>
      <c r="H295" s="33"/>
      <c r="I295" s="33"/>
      <c r="J295" s="33"/>
      <c r="K295" s="33"/>
      <c r="L295" s="33"/>
      <c r="M295" s="43"/>
      <c r="N295" s="43"/>
      <c r="O295" s="33"/>
      <c r="P295" s="33"/>
      <c r="Q295" s="33"/>
      <c r="R295" s="33"/>
      <c r="S295" s="33"/>
      <c r="T295" s="33"/>
      <c r="U295" s="33"/>
      <c r="V295" s="33"/>
      <c r="W295" s="33"/>
      <c r="X295" s="33"/>
      <c r="Y295" s="33"/>
      <c r="Z295" s="33"/>
      <c r="AA295" s="33"/>
      <c r="AB295" s="33"/>
    </row>
    <row r="296">
      <c r="A296" s="33"/>
      <c r="B296" s="33"/>
      <c r="C296" s="33"/>
      <c r="D296" s="43"/>
      <c r="E296" s="33"/>
      <c r="F296" s="33"/>
      <c r="G296" s="33"/>
      <c r="H296" s="33"/>
      <c r="I296" s="33"/>
      <c r="J296" s="33"/>
      <c r="K296" s="33"/>
      <c r="L296" s="33"/>
      <c r="M296" s="43"/>
      <c r="N296" s="43"/>
      <c r="O296" s="33"/>
      <c r="P296" s="33"/>
      <c r="Q296" s="33"/>
      <c r="R296" s="33"/>
      <c r="S296" s="33"/>
      <c r="T296" s="33"/>
      <c r="U296" s="33"/>
      <c r="V296" s="33"/>
      <c r="W296" s="33"/>
      <c r="X296" s="33"/>
      <c r="Y296" s="33"/>
      <c r="Z296" s="33"/>
      <c r="AA296" s="33"/>
      <c r="AB296" s="33"/>
    </row>
    <row r="297">
      <c r="A297" s="33"/>
      <c r="B297" s="33"/>
      <c r="C297" s="33"/>
      <c r="D297" s="43"/>
      <c r="E297" s="33"/>
      <c r="F297" s="33"/>
      <c r="G297" s="33"/>
      <c r="H297" s="33"/>
      <c r="I297" s="33"/>
      <c r="J297" s="33"/>
      <c r="K297" s="33"/>
      <c r="L297" s="33"/>
      <c r="M297" s="43"/>
      <c r="N297" s="43"/>
      <c r="O297" s="33"/>
      <c r="P297" s="33"/>
      <c r="Q297" s="33"/>
      <c r="R297" s="33"/>
      <c r="S297" s="33"/>
      <c r="T297" s="33"/>
      <c r="U297" s="33"/>
      <c r="V297" s="33"/>
      <c r="W297" s="33"/>
      <c r="X297" s="33"/>
      <c r="Y297" s="33"/>
      <c r="Z297" s="33"/>
      <c r="AA297" s="33"/>
      <c r="AB297" s="33"/>
    </row>
    <row r="298">
      <c r="A298" s="33"/>
      <c r="B298" s="33"/>
      <c r="C298" s="33"/>
      <c r="D298" s="43"/>
      <c r="E298" s="33"/>
      <c r="F298" s="33"/>
      <c r="G298" s="33"/>
      <c r="H298" s="33"/>
      <c r="I298" s="33"/>
      <c r="J298" s="33"/>
      <c r="K298" s="33"/>
      <c r="L298" s="33"/>
      <c r="M298" s="43"/>
      <c r="N298" s="43"/>
      <c r="O298" s="33"/>
      <c r="P298" s="33"/>
      <c r="Q298" s="33"/>
      <c r="R298" s="33"/>
      <c r="S298" s="33"/>
      <c r="T298" s="33"/>
      <c r="U298" s="33"/>
      <c r="V298" s="33"/>
      <c r="W298" s="33"/>
      <c r="X298" s="33"/>
      <c r="Y298" s="33"/>
      <c r="Z298" s="33"/>
      <c r="AA298" s="33"/>
      <c r="AB298" s="33"/>
    </row>
    <row r="299">
      <c r="A299" s="33"/>
      <c r="B299" s="33"/>
      <c r="C299" s="33"/>
      <c r="D299" s="43"/>
      <c r="E299" s="33"/>
      <c r="F299" s="33"/>
      <c r="G299" s="33"/>
      <c r="H299" s="33"/>
      <c r="I299" s="33"/>
      <c r="J299" s="33"/>
      <c r="K299" s="33"/>
      <c r="L299" s="33"/>
      <c r="M299" s="43"/>
      <c r="N299" s="43"/>
      <c r="O299" s="33"/>
      <c r="P299" s="33"/>
      <c r="Q299" s="33"/>
      <c r="R299" s="33"/>
      <c r="S299" s="33"/>
      <c r="T299" s="33"/>
      <c r="U299" s="33"/>
      <c r="V299" s="33"/>
      <c r="W299" s="33"/>
      <c r="X299" s="33"/>
      <c r="Y299" s="33"/>
      <c r="Z299" s="33"/>
      <c r="AA299" s="33"/>
      <c r="AB299" s="33"/>
    </row>
    <row r="300">
      <c r="A300" s="33"/>
      <c r="B300" s="33"/>
      <c r="C300" s="33"/>
      <c r="D300" s="43"/>
      <c r="E300" s="33"/>
      <c r="F300" s="33"/>
      <c r="G300" s="33"/>
      <c r="H300" s="33"/>
      <c r="I300" s="33"/>
      <c r="J300" s="33"/>
      <c r="K300" s="33"/>
      <c r="L300" s="33"/>
      <c r="M300" s="43"/>
      <c r="N300" s="43"/>
      <c r="O300" s="33"/>
      <c r="P300" s="33"/>
      <c r="Q300" s="33"/>
      <c r="R300" s="33"/>
      <c r="S300" s="33"/>
      <c r="T300" s="33"/>
      <c r="U300" s="33"/>
      <c r="V300" s="33"/>
      <c r="W300" s="33"/>
      <c r="X300" s="33"/>
      <c r="Y300" s="33"/>
      <c r="Z300" s="33"/>
      <c r="AA300" s="33"/>
      <c r="AB300" s="33"/>
    </row>
    <row r="301">
      <c r="A301" s="33"/>
      <c r="B301" s="33"/>
      <c r="C301" s="33"/>
      <c r="D301" s="43"/>
      <c r="E301" s="33"/>
      <c r="F301" s="33"/>
      <c r="G301" s="33"/>
      <c r="H301" s="33"/>
      <c r="I301" s="33"/>
      <c r="J301" s="33"/>
      <c r="K301" s="33"/>
      <c r="L301" s="33"/>
      <c r="M301" s="43"/>
      <c r="N301" s="43"/>
      <c r="O301" s="33"/>
      <c r="P301" s="33"/>
      <c r="Q301" s="33"/>
      <c r="R301" s="33"/>
      <c r="S301" s="33"/>
      <c r="T301" s="33"/>
      <c r="U301" s="33"/>
      <c r="V301" s="33"/>
      <c r="W301" s="33"/>
      <c r="X301" s="33"/>
      <c r="Y301" s="33"/>
      <c r="Z301" s="33"/>
      <c r="AA301" s="33"/>
      <c r="AB301" s="33"/>
    </row>
    <row r="302">
      <c r="A302" s="33"/>
      <c r="B302" s="33"/>
      <c r="C302" s="33"/>
      <c r="D302" s="43"/>
      <c r="E302" s="33"/>
      <c r="F302" s="33"/>
      <c r="G302" s="33"/>
      <c r="H302" s="33"/>
      <c r="I302" s="33"/>
      <c r="J302" s="33"/>
      <c r="K302" s="33"/>
      <c r="L302" s="33"/>
      <c r="M302" s="43"/>
      <c r="N302" s="43"/>
      <c r="O302" s="33"/>
      <c r="P302" s="33"/>
      <c r="Q302" s="33"/>
      <c r="R302" s="33"/>
      <c r="S302" s="33"/>
      <c r="T302" s="33"/>
      <c r="U302" s="33"/>
      <c r="V302" s="33"/>
      <c r="W302" s="33"/>
      <c r="X302" s="33"/>
      <c r="Y302" s="33"/>
      <c r="Z302" s="33"/>
      <c r="AA302" s="33"/>
      <c r="AB302" s="33"/>
    </row>
    <row r="303">
      <c r="A303" s="33"/>
      <c r="B303" s="33"/>
      <c r="C303" s="33"/>
      <c r="D303" s="43"/>
      <c r="E303" s="33"/>
      <c r="F303" s="33"/>
      <c r="G303" s="33"/>
      <c r="H303" s="33"/>
      <c r="I303" s="33"/>
      <c r="J303" s="33"/>
      <c r="K303" s="33"/>
      <c r="L303" s="33"/>
      <c r="M303" s="43"/>
      <c r="N303" s="43"/>
      <c r="O303" s="33"/>
      <c r="P303" s="33"/>
      <c r="Q303" s="33"/>
      <c r="R303" s="33"/>
      <c r="S303" s="33"/>
      <c r="T303" s="33"/>
      <c r="U303" s="33"/>
      <c r="V303" s="33"/>
      <c r="W303" s="33"/>
      <c r="X303" s="33"/>
      <c r="Y303" s="33"/>
      <c r="Z303" s="33"/>
      <c r="AA303" s="33"/>
      <c r="AB303" s="33"/>
    </row>
    <row r="304">
      <c r="A304" s="33"/>
      <c r="B304" s="33"/>
      <c r="C304" s="33"/>
      <c r="D304" s="43"/>
      <c r="E304" s="33"/>
      <c r="F304" s="33"/>
      <c r="G304" s="33"/>
      <c r="H304" s="33"/>
      <c r="I304" s="33"/>
      <c r="J304" s="33"/>
      <c r="K304" s="33"/>
      <c r="L304" s="33"/>
      <c r="M304" s="43"/>
      <c r="N304" s="43"/>
      <c r="O304" s="33"/>
      <c r="P304" s="33"/>
      <c r="Q304" s="33"/>
      <c r="R304" s="33"/>
      <c r="S304" s="33"/>
      <c r="T304" s="33"/>
      <c r="U304" s="33"/>
      <c r="V304" s="33"/>
      <c r="W304" s="33"/>
      <c r="X304" s="33"/>
      <c r="Y304" s="33"/>
      <c r="Z304" s="33"/>
      <c r="AA304" s="33"/>
      <c r="AB304" s="33"/>
    </row>
    <row r="305">
      <c r="A305" s="33"/>
      <c r="B305" s="33"/>
      <c r="C305" s="33"/>
      <c r="D305" s="43"/>
      <c r="E305" s="33"/>
      <c r="F305" s="33"/>
      <c r="G305" s="33"/>
      <c r="H305" s="33"/>
      <c r="I305" s="33"/>
      <c r="J305" s="33"/>
      <c r="K305" s="33"/>
      <c r="L305" s="33"/>
      <c r="M305" s="43"/>
      <c r="N305" s="43"/>
      <c r="O305" s="33"/>
      <c r="P305" s="33"/>
      <c r="Q305" s="33"/>
      <c r="R305" s="33"/>
      <c r="S305" s="33"/>
      <c r="T305" s="33"/>
      <c r="U305" s="33"/>
      <c r="V305" s="33"/>
      <c r="W305" s="33"/>
      <c r="X305" s="33"/>
      <c r="Y305" s="33"/>
      <c r="Z305" s="33"/>
      <c r="AA305" s="33"/>
      <c r="AB305" s="33"/>
    </row>
    <row r="306">
      <c r="A306" s="33"/>
      <c r="B306" s="33"/>
      <c r="C306" s="33"/>
      <c r="D306" s="43"/>
      <c r="E306" s="33"/>
      <c r="F306" s="33"/>
      <c r="G306" s="33"/>
      <c r="H306" s="33"/>
      <c r="I306" s="33"/>
      <c r="J306" s="33"/>
      <c r="K306" s="33"/>
      <c r="L306" s="33"/>
      <c r="M306" s="43"/>
      <c r="N306" s="43"/>
      <c r="O306" s="33"/>
      <c r="P306" s="33"/>
      <c r="Q306" s="33"/>
      <c r="R306" s="33"/>
      <c r="S306" s="33"/>
      <c r="T306" s="33"/>
      <c r="U306" s="33"/>
      <c r="V306" s="33"/>
      <c r="W306" s="33"/>
      <c r="X306" s="33"/>
      <c r="Y306" s="33"/>
      <c r="Z306" s="33"/>
      <c r="AA306" s="33"/>
      <c r="AB306" s="33"/>
    </row>
    <row r="307">
      <c r="A307" s="33"/>
      <c r="B307" s="33"/>
      <c r="C307" s="33"/>
      <c r="D307" s="43"/>
      <c r="E307" s="33"/>
      <c r="F307" s="33"/>
      <c r="G307" s="33"/>
      <c r="H307" s="33"/>
      <c r="I307" s="33"/>
      <c r="J307" s="33"/>
      <c r="K307" s="33"/>
      <c r="L307" s="33"/>
      <c r="M307" s="43"/>
      <c r="N307" s="43"/>
      <c r="O307" s="33"/>
      <c r="P307" s="33"/>
      <c r="Q307" s="33"/>
      <c r="R307" s="33"/>
      <c r="S307" s="33"/>
      <c r="T307" s="33"/>
      <c r="U307" s="33"/>
      <c r="V307" s="33"/>
      <c r="W307" s="33"/>
      <c r="X307" s="33"/>
      <c r="Y307" s="33"/>
      <c r="Z307" s="33"/>
      <c r="AA307" s="33"/>
      <c r="AB307" s="33"/>
    </row>
    <row r="308">
      <c r="A308" s="33"/>
      <c r="B308" s="33"/>
      <c r="C308" s="33"/>
      <c r="D308" s="43"/>
      <c r="E308" s="33"/>
      <c r="F308" s="33"/>
      <c r="G308" s="33"/>
      <c r="H308" s="33"/>
      <c r="I308" s="33"/>
      <c r="J308" s="33"/>
      <c r="K308" s="33"/>
      <c r="L308" s="33"/>
      <c r="M308" s="43"/>
      <c r="N308" s="43"/>
      <c r="O308" s="33"/>
      <c r="P308" s="33"/>
      <c r="Q308" s="33"/>
      <c r="R308" s="33"/>
      <c r="S308" s="33"/>
      <c r="T308" s="33"/>
      <c r="U308" s="33"/>
      <c r="V308" s="33"/>
      <c r="W308" s="33"/>
      <c r="X308" s="33"/>
      <c r="Y308" s="33"/>
      <c r="Z308" s="33"/>
      <c r="AA308" s="33"/>
      <c r="AB308" s="33"/>
    </row>
    <row r="309">
      <c r="A309" s="33"/>
      <c r="B309" s="33"/>
      <c r="C309" s="33"/>
      <c r="D309" s="43"/>
      <c r="E309" s="33"/>
      <c r="F309" s="33"/>
      <c r="G309" s="33"/>
      <c r="H309" s="33"/>
      <c r="I309" s="33"/>
      <c r="J309" s="33"/>
      <c r="K309" s="33"/>
      <c r="L309" s="33"/>
      <c r="M309" s="43"/>
      <c r="N309" s="43"/>
      <c r="O309" s="33"/>
      <c r="P309" s="33"/>
      <c r="Q309" s="33"/>
      <c r="R309" s="33"/>
      <c r="S309" s="33"/>
      <c r="T309" s="33"/>
      <c r="U309" s="33"/>
      <c r="V309" s="33"/>
      <c r="W309" s="33"/>
      <c r="X309" s="33"/>
      <c r="Y309" s="33"/>
      <c r="Z309" s="33"/>
      <c r="AA309" s="33"/>
      <c r="AB309" s="33"/>
    </row>
    <row r="310">
      <c r="A310" s="33"/>
      <c r="B310" s="33"/>
      <c r="C310" s="33"/>
      <c r="D310" s="43"/>
      <c r="E310" s="33"/>
      <c r="F310" s="33"/>
      <c r="G310" s="33"/>
      <c r="H310" s="33"/>
      <c r="I310" s="33"/>
      <c r="J310" s="33"/>
      <c r="K310" s="33"/>
      <c r="L310" s="33"/>
      <c r="M310" s="43"/>
      <c r="N310" s="43"/>
      <c r="O310" s="33"/>
      <c r="P310" s="33"/>
      <c r="Q310" s="33"/>
      <c r="R310" s="33"/>
      <c r="S310" s="33"/>
      <c r="T310" s="33"/>
      <c r="U310" s="33"/>
      <c r="V310" s="33"/>
      <c r="W310" s="33"/>
      <c r="X310" s="33"/>
      <c r="Y310" s="33"/>
      <c r="Z310" s="33"/>
      <c r="AA310" s="33"/>
      <c r="AB310" s="33"/>
    </row>
    <row r="311">
      <c r="A311" s="33"/>
      <c r="B311" s="33"/>
      <c r="C311" s="33"/>
      <c r="D311" s="43"/>
      <c r="E311" s="33"/>
      <c r="F311" s="33"/>
      <c r="G311" s="33"/>
      <c r="H311" s="33"/>
      <c r="I311" s="33"/>
      <c r="J311" s="33"/>
      <c r="K311" s="33"/>
      <c r="L311" s="33"/>
      <c r="M311" s="43"/>
      <c r="N311" s="43"/>
      <c r="O311" s="33"/>
      <c r="P311" s="33"/>
      <c r="Q311" s="33"/>
      <c r="R311" s="33"/>
      <c r="S311" s="33"/>
      <c r="T311" s="33"/>
      <c r="U311" s="33"/>
      <c r="V311" s="33"/>
      <c r="W311" s="33"/>
      <c r="X311" s="33"/>
      <c r="Y311" s="33"/>
      <c r="Z311" s="33"/>
      <c r="AA311" s="33"/>
      <c r="AB311" s="33"/>
    </row>
    <row r="312">
      <c r="A312" s="33"/>
      <c r="B312" s="33"/>
      <c r="C312" s="33"/>
      <c r="D312" s="43"/>
      <c r="E312" s="33"/>
      <c r="F312" s="33"/>
      <c r="G312" s="33"/>
      <c r="H312" s="33"/>
      <c r="I312" s="33"/>
      <c r="J312" s="33"/>
      <c r="K312" s="33"/>
      <c r="L312" s="33"/>
      <c r="M312" s="43"/>
      <c r="N312" s="43"/>
      <c r="O312" s="33"/>
      <c r="P312" s="33"/>
      <c r="Q312" s="33"/>
      <c r="R312" s="33"/>
      <c r="S312" s="33"/>
      <c r="T312" s="33"/>
      <c r="U312" s="33"/>
      <c r="V312" s="33"/>
      <c r="W312" s="33"/>
      <c r="X312" s="33"/>
      <c r="Y312" s="33"/>
      <c r="Z312" s="33"/>
      <c r="AA312" s="33"/>
      <c r="AB312" s="33"/>
    </row>
    <row r="313">
      <c r="A313" s="33"/>
      <c r="B313" s="33"/>
      <c r="C313" s="33"/>
      <c r="D313" s="43"/>
      <c r="E313" s="33"/>
      <c r="F313" s="33"/>
      <c r="G313" s="33"/>
      <c r="H313" s="33"/>
      <c r="I313" s="33"/>
      <c r="J313" s="33"/>
      <c r="K313" s="33"/>
      <c r="L313" s="33"/>
      <c r="M313" s="43"/>
      <c r="N313" s="43"/>
      <c r="O313" s="33"/>
      <c r="P313" s="33"/>
      <c r="Q313" s="33"/>
      <c r="R313" s="33"/>
      <c r="S313" s="33"/>
      <c r="T313" s="33"/>
      <c r="U313" s="33"/>
      <c r="V313" s="33"/>
      <c r="W313" s="33"/>
      <c r="X313" s="33"/>
      <c r="Y313" s="33"/>
      <c r="Z313" s="33"/>
      <c r="AA313" s="33"/>
      <c r="AB313" s="33"/>
    </row>
    <row r="314">
      <c r="A314" s="33"/>
      <c r="B314" s="33"/>
      <c r="C314" s="33"/>
      <c r="D314" s="43"/>
      <c r="E314" s="33"/>
      <c r="F314" s="33"/>
      <c r="G314" s="33"/>
      <c r="H314" s="33"/>
      <c r="I314" s="33"/>
      <c r="J314" s="33"/>
      <c r="K314" s="33"/>
      <c r="L314" s="33"/>
      <c r="M314" s="43"/>
      <c r="N314" s="43"/>
      <c r="O314" s="33"/>
      <c r="P314" s="33"/>
      <c r="Q314" s="33"/>
      <c r="R314" s="33"/>
      <c r="S314" s="33"/>
      <c r="T314" s="33"/>
      <c r="U314" s="33"/>
      <c r="V314" s="33"/>
      <c r="W314" s="33"/>
      <c r="X314" s="33"/>
      <c r="Y314" s="33"/>
      <c r="Z314" s="33"/>
      <c r="AA314" s="33"/>
      <c r="AB314" s="33"/>
    </row>
    <row r="315">
      <c r="A315" s="33"/>
      <c r="B315" s="33"/>
      <c r="C315" s="33"/>
      <c r="D315" s="43"/>
      <c r="E315" s="33"/>
      <c r="F315" s="33"/>
      <c r="G315" s="33"/>
      <c r="H315" s="33"/>
      <c r="I315" s="33"/>
      <c r="J315" s="33"/>
      <c r="K315" s="33"/>
      <c r="L315" s="33"/>
      <c r="M315" s="43"/>
      <c r="N315" s="43"/>
      <c r="O315" s="33"/>
      <c r="P315" s="33"/>
      <c r="Q315" s="33"/>
      <c r="R315" s="33"/>
      <c r="S315" s="33"/>
      <c r="T315" s="33"/>
      <c r="U315" s="33"/>
      <c r="V315" s="33"/>
      <c r="W315" s="33"/>
      <c r="X315" s="33"/>
      <c r="Y315" s="33"/>
      <c r="Z315" s="33"/>
      <c r="AA315" s="33"/>
      <c r="AB315" s="33"/>
    </row>
    <row r="316">
      <c r="A316" s="33"/>
      <c r="B316" s="33"/>
      <c r="C316" s="33"/>
      <c r="D316" s="43"/>
      <c r="E316" s="33"/>
      <c r="F316" s="33"/>
      <c r="G316" s="33"/>
      <c r="H316" s="33"/>
      <c r="I316" s="33"/>
      <c r="J316" s="33"/>
      <c r="K316" s="33"/>
      <c r="L316" s="33"/>
      <c r="M316" s="43"/>
      <c r="N316" s="43"/>
      <c r="O316" s="33"/>
      <c r="P316" s="33"/>
      <c r="Q316" s="33"/>
      <c r="R316" s="33"/>
      <c r="S316" s="33"/>
      <c r="T316" s="33"/>
      <c r="U316" s="33"/>
      <c r="V316" s="33"/>
      <c r="W316" s="33"/>
      <c r="X316" s="33"/>
      <c r="Y316" s="33"/>
      <c r="Z316" s="33"/>
      <c r="AA316" s="33"/>
      <c r="AB316" s="33"/>
    </row>
    <row r="317">
      <c r="A317" s="33"/>
      <c r="B317" s="33"/>
      <c r="C317" s="33"/>
      <c r="D317" s="43"/>
      <c r="E317" s="33"/>
      <c r="F317" s="33"/>
      <c r="G317" s="33"/>
      <c r="H317" s="33"/>
      <c r="I317" s="33"/>
      <c r="J317" s="33"/>
      <c r="K317" s="33"/>
      <c r="L317" s="33"/>
      <c r="M317" s="43"/>
      <c r="N317" s="43"/>
      <c r="O317" s="33"/>
      <c r="P317" s="33"/>
      <c r="Q317" s="33"/>
      <c r="R317" s="33"/>
      <c r="S317" s="33"/>
      <c r="T317" s="33"/>
      <c r="U317" s="33"/>
      <c r="V317" s="33"/>
      <c r="W317" s="33"/>
      <c r="X317" s="33"/>
      <c r="Y317" s="33"/>
      <c r="Z317" s="33"/>
      <c r="AA317" s="33"/>
      <c r="AB317" s="33"/>
    </row>
    <row r="318">
      <c r="A318" s="33"/>
      <c r="B318" s="33"/>
      <c r="C318" s="33"/>
      <c r="D318" s="43"/>
      <c r="E318" s="33"/>
      <c r="F318" s="33"/>
      <c r="G318" s="33"/>
      <c r="H318" s="33"/>
      <c r="I318" s="33"/>
      <c r="J318" s="33"/>
      <c r="K318" s="33"/>
      <c r="L318" s="33"/>
      <c r="M318" s="43"/>
      <c r="N318" s="43"/>
      <c r="O318" s="33"/>
      <c r="P318" s="33"/>
      <c r="Q318" s="33"/>
      <c r="R318" s="33"/>
      <c r="S318" s="33"/>
      <c r="T318" s="33"/>
      <c r="U318" s="33"/>
      <c r="V318" s="33"/>
      <c r="W318" s="33"/>
      <c r="X318" s="33"/>
      <c r="Y318" s="33"/>
      <c r="Z318" s="33"/>
      <c r="AA318" s="33"/>
      <c r="AB318" s="33"/>
    </row>
    <row r="319">
      <c r="A319" s="33"/>
      <c r="B319" s="33"/>
      <c r="C319" s="33"/>
      <c r="D319" s="43"/>
      <c r="E319" s="33"/>
      <c r="F319" s="33"/>
      <c r="G319" s="33"/>
      <c r="H319" s="33"/>
      <c r="I319" s="33"/>
      <c r="J319" s="33"/>
      <c r="K319" s="33"/>
      <c r="L319" s="33"/>
      <c r="M319" s="43"/>
      <c r="N319" s="43"/>
      <c r="O319" s="33"/>
      <c r="P319" s="33"/>
      <c r="Q319" s="33"/>
      <c r="R319" s="33"/>
      <c r="S319" s="33"/>
      <c r="T319" s="33"/>
      <c r="U319" s="33"/>
      <c r="V319" s="33"/>
      <c r="W319" s="33"/>
      <c r="X319" s="33"/>
      <c r="Y319" s="33"/>
      <c r="Z319" s="33"/>
      <c r="AA319" s="33"/>
      <c r="AB319" s="33"/>
    </row>
    <row r="320">
      <c r="A320" s="33"/>
      <c r="B320" s="33"/>
      <c r="C320" s="33"/>
      <c r="D320" s="43"/>
      <c r="E320" s="33"/>
      <c r="F320" s="33"/>
      <c r="G320" s="33"/>
      <c r="H320" s="33"/>
      <c r="I320" s="33"/>
      <c r="J320" s="33"/>
      <c r="K320" s="33"/>
      <c r="L320" s="33"/>
      <c r="M320" s="43"/>
      <c r="N320" s="43"/>
      <c r="O320" s="33"/>
      <c r="P320" s="33"/>
      <c r="Q320" s="33"/>
      <c r="R320" s="33"/>
      <c r="S320" s="33"/>
      <c r="T320" s="33"/>
      <c r="U320" s="33"/>
      <c r="V320" s="33"/>
      <c r="W320" s="33"/>
      <c r="X320" s="33"/>
      <c r="Y320" s="33"/>
      <c r="Z320" s="33"/>
      <c r="AA320" s="33"/>
      <c r="AB320" s="33"/>
    </row>
    <row r="321">
      <c r="A321" s="33"/>
      <c r="B321" s="33"/>
      <c r="C321" s="33"/>
      <c r="D321" s="43"/>
      <c r="E321" s="33"/>
      <c r="F321" s="33"/>
      <c r="G321" s="33"/>
      <c r="H321" s="33"/>
      <c r="I321" s="33"/>
      <c r="J321" s="33"/>
      <c r="K321" s="33"/>
      <c r="L321" s="33"/>
      <c r="M321" s="43"/>
      <c r="N321" s="43"/>
      <c r="O321" s="33"/>
      <c r="P321" s="33"/>
      <c r="Q321" s="33"/>
      <c r="R321" s="33"/>
      <c r="S321" s="33"/>
      <c r="T321" s="33"/>
      <c r="U321" s="33"/>
      <c r="V321" s="33"/>
      <c r="W321" s="33"/>
      <c r="X321" s="33"/>
      <c r="Y321" s="33"/>
      <c r="Z321" s="33"/>
      <c r="AA321" s="33"/>
      <c r="AB321" s="33"/>
    </row>
    <row r="322">
      <c r="A322" s="33"/>
      <c r="B322" s="33"/>
      <c r="C322" s="33"/>
      <c r="D322" s="43"/>
      <c r="E322" s="33"/>
      <c r="F322" s="33"/>
      <c r="G322" s="33"/>
      <c r="H322" s="33"/>
      <c r="I322" s="33"/>
      <c r="J322" s="33"/>
      <c r="K322" s="33"/>
      <c r="L322" s="33"/>
      <c r="M322" s="43"/>
      <c r="N322" s="43"/>
      <c r="O322" s="33"/>
      <c r="P322" s="33"/>
      <c r="Q322" s="33"/>
      <c r="R322" s="33"/>
      <c r="S322" s="33"/>
      <c r="T322" s="33"/>
      <c r="U322" s="33"/>
      <c r="V322" s="33"/>
      <c r="W322" s="33"/>
      <c r="X322" s="33"/>
      <c r="Y322" s="33"/>
      <c r="Z322" s="33"/>
      <c r="AA322" s="33"/>
      <c r="AB322" s="33"/>
    </row>
    <row r="323">
      <c r="A323" s="33"/>
      <c r="B323" s="33"/>
      <c r="C323" s="33"/>
      <c r="D323" s="43"/>
      <c r="E323" s="33"/>
      <c r="F323" s="33"/>
      <c r="G323" s="33"/>
      <c r="H323" s="33"/>
      <c r="I323" s="33"/>
      <c r="J323" s="33"/>
      <c r="K323" s="33"/>
      <c r="L323" s="33"/>
      <c r="M323" s="43"/>
      <c r="N323" s="43"/>
      <c r="O323" s="33"/>
      <c r="P323" s="33"/>
      <c r="Q323" s="33"/>
      <c r="R323" s="33"/>
      <c r="S323" s="33"/>
      <c r="T323" s="33"/>
      <c r="U323" s="33"/>
      <c r="V323" s="33"/>
      <c r="W323" s="33"/>
      <c r="X323" s="33"/>
      <c r="Y323" s="33"/>
      <c r="Z323" s="33"/>
      <c r="AA323" s="33"/>
      <c r="AB323" s="33"/>
    </row>
    <row r="324">
      <c r="A324" s="33"/>
      <c r="B324" s="33"/>
      <c r="C324" s="33"/>
      <c r="D324" s="43"/>
      <c r="E324" s="33"/>
      <c r="F324" s="33"/>
      <c r="G324" s="33"/>
      <c r="H324" s="33"/>
      <c r="I324" s="33"/>
      <c r="J324" s="33"/>
      <c r="K324" s="33"/>
      <c r="L324" s="33"/>
      <c r="M324" s="43"/>
      <c r="N324" s="43"/>
      <c r="O324" s="33"/>
      <c r="P324" s="33"/>
      <c r="Q324" s="33"/>
      <c r="R324" s="33"/>
      <c r="S324" s="33"/>
      <c r="T324" s="33"/>
      <c r="U324" s="33"/>
      <c r="V324" s="33"/>
      <c r="W324" s="33"/>
      <c r="X324" s="33"/>
      <c r="Y324" s="33"/>
      <c r="Z324" s="33"/>
      <c r="AA324" s="33"/>
      <c r="AB324" s="33"/>
    </row>
    <row r="325">
      <c r="A325" s="33"/>
      <c r="B325" s="33"/>
      <c r="C325" s="33"/>
      <c r="D325" s="43"/>
      <c r="E325" s="33"/>
      <c r="F325" s="33"/>
      <c r="G325" s="33"/>
      <c r="H325" s="33"/>
      <c r="I325" s="33"/>
      <c r="J325" s="33"/>
      <c r="K325" s="33"/>
      <c r="L325" s="33"/>
      <c r="M325" s="43"/>
      <c r="N325" s="43"/>
      <c r="O325" s="33"/>
      <c r="P325" s="33"/>
      <c r="Q325" s="33"/>
      <c r="R325" s="33"/>
      <c r="S325" s="33"/>
      <c r="T325" s="33"/>
      <c r="U325" s="33"/>
      <c r="V325" s="33"/>
      <c r="W325" s="33"/>
      <c r="X325" s="33"/>
      <c r="Y325" s="33"/>
      <c r="Z325" s="33"/>
      <c r="AA325" s="33"/>
      <c r="AB325" s="33"/>
    </row>
    <row r="326">
      <c r="A326" s="33"/>
      <c r="B326" s="33"/>
      <c r="C326" s="33"/>
      <c r="D326" s="43"/>
      <c r="E326" s="33"/>
      <c r="F326" s="33"/>
      <c r="G326" s="33"/>
      <c r="H326" s="33"/>
      <c r="I326" s="33"/>
      <c r="J326" s="33"/>
      <c r="K326" s="33"/>
      <c r="L326" s="33"/>
      <c r="M326" s="43"/>
      <c r="N326" s="43"/>
      <c r="O326" s="33"/>
      <c r="P326" s="33"/>
      <c r="Q326" s="33"/>
      <c r="R326" s="33"/>
      <c r="S326" s="33"/>
      <c r="T326" s="33"/>
      <c r="U326" s="33"/>
      <c r="V326" s="33"/>
      <c r="W326" s="33"/>
      <c r="X326" s="33"/>
      <c r="Y326" s="33"/>
      <c r="Z326" s="33"/>
      <c r="AA326" s="33"/>
      <c r="AB326" s="33"/>
    </row>
    <row r="327">
      <c r="A327" s="33"/>
      <c r="B327" s="33"/>
      <c r="C327" s="33"/>
      <c r="D327" s="43"/>
      <c r="E327" s="33"/>
      <c r="F327" s="33"/>
      <c r="G327" s="33"/>
      <c r="H327" s="33"/>
      <c r="I327" s="33"/>
      <c r="J327" s="33"/>
      <c r="K327" s="33"/>
      <c r="L327" s="33"/>
      <c r="M327" s="43"/>
      <c r="N327" s="43"/>
      <c r="O327" s="33"/>
      <c r="P327" s="33"/>
      <c r="Q327" s="33"/>
      <c r="R327" s="33"/>
      <c r="S327" s="33"/>
      <c r="T327" s="33"/>
      <c r="U327" s="33"/>
      <c r="V327" s="33"/>
      <c r="W327" s="33"/>
      <c r="X327" s="33"/>
      <c r="Y327" s="33"/>
      <c r="Z327" s="33"/>
      <c r="AA327" s="33"/>
      <c r="AB327" s="33"/>
    </row>
    <row r="328">
      <c r="A328" s="33"/>
      <c r="B328" s="33"/>
      <c r="C328" s="33"/>
      <c r="D328" s="43"/>
      <c r="E328" s="33"/>
      <c r="F328" s="33"/>
      <c r="G328" s="33"/>
      <c r="H328" s="33"/>
      <c r="I328" s="33"/>
      <c r="J328" s="33"/>
      <c r="K328" s="33"/>
      <c r="L328" s="33"/>
      <c r="M328" s="43"/>
      <c r="N328" s="43"/>
      <c r="O328" s="33"/>
      <c r="P328" s="33"/>
      <c r="Q328" s="33"/>
      <c r="R328" s="33"/>
      <c r="S328" s="33"/>
      <c r="T328" s="33"/>
      <c r="U328" s="33"/>
      <c r="V328" s="33"/>
      <c r="W328" s="33"/>
      <c r="X328" s="33"/>
      <c r="Y328" s="33"/>
      <c r="Z328" s="33"/>
      <c r="AA328" s="33"/>
      <c r="AB328" s="33"/>
    </row>
    <row r="329">
      <c r="A329" s="33"/>
      <c r="B329" s="33"/>
      <c r="C329" s="33"/>
      <c r="D329" s="43"/>
      <c r="E329" s="33"/>
      <c r="F329" s="33"/>
      <c r="G329" s="33"/>
      <c r="H329" s="33"/>
      <c r="I329" s="33"/>
      <c r="J329" s="33"/>
      <c r="K329" s="33"/>
      <c r="L329" s="33"/>
      <c r="M329" s="43"/>
      <c r="N329" s="43"/>
      <c r="O329" s="33"/>
      <c r="P329" s="33"/>
      <c r="Q329" s="33"/>
      <c r="R329" s="33"/>
      <c r="S329" s="33"/>
      <c r="T329" s="33"/>
      <c r="U329" s="33"/>
      <c r="V329" s="33"/>
      <c r="W329" s="33"/>
      <c r="X329" s="33"/>
      <c r="Y329" s="33"/>
      <c r="Z329" s="33"/>
      <c r="AA329" s="33"/>
      <c r="AB329" s="33"/>
    </row>
    <row r="330">
      <c r="A330" s="33"/>
      <c r="B330" s="33"/>
      <c r="C330" s="33"/>
      <c r="D330" s="43"/>
      <c r="E330" s="33"/>
      <c r="F330" s="33"/>
      <c r="G330" s="33"/>
      <c r="H330" s="33"/>
      <c r="I330" s="33"/>
      <c r="J330" s="33"/>
      <c r="K330" s="33"/>
      <c r="L330" s="33"/>
      <c r="M330" s="43"/>
      <c r="N330" s="43"/>
      <c r="O330" s="33"/>
      <c r="P330" s="33"/>
      <c r="Q330" s="33"/>
      <c r="R330" s="33"/>
      <c r="S330" s="33"/>
      <c r="T330" s="33"/>
      <c r="U330" s="33"/>
      <c r="V330" s="33"/>
      <c r="W330" s="33"/>
      <c r="X330" s="33"/>
      <c r="Y330" s="33"/>
      <c r="Z330" s="33"/>
      <c r="AA330" s="33"/>
      <c r="AB330" s="33"/>
    </row>
    <row r="331">
      <c r="A331" s="33"/>
      <c r="B331" s="33"/>
      <c r="C331" s="33"/>
      <c r="D331" s="43"/>
      <c r="E331" s="33"/>
      <c r="F331" s="33"/>
      <c r="G331" s="33"/>
      <c r="H331" s="33"/>
      <c r="I331" s="33"/>
      <c r="J331" s="33"/>
      <c r="K331" s="33"/>
      <c r="L331" s="33"/>
      <c r="M331" s="43"/>
      <c r="N331" s="43"/>
      <c r="O331" s="33"/>
      <c r="P331" s="33"/>
      <c r="Q331" s="33"/>
      <c r="R331" s="33"/>
      <c r="S331" s="33"/>
      <c r="T331" s="33"/>
      <c r="U331" s="33"/>
      <c r="V331" s="33"/>
      <c r="W331" s="33"/>
      <c r="X331" s="33"/>
      <c r="Y331" s="33"/>
      <c r="Z331" s="33"/>
      <c r="AA331" s="33"/>
      <c r="AB331" s="33"/>
    </row>
    <row r="332">
      <c r="A332" s="33"/>
      <c r="B332" s="33"/>
      <c r="C332" s="33"/>
      <c r="D332" s="43"/>
      <c r="E332" s="33"/>
      <c r="F332" s="33"/>
      <c r="G332" s="33"/>
      <c r="H332" s="33"/>
      <c r="I332" s="33"/>
      <c r="J332" s="33"/>
      <c r="K332" s="33"/>
      <c r="L332" s="33"/>
      <c r="M332" s="43"/>
      <c r="N332" s="43"/>
      <c r="O332" s="33"/>
      <c r="P332" s="33"/>
      <c r="Q332" s="33"/>
      <c r="R332" s="33"/>
      <c r="S332" s="33"/>
      <c r="T332" s="33"/>
      <c r="U332" s="33"/>
      <c r="V332" s="33"/>
      <c r="W332" s="33"/>
      <c r="X332" s="33"/>
      <c r="Y332" s="33"/>
      <c r="Z332" s="33"/>
      <c r="AA332" s="33"/>
      <c r="AB332" s="33"/>
    </row>
    <row r="333">
      <c r="A333" s="33"/>
      <c r="B333" s="33"/>
      <c r="C333" s="33"/>
      <c r="D333" s="43"/>
      <c r="E333" s="33"/>
      <c r="F333" s="33"/>
      <c r="G333" s="33"/>
      <c r="H333" s="33"/>
      <c r="I333" s="33"/>
      <c r="J333" s="33"/>
      <c r="K333" s="33"/>
      <c r="L333" s="33"/>
      <c r="M333" s="43"/>
      <c r="N333" s="43"/>
      <c r="O333" s="33"/>
      <c r="P333" s="33"/>
      <c r="Q333" s="33"/>
      <c r="R333" s="33"/>
      <c r="S333" s="33"/>
      <c r="T333" s="33"/>
      <c r="U333" s="33"/>
      <c r="V333" s="33"/>
      <c r="W333" s="33"/>
      <c r="X333" s="33"/>
      <c r="Y333" s="33"/>
      <c r="Z333" s="33"/>
      <c r="AA333" s="33"/>
      <c r="AB333" s="33"/>
    </row>
    <row r="334">
      <c r="A334" s="33"/>
      <c r="B334" s="33"/>
      <c r="C334" s="33"/>
      <c r="D334" s="43"/>
      <c r="E334" s="33"/>
      <c r="F334" s="33"/>
      <c r="G334" s="33"/>
      <c r="H334" s="33"/>
      <c r="I334" s="33"/>
      <c r="J334" s="33"/>
      <c r="K334" s="33"/>
      <c r="L334" s="33"/>
      <c r="M334" s="43"/>
      <c r="N334" s="43"/>
      <c r="O334" s="33"/>
      <c r="P334" s="33"/>
      <c r="Q334" s="33"/>
      <c r="R334" s="33"/>
      <c r="S334" s="33"/>
      <c r="T334" s="33"/>
      <c r="U334" s="33"/>
      <c r="V334" s="33"/>
      <c r="W334" s="33"/>
      <c r="X334" s="33"/>
      <c r="Y334" s="33"/>
      <c r="Z334" s="33"/>
      <c r="AA334" s="33"/>
      <c r="AB334" s="33"/>
    </row>
    <row r="335">
      <c r="A335" s="33"/>
      <c r="B335" s="33"/>
      <c r="C335" s="33"/>
      <c r="D335" s="43"/>
      <c r="E335" s="33"/>
      <c r="F335" s="33"/>
      <c r="G335" s="33"/>
      <c r="H335" s="33"/>
      <c r="I335" s="33"/>
      <c r="J335" s="33"/>
      <c r="K335" s="33"/>
      <c r="L335" s="33"/>
      <c r="M335" s="43"/>
      <c r="N335" s="43"/>
      <c r="O335" s="33"/>
      <c r="P335" s="33"/>
      <c r="Q335" s="33"/>
      <c r="R335" s="33"/>
      <c r="S335" s="33"/>
      <c r="T335" s="33"/>
      <c r="U335" s="33"/>
      <c r="V335" s="33"/>
      <c r="W335" s="33"/>
      <c r="X335" s="33"/>
      <c r="Y335" s="33"/>
      <c r="Z335" s="33"/>
      <c r="AA335" s="33"/>
      <c r="AB335" s="33"/>
    </row>
    <row r="336">
      <c r="A336" s="33"/>
      <c r="B336" s="33"/>
      <c r="C336" s="33"/>
      <c r="D336" s="43"/>
      <c r="E336" s="33"/>
      <c r="F336" s="33"/>
      <c r="G336" s="33"/>
      <c r="H336" s="33"/>
      <c r="I336" s="33"/>
      <c r="J336" s="33"/>
      <c r="K336" s="33"/>
      <c r="L336" s="33"/>
      <c r="M336" s="43"/>
      <c r="N336" s="43"/>
      <c r="O336" s="33"/>
      <c r="P336" s="33"/>
      <c r="Q336" s="33"/>
      <c r="R336" s="33"/>
      <c r="S336" s="33"/>
      <c r="T336" s="33"/>
      <c r="U336" s="33"/>
      <c r="V336" s="33"/>
      <c r="W336" s="33"/>
      <c r="X336" s="33"/>
      <c r="Y336" s="33"/>
      <c r="Z336" s="33"/>
      <c r="AA336" s="33"/>
      <c r="AB336" s="33"/>
    </row>
    <row r="337">
      <c r="A337" s="33"/>
      <c r="B337" s="33"/>
      <c r="C337" s="33"/>
      <c r="D337" s="43"/>
      <c r="E337" s="33"/>
      <c r="F337" s="33"/>
      <c r="G337" s="33"/>
      <c r="H337" s="33"/>
      <c r="I337" s="33"/>
      <c r="J337" s="33"/>
      <c r="K337" s="33"/>
      <c r="L337" s="33"/>
      <c r="M337" s="43"/>
      <c r="N337" s="43"/>
      <c r="O337" s="33"/>
      <c r="P337" s="33"/>
      <c r="Q337" s="33"/>
      <c r="R337" s="33"/>
      <c r="S337" s="33"/>
      <c r="T337" s="33"/>
      <c r="U337" s="33"/>
      <c r="V337" s="33"/>
      <c r="W337" s="33"/>
      <c r="X337" s="33"/>
      <c r="Y337" s="33"/>
      <c r="Z337" s="33"/>
      <c r="AA337" s="33"/>
      <c r="AB337" s="33"/>
    </row>
    <row r="338">
      <c r="A338" s="33"/>
      <c r="B338" s="33"/>
      <c r="C338" s="33"/>
      <c r="D338" s="43"/>
      <c r="E338" s="33"/>
      <c r="F338" s="33"/>
      <c r="G338" s="33"/>
      <c r="H338" s="33"/>
      <c r="I338" s="33"/>
      <c r="J338" s="33"/>
      <c r="K338" s="33"/>
      <c r="L338" s="33"/>
      <c r="M338" s="43"/>
      <c r="N338" s="43"/>
      <c r="O338" s="33"/>
      <c r="P338" s="33"/>
      <c r="Q338" s="33"/>
      <c r="R338" s="33"/>
      <c r="S338" s="33"/>
      <c r="T338" s="33"/>
      <c r="U338" s="33"/>
      <c r="V338" s="33"/>
      <c r="W338" s="33"/>
      <c r="X338" s="33"/>
      <c r="Y338" s="33"/>
      <c r="Z338" s="33"/>
      <c r="AA338" s="33"/>
      <c r="AB338" s="33"/>
    </row>
    <row r="339">
      <c r="A339" s="33"/>
      <c r="B339" s="33"/>
      <c r="C339" s="33"/>
      <c r="D339" s="43"/>
      <c r="E339" s="33"/>
      <c r="F339" s="33"/>
      <c r="G339" s="33"/>
      <c r="H339" s="33"/>
      <c r="I339" s="33"/>
      <c r="J339" s="33"/>
      <c r="K339" s="33"/>
      <c r="L339" s="33"/>
      <c r="M339" s="43"/>
      <c r="N339" s="43"/>
      <c r="O339" s="33"/>
      <c r="P339" s="33"/>
      <c r="Q339" s="33"/>
      <c r="R339" s="33"/>
      <c r="S339" s="33"/>
      <c r="T339" s="33"/>
      <c r="U339" s="33"/>
      <c r="V339" s="33"/>
      <c r="W339" s="33"/>
      <c r="X339" s="33"/>
      <c r="Y339" s="33"/>
      <c r="Z339" s="33"/>
      <c r="AA339" s="33"/>
      <c r="AB339" s="33"/>
    </row>
    <row r="340">
      <c r="A340" s="33"/>
      <c r="B340" s="33"/>
      <c r="C340" s="33"/>
      <c r="D340" s="43"/>
      <c r="E340" s="33"/>
      <c r="F340" s="33"/>
      <c r="G340" s="33"/>
      <c r="H340" s="33"/>
      <c r="I340" s="33"/>
      <c r="J340" s="33"/>
      <c r="K340" s="33"/>
      <c r="L340" s="33"/>
      <c r="M340" s="43"/>
      <c r="N340" s="43"/>
      <c r="O340" s="33"/>
      <c r="P340" s="33"/>
      <c r="Q340" s="33"/>
      <c r="R340" s="33"/>
      <c r="S340" s="33"/>
      <c r="T340" s="33"/>
      <c r="U340" s="33"/>
      <c r="V340" s="33"/>
      <c r="W340" s="33"/>
      <c r="X340" s="33"/>
      <c r="Y340" s="33"/>
      <c r="Z340" s="33"/>
      <c r="AA340" s="33"/>
      <c r="AB340" s="33"/>
    </row>
    <row r="341">
      <c r="A341" s="33"/>
      <c r="B341" s="33"/>
      <c r="C341" s="33"/>
      <c r="D341" s="43"/>
      <c r="E341" s="33"/>
      <c r="F341" s="33"/>
      <c r="G341" s="33"/>
      <c r="H341" s="33"/>
      <c r="I341" s="33"/>
      <c r="J341" s="33"/>
      <c r="K341" s="33"/>
      <c r="L341" s="33"/>
      <c r="M341" s="43"/>
      <c r="N341" s="43"/>
      <c r="O341" s="33"/>
      <c r="P341" s="33"/>
      <c r="Q341" s="33"/>
      <c r="R341" s="33"/>
      <c r="S341" s="33"/>
      <c r="T341" s="33"/>
      <c r="U341" s="33"/>
      <c r="V341" s="33"/>
      <c r="W341" s="33"/>
      <c r="X341" s="33"/>
      <c r="Y341" s="33"/>
      <c r="Z341" s="33"/>
      <c r="AA341" s="33"/>
      <c r="AB341" s="33"/>
    </row>
    <row r="342">
      <c r="A342" s="33"/>
      <c r="B342" s="33"/>
      <c r="C342" s="33"/>
      <c r="D342" s="43"/>
      <c r="E342" s="33"/>
      <c r="F342" s="33"/>
      <c r="G342" s="33"/>
      <c r="H342" s="33"/>
      <c r="I342" s="33"/>
      <c r="J342" s="33"/>
      <c r="K342" s="33"/>
      <c r="L342" s="33"/>
      <c r="M342" s="43"/>
      <c r="N342" s="43"/>
      <c r="O342" s="33"/>
      <c r="P342" s="33"/>
      <c r="Q342" s="33"/>
      <c r="R342" s="33"/>
      <c r="S342" s="33"/>
      <c r="T342" s="33"/>
      <c r="U342" s="33"/>
      <c r="V342" s="33"/>
      <c r="W342" s="33"/>
      <c r="X342" s="33"/>
      <c r="Y342" s="33"/>
      <c r="Z342" s="33"/>
      <c r="AA342" s="33"/>
      <c r="AB342" s="33"/>
    </row>
    <row r="343">
      <c r="A343" s="33"/>
      <c r="B343" s="33"/>
      <c r="C343" s="33"/>
      <c r="D343" s="43"/>
      <c r="E343" s="33"/>
      <c r="F343" s="33"/>
      <c r="G343" s="33"/>
      <c r="H343" s="33"/>
      <c r="I343" s="33"/>
      <c r="J343" s="33"/>
      <c r="K343" s="33"/>
      <c r="L343" s="33"/>
      <c r="M343" s="43"/>
      <c r="N343" s="43"/>
      <c r="O343" s="33"/>
      <c r="P343" s="33"/>
      <c r="Q343" s="33"/>
      <c r="R343" s="33"/>
      <c r="S343" s="33"/>
      <c r="T343" s="33"/>
      <c r="U343" s="33"/>
      <c r="V343" s="33"/>
      <c r="W343" s="33"/>
      <c r="X343" s="33"/>
      <c r="Y343" s="33"/>
      <c r="Z343" s="33"/>
      <c r="AA343" s="33"/>
      <c r="AB343" s="33"/>
    </row>
    <row r="344">
      <c r="A344" s="33"/>
      <c r="B344" s="33"/>
      <c r="C344" s="33"/>
      <c r="D344" s="43"/>
      <c r="E344" s="33"/>
      <c r="F344" s="33"/>
      <c r="G344" s="33"/>
      <c r="H344" s="33"/>
      <c r="I344" s="33"/>
      <c r="J344" s="33"/>
      <c r="K344" s="33"/>
      <c r="L344" s="33"/>
      <c r="M344" s="43"/>
      <c r="N344" s="43"/>
      <c r="O344" s="33"/>
      <c r="P344" s="33"/>
      <c r="Q344" s="33"/>
      <c r="R344" s="33"/>
      <c r="S344" s="33"/>
      <c r="T344" s="33"/>
      <c r="U344" s="33"/>
      <c r="V344" s="33"/>
      <c r="W344" s="33"/>
      <c r="X344" s="33"/>
      <c r="Y344" s="33"/>
      <c r="Z344" s="33"/>
      <c r="AA344" s="33"/>
      <c r="AB344" s="33"/>
    </row>
    <row r="345">
      <c r="A345" s="33"/>
      <c r="B345" s="33"/>
      <c r="C345" s="33"/>
      <c r="D345" s="43"/>
      <c r="E345" s="33"/>
      <c r="F345" s="33"/>
      <c r="G345" s="33"/>
      <c r="H345" s="33"/>
      <c r="I345" s="33"/>
      <c r="J345" s="33"/>
      <c r="K345" s="33"/>
      <c r="L345" s="33"/>
      <c r="M345" s="43"/>
      <c r="N345" s="43"/>
      <c r="O345" s="33"/>
      <c r="P345" s="33"/>
      <c r="Q345" s="33"/>
      <c r="R345" s="33"/>
      <c r="S345" s="33"/>
      <c r="T345" s="33"/>
      <c r="U345" s="33"/>
      <c r="V345" s="33"/>
      <c r="W345" s="33"/>
      <c r="X345" s="33"/>
      <c r="Y345" s="33"/>
      <c r="Z345" s="33"/>
      <c r="AA345" s="33"/>
      <c r="AB345" s="33"/>
    </row>
    <row r="346">
      <c r="A346" s="33"/>
      <c r="B346" s="33"/>
      <c r="C346" s="33"/>
      <c r="D346" s="43"/>
      <c r="E346" s="33"/>
      <c r="F346" s="33"/>
      <c r="G346" s="33"/>
      <c r="H346" s="33"/>
      <c r="I346" s="33"/>
      <c r="J346" s="33"/>
      <c r="K346" s="33"/>
      <c r="L346" s="33"/>
      <c r="M346" s="43"/>
      <c r="N346" s="43"/>
      <c r="O346" s="33"/>
      <c r="P346" s="33"/>
      <c r="Q346" s="33"/>
      <c r="R346" s="33"/>
      <c r="S346" s="33"/>
      <c r="T346" s="33"/>
      <c r="U346" s="33"/>
      <c r="V346" s="33"/>
      <c r="W346" s="33"/>
      <c r="X346" s="33"/>
      <c r="Y346" s="33"/>
      <c r="Z346" s="33"/>
      <c r="AA346" s="33"/>
      <c r="AB346" s="33"/>
    </row>
    <row r="347">
      <c r="A347" s="33"/>
      <c r="B347" s="33"/>
      <c r="C347" s="33"/>
      <c r="D347" s="43"/>
      <c r="E347" s="33"/>
      <c r="F347" s="33"/>
      <c r="G347" s="33"/>
      <c r="H347" s="33"/>
      <c r="I347" s="33"/>
      <c r="J347" s="33"/>
      <c r="K347" s="33"/>
      <c r="L347" s="33"/>
      <c r="M347" s="43"/>
      <c r="N347" s="43"/>
      <c r="O347" s="33"/>
      <c r="P347" s="33"/>
      <c r="Q347" s="33"/>
      <c r="R347" s="33"/>
      <c r="S347" s="33"/>
      <c r="T347" s="33"/>
      <c r="U347" s="33"/>
      <c r="V347" s="33"/>
      <c r="W347" s="33"/>
      <c r="X347" s="33"/>
      <c r="Y347" s="33"/>
      <c r="Z347" s="33"/>
      <c r="AA347" s="33"/>
      <c r="AB347" s="33"/>
    </row>
    <row r="348">
      <c r="A348" s="33"/>
      <c r="B348" s="33"/>
      <c r="C348" s="33"/>
      <c r="D348" s="43"/>
      <c r="E348" s="33"/>
      <c r="F348" s="33"/>
      <c r="G348" s="33"/>
      <c r="H348" s="33"/>
      <c r="I348" s="33"/>
      <c r="J348" s="33"/>
      <c r="K348" s="33"/>
      <c r="L348" s="33"/>
      <c r="M348" s="43"/>
      <c r="N348" s="43"/>
      <c r="O348" s="33"/>
      <c r="P348" s="33"/>
      <c r="Q348" s="33"/>
      <c r="R348" s="33"/>
      <c r="S348" s="33"/>
      <c r="T348" s="33"/>
      <c r="U348" s="33"/>
      <c r="V348" s="33"/>
      <c r="W348" s="33"/>
      <c r="X348" s="33"/>
      <c r="Y348" s="33"/>
      <c r="Z348" s="33"/>
      <c r="AA348" s="33"/>
      <c r="AB348" s="33"/>
    </row>
    <row r="349">
      <c r="A349" s="33"/>
      <c r="B349" s="33"/>
      <c r="C349" s="33"/>
      <c r="D349" s="43"/>
      <c r="E349" s="33"/>
      <c r="F349" s="33"/>
      <c r="G349" s="33"/>
      <c r="H349" s="33"/>
      <c r="I349" s="33"/>
      <c r="J349" s="33"/>
      <c r="K349" s="33"/>
      <c r="L349" s="33"/>
      <c r="M349" s="43"/>
      <c r="N349" s="43"/>
      <c r="O349" s="33"/>
      <c r="P349" s="33"/>
      <c r="Q349" s="33"/>
      <c r="R349" s="33"/>
      <c r="S349" s="33"/>
      <c r="T349" s="33"/>
      <c r="U349" s="33"/>
      <c r="V349" s="33"/>
      <c r="W349" s="33"/>
      <c r="X349" s="33"/>
      <c r="Y349" s="33"/>
      <c r="Z349" s="33"/>
      <c r="AA349" s="33"/>
      <c r="AB349" s="33"/>
    </row>
    <row r="350">
      <c r="A350" s="33"/>
      <c r="B350" s="33"/>
      <c r="C350" s="33"/>
      <c r="D350" s="43"/>
      <c r="E350" s="33"/>
      <c r="F350" s="33"/>
      <c r="G350" s="33"/>
      <c r="H350" s="33"/>
      <c r="I350" s="33"/>
      <c r="J350" s="33"/>
      <c r="K350" s="33"/>
      <c r="L350" s="33"/>
      <c r="M350" s="43"/>
      <c r="N350" s="43"/>
      <c r="O350" s="33"/>
      <c r="P350" s="33"/>
      <c r="Q350" s="33"/>
      <c r="R350" s="33"/>
      <c r="S350" s="33"/>
      <c r="T350" s="33"/>
      <c r="U350" s="33"/>
      <c r="V350" s="33"/>
      <c r="W350" s="33"/>
      <c r="X350" s="33"/>
      <c r="Y350" s="33"/>
      <c r="Z350" s="33"/>
      <c r="AA350" s="33"/>
      <c r="AB350" s="33"/>
    </row>
    <row r="351">
      <c r="A351" s="33"/>
      <c r="B351" s="33"/>
      <c r="C351" s="33"/>
      <c r="D351" s="43"/>
      <c r="E351" s="33"/>
      <c r="F351" s="33"/>
      <c r="G351" s="33"/>
      <c r="H351" s="33"/>
      <c r="I351" s="33"/>
      <c r="J351" s="33"/>
      <c r="K351" s="33"/>
      <c r="L351" s="33"/>
      <c r="M351" s="43"/>
      <c r="N351" s="43"/>
      <c r="O351" s="33"/>
      <c r="P351" s="33"/>
      <c r="Q351" s="33"/>
      <c r="R351" s="33"/>
      <c r="S351" s="33"/>
      <c r="T351" s="33"/>
      <c r="U351" s="33"/>
      <c r="V351" s="33"/>
      <c r="W351" s="33"/>
      <c r="X351" s="33"/>
      <c r="Y351" s="33"/>
      <c r="Z351" s="33"/>
      <c r="AA351" s="33"/>
      <c r="AB351" s="33"/>
    </row>
    <row r="352">
      <c r="A352" s="33"/>
      <c r="B352" s="33"/>
      <c r="C352" s="33"/>
      <c r="D352" s="43"/>
      <c r="E352" s="33"/>
      <c r="F352" s="33"/>
      <c r="G352" s="33"/>
      <c r="H352" s="33"/>
      <c r="I352" s="33"/>
      <c r="J352" s="33"/>
      <c r="K352" s="33"/>
      <c r="L352" s="33"/>
      <c r="M352" s="43"/>
      <c r="N352" s="43"/>
      <c r="O352" s="33"/>
      <c r="P352" s="33"/>
      <c r="Q352" s="33"/>
      <c r="R352" s="33"/>
      <c r="S352" s="33"/>
      <c r="T352" s="33"/>
      <c r="U352" s="33"/>
      <c r="V352" s="33"/>
      <c r="W352" s="33"/>
      <c r="X352" s="33"/>
      <c r="Y352" s="33"/>
      <c r="Z352" s="33"/>
      <c r="AA352" s="33"/>
      <c r="AB352" s="33"/>
    </row>
    <row r="353">
      <c r="A353" s="33"/>
      <c r="B353" s="33"/>
      <c r="C353" s="33"/>
      <c r="D353" s="43"/>
      <c r="E353" s="33"/>
      <c r="F353" s="33"/>
      <c r="G353" s="33"/>
      <c r="H353" s="33"/>
      <c r="I353" s="33"/>
      <c r="J353" s="33"/>
      <c r="K353" s="33"/>
      <c r="L353" s="33"/>
      <c r="M353" s="43"/>
      <c r="N353" s="43"/>
      <c r="O353" s="33"/>
      <c r="P353" s="33"/>
      <c r="Q353" s="33"/>
      <c r="R353" s="33"/>
      <c r="S353" s="33"/>
      <c r="T353" s="33"/>
      <c r="U353" s="33"/>
      <c r="V353" s="33"/>
      <c r="W353" s="33"/>
      <c r="X353" s="33"/>
      <c r="Y353" s="33"/>
      <c r="Z353" s="33"/>
      <c r="AA353" s="33"/>
      <c r="AB353" s="33"/>
    </row>
    <row r="354">
      <c r="A354" s="33"/>
      <c r="B354" s="33"/>
      <c r="C354" s="33"/>
      <c r="D354" s="43"/>
      <c r="E354" s="33"/>
      <c r="F354" s="33"/>
      <c r="G354" s="33"/>
      <c r="H354" s="33"/>
      <c r="I354" s="33"/>
      <c r="J354" s="33"/>
      <c r="K354" s="33"/>
      <c r="L354" s="33"/>
      <c r="M354" s="43"/>
      <c r="N354" s="43"/>
      <c r="O354" s="33"/>
      <c r="P354" s="33"/>
      <c r="Q354" s="33"/>
      <c r="R354" s="33"/>
      <c r="S354" s="33"/>
      <c r="T354" s="33"/>
      <c r="U354" s="33"/>
      <c r="V354" s="33"/>
      <c r="W354" s="33"/>
      <c r="X354" s="33"/>
      <c r="Y354" s="33"/>
      <c r="Z354" s="33"/>
      <c r="AA354" s="33"/>
      <c r="AB354" s="33"/>
    </row>
    <row r="355">
      <c r="A355" s="33"/>
      <c r="B355" s="33"/>
      <c r="C355" s="33"/>
      <c r="D355" s="43"/>
      <c r="E355" s="33"/>
      <c r="F355" s="33"/>
      <c r="G355" s="33"/>
      <c r="H355" s="33"/>
      <c r="I355" s="33"/>
      <c r="J355" s="33"/>
      <c r="K355" s="33"/>
      <c r="L355" s="33"/>
      <c r="M355" s="43"/>
      <c r="N355" s="43"/>
      <c r="O355" s="33"/>
      <c r="P355" s="33"/>
      <c r="Q355" s="33"/>
      <c r="R355" s="33"/>
      <c r="S355" s="33"/>
      <c r="T355" s="33"/>
      <c r="U355" s="33"/>
      <c r="V355" s="33"/>
      <c r="W355" s="33"/>
      <c r="X355" s="33"/>
      <c r="Y355" s="33"/>
      <c r="Z355" s="33"/>
      <c r="AA355" s="33"/>
      <c r="AB355" s="33"/>
    </row>
    <row r="356">
      <c r="A356" s="33"/>
      <c r="B356" s="33"/>
      <c r="C356" s="33"/>
      <c r="D356" s="43"/>
      <c r="E356" s="33"/>
      <c r="F356" s="33"/>
      <c r="G356" s="33"/>
      <c r="H356" s="33"/>
      <c r="I356" s="33"/>
      <c r="J356" s="33"/>
      <c r="K356" s="33"/>
      <c r="L356" s="33"/>
      <c r="M356" s="43"/>
      <c r="N356" s="43"/>
      <c r="O356" s="33"/>
      <c r="P356" s="33"/>
      <c r="Q356" s="33"/>
      <c r="R356" s="33"/>
      <c r="S356" s="33"/>
      <c r="T356" s="33"/>
      <c r="U356" s="33"/>
      <c r="V356" s="33"/>
      <c r="W356" s="33"/>
      <c r="X356" s="33"/>
      <c r="Y356" s="33"/>
      <c r="Z356" s="33"/>
      <c r="AA356" s="33"/>
      <c r="AB356" s="33"/>
    </row>
    <row r="357">
      <c r="A357" s="33"/>
      <c r="B357" s="33"/>
      <c r="C357" s="33"/>
      <c r="D357" s="43"/>
      <c r="E357" s="33"/>
      <c r="F357" s="33"/>
      <c r="G357" s="33"/>
      <c r="H357" s="33"/>
      <c r="I357" s="33"/>
      <c r="J357" s="33"/>
      <c r="K357" s="33"/>
      <c r="L357" s="33"/>
      <c r="M357" s="43"/>
      <c r="N357" s="43"/>
      <c r="O357" s="33"/>
      <c r="P357" s="33"/>
      <c r="Q357" s="33"/>
      <c r="R357" s="33"/>
      <c r="S357" s="33"/>
      <c r="T357" s="33"/>
      <c r="U357" s="33"/>
      <c r="V357" s="33"/>
      <c r="W357" s="33"/>
      <c r="X357" s="33"/>
      <c r="Y357" s="33"/>
      <c r="Z357" s="33"/>
      <c r="AA357" s="33"/>
      <c r="AB357" s="33"/>
    </row>
    <row r="358">
      <c r="A358" s="33"/>
      <c r="B358" s="33"/>
      <c r="C358" s="33"/>
      <c r="D358" s="43"/>
      <c r="E358" s="33"/>
      <c r="F358" s="33"/>
      <c r="G358" s="33"/>
      <c r="H358" s="33"/>
      <c r="I358" s="33"/>
      <c r="J358" s="33"/>
      <c r="K358" s="33"/>
      <c r="L358" s="33"/>
      <c r="M358" s="43"/>
      <c r="N358" s="43"/>
      <c r="O358" s="33"/>
      <c r="P358" s="33"/>
      <c r="Q358" s="33"/>
      <c r="R358" s="33"/>
      <c r="S358" s="33"/>
      <c r="T358" s="33"/>
      <c r="U358" s="33"/>
      <c r="V358" s="33"/>
      <c r="W358" s="33"/>
      <c r="X358" s="33"/>
      <c r="Y358" s="33"/>
      <c r="Z358" s="33"/>
      <c r="AA358" s="33"/>
      <c r="AB358" s="33"/>
    </row>
    <row r="359">
      <c r="A359" s="33"/>
      <c r="B359" s="33"/>
      <c r="C359" s="33"/>
      <c r="D359" s="43"/>
      <c r="E359" s="33"/>
      <c r="F359" s="33"/>
      <c r="G359" s="33"/>
      <c r="H359" s="33"/>
      <c r="I359" s="33"/>
      <c r="J359" s="33"/>
      <c r="K359" s="33"/>
      <c r="L359" s="33"/>
      <c r="M359" s="43"/>
      <c r="N359" s="43"/>
      <c r="O359" s="33"/>
      <c r="P359" s="33"/>
      <c r="Q359" s="33"/>
      <c r="R359" s="33"/>
      <c r="S359" s="33"/>
      <c r="T359" s="33"/>
      <c r="U359" s="33"/>
      <c r="V359" s="33"/>
      <c r="W359" s="33"/>
      <c r="X359" s="33"/>
      <c r="Y359" s="33"/>
      <c r="Z359" s="33"/>
      <c r="AA359" s="33"/>
      <c r="AB359" s="33"/>
    </row>
    <row r="360">
      <c r="A360" s="33"/>
      <c r="B360" s="33"/>
      <c r="C360" s="33"/>
      <c r="D360" s="43"/>
      <c r="E360" s="33"/>
      <c r="F360" s="33"/>
      <c r="G360" s="33"/>
      <c r="H360" s="33"/>
      <c r="I360" s="33"/>
      <c r="J360" s="33"/>
      <c r="K360" s="33"/>
      <c r="L360" s="33"/>
      <c r="M360" s="43"/>
      <c r="N360" s="43"/>
      <c r="O360" s="33"/>
      <c r="P360" s="33"/>
      <c r="Q360" s="33"/>
      <c r="R360" s="33"/>
      <c r="S360" s="33"/>
      <c r="T360" s="33"/>
      <c r="U360" s="33"/>
      <c r="V360" s="33"/>
      <c r="W360" s="33"/>
      <c r="X360" s="33"/>
      <c r="Y360" s="33"/>
      <c r="Z360" s="33"/>
      <c r="AA360" s="33"/>
      <c r="AB360" s="33"/>
    </row>
    <row r="361">
      <c r="A361" s="33"/>
      <c r="B361" s="33"/>
      <c r="C361" s="33"/>
      <c r="D361" s="43"/>
      <c r="E361" s="33"/>
      <c r="F361" s="33"/>
      <c r="G361" s="33"/>
      <c r="H361" s="33"/>
      <c r="I361" s="33"/>
      <c r="J361" s="33"/>
      <c r="K361" s="33"/>
      <c r="L361" s="33"/>
      <c r="M361" s="43"/>
      <c r="N361" s="43"/>
      <c r="O361" s="33"/>
      <c r="P361" s="33"/>
      <c r="Q361" s="33"/>
      <c r="R361" s="33"/>
      <c r="S361" s="33"/>
      <c r="T361" s="33"/>
      <c r="U361" s="33"/>
      <c r="V361" s="33"/>
      <c r="W361" s="33"/>
      <c r="X361" s="33"/>
      <c r="Y361" s="33"/>
      <c r="Z361" s="33"/>
      <c r="AA361" s="33"/>
      <c r="AB361" s="33"/>
    </row>
    <row r="362">
      <c r="A362" s="33"/>
      <c r="B362" s="33"/>
      <c r="C362" s="33"/>
      <c r="D362" s="43"/>
      <c r="E362" s="33"/>
      <c r="F362" s="33"/>
      <c r="G362" s="33"/>
      <c r="H362" s="33"/>
      <c r="I362" s="33"/>
      <c r="J362" s="33"/>
      <c r="K362" s="33"/>
      <c r="L362" s="33"/>
      <c r="M362" s="43"/>
      <c r="N362" s="43"/>
      <c r="O362" s="33"/>
      <c r="P362" s="33"/>
      <c r="Q362" s="33"/>
      <c r="R362" s="33"/>
      <c r="S362" s="33"/>
      <c r="T362" s="33"/>
      <c r="U362" s="33"/>
      <c r="V362" s="33"/>
      <c r="W362" s="33"/>
      <c r="X362" s="33"/>
      <c r="Y362" s="33"/>
      <c r="Z362" s="33"/>
      <c r="AA362" s="33"/>
      <c r="AB362" s="33"/>
    </row>
    <row r="363">
      <c r="A363" s="33"/>
      <c r="B363" s="33"/>
      <c r="C363" s="33"/>
      <c r="D363" s="43"/>
      <c r="E363" s="33"/>
      <c r="F363" s="33"/>
      <c r="G363" s="33"/>
      <c r="H363" s="33"/>
      <c r="I363" s="33"/>
      <c r="J363" s="33"/>
      <c r="K363" s="33"/>
      <c r="L363" s="33"/>
      <c r="M363" s="43"/>
      <c r="N363" s="43"/>
      <c r="O363" s="33"/>
      <c r="P363" s="33"/>
      <c r="Q363" s="33"/>
      <c r="R363" s="33"/>
      <c r="S363" s="33"/>
      <c r="T363" s="33"/>
      <c r="U363" s="33"/>
      <c r="V363" s="33"/>
      <c r="W363" s="33"/>
      <c r="X363" s="33"/>
      <c r="Y363" s="33"/>
      <c r="Z363" s="33"/>
      <c r="AA363" s="33"/>
      <c r="AB363" s="33"/>
    </row>
    <row r="364">
      <c r="A364" s="33"/>
      <c r="B364" s="33"/>
      <c r="C364" s="33"/>
      <c r="D364" s="43"/>
      <c r="E364" s="33"/>
      <c r="F364" s="33"/>
      <c r="G364" s="33"/>
      <c r="H364" s="33"/>
      <c r="I364" s="33"/>
      <c r="J364" s="33"/>
      <c r="K364" s="33"/>
      <c r="L364" s="33"/>
      <c r="M364" s="43"/>
      <c r="N364" s="43"/>
      <c r="O364" s="33"/>
      <c r="P364" s="33"/>
      <c r="Q364" s="33"/>
      <c r="R364" s="33"/>
      <c r="S364" s="33"/>
      <c r="T364" s="33"/>
      <c r="U364" s="33"/>
      <c r="V364" s="33"/>
      <c r="W364" s="33"/>
      <c r="X364" s="33"/>
      <c r="Y364" s="33"/>
      <c r="Z364" s="33"/>
      <c r="AA364" s="33"/>
      <c r="AB364" s="33"/>
    </row>
    <row r="365">
      <c r="A365" s="33"/>
      <c r="B365" s="33"/>
      <c r="C365" s="33"/>
      <c r="D365" s="43"/>
      <c r="E365" s="33"/>
      <c r="F365" s="33"/>
      <c r="G365" s="33"/>
      <c r="H365" s="33"/>
      <c r="I365" s="33"/>
      <c r="J365" s="33"/>
      <c r="K365" s="33"/>
      <c r="L365" s="33"/>
      <c r="M365" s="43"/>
      <c r="N365" s="43"/>
      <c r="O365" s="33"/>
      <c r="P365" s="33"/>
      <c r="Q365" s="33"/>
      <c r="R365" s="33"/>
      <c r="S365" s="33"/>
      <c r="T365" s="33"/>
      <c r="U365" s="33"/>
      <c r="V365" s="33"/>
      <c r="W365" s="33"/>
      <c r="X365" s="33"/>
      <c r="Y365" s="33"/>
      <c r="Z365" s="33"/>
      <c r="AA365" s="33"/>
      <c r="AB365" s="33"/>
    </row>
    <row r="366">
      <c r="A366" s="33"/>
      <c r="B366" s="33"/>
      <c r="C366" s="33"/>
      <c r="D366" s="43"/>
      <c r="E366" s="33"/>
      <c r="F366" s="33"/>
      <c r="G366" s="33"/>
      <c r="H366" s="33"/>
      <c r="I366" s="33"/>
      <c r="J366" s="33"/>
      <c r="K366" s="33"/>
      <c r="L366" s="33"/>
      <c r="M366" s="43"/>
      <c r="N366" s="43"/>
      <c r="O366" s="33"/>
      <c r="P366" s="33"/>
      <c r="Q366" s="33"/>
      <c r="R366" s="33"/>
      <c r="S366" s="33"/>
      <c r="T366" s="33"/>
      <c r="U366" s="33"/>
      <c r="V366" s="33"/>
      <c r="W366" s="33"/>
      <c r="X366" s="33"/>
      <c r="Y366" s="33"/>
      <c r="Z366" s="33"/>
      <c r="AA366" s="33"/>
      <c r="AB366" s="33"/>
    </row>
    <row r="367">
      <c r="A367" s="33"/>
      <c r="B367" s="33"/>
      <c r="C367" s="33"/>
      <c r="D367" s="43"/>
      <c r="E367" s="33"/>
      <c r="F367" s="33"/>
      <c r="G367" s="33"/>
      <c r="H367" s="33"/>
      <c r="I367" s="33"/>
      <c r="J367" s="33"/>
      <c r="K367" s="33"/>
      <c r="L367" s="33"/>
      <c r="M367" s="43"/>
      <c r="N367" s="43"/>
      <c r="O367" s="33"/>
      <c r="P367" s="33"/>
      <c r="Q367" s="33"/>
      <c r="R367" s="33"/>
      <c r="S367" s="33"/>
      <c r="T367" s="33"/>
      <c r="U367" s="33"/>
      <c r="V367" s="33"/>
      <c r="W367" s="33"/>
      <c r="X367" s="33"/>
      <c r="Y367" s="33"/>
      <c r="Z367" s="33"/>
      <c r="AA367" s="33"/>
      <c r="AB367" s="33"/>
    </row>
    <row r="368">
      <c r="A368" s="33"/>
      <c r="B368" s="33"/>
      <c r="C368" s="33"/>
      <c r="D368" s="43"/>
      <c r="E368" s="33"/>
      <c r="F368" s="33"/>
      <c r="G368" s="33"/>
      <c r="H368" s="33"/>
      <c r="I368" s="33"/>
      <c r="J368" s="33"/>
      <c r="K368" s="33"/>
      <c r="L368" s="33"/>
      <c r="M368" s="43"/>
      <c r="N368" s="43"/>
      <c r="O368" s="33"/>
      <c r="P368" s="33"/>
      <c r="Q368" s="33"/>
      <c r="R368" s="33"/>
      <c r="S368" s="33"/>
      <c r="T368" s="33"/>
      <c r="U368" s="33"/>
      <c r="V368" s="33"/>
      <c r="W368" s="33"/>
      <c r="X368" s="33"/>
      <c r="Y368" s="33"/>
      <c r="Z368" s="33"/>
      <c r="AA368" s="33"/>
      <c r="AB368" s="33"/>
    </row>
    <row r="369">
      <c r="A369" s="33"/>
      <c r="B369" s="33"/>
      <c r="C369" s="33"/>
      <c r="D369" s="43"/>
      <c r="E369" s="33"/>
      <c r="F369" s="33"/>
      <c r="G369" s="33"/>
      <c r="H369" s="33"/>
      <c r="I369" s="33"/>
      <c r="J369" s="33"/>
      <c r="K369" s="33"/>
      <c r="L369" s="33"/>
      <c r="M369" s="43"/>
      <c r="N369" s="43"/>
      <c r="O369" s="33"/>
      <c r="P369" s="33"/>
      <c r="Q369" s="33"/>
      <c r="R369" s="33"/>
      <c r="S369" s="33"/>
      <c r="T369" s="33"/>
      <c r="U369" s="33"/>
      <c r="V369" s="33"/>
      <c r="W369" s="33"/>
      <c r="X369" s="33"/>
      <c r="Y369" s="33"/>
      <c r="Z369" s="33"/>
      <c r="AA369" s="33"/>
      <c r="AB369" s="33"/>
    </row>
    <row r="370">
      <c r="A370" s="33"/>
      <c r="B370" s="33"/>
      <c r="C370" s="33"/>
      <c r="D370" s="43"/>
      <c r="E370" s="33"/>
      <c r="F370" s="33"/>
      <c r="G370" s="33"/>
      <c r="H370" s="33"/>
      <c r="I370" s="33"/>
      <c r="J370" s="33"/>
      <c r="K370" s="33"/>
      <c r="L370" s="33"/>
      <c r="M370" s="43"/>
      <c r="N370" s="43"/>
      <c r="O370" s="33"/>
      <c r="P370" s="33"/>
      <c r="Q370" s="33"/>
      <c r="R370" s="33"/>
      <c r="S370" s="33"/>
      <c r="T370" s="33"/>
      <c r="U370" s="33"/>
      <c r="V370" s="33"/>
      <c r="W370" s="33"/>
      <c r="X370" s="33"/>
      <c r="Y370" s="33"/>
      <c r="Z370" s="33"/>
      <c r="AA370" s="33"/>
      <c r="AB370" s="33"/>
    </row>
    <row r="371">
      <c r="A371" s="33"/>
      <c r="B371" s="33"/>
      <c r="C371" s="33"/>
      <c r="D371" s="43"/>
      <c r="E371" s="33"/>
      <c r="F371" s="33"/>
      <c r="G371" s="33"/>
      <c r="H371" s="33"/>
      <c r="I371" s="33"/>
      <c r="J371" s="33"/>
      <c r="K371" s="33"/>
      <c r="L371" s="33"/>
      <c r="M371" s="43"/>
      <c r="N371" s="43"/>
      <c r="O371" s="33"/>
      <c r="P371" s="33"/>
      <c r="Q371" s="33"/>
      <c r="R371" s="33"/>
      <c r="S371" s="33"/>
      <c r="T371" s="33"/>
      <c r="U371" s="33"/>
      <c r="V371" s="33"/>
      <c r="W371" s="33"/>
      <c r="X371" s="33"/>
      <c r="Y371" s="33"/>
      <c r="Z371" s="33"/>
      <c r="AA371" s="33"/>
      <c r="AB371" s="33"/>
    </row>
    <row r="372">
      <c r="A372" s="33"/>
      <c r="B372" s="33"/>
      <c r="C372" s="33"/>
      <c r="D372" s="43"/>
      <c r="E372" s="33"/>
      <c r="F372" s="33"/>
      <c r="G372" s="33"/>
      <c r="H372" s="33"/>
      <c r="I372" s="33"/>
      <c r="J372" s="33"/>
      <c r="K372" s="33"/>
      <c r="L372" s="33"/>
      <c r="M372" s="43"/>
      <c r="N372" s="43"/>
      <c r="O372" s="33"/>
      <c r="P372" s="33"/>
      <c r="Q372" s="33"/>
      <c r="R372" s="33"/>
      <c r="S372" s="33"/>
      <c r="T372" s="33"/>
      <c r="U372" s="33"/>
      <c r="V372" s="33"/>
      <c r="W372" s="33"/>
      <c r="X372" s="33"/>
      <c r="Y372" s="33"/>
      <c r="Z372" s="33"/>
      <c r="AA372" s="33"/>
      <c r="AB372" s="33"/>
    </row>
    <row r="373">
      <c r="A373" s="33"/>
      <c r="B373" s="33"/>
      <c r="C373" s="33"/>
      <c r="D373" s="43"/>
      <c r="E373" s="33"/>
      <c r="F373" s="33"/>
      <c r="G373" s="33"/>
      <c r="H373" s="33"/>
      <c r="I373" s="33"/>
      <c r="J373" s="33"/>
      <c r="K373" s="33"/>
      <c r="L373" s="33"/>
      <c r="M373" s="43"/>
      <c r="N373" s="43"/>
      <c r="O373" s="33"/>
      <c r="P373" s="33"/>
      <c r="Q373" s="33"/>
      <c r="R373" s="33"/>
      <c r="S373" s="33"/>
      <c r="T373" s="33"/>
      <c r="U373" s="33"/>
      <c r="V373" s="33"/>
      <c r="W373" s="33"/>
      <c r="X373" s="33"/>
      <c r="Y373" s="33"/>
      <c r="Z373" s="33"/>
      <c r="AA373" s="33"/>
      <c r="AB373" s="33"/>
    </row>
    <row r="374">
      <c r="A374" s="33"/>
      <c r="B374" s="33"/>
      <c r="C374" s="33"/>
      <c r="D374" s="43"/>
      <c r="E374" s="33"/>
      <c r="F374" s="33"/>
      <c r="G374" s="33"/>
      <c r="H374" s="33"/>
      <c r="I374" s="33"/>
      <c r="J374" s="33"/>
      <c r="K374" s="33"/>
      <c r="L374" s="33"/>
      <c r="M374" s="43"/>
      <c r="N374" s="43"/>
      <c r="O374" s="33"/>
      <c r="P374" s="33"/>
      <c r="Q374" s="33"/>
      <c r="R374" s="33"/>
      <c r="S374" s="33"/>
      <c r="T374" s="33"/>
      <c r="U374" s="33"/>
      <c r="V374" s="33"/>
      <c r="W374" s="33"/>
      <c r="X374" s="33"/>
      <c r="Y374" s="33"/>
      <c r="Z374" s="33"/>
      <c r="AA374" s="33"/>
      <c r="AB374" s="33"/>
    </row>
    <row r="375">
      <c r="A375" s="33"/>
      <c r="B375" s="33"/>
      <c r="C375" s="33"/>
      <c r="D375" s="43"/>
      <c r="E375" s="33"/>
      <c r="F375" s="33"/>
      <c r="G375" s="33"/>
      <c r="H375" s="33"/>
      <c r="I375" s="33"/>
      <c r="J375" s="33"/>
      <c r="K375" s="33"/>
      <c r="L375" s="33"/>
      <c r="M375" s="43"/>
      <c r="N375" s="43"/>
      <c r="O375" s="33"/>
      <c r="P375" s="33"/>
      <c r="Q375" s="33"/>
      <c r="R375" s="33"/>
      <c r="S375" s="33"/>
      <c r="T375" s="33"/>
      <c r="U375" s="33"/>
      <c r="V375" s="33"/>
      <c r="W375" s="33"/>
      <c r="X375" s="33"/>
      <c r="Y375" s="33"/>
      <c r="Z375" s="33"/>
      <c r="AA375" s="33"/>
      <c r="AB375" s="33"/>
    </row>
    <row r="376">
      <c r="A376" s="33"/>
      <c r="B376" s="33"/>
      <c r="C376" s="33"/>
      <c r="D376" s="43"/>
      <c r="E376" s="33"/>
      <c r="F376" s="33"/>
      <c r="G376" s="33"/>
      <c r="H376" s="33"/>
      <c r="I376" s="33"/>
      <c r="J376" s="33"/>
      <c r="K376" s="33"/>
      <c r="L376" s="33"/>
      <c r="M376" s="43"/>
      <c r="N376" s="43"/>
      <c r="O376" s="33"/>
      <c r="P376" s="33"/>
      <c r="Q376" s="33"/>
      <c r="R376" s="33"/>
      <c r="S376" s="33"/>
      <c r="T376" s="33"/>
      <c r="U376" s="33"/>
      <c r="V376" s="33"/>
      <c r="W376" s="33"/>
      <c r="X376" s="33"/>
      <c r="Y376" s="33"/>
      <c r="Z376" s="33"/>
      <c r="AA376" s="33"/>
      <c r="AB376" s="33"/>
    </row>
    <row r="377">
      <c r="A377" s="33"/>
      <c r="B377" s="33"/>
      <c r="C377" s="33"/>
      <c r="D377" s="43"/>
      <c r="E377" s="33"/>
      <c r="F377" s="33"/>
      <c r="G377" s="33"/>
      <c r="H377" s="33"/>
      <c r="I377" s="33"/>
      <c r="J377" s="33"/>
      <c r="K377" s="33"/>
      <c r="L377" s="33"/>
      <c r="M377" s="43"/>
      <c r="N377" s="43"/>
      <c r="O377" s="33"/>
      <c r="P377" s="33"/>
      <c r="Q377" s="33"/>
      <c r="R377" s="33"/>
      <c r="S377" s="33"/>
      <c r="T377" s="33"/>
      <c r="U377" s="33"/>
      <c r="V377" s="33"/>
      <c r="W377" s="33"/>
      <c r="X377" s="33"/>
      <c r="Y377" s="33"/>
      <c r="Z377" s="33"/>
      <c r="AA377" s="33"/>
      <c r="AB377" s="33"/>
    </row>
    <row r="378">
      <c r="A378" s="33"/>
      <c r="B378" s="33"/>
      <c r="C378" s="33"/>
      <c r="D378" s="43"/>
      <c r="E378" s="33"/>
      <c r="F378" s="33"/>
      <c r="G378" s="33"/>
      <c r="H378" s="33"/>
      <c r="I378" s="33"/>
      <c r="J378" s="33"/>
      <c r="K378" s="33"/>
      <c r="L378" s="33"/>
      <c r="M378" s="43"/>
      <c r="N378" s="43"/>
      <c r="O378" s="33"/>
      <c r="P378" s="33"/>
      <c r="Q378" s="33"/>
      <c r="R378" s="33"/>
      <c r="S378" s="33"/>
      <c r="T378" s="33"/>
      <c r="U378" s="33"/>
      <c r="V378" s="33"/>
      <c r="W378" s="33"/>
      <c r="X378" s="33"/>
      <c r="Y378" s="33"/>
      <c r="Z378" s="33"/>
      <c r="AA378" s="33"/>
      <c r="AB378" s="33"/>
    </row>
    <row r="379">
      <c r="A379" s="33"/>
      <c r="B379" s="33"/>
      <c r="C379" s="33"/>
      <c r="D379" s="43"/>
      <c r="E379" s="33"/>
      <c r="F379" s="33"/>
      <c r="G379" s="33"/>
      <c r="H379" s="33"/>
      <c r="I379" s="33"/>
      <c r="J379" s="33"/>
      <c r="K379" s="33"/>
      <c r="L379" s="33"/>
      <c r="M379" s="43"/>
      <c r="N379" s="43"/>
      <c r="O379" s="33"/>
      <c r="P379" s="33"/>
      <c r="Q379" s="33"/>
      <c r="R379" s="33"/>
      <c r="S379" s="33"/>
      <c r="T379" s="33"/>
      <c r="U379" s="33"/>
      <c r="V379" s="33"/>
      <c r="W379" s="33"/>
      <c r="X379" s="33"/>
      <c r="Y379" s="33"/>
      <c r="Z379" s="33"/>
      <c r="AA379" s="33"/>
      <c r="AB379" s="33"/>
    </row>
    <row r="380">
      <c r="A380" s="33"/>
      <c r="B380" s="33"/>
      <c r="C380" s="33"/>
      <c r="D380" s="43"/>
      <c r="E380" s="33"/>
      <c r="F380" s="33"/>
      <c r="G380" s="33"/>
      <c r="H380" s="33"/>
      <c r="I380" s="33"/>
      <c r="J380" s="33"/>
      <c r="K380" s="33"/>
      <c r="L380" s="33"/>
      <c r="M380" s="43"/>
      <c r="N380" s="43"/>
      <c r="O380" s="33"/>
      <c r="P380" s="33"/>
      <c r="Q380" s="33"/>
      <c r="R380" s="33"/>
      <c r="S380" s="33"/>
      <c r="T380" s="33"/>
      <c r="U380" s="33"/>
      <c r="V380" s="33"/>
      <c r="W380" s="33"/>
      <c r="X380" s="33"/>
      <c r="Y380" s="33"/>
      <c r="Z380" s="33"/>
      <c r="AA380" s="33"/>
      <c r="AB380" s="33"/>
    </row>
    <row r="381">
      <c r="A381" s="33"/>
      <c r="B381" s="33"/>
      <c r="C381" s="33"/>
      <c r="D381" s="43"/>
      <c r="E381" s="33"/>
      <c r="F381" s="33"/>
      <c r="G381" s="33"/>
      <c r="H381" s="33"/>
      <c r="I381" s="33"/>
      <c r="J381" s="33"/>
      <c r="K381" s="33"/>
      <c r="L381" s="33"/>
      <c r="M381" s="43"/>
      <c r="N381" s="43"/>
      <c r="O381" s="33"/>
      <c r="P381" s="33"/>
      <c r="Q381" s="33"/>
      <c r="R381" s="33"/>
      <c r="S381" s="33"/>
      <c r="T381" s="33"/>
      <c r="U381" s="33"/>
      <c r="V381" s="33"/>
      <c r="W381" s="33"/>
      <c r="X381" s="33"/>
      <c r="Y381" s="33"/>
      <c r="Z381" s="33"/>
      <c r="AA381" s="33"/>
      <c r="AB381" s="33"/>
    </row>
    <row r="382">
      <c r="A382" s="33"/>
      <c r="B382" s="33"/>
      <c r="C382" s="33"/>
      <c r="D382" s="43"/>
      <c r="E382" s="33"/>
      <c r="F382" s="33"/>
      <c r="G382" s="33"/>
      <c r="H382" s="33"/>
      <c r="I382" s="33"/>
      <c r="J382" s="33"/>
      <c r="K382" s="33"/>
      <c r="L382" s="33"/>
      <c r="M382" s="43"/>
      <c r="N382" s="43"/>
      <c r="O382" s="33"/>
      <c r="P382" s="33"/>
      <c r="Q382" s="33"/>
      <c r="R382" s="33"/>
      <c r="S382" s="33"/>
      <c r="T382" s="33"/>
      <c r="U382" s="33"/>
      <c r="V382" s="33"/>
      <c r="W382" s="33"/>
      <c r="X382" s="33"/>
      <c r="Y382" s="33"/>
      <c r="Z382" s="33"/>
      <c r="AA382" s="33"/>
      <c r="AB382" s="33"/>
    </row>
    <row r="383">
      <c r="A383" s="33"/>
      <c r="B383" s="33"/>
      <c r="C383" s="33"/>
      <c r="D383" s="43"/>
      <c r="E383" s="33"/>
      <c r="F383" s="33"/>
      <c r="G383" s="33"/>
      <c r="H383" s="33"/>
      <c r="I383" s="33"/>
      <c r="J383" s="33"/>
      <c r="K383" s="33"/>
      <c r="L383" s="33"/>
      <c r="M383" s="43"/>
      <c r="N383" s="43"/>
      <c r="O383" s="33"/>
      <c r="P383" s="33"/>
      <c r="Q383" s="33"/>
      <c r="R383" s="33"/>
      <c r="S383" s="33"/>
      <c r="T383" s="33"/>
      <c r="U383" s="33"/>
      <c r="V383" s="33"/>
      <c r="W383" s="33"/>
      <c r="X383" s="33"/>
      <c r="Y383" s="33"/>
      <c r="Z383" s="33"/>
      <c r="AA383" s="33"/>
      <c r="AB383" s="33"/>
    </row>
    <row r="384">
      <c r="A384" s="33"/>
      <c r="B384" s="33"/>
      <c r="C384" s="33"/>
      <c r="D384" s="43"/>
      <c r="E384" s="33"/>
      <c r="F384" s="33"/>
      <c r="G384" s="33"/>
      <c r="H384" s="33"/>
      <c r="I384" s="33"/>
      <c r="J384" s="33"/>
      <c r="K384" s="33"/>
      <c r="L384" s="33"/>
      <c r="M384" s="43"/>
      <c r="N384" s="43"/>
      <c r="O384" s="33"/>
      <c r="P384" s="33"/>
      <c r="Q384" s="33"/>
      <c r="R384" s="33"/>
      <c r="S384" s="33"/>
      <c r="T384" s="33"/>
      <c r="U384" s="33"/>
      <c r="V384" s="33"/>
      <c r="W384" s="33"/>
      <c r="X384" s="33"/>
      <c r="Y384" s="33"/>
      <c r="Z384" s="33"/>
      <c r="AA384" s="33"/>
      <c r="AB384" s="33"/>
    </row>
    <row r="385">
      <c r="A385" s="33"/>
      <c r="B385" s="33"/>
      <c r="C385" s="33"/>
      <c r="D385" s="43"/>
      <c r="E385" s="33"/>
      <c r="F385" s="33"/>
      <c r="G385" s="33"/>
      <c r="H385" s="33"/>
      <c r="I385" s="33"/>
      <c r="J385" s="33"/>
      <c r="K385" s="33"/>
      <c r="L385" s="33"/>
      <c r="M385" s="43"/>
      <c r="N385" s="43"/>
      <c r="O385" s="33"/>
      <c r="P385" s="33"/>
      <c r="Q385" s="33"/>
      <c r="R385" s="33"/>
      <c r="S385" s="33"/>
      <c r="T385" s="33"/>
      <c r="U385" s="33"/>
      <c r="V385" s="33"/>
      <c r="W385" s="33"/>
      <c r="X385" s="33"/>
      <c r="Y385" s="33"/>
      <c r="Z385" s="33"/>
      <c r="AA385" s="33"/>
      <c r="AB385" s="33"/>
    </row>
    <row r="386">
      <c r="A386" s="33"/>
      <c r="B386" s="33"/>
      <c r="C386" s="33"/>
      <c r="D386" s="43"/>
      <c r="E386" s="33"/>
      <c r="F386" s="33"/>
      <c r="G386" s="33"/>
      <c r="H386" s="33"/>
      <c r="I386" s="33"/>
      <c r="J386" s="33"/>
      <c r="K386" s="33"/>
      <c r="L386" s="33"/>
      <c r="M386" s="43"/>
      <c r="N386" s="43"/>
      <c r="O386" s="33"/>
      <c r="P386" s="33"/>
      <c r="Q386" s="33"/>
      <c r="R386" s="33"/>
      <c r="S386" s="33"/>
      <c r="T386" s="33"/>
      <c r="U386" s="33"/>
      <c r="V386" s="33"/>
      <c r="W386" s="33"/>
      <c r="X386" s="33"/>
      <c r="Y386" s="33"/>
      <c r="Z386" s="33"/>
      <c r="AA386" s="33"/>
      <c r="AB386" s="33"/>
    </row>
    <row r="387">
      <c r="A387" s="33"/>
      <c r="B387" s="33"/>
      <c r="C387" s="33"/>
      <c r="D387" s="43"/>
      <c r="E387" s="33"/>
      <c r="F387" s="33"/>
      <c r="G387" s="33"/>
      <c r="H387" s="33"/>
      <c r="I387" s="33"/>
      <c r="J387" s="33"/>
      <c r="K387" s="33"/>
      <c r="L387" s="33"/>
      <c r="M387" s="43"/>
      <c r="N387" s="43"/>
      <c r="O387" s="33"/>
      <c r="P387" s="33"/>
      <c r="Q387" s="33"/>
      <c r="R387" s="33"/>
      <c r="S387" s="33"/>
      <c r="T387" s="33"/>
      <c r="U387" s="33"/>
      <c r="V387" s="33"/>
      <c r="W387" s="33"/>
      <c r="X387" s="33"/>
      <c r="Y387" s="33"/>
      <c r="Z387" s="33"/>
      <c r="AA387" s="33"/>
      <c r="AB387" s="33"/>
    </row>
    <row r="388">
      <c r="A388" s="33"/>
      <c r="B388" s="33"/>
      <c r="C388" s="33"/>
      <c r="D388" s="43"/>
      <c r="E388" s="33"/>
      <c r="F388" s="33"/>
      <c r="G388" s="33"/>
      <c r="H388" s="33"/>
      <c r="I388" s="33"/>
      <c r="J388" s="33"/>
      <c r="K388" s="33"/>
      <c r="L388" s="33"/>
      <c r="M388" s="43"/>
      <c r="N388" s="43"/>
      <c r="O388" s="33"/>
      <c r="P388" s="33"/>
      <c r="Q388" s="33"/>
      <c r="R388" s="33"/>
      <c r="S388" s="33"/>
      <c r="T388" s="33"/>
      <c r="U388" s="33"/>
      <c r="V388" s="33"/>
      <c r="W388" s="33"/>
      <c r="X388" s="33"/>
      <c r="Y388" s="33"/>
      <c r="Z388" s="33"/>
      <c r="AA388" s="33"/>
      <c r="AB388" s="33"/>
    </row>
    <row r="389">
      <c r="A389" s="33"/>
      <c r="B389" s="33"/>
      <c r="C389" s="33"/>
      <c r="D389" s="43"/>
      <c r="E389" s="33"/>
      <c r="F389" s="33"/>
      <c r="G389" s="33"/>
      <c r="H389" s="33"/>
      <c r="I389" s="33"/>
      <c r="J389" s="33"/>
      <c r="K389" s="33"/>
      <c r="L389" s="33"/>
      <c r="M389" s="43"/>
      <c r="N389" s="43"/>
      <c r="O389" s="33"/>
      <c r="P389" s="33"/>
      <c r="Q389" s="33"/>
      <c r="R389" s="33"/>
      <c r="S389" s="33"/>
      <c r="T389" s="33"/>
      <c r="U389" s="33"/>
      <c r="V389" s="33"/>
      <c r="W389" s="33"/>
      <c r="X389" s="33"/>
      <c r="Y389" s="33"/>
      <c r="Z389" s="33"/>
      <c r="AA389" s="33"/>
      <c r="AB389" s="33"/>
    </row>
    <row r="390">
      <c r="A390" s="33"/>
      <c r="B390" s="33"/>
      <c r="C390" s="33"/>
      <c r="D390" s="43"/>
      <c r="E390" s="33"/>
      <c r="F390" s="33"/>
      <c r="G390" s="33"/>
      <c r="H390" s="33"/>
      <c r="I390" s="33"/>
      <c r="J390" s="33"/>
      <c r="K390" s="33"/>
      <c r="L390" s="33"/>
      <c r="M390" s="43"/>
      <c r="N390" s="43"/>
      <c r="O390" s="33"/>
      <c r="P390" s="33"/>
      <c r="Q390" s="33"/>
      <c r="R390" s="33"/>
      <c r="S390" s="33"/>
      <c r="T390" s="33"/>
      <c r="U390" s="33"/>
      <c r="V390" s="33"/>
      <c r="W390" s="33"/>
      <c r="X390" s="33"/>
      <c r="Y390" s="33"/>
      <c r="Z390" s="33"/>
      <c r="AA390" s="33"/>
      <c r="AB390" s="33"/>
    </row>
    <row r="391">
      <c r="A391" s="33"/>
      <c r="B391" s="33"/>
      <c r="C391" s="33"/>
      <c r="D391" s="43"/>
      <c r="E391" s="33"/>
      <c r="F391" s="33"/>
      <c r="G391" s="33"/>
      <c r="H391" s="33"/>
      <c r="I391" s="33"/>
      <c r="J391" s="33"/>
      <c r="K391" s="33"/>
      <c r="L391" s="33"/>
      <c r="M391" s="43"/>
      <c r="N391" s="43"/>
      <c r="O391" s="33"/>
      <c r="P391" s="33"/>
      <c r="Q391" s="33"/>
      <c r="R391" s="33"/>
      <c r="S391" s="33"/>
      <c r="T391" s="33"/>
      <c r="U391" s="33"/>
      <c r="V391" s="33"/>
      <c r="W391" s="33"/>
      <c r="X391" s="33"/>
      <c r="Y391" s="33"/>
      <c r="Z391" s="33"/>
      <c r="AA391" s="33"/>
      <c r="AB391" s="33"/>
    </row>
    <row r="392">
      <c r="A392" s="33"/>
      <c r="B392" s="33"/>
      <c r="C392" s="33"/>
      <c r="D392" s="43"/>
      <c r="E392" s="33"/>
      <c r="F392" s="33"/>
      <c r="G392" s="33"/>
      <c r="H392" s="33"/>
      <c r="I392" s="33"/>
      <c r="J392" s="33"/>
      <c r="K392" s="33"/>
      <c r="L392" s="33"/>
      <c r="M392" s="43"/>
      <c r="N392" s="43"/>
      <c r="O392" s="33"/>
      <c r="P392" s="33"/>
      <c r="Q392" s="33"/>
      <c r="R392" s="33"/>
      <c r="S392" s="33"/>
      <c r="T392" s="33"/>
      <c r="U392" s="33"/>
      <c r="V392" s="33"/>
      <c r="W392" s="33"/>
      <c r="X392" s="33"/>
      <c r="Y392" s="33"/>
      <c r="Z392" s="33"/>
      <c r="AA392" s="33"/>
      <c r="AB392" s="33"/>
    </row>
    <row r="393">
      <c r="A393" s="33"/>
      <c r="B393" s="33"/>
      <c r="C393" s="33"/>
      <c r="D393" s="43"/>
      <c r="E393" s="33"/>
      <c r="F393" s="33"/>
      <c r="G393" s="33"/>
      <c r="H393" s="33"/>
      <c r="I393" s="33"/>
      <c r="J393" s="33"/>
      <c r="K393" s="33"/>
      <c r="L393" s="33"/>
      <c r="M393" s="43"/>
      <c r="N393" s="43"/>
      <c r="O393" s="33"/>
      <c r="P393" s="33"/>
      <c r="Q393" s="33"/>
      <c r="R393" s="33"/>
      <c r="S393" s="33"/>
      <c r="T393" s="33"/>
      <c r="U393" s="33"/>
      <c r="V393" s="33"/>
      <c r="W393" s="33"/>
      <c r="X393" s="33"/>
      <c r="Y393" s="33"/>
      <c r="Z393" s="33"/>
      <c r="AA393" s="33"/>
      <c r="AB393" s="33"/>
    </row>
    <row r="394">
      <c r="A394" s="33"/>
      <c r="B394" s="33"/>
      <c r="C394" s="33"/>
      <c r="D394" s="43"/>
      <c r="E394" s="33"/>
      <c r="F394" s="33"/>
      <c r="G394" s="33"/>
      <c r="H394" s="33"/>
      <c r="I394" s="33"/>
      <c r="J394" s="33"/>
      <c r="K394" s="33"/>
      <c r="L394" s="33"/>
      <c r="M394" s="43"/>
      <c r="N394" s="43"/>
      <c r="O394" s="33"/>
      <c r="P394" s="33"/>
      <c r="Q394" s="33"/>
      <c r="R394" s="33"/>
      <c r="S394" s="33"/>
      <c r="T394" s="33"/>
      <c r="U394" s="33"/>
      <c r="V394" s="33"/>
      <c r="W394" s="33"/>
      <c r="X394" s="33"/>
      <c r="Y394" s="33"/>
      <c r="Z394" s="33"/>
      <c r="AA394" s="33"/>
      <c r="AB394" s="33"/>
    </row>
    <row r="395">
      <c r="A395" s="33"/>
      <c r="B395" s="33"/>
      <c r="C395" s="33"/>
      <c r="D395" s="43"/>
      <c r="E395" s="33"/>
      <c r="F395" s="33"/>
      <c r="G395" s="33"/>
      <c r="H395" s="33"/>
      <c r="I395" s="33"/>
      <c r="J395" s="33"/>
      <c r="K395" s="33"/>
      <c r="L395" s="33"/>
      <c r="M395" s="43"/>
      <c r="N395" s="43"/>
      <c r="O395" s="33"/>
      <c r="P395" s="33"/>
      <c r="Q395" s="33"/>
      <c r="R395" s="33"/>
      <c r="S395" s="33"/>
      <c r="T395" s="33"/>
      <c r="U395" s="33"/>
      <c r="V395" s="33"/>
      <c r="W395" s="33"/>
      <c r="X395" s="33"/>
      <c r="Y395" s="33"/>
      <c r="Z395" s="33"/>
      <c r="AA395" s="33"/>
      <c r="AB395" s="33"/>
    </row>
    <row r="396">
      <c r="A396" s="33"/>
      <c r="B396" s="33"/>
      <c r="C396" s="33"/>
      <c r="D396" s="43"/>
      <c r="E396" s="33"/>
      <c r="F396" s="33"/>
      <c r="G396" s="33"/>
      <c r="H396" s="33"/>
      <c r="I396" s="33"/>
      <c r="J396" s="33"/>
      <c r="K396" s="33"/>
      <c r="L396" s="33"/>
      <c r="M396" s="43"/>
      <c r="N396" s="43"/>
      <c r="O396" s="33"/>
      <c r="P396" s="33"/>
      <c r="Q396" s="33"/>
      <c r="R396" s="33"/>
      <c r="S396" s="33"/>
      <c r="T396" s="33"/>
      <c r="U396" s="33"/>
      <c r="V396" s="33"/>
      <c r="W396" s="33"/>
      <c r="X396" s="33"/>
      <c r="Y396" s="33"/>
      <c r="Z396" s="33"/>
      <c r="AA396" s="33"/>
      <c r="AB396" s="33"/>
    </row>
    <row r="397">
      <c r="A397" s="33"/>
      <c r="B397" s="33"/>
      <c r="C397" s="33"/>
      <c r="D397" s="43"/>
      <c r="E397" s="33"/>
      <c r="F397" s="33"/>
      <c r="G397" s="33"/>
      <c r="H397" s="33"/>
      <c r="I397" s="33"/>
      <c r="J397" s="33"/>
      <c r="K397" s="33"/>
      <c r="L397" s="33"/>
      <c r="M397" s="43"/>
      <c r="N397" s="43"/>
      <c r="O397" s="33"/>
      <c r="P397" s="33"/>
      <c r="Q397" s="33"/>
      <c r="R397" s="33"/>
      <c r="S397" s="33"/>
      <c r="T397" s="33"/>
      <c r="U397" s="33"/>
      <c r="V397" s="33"/>
      <c r="W397" s="33"/>
      <c r="X397" s="33"/>
      <c r="Y397" s="33"/>
      <c r="Z397" s="33"/>
      <c r="AA397" s="33"/>
      <c r="AB397" s="33"/>
    </row>
    <row r="398">
      <c r="A398" s="33"/>
      <c r="B398" s="33"/>
      <c r="C398" s="33"/>
      <c r="D398" s="43"/>
      <c r="E398" s="33"/>
      <c r="F398" s="33"/>
      <c r="G398" s="33"/>
      <c r="H398" s="33"/>
      <c r="I398" s="33"/>
      <c r="J398" s="33"/>
      <c r="K398" s="33"/>
      <c r="L398" s="33"/>
      <c r="M398" s="43"/>
      <c r="N398" s="43"/>
      <c r="O398" s="33"/>
      <c r="P398" s="33"/>
      <c r="Q398" s="33"/>
      <c r="R398" s="33"/>
      <c r="S398" s="33"/>
      <c r="T398" s="33"/>
      <c r="U398" s="33"/>
      <c r="V398" s="33"/>
      <c r="W398" s="33"/>
      <c r="X398" s="33"/>
      <c r="Y398" s="33"/>
      <c r="Z398" s="33"/>
      <c r="AA398" s="33"/>
      <c r="AB398" s="33"/>
    </row>
    <row r="399">
      <c r="A399" s="33"/>
      <c r="B399" s="33"/>
      <c r="C399" s="33"/>
      <c r="D399" s="43"/>
      <c r="E399" s="33"/>
      <c r="F399" s="33"/>
      <c r="G399" s="33"/>
      <c r="H399" s="33"/>
      <c r="I399" s="33"/>
      <c r="J399" s="33"/>
      <c r="K399" s="33"/>
      <c r="L399" s="33"/>
      <c r="M399" s="43"/>
      <c r="N399" s="43"/>
      <c r="O399" s="33"/>
      <c r="P399" s="33"/>
      <c r="Q399" s="33"/>
      <c r="R399" s="33"/>
      <c r="S399" s="33"/>
      <c r="T399" s="33"/>
      <c r="U399" s="33"/>
      <c r="V399" s="33"/>
      <c r="W399" s="33"/>
      <c r="X399" s="33"/>
      <c r="Y399" s="33"/>
      <c r="Z399" s="33"/>
      <c r="AA399" s="33"/>
      <c r="AB399" s="33"/>
    </row>
    <row r="400">
      <c r="A400" s="33"/>
      <c r="B400" s="33"/>
      <c r="C400" s="33"/>
      <c r="D400" s="43"/>
      <c r="E400" s="33"/>
      <c r="F400" s="33"/>
      <c r="G400" s="33"/>
      <c r="H400" s="33"/>
      <c r="I400" s="33"/>
      <c r="J400" s="33"/>
      <c r="K400" s="33"/>
      <c r="L400" s="33"/>
      <c r="M400" s="43"/>
      <c r="N400" s="43"/>
      <c r="O400" s="33"/>
      <c r="P400" s="33"/>
      <c r="Q400" s="33"/>
      <c r="R400" s="33"/>
      <c r="S400" s="33"/>
      <c r="T400" s="33"/>
      <c r="U400" s="33"/>
      <c r="V400" s="33"/>
      <c r="W400" s="33"/>
      <c r="X400" s="33"/>
      <c r="Y400" s="33"/>
      <c r="Z400" s="33"/>
      <c r="AA400" s="33"/>
      <c r="AB400" s="33"/>
    </row>
    <row r="401">
      <c r="A401" s="33"/>
      <c r="B401" s="33"/>
      <c r="C401" s="33"/>
      <c r="D401" s="43"/>
      <c r="E401" s="33"/>
      <c r="F401" s="33"/>
      <c r="G401" s="33"/>
      <c r="H401" s="33"/>
      <c r="I401" s="33"/>
      <c r="J401" s="33"/>
      <c r="K401" s="33"/>
      <c r="L401" s="33"/>
      <c r="M401" s="43"/>
      <c r="N401" s="43"/>
      <c r="O401" s="33"/>
      <c r="P401" s="33"/>
      <c r="Q401" s="33"/>
      <c r="R401" s="33"/>
      <c r="S401" s="33"/>
      <c r="T401" s="33"/>
      <c r="U401" s="33"/>
      <c r="V401" s="33"/>
      <c r="W401" s="33"/>
      <c r="X401" s="33"/>
      <c r="Y401" s="33"/>
      <c r="Z401" s="33"/>
      <c r="AA401" s="33"/>
      <c r="AB401" s="33"/>
    </row>
    <row r="402">
      <c r="A402" s="33"/>
      <c r="B402" s="33"/>
      <c r="C402" s="33"/>
      <c r="D402" s="43"/>
      <c r="E402" s="33"/>
      <c r="F402" s="33"/>
      <c r="G402" s="33"/>
      <c r="H402" s="33"/>
      <c r="I402" s="33"/>
      <c r="J402" s="33"/>
      <c r="K402" s="33"/>
      <c r="L402" s="33"/>
      <c r="M402" s="43"/>
      <c r="N402" s="43"/>
      <c r="O402" s="33"/>
      <c r="P402" s="33"/>
      <c r="Q402" s="33"/>
      <c r="R402" s="33"/>
      <c r="S402" s="33"/>
      <c r="T402" s="33"/>
      <c r="U402" s="33"/>
      <c r="V402" s="33"/>
      <c r="W402" s="33"/>
      <c r="X402" s="33"/>
      <c r="Y402" s="33"/>
      <c r="Z402" s="33"/>
      <c r="AA402" s="33"/>
      <c r="AB402" s="33"/>
    </row>
    <row r="403">
      <c r="A403" s="33"/>
      <c r="B403" s="33"/>
      <c r="C403" s="33"/>
      <c r="D403" s="43"/>
      <c r="E403" s="33"/>
      <c r="F403" s="33"/>
      <c r="G403" s="33"/>
      <c r="H403" s="33"/>
      <c r="I403" s="33"/>
      <c r="J403" s="33"/>
      <c r="K403" s="33"/>
      <c r="L403" s="33"/>
      <c r="M403" s="43"/>
      <c r="N403" s="43"/>
      <c r="O403" s="33"/>
      <c r="P403" s="33"/>
      <c r="Q403" s="33"/>
      <c r="R403" s="33"/>
      <c r="S403" s="33"/>
      <c r="T403" s="33"/>
      <c r="U403" s="33"/>
      <c r="V403" s="33"/>
      <c r="W403" s="33"/>
      <c r="X403" s="33"/>
      <c r="Y403" s="33"/>
      <c r="Z403" s="33"/>
      <c r="AA403" s="33"/>
      <c r="AB403" s="33"/>
    </row>
    <row r="404">
      <c r="A404" s="33"/>
      <c r="B404" s="33"/>
      <c r="C404" s="33"/>
      <c r="D404" s="43"/>
      <c r="E404" s="33"/>
      <c r="F404" s="33"/>
      <c r="G404" s="33"/>
      <c r="H404" s="33"/>
      <c r="I404" s="33"/>
      <c r="J404" s="33"/>
      <c r="K404" s="33"/>
      <c r="L404" s="33"/>
      <c r="M404" s="43"/>
      <c r="N404" s="43"/>
      <c r="O404" s="33"/>
      <c r="P404" s="33"/>
      <c r="Q404" s="33"/>
      <c r="R404" s="33"/>
      <c r="S404" s="33"/>
      <c r="T404" s="33"/>
      <c r="U404" s="33"/>
      <c r="V404" s="33"/>
      <c r="W404" s="33"/>
      <c r="X404" s="33"/>
      <c r="Y404" s="33"/>
      <c r="Z404" s="33"/>
      <c r="AA404" s="33"/>
      <c r="AB404" s="33"/>
    </row>
    <row r="405">
      <c r="A405" s="33"/>
      <c r="B405" s="33"/>
      <c r="C405" s="33"/>
      <c r="D405" s="43"/>
      <c r="E405" s="33"/>
      <c r="F405" s="33"/>
      <c r="G405" s="33"/>
      <c r="H405" s="33"/>
      <c r="I405" s="33"/>
      <c r="J405" s="33"/>
      <c r="K405" s="33"/>
      <c r="L405" s="33"/>
      <c r="M405" s="43"/>
      <c r="N405" s="43"/>
      <c r="O405" s="33"/>
      <c r="P405" s="33"/>
      <c r="Q405" s="33"/>
      <c r="R405" s="33"/>
      <c r="S405" s="33"/>
      <c r="T405" s="33"/>
      <c r="U405" s="33"/>
      <c r="V405" s="33"/>
      <c r="W405" s="33"/>
      <c r="X405" s="33"/>
      <c r="Y405" s="33"/>
      <c r="Z405" s="33"/>
      <c r="AA405" s="33"/>
      <c r="AB405" s="33"/>
    </row>
    <row r="406">
      <c r="A406" s="33"/>
      <c r="B406" s="33"/>
      <c r="C406" s="33"/>
      <c r="D406" s="43"/>
      <c r="E406" s="33"/>
      <c r="F406" s="33"/>
      <c r="G406" s="33"/>
      <c r="H406" s="33"/>
      <c r="I406" s="33"/>
      <c r="J406" s="33"/>
      <c r="K406" s="33"/>
      <c r="L406" s="33"/>
      <c r="M406" s="43"/>
      <c r="N406" s="43"/>
      <c r="O406" s="33"/>
      <c r="P406" s="33"/>
      <c r="Q406" s="33"/>
      <c r="R406" s="33"/>
      <c r="S406" s="33"/>
      <c r="T406" s="33"/>
      <c r="U406" s="33"/>
      <c r="V406" s="33"/>
      <c r="W406" s="33"/>
      <c r="X406" s="33"/>
      <c r="Y406" s="33"/>
      <c r="Z406" s="33"/>
      <c r="AA406" s="33"/>
      <c r="AB406" s="33"/>
    </row>
    <row r="407">
      <c r="A407" s="33"/>
      <c r="B407" s="33"/>
      <c r="C407" s="33"/>
      <c r="D407" s="43"/>
      <c r="E407" s="33"/>
      <c r="F407" s="33"/>
      <c r="G407" s="33"/>
      <c r="H407" s="33"/>
      <c r="I407" s="33"/>
      <c r="J407" s="33"/>
      <c r="K407" s="33"/>
      <c r="L407" s="33"/>
      <c r="M407" s="43"/>
      <c r="N407" s="43"/>
      <c r="O407" s="33"/>
      <c r="P407" s="33"/>
      <c r="Q407" s="33"/>
      <c r="R407" s="33"/>
      <c r="S407" s="33"/>
      <c r="T407" s="33"/>
      <c r="U407" s="33"/>
      <c r="V407" s="33"/>
      <c r="W407" s="33"/>
      <c r="X407" s="33"/>
      <c r="Y407" s="33"/>
      <c r="Z407" s="33"/>
      <c r="AA407" s="33"/>
      <c r="AB407" s="33"/>
    </row>
    <row r="408">
      <c r="A408" s="33"/>
      <c r="B408" s="33"/>
      <c r="C408" s="33"/>
      <c r="D408" s="43"/>
      <c r="E408" s="33"/>
      <c r="F408" s="33"/>
      <c r="G408" s="33"/>
      <c r="H408" s="33"/>
      <c r="I408" s="33"/>
      <c r="J408" s="33"/>
      <c r="K408" s="33"/>
      <c r="L408" s="33"/>
      <c r="M408" s="43"/>
      <c r="N408" s="43"/>
      <c r="O408" s="33"/>
      <c r="P408" s="33"/>
      <c r="Q408" s="33"/>
      <c r="R408" s="33"/>
      <c r="S408" s="33"/>
      <c r="T408" s="33"/>
      <c r="U408" s="33"/>
      <c r="V408" s="33"/>
      <c r="W408" s="33"/>
      <c r="X408" s="33"/>
      <c r="Y408" s="33"/>
      <c r="Z408" s="33"/>
      <c r="AA408" s="33"/>
      <c r="AB408" s="33"/>
    </row>
    <row r="409">
      <c r="A409" s="33"/>
      <c r="B409" s="33"/>
      <c r="C409" s="33"/>
      <c r="D409" s="43"/>
      <c r="E409" s="33"/>
      <c r="F409" s="33"/>
      <c r="G409" s="33"/>
      <c r="H409" s="33"/>
      <c r="I409" s="33"/>
      <c r="J409" s="33"/>
      <c r="K409" s="33"/>
      <c r="L409" s="33"/>
      <c r="M409" s="43"/>
      <c r="N409" s="43"/>
      <c r="O409" s="33"/>
      <c r="P409" s="33"/>
      <c r="Q409" s="33"/>
      <c r="R409" s="33"/>
      <c r="S409" s="33"/>
      <c r="T409" s="33"/>
      <c r="U409" s="33"/>
      <c r="V409" s="33"/>
      <c r="W409" s="33"/>
      <c r="X409" s="33"/>
      <c r="Y409" s="33"/>
      <c r="Z409" s="33"/>
      <c r="AA409" s="33"/>
      <c r="AB409" s="33"/>
    </row>
    <row r="410">
      <c r="A410" s="33"/>
      <c r="B410" s="33"/>
      <c r="C410" s="33"/>
      <c r="D410" s="43"/>
      <c r="E410" s="33"/>
      <c r="F410" s="33"/>
      <c r="G410" s="33"/>
      <c r="H410" s="33"/>
      <c r="I410" s="33"/>
      <c r="J410" s="33"/>
      <c r="K410" s="33"/>
      <c r="L410" s="33"/>
      <c r="M410" s="43"/>
      <c r="N410" s="43"/>
      <c r="O410" s="33"/>
      <c r="P410" s="33"/>
      <c r="Q410" s="33"/>
      <c r="R410" s="33"/>
      <c r="S410" s="33"/>
      <c r="T410" s="33"/>
      <c r="U410" s="33"/>
      <c r="V410" s="33"/>
      <c r="W410" s="33"/>
      <c r="X410" s="33"/>
      <c r="Y410" s="33"/>
      <c r="Z410" s="33"/>
      <c r="AA410" s="33"/>
      <c r="AB410" s="33"/>
    </row>
    <row r="411">
      <c r="A411" s="33"/>
      <c r="B411" s="33"/>
      <c r="C411" s="33"/>
      <c r="D411" s="43"/>
      <c r="E411" s="33"/>
      <c r="F411" s="33"/>
      <c r="G411" s="33"/>
      <c r="H411" s="33"/>
      <c r="I411" s="33"/>
      <c r="J411" s="33"/>
      <c r="K411" s="33"/>
      <c r="L411" s="33"/>
      <c r="M411" s="43"/>
      <c r="N411" s="43"/>
      <c r="O411" s="33"/>
      <c r="P411" s="33"/>
      <c r="Q411" s="33"/>
      <c r="R411" s="33"/>
      <c r="S411" s="33"/>
      <c r="T411" s="33"/>
      <c r="U411" s="33"/>
      <c r="V411" s="33"/>
      <c r="W411" s="33"/>
      <c r="X411" s="33"/>
      <c r="Y411" s="33"/>
      <c r="Z411" s="33"/>
      <c r="AA411" s="33"/>
      <c r="AB411" s="33"/>
    </row>
    <row r="412">
      <c r="A412" s="33"/>
      <c r="B412" s="33"/>
      <c r="C412" s="33"/>
      <c r="D412" s="43"/>
      <c r="E412" s="33"/>
      <c r="F412" s="33"/>
      <c r="G412" s="33"/>
      <c r="H412" s="33"/>
      <c r="I412" s="33"/>
      <c r="J412" s="33"/>
      <c r="K412" s="33"/>
      <c r="L412" s="33"/>
      <c r="M412" s="43"/>
      <c r="N412" s="43"/>
      <c r="O412" s="33"/>
      <c r="P412" s="33"/>
      <c r="Q412" s="33"/>
      <c r="R412" s="33"/>
      <c r="S412" s="33"/>
      <c r="T412" s="33"/>
      <c r="U412" s="33"/>
      <c r="V412" s="33"/>
      <c r="W412" s="33"/>
      <c r="X412" s="33"/>
      <c r="Y412" s="33"/>
      <c r="Z412" s="33"/>
      <c r="AA412" s="33"/>
      <c r="AB412" s="33"/>
    </row>
    <row r="413">
      <c r="A413" s="33"/>
      <c r="B413" s="33"/>
      <c r="C413" s="33"/>
      <c r="D413" s="43"/>
      <c r="E413" s="33"/>
      <c r="F413" s="33"/>
      <c r="G413" s="33"/>
      <c r="H413" s="33"/>
      <c r="I413" s="33"/>
      <c r="J413" s="33"/>
      <c r="K413" s="33"/>
      <c r="L413" s="33"/>
      <c r="M413" s="43"/>
      <c r="N413" s="43"/>
      <c r="O413" s="33"/>
      <c r="P413" s="33"/>
      <c r="Q413" s="33"/>
      <c r="R413" s="33"/>
      <c r="S413" s="33"/>
      <c r="T413" s="33"/>
      <c r="U413" s="33"/>
      <c r="V413" s="33"/>
      <c r="W413" s="33"/>
      <c r="X413" s="33"/>
      <c r="Y413" s="33"/>
      <c r="Z413" s="33"/>
      <c r="AA413" s="33"/>
      <c r="AB413" s="33"/>
    </row>
    <row r="414">
      <c r="A414" s="33"/>
      <c r="B414" s="33"/>
      <c r="C414" s="33"/>
      <c r="D414" s="43"/>
      <c r="E414" s="33"/>
      <c r="F414" s="33"/>
      <c r="G414" s="33"/>
      <c r="H414" s="33"/>
      <c r="I414" s="33"/>
      <c r="J414" s="33"/>
      <c r="K414" s="33"/>
      <c r="L414" s="33"/>
      <c r="M414" s="43"/>
      <c r="N414" s="43"/>
      <c r="O414" s="33"/>
      <c r="P414" s="33"/>
      <c r="Q414" s="33"/>
      <c r="R414" s="33"/>
      <c r="S414" s="33"/>
      <c r="T414" s="33"/>
      <c r="U414" s="33"/>
      <c r="V414" s="33"/>
      <c r="W414" s="33"/>
      <c r="X414" s="33"/>
      <c r="Y414" s="33"/>
      <c r="Z414" s="33"/>
      <c r="AA414" s="33"/>
      <c r="AB414" s="33"/>
    </row>
    <row r="415">
      <c r="A415" s="33"/>
      <c r="B415" s="33"/>
      <c r="C415" s="33"/>
      <c r="D415" s="43"/>
      <c r="E415" s="33"/>
      <c r="F415" s="33"/>
      <c r="G415" s="33"/>
      <c r="H415" s="33"/>
      <c r="I415" s="33"/>
      <c r="J415" s="33"/>
      <c r="K415" s="33"/>
      <c r="L415" s="33"/>
      <c r="M415" s="43"/>
      <c r="N415" s="43"/>
      <c r="O415" s="33"/>
      <c r="P415" s="33"/>
      <c r="Q415" s="33"/>
      <c r="R415" s="33"/>
      <c r="S415" s="33"/>
      <c r="T415" s="33"/>
      <c r="U415" s="33"/>
      <c r="V415" s="33"/>
      <c r="W415" s="33"/>
      <c r="X415" s="33"/>
      <c r="Y415" s="33"/>
      <c r="Z415" s="33"/>
      <c r="AA415" s="33"/>
      <c r="AB415" s="33"/>
    </row>
    <row r="416">
      <c r="A416" s="33"/>
      <c r="B416" s="33"/>
      <c r="C416" s="33"/>
      <c r="D416" s="43"/>
      <c r="E416" s="33"/>
      <c r="F416" s="33"/>
      <c r="G416" s="33"/>
      <c r="H416" s="33"/>
      <c r="I416" s="33"/>
      <c r="J416" s="33"/>
      <c r="K416" s="33"/>
      <c r="L416" s="33"/>
      <c r="M416" s="43"/>
      <c r="N416" s="43"/>
      <c r="O416" s="33"/>
      <c r="P416" s="33"/>
      <c r="Q416" s="33"/>
      <c r="R416" s="33"/>
      <c r="S416" s="33"/>
      <c r="T416" s="33"/>
      <c r="U416" s="33"/>
      <c r="V416" s="33"/>
      <c r="W416" s="33"/>
      <c r="X416" s="33"/>
      <c r="Y416" s="33"/>
      <c r="Z416" s="33"/>
      <c r="AA416" s="33"/>
      <c r="AB416" s="33"/>
    </row>
    <row r="417">
      <c r="A417" s="33"/>
      <c r="B417" s="33"/>
      <c r="C417" s="33"/>
      <c r="D417" s="43"/>
      <c r="E417" s="33"/>
      <c r="F417" s="33"/>
      <c r="G417" s="33"/>
      <c r="H417" s="33"/>
      <c r="I417" s="33"/>
      <c r="J417" s="33"/>
      <c r="K417" s="33"/>
      <c r="L417" s="33"/>
      <c r="M417" s="43"/>
      <c r="N417" s="43"/>
      <c r="O417" s="33"/>
      <c r="P417" s="33"/>
      <c r="Q417" s="33"/>
      <c r="R417" s="33"/>
      <c r="S417" s="33"/>
      <c r="T417" s="33"/>
      <c r="U417" s="33"/>
      <c r="V417" s="33"/>
      <c r="W417" s="33"/>
      <c r="X417" s="33"/>
      <c r="Y417" s="33"/>
      <c r="Z417" s="33"/>
      <c r="AA417" s="33"/>
      <c r="AB417" s="33"/>
    </row>
    <row r="418">
      <c r="A418" s="33"/>
      <c r="B418" s="33"/>
      <c r="C418" s="33"/>
      <c r="D418" s="43"/>
      <c r="E418" s="33"/>
      <c r="F418" s="33"/>
      <c r="G418" s="33"/>
      <c r="H418" s="33"/>
      <c r="I418" s="33"/>
      <c r="J418" s="33"/>
      <c r="K418" s="33"/>
      <c r="L418" s="33"/>
      <c r="M418" s="43"/>
      <c r="N418" s="43"/>
      <c r="O418" s="33"/>
      <c r="P418" s="33"/>
      <c r="Q418" s="33"/>
      <c r="R418" s="33"/>
      <c r="S418" s="33"/>
      <c r="T418" s="33"/>
      <c r="U418" s="33"/>
      <c r="V418" s="33"/>
      <c r="W418" s="33"/>
      <c r="X418" s="33"/>
      <c r="Y418" s="33"/>
      <c r="Z418" s="33"/>
      <c r="AA418" s="33"/>
      <c r="AB418" s="33"/>
    </row>
    <row r="419">
      <c r="A419" s="33"/>
      <c r="B419" s="33"/>
      <c r="C419" s="33"/>
      <c r="D419" s="43"/>
      <c r="E419" s="33"/>
      <c r="F419" s="33"/>
      <c r="G419" s="33"/>
      <c r="H419" s="33"/>
      <c r="I419" s="33"/>
      <c r="J419" s="33"/>
      <c r="K419" s="33"/>
      <c r="L419" s="33"/>
      <c r="M419" s="43"/>
      <c r="N419" s="43"/>
      <c r="O419" s="33"/>
      <c r="P419" s="33"/>
      <c r="Q419" s="33"/>
      <c r="R419" s="33"/>
      <c r="S419" s="33"/>
      <c r="T419" s="33"/>
      <c r="U419" s="33"/>
      <c r="V419" s="33"/>
      <c r="W419" s="33"/>
      <c r="X419" s="33"/>
      <c r="Y419" s="33"/>
      <c r="Z419" s="33"/>
      <c r="AA419" s="33"/>
      <c r="AB419" s="33"/>
    </row>
    <row r="420">
      <c r="A420" s="33"/>
      <c r="B420" s="33"/>
      <c r="C420" s="33"/>
      <c r="D420" s="43"/>
      <c r="E420" s="33"/>
      <c r="F420" s="33"/>
      <c r="G420" s="33"/>
      <c r="H420" s="33"/>
      <c r="I420" s="33"/>
      <c r="J420" s="33"/>
      <c r="K420" s="33"/>
      <c r="L420" s="33"/>
      <c r="M420" s="43"/>
      <c r="N420" s="43"/>
      <c r="O420" s="33"/>
      <c r="P420" s="33"/>
      <c r="Q420" s="33"/>
      <c r="R420" s="33"/>
      <c r="S420" s="33"/>
      <c r="T420" s="33"/>
      <c r="U420" s="33"/>
      <c r="V420" s="33"/>
      <c r="W420" s="33"/>
      <c r="X420" s="33"/>
      <c r="Y420" s="33"/>
      <c r="Z420" s="33"/>
      <c r="AA420" s="33"/>
      <c r="AB420" s="33"/>
    </row>
    <row r="421">
      <c r="A421" s="33"/>
      <c r="B421" s="33"/>
      <c r="C421" s="33"/>
      <c r="D421" s="43"/>
      <c r="E421" s="33"/>
      <c r="F421" s="33"/>
      <c r="G421" s="33"/>
      <c r="H421" s="33"/>
      <c r="I421" s="33"/>
      <c r="J421" s="33"/>
      <c r="K421" s="33"/>
      <c r="L421" s="33"/>
      <c r="M421" s="43"/>
      <c r="N421" s="43"/>
      <c r="O421" s="33"/>
      <c r="P421" s="33"/>
      <c r="Q421" s="33"/>
      <c r="R421" s="33"/>
      <c r="S421" s="33"/>
      <c r="T421" s="33"/>
      <c r="U421" s="33"/>
      <c r="V421" s="33"/>
      <c r="W421" s="33"/>
      <c r="X421" s="33"/>
      <c r="Y421" s="33"/>
      <c r="Z421" s="33"/>
      <c r="AA421" s="33"/>
      <c r="AB421" s="33"/>
    </row>
    <row r="422">
      <c r="A422" s="33"/>
      <c r="B422" s="33"/>
      <c r="C422" s="33"/>
      <c r="D422" s="43"/>
      <c r="E422" s="33"/>
      <c r="F422" s="33"/>
      <c r="G422" s="33"/>
      <c r="H422" s="33"/>
      <c r="I422" s="33"/>
      <c r="J422" s="33"/>
      <c r="K422" s="33"/>
      <c r="L422" s="33"/>
      <c r="M422" s="43"/>
      <c r="N422" s="43"/>
      <c r="O422" s="33"/>
      <c r="P422" s="33"/>
      <c r="Q422" s="33"/>
      <c r="R422" s="33"/>
      <c r="S422" s="33"/>
      <c r="T422" s="33"/>
      <c r="U422" s="33"/>
      <c r="V422" s="33"/>
      <c r="W422" s="33"/>
      <c r="X422" s="33"/>
      <c r="Y422" s="33"/>
      <c r="Z422" s="33"/>
      <c r="AA422" s="33"/>
      <c r="AB422" s="33"/>
    </row>
    <row r="423">
      <c r="A423" s="33"/>
      <c r="B423" s="33"/>
      <c r="C423" s="33"/>
      <c r="D423" s="43"/>
      <c r="E423" s="33"/>
      <c r="F423" s="33"/>
      <c r="G423" s="33"/>
      <c r="H423" s="33"/>
      <c r="I423" s="33"/>
      <c r="J423" s="33"/>
      <c r="K423" s="33"/>
      <c r="L423" s="33"/>
      <c r="M423" s="43"/>
      <c r="N423" s="43"/>
      <c r="O423" s="33"/>
      <c r="P423" s="33"/>
      <c r="Q423" s="33"/>
      <c r="R423" s="33"/>
      <c r="S423" s="33"/>
      <c r="T423" s="33"/>
      <c r="U423" s="33"/>
      <c r="V423" s="33"/>
      <c r="W423" s="33"/>
      <c r="X423" s="33"/>
      <c r="Y423" s="33"/>
      <c r="Z423" s="33"/>
      <c r="AA423" s="33"/>
      <c r="AB423" s="33"/>
    </row>
    <row r="424">
      <c r="A424" s="33"/>
      <c r="B424" s="33"/>
      <c r="C424" s="33"/>
      <c r="D424" s="43"/>
      <c r="E424" s="33"/>
      <c r="F424" s="33"/>
      <c r="G424" s="33"/>
      <c r="H424" s="33"/>
      <c r="I424" s="33"/>
      <c r="J424" s="33"/>
      <c r="K424" s="33"/>
      <c r="L424" s="33"/>
      <c r="M424" s="43"/>
      <c r="N424" s="43"/>
      <c r="O424" s="33"/>
      <c r="P424" s="33"/>
      <c r="Q424" s="33"/>
      <c r="R424" s="33"/>
      <c r="S424" s="33"/>
      <c r="T424" s="33"/>
      <c r="U424" s="33"/>
      <c r="V424" s="33"/>
      <c r="W424" s="33"/>
      <c r="X424" s="33"/>
      <c r="Y424" s="33"/>
      <c r="Z424" s="33"/>
      <c r="AA424" s="33"/>
      <c r="AB424" s="33"/>
    </row>
    <row r="425">
      <c r="A425" s="33"/>
      <c r="B425" s="33"/>
      <c r="C425" s="33"/>
      <c r="D425" s="43"/>
      <c r="E425" s="33"/>
      <c r="F425" s="33"/>
      <c r="G425" s="33"/>
      <c r="H425" s="33"/>
      <c r="I425" s="33"/>
      <c r="J425" s="33"/>
      <c r="K425" s="33"/>
      <c r="L425" s="33"/>
      <c r="M425" s="43"/>
      <c r="N425" s="43"/>
      <c r="O425" s="33"/>
      <c r="P425" s="33"/>
      <c r="Q425" s="33"/>
      <c r="R425" s="33"/>
      <c r="S425" s="33"/>
      <c r="T425" s="33"/>
      <c r="U425" s="33"/>
      <c r="V425" s="33"/>
      <c r="W425" s="33"/>
      <c r="X425" s="33"/>
      <c r="Y425" s="33"/>
      <c r="Z425" s="33"/>
      <c r="AA425" s="33"/>
      <c r="AB425" s="33"/>
    </row>
    <row r="426">
      <c r="A426" s="33"/>
      <c r="B426" s="33"/>
      <c r="C426" s="33"/>
      <c r="D426" s="43"/>
      <c r="E426" s="33"/>
      <c r="F426" s="33"/>
      <c r="G426" s="33"/>
      <c r="H426" s="33"/>
      <c r="I426" s="33"/>
      <c r="J426" s="33"/>
      <c r="K426" s="33"/>
      <c r="L426" s="33"/>
      <c r="M426" s="43"/>
      <c r="N426" s="43"/>
      <c r="O426" s="33"/>
      <c r="P426" s="33"/>
      <c r="Q426" s="33"/>
      <c r="R426" s="33"/>
      <c r="S426" s="33"/>
      <c r="T426" s="33"/>
      <c r="U426" s="33"/>
      <c r="V426" s="33"/>
      <c r="W426" s="33"/>
      <c r="X426" s="33"/>
      <c r="Y426" s="33"/>
      <c r="Z426" s="33"/>
      <c r="AA426" s="33"/>
      <c r="AB426" s="33"/>
    </row>
    <row r="427">
      <c r="A427" s="33"/>
      <c r="B427" s="33"/>
      <c r="C427" s="33"/>
      <c r="D427" s="43"/>
      <c r="E427" s="33"/>
      <c r="F427" s="33"/>
      <c r="G427" s="33"/>
      <c r="H427" s="33"/>
      <c r="I427" s="33"/>
      <c r="J427" s="33"/>
      <c r="K427" s="33"/>
      <c r="L427" s="33"/>
      <c r="M427" s="43"/>
      <c r="N427" s="43"/>
      <c r="O427" s="33"/>
      <c r="P427" s="33"/>
      <c r="Q427" s="33"/>
      <c r="R427" s="33"/>
      <c r="S427" s="33"/>
      <c r="T427" s="33"/>
      <c r="U427" s="33"/>
      <c r="V427" s="33"/>
      <c r="W427" s="33"/>
      <c r="X427" s="33"/>
      <c r="Y427" s="33"/>
      <c r="Z427" s="33"/>
      <c r="AA427" s="33"/>
      <c r="AB427" s="33"/>
    </row>
    <row r="428">
      <c r="A428" s="33"/>
      <c r="B428" s="33"/>
      <c r="C428" s="33"/>
      <c r="D428" s="43"/>
      <c r="E428" s="33"/>
      <c r="F428" s="33"/>
      <c r="G428" s="33"/>
      <c r="H428" s="33"/>
      <c r="I428" s="33"/>
      <c r="J428" s="33"/>
      <c r="K428" s="33"/>
      <c r="L428" s="33"/>
      <c r="M428" s="43"/>
      <c r="N428" s="43"/>
      <c r="O428" s="33"/>
      <c r="P428" s="33"/>
      <c r="Q428" s="33"/>
      <c r="R428" s="33"/>
      <c r="S428" s="33"/>
      <c r="T428" s="33"/>
      <c r="U428" s="33"/>
      <c r="V428" s="33"/>
      <c r="W428" s="33"/>
      <c r="X428" s="33"/>
      <c r="Y428" s="33"/>
      <c r="Z428" s="33"/>
      <c r="AA428" s="33"/>
      <c r="AB428" s="33"/>
    </row>
    <row r="429">
      <c r="A429" s="33"/>
      <c r="B429" s="33"/>
      <c r="C429" s="33"/>
      <c r="D429" s="43"/>
      <c r="E429" s="33"/>
      <c r="F429" s="33"/>
      <c r="G429" s="33"/>
      <c r="H429" s="33"/>
      <c r="I429" s="33"/>
      <c r="J429" s="33"/>
      <c r="K429" s="33"/>
      <c r="L429" s="33"/>
      <c r="M429" s="43"/>
      <c r="N429" s="43"/>
      <c r="O429" s="33"/>
      <c r="P429" s="33"/>
      <c r="Q429" s="33"/>
      <c r="R429" s="33"/>
      <c r="S429" s="33"/>
      <c r="T429" s="33"/>
      <c r="U429" s="33"/>
      <c r="V429" s="33"/>
      <c r="W429" s="33"/>
      <c r="X429" s="33"/>
      <c r="Y429" s="33"/>
      <c r="Z429" s="33"/>
      <c r="AA429" s="33"/>
      <c r="AB429" s="33"/>
    </row>
    <row r="430">
      <c r="A430" s="33"/>
      <c r="B430" s="33"/>
      <c r="C430" s="33"/>
      <c r="D430" s="43"/>
      <c r="E430" s="33"/>
      <c r="F430" s="33"/>
      <c r="G430" s="33"/>
      <c r="H430" s="33"/>
      <c r="I430" s="33"/>
      <c r="J430" s="33"/>
      <c r="K430" s="33"/>
      <c r="L430" s="33"/>
      <c r="M430" s="43"/>
      <c r="N430" s="43"/>
      <c r="O430" s="33"/>
      <c r="P430" s="33"/>
      <c r="Q430" s="33"/>
      <c r="R430" s="33"/>
      <c r="S430" s="33"/>
      <c r="T430" s="33"/>
      <c r="U430" s="33"/>
      <c r="V430" s="33"/>
      <c r="W430" s="33"/>
      <c r="X430" s="33"/>
      <c r="Y430" s="33"/>
      <c r="Z430" s="33"/>
      <c r="AA430" s="33"/>
      <c r="AB430" s="33"/>
    </row>
    <row r="431">
      <c r="A431" s="33"/>
      <c r="B431" s="33"/>
      <c r="C431" s="33"/>
      <c r="D431" s="43"/>
      <c r="E431" s="33"/>
      <c r="F431" s="33"/>
      <c r="G431" s="33"/>
      <c r="H431" s="33"/>
      <c r="I431" s="33"/>
      <c r="J431" s="33"/>
      <c r="K431" s="33"/>
      <c r="L431" s="33"/>
      <c r="M431" s="43"/>
      <c r="N431" s="43"/>
      <c r="O431" s="33"/>
      <c r="P431" s="33"/>
      <c r="Q431" s="33"/>
      <c r="R431" s="33"/>
      <c r="S431" s="33"/>
      <c r="T431" s="33"/>
      <c r="U431" s="33"/>
      <c r="V431" s="33"/>
      <c r="W431" s="33"/>
      <c r="X431" s="33"/>
      <c r="Y431" s="33"/>
      <c r="Z431" s="33"/>
      <c r="AA431" s="33"/>
      <c r="AB431" s="33"/>
    </row>
    <row r="432">
      <c r="A432" s="33"/>
      <c r="B432" s="33"/>
      <c r="C432" s="33"/>
      <c r="D432" s="43"/>
      <c r="E432" s="33"/>
      <c r="F432" s="33"/>
      <c r="G432" s="33"/>
      <c r="H432" s="33"/>
      <c r="I432" s="33"/>
      <c r="J432" s="33"/>
      <c r="K432" s="33"/>
      <c r="L432" s="33"/>
      <c r="M432" s="43"/>
      <c r="N432" s="43"/>
      <c r="O432" s="33"/>
      <c r="P432" s="33"/>
      <c r="Q432" s="33"/>
      <c r="R432" s="33"/>
      <c r="S432" s="33"/>
      <c r="T432" s="33"/>
      <c r="U432" s="33"/>
      <c r="V432" s="33"/>
      <c r="W432" s="33"/>
      <c r="X432" s="33"/>
      <c r="Y432" s="33"/>
      <c r="Z432" s="33"/>
      <c r="AA432" s="33"/>
      <c r="AB432" s="33"/>
    </row>
    <row r="433">
      <c r="A433" s="33"/>
      <c r="B433" s="33"/>
      <c r="C433" s="33"/>
      <c r="D433" s="43"/>
      <c r="E433" s="33"/>
      <c r="F433" s="33"/>
      <c r="G433" s="33"/>
      <c r="H433" s="33"/>
      <c r="I433" s="33"/>
      <c r="J433" s="33"/>
      <c r="K433" s="33"/>
      <c r="L433" s="33"/>
      <c r="M433" s="43"/>
      <c r="N433" s="43"/>
      <c r="O433" s="33"/>
      <c r="P433" s="33"/>
      <c r="Q433" s="33"/>
      <c r="R433" s="33"/>
      <c r="S433" s="33"/>
      <c r="T433" s="33"/>
      <c r="U433" s="33"/>
      <c r="V433" s="33"/>
      <c r="W433" s="33"/>
      <c r="X433" s="33"/>
      <c r="Y433" s="33"/>
      <c r="Z433" s="33"/>
      <c r="AA433" s="33"/>
      <c r="AB433" s="33"/>
    </row>
    <row r="434">
      <c r="A434" s="33"/>
      <c r="B434" s="33"/>
      <c r="C434" s="33"/>
      <c r="D434" s="43"/>
      <c r="E434" s="33"/>
      <c r="F434" s="33"/>
      <c r="G434" s="33"/>
      <c r="H434" s="33"/>
      <c r="I434" s="33"/>
      <c r="J434" s="33"/>
      <c r="K434" s="33"/>
      <c r="L434" s="33"/>
      <c r="M434" s="43"/>
      <c r="N434" s="43"/>
      <c r="O434" s="33"/>
      <c r="P434" s="33"/>
      <c r="Q434" s="33"/>
      <c r="R434" s="33"/>
      <c r="S434" s="33"/>
      <c r="T434" s="33"/>
      <c r="U434" s="33"/>
      <c r="V434" s="33"/>
      <c r="W434" s="33"/>
      <c r="X434" s="33"/>
      <c r="Y434" s="33"/>
      <c r="Z434" s="33"/>
      <c r="AA434" s="33"/>
      <c r="AB434" s="33"/>
    </row>
    <row r="435">
      <c r="A435" s="33"/>
      <c r="B435" s="33"/>
      <c r="C435" s="33"/>
      <c r="D435" s="43"/>
      <c r="E435" s="33"/>
      <c r="F435" s="33"/>
      <c r="G435" s="33"/>
      <c r="H435" s="33"/>
      <c r="I435" s="33"/>
      <c r="J435" s="33"/>
      <c r="K435" s="33"/>
      <c r="L435" s="33"/>
      <c r="M435" s="43"/>
      <c r="N435" s="43"/>
      <c r="O435" s="33"/>
      <c r="P435" s="33"/>
      <c r="Q435" s="33"/>
      <c r="R435" s="33"/>
      <c r="S435" s="33"/>
      <c r="T435" s="33"/>
      <c r="U435" s="33"/>
      <c r="V435" s="33"/>
      <c r="W435" s="33"/>
      <c r="X435" s="33"/>
      <c r="Y435" s="33"/>
      <c r="Z435" s="33"/>
      <c r="AA435" s="33"/>
      <c r="AB435" s="33"/>
    </row>
    <row r="436">
      <c r="A436" s="33"/>
      <c r="B436" s="33"/>
      <c r="C436" s="33"/>
      <c r="D436" s="43"/>
      <c r="E436" s="33"/>
      <c r="F436" s="33"/>
      <c r="G436" s="33"/>
      <c r="H436" s="33"/>
      <c r="I436" s="33"/>
      <c r="J436" s="33"/>
      <c r="K436" s="33"/>
      <c r="L436" s="33"/>
      <c r="M436" s="43"/>
      <c r="N436" s="43"/>
      <c r="O436" s="33"/>
      <c r="P436" s="33"/>
      <c r="Q436" s="33"/>
      <c r="R436" s="33"/>
      <c r="S436" s="33"/>
      <c r="T436" s="33"/>
      <c r="U436" s="33"/>
      <c r="V436" s="33"/>
      <c r="W436" s="33"/>
      <c r="X436" s="33"/>
      <c r="Y436" s="33"/>
      <c r="Z436" s="33"/>
      <c r="AA436" s="33"/>
      <c r="AB436" s="33"/>
    </row>
    <row r="437">
      <c r="A437" s="33"/>
      <c r="B437" s="33"/>
      <c r="C437" s="33"/>
      <c r="D437" s="43"/>
      <c r="E437" s="33"/>
      <c r="F437" s="33"/>
      <c r="G437" s="33"/>
      <c r="H437" s="33"/>
      <c r="I437" s="33"/>
      <c r="J437" s="33"/>
      <c r="K437" s="33"/>
      <c r="L437" s="33"/>
      <c r="M437" s="43"/>
      <c r="N437" s="43"/>
      <c r="O437" s="33"/>
      <c r="P437" s="33"/>
      <c r="Q437" s="33"/>
      <c r="R437" s="33"/>
      <c r="S437" s="33"/>
      <c r="T437" s="33"/>
      <c r="U437" s="33"/>
      <c r="V437" s="33"/>
      <c r="W437" s="33"/>
      <c r="X437" s="33"/>
      <c r="Y437" s="33"/>
      <c r="Z437" s="33"/>
      <c r="AA437" s="33"/>
      <c r="AB437" s="33"/>
    </row>
    <row r="438">
      <c r="A438" s="33"/>
      <c r="B438" s="33"/>
      <c r="C438" s="33"/>
      <c r="D438" s="43"/>
      <c r="E438" s="33"/>
      <c r="F438" s="33"/>
      <c r="G438" s="33"/>
      <c r="H438" s="33"/>
      <c r="I438" s="33"/>
      <c r="J438" s="33"/>
      <c r="K438" s="33"/>
      <c r="L438" s="33"/>
      <c r="M438" s="43"/>
      <c r="N438" s="43"/>
      <c r="O438" s="33"/>
      <c r="P438" s="33"/>
      <c r="Q438" s="33"/>
      <c r="R438" s="33"/>
      <c r="S438" s="33"/>
      <c r="T438" s="33"/>
      <c r="U438" s="33"/>
      <c r="V438" s="33"/>
      <c r="W438" s="33"/>
      <c r="X438" s="33"/>
      <c r="Y438" s="33"/>
      <c r="Z438" s="33"/>
      <c r="AA438" s="33"/>
      <c r="AB438" s="33"/>
    </row>
    <row r="439">
      <c r="A439" s="33"/>
      <c r="B439" s="33"/>
      <c r="C439" s="33"/>
      <c r="D439" s="43"/>
      <c r="E439" s="33"/>
      <c r="F439" s="33"/>
      <c r="G439" s="33"/>
      <c r="H439" s="33"/>
      <c r="I439" s="33"/>
      <c r="J439" s="33"/>
      <c r="K439" s="33"/>
      <c r="L439" s="33"/>
      <c r="M439" s="43"/>
      <c r="N439" s="43"/>
      <c r="O439" s="33"/>
      <c r="P439" s="33"/>
      <c r="Q439" s="33"/>
      <c r="R439" s="33"/>
      <c r="S439" s="33"/>
      <c r="T439" s="33"/>
      <c r="U439" s="33"/>
      <c r="V439" s="33"/>
      <c r="W439" s="33"/>
      <c r="X439" s="33"/>
      <c r="Y439" s="33"/>
      <c r="Z439" s="33"/>
      <c r="AA439" s="33"/>
      <c r="AB439" s="33"/>
    </row>
    <row r="440">
      <c r="A440" s="33"/>
      <c r="B440" s="33"/>
      <c r="C440" s="33"/>
      <c r="D440" s="43"/>
      <c r="E440" s="33"/>
      <c r="F440" s="33"/>
      <c r="G440" s="33"/>
      <c r="H440" s="33"/>
      <c r="I440" s="33"/>
      <c r="J440" s="33"/>
      <c r="K440" s="33"/>
      <c r="L440" s="33"/>
      <c r="M440" s="43"/>
      <c r="N440" s="43"/>
      <c r="O440" s="33"/>
      <c r="P440" s="33"/>
      <c r="Q440" s="33"/>
      <c r="R440" s="33"/>
      <c r="S440" s="33"/>
      <c r="T440" s="33"/>
      <c r="U440" s="33"/>
      <c r="V440" s="33"/>
      <c r="W440" s="33"/>
      <c r="X440" s="33"/>
      <c r="Y440" s="33"/>
      <c r="Z440" s="33"/>
      <c r="AA440" s="33"/>
      <c r="AB440" s="33"/>
    </row>
    <row r="441">
      <c r="A441" s="33"/>
      <c r="B441" s="33"/>
      <c r="C441" s="33"/>
      <c r="D441" s="43"/>
      <c r="E441" s="33"/>
      <c r="F441" s="33"/>
      <c r="G441" s="33"/>
      <c r="H441" s="33"/>
      <c r="I441" s="33"/>
      <c r="J441" s="33"/>
      <c r="K441" s="33"/>
      <c r="L441" s="33"/>
      <c r="M441" s="43"/>
      <c r="N441" s="43"/>
      <c r="O441" s="33"/>
      <c r="P441" s="33"/>
      <c r="Q441" s="33"/>
      <c r="R441" s="33"/>
      <c r="S441" s="33"/>
      <c r="T441" s="33"/>
      <c r="U441" s="33"/>
      <c r="V441" s="33"/>
      <c r="W441" s="33"/>
      <c r="X441" s="33"/>
      <c r="Y441" s="33"/>
      <c r="Z441" s="33"/>
      <c r="AA441" s="33"/>
      <c r="AB441" s="33"/>
    </row>
    <row r="442">
      <c r="A442" s="33"/>
      <c r="B442" s="33"/>
      <c r="C442" s="33"/>
      <c r="D442" s="43"/>
      <c r="E442" s="33"/>
      <c r="F442" s="33"/>
      <c r="G442" s="33"/>
      <c r="H442" s="33"/>
      <c r="I442" s="33"/>
      <c r="J442" s="33"/>
      <c r="K442" s="33"/>
      <c r="L442" s="33"/>
      <c r="M442" s="43"/>
      <c r="N442" s="43"/>
      <c r="O442" s="33"/>
      <c r="P442" s="33"/>
      <c r="Q442" s="33"/>
      <c r="R442" s="33"/>
      <c r="S442" s="33"/>
      <c r="T442" s="33"/>
      <c r="U442" s="33"/>
      <c r="V442" s="33"/>
      <c r="W442" s="33"/>
      <c r="X442" s="33"/>
      <c r="Y442" s="33"/>
      <c r="Z442" s="33"/>
      <c r="AA442" s="33"/>
      <c r="AB442" s="33"/>
    </row>
    <row r="443">
      <c r="A443" s="33"/>
      <c r="B443" s="33"/>
      <c r="C443" s="33"/>
      <c r="D443" s="43"/>
      <c r="E443" s="33"/>
      <c r="F443" s="33"/>
      <c r="G443" s="33"/>
      <c r="H443" s="33"/>
      <c r="I443" s="33"/>
      <c r="J443" s="33"/>
      <c r="K443" s="33"/>
      <c r="L443" s="33"/>
      <c r="M443" s="43"/>
      <c r="N443" s="43"/>
      <c r="O443" s="33"/>
      <c r="P443" s="33"/>
      <c r="Q443" s="33"/>
      <c r="R443" s="33"/>
      <c r="S443" s="33"/>
      <c r="T443" s="33"/>
      <c r="U443" s="33"/>
      <c r="V443" s="33"/>
      <c r="W443" s="33"/>
      <c r="X443" s="33"/>
      <c r="Y443" s="33"/>
      <c r="Z443" s="33"/>
      <c r="AA443" s="33"/>
      <c r="AB443" s="33"/>
    </row>
    <row r="444">
      <c r="A444" s="33"/>
      <c r="B444" s="33"/>
      <c r="C444" s="33"/>
      <c r="D444" s="43"/>
      <c r="E444" s="33"/>
      <c r="F444" s="33"/>
      <c r="G444" s="33"/>
      <c r="H444" s="33"/>
      <c r="I444" s="33"/>
      <c r="J444" s="33"/>
      <c r="K444" s="33"/>
      <c r="L444" s="33"/>
      <c r="M444" s="43"/>
      <c r="N444" s="43"/>
      <c r="O444" s="33"/>
      <c r="P444" s="33"/>
      <c r="Q444" s="33"/>
      <c r="R444" s="33"/>
      <c r="S444" s="33"/>
      <c r="T444" s="33"/>
      <c r="U444" s="33"/>
      <c r="V444" s="33"/>
      <c r="W444" s="33"/>
      <c r="X444" s="33"/>
      <c r="Y444" s="33"/>
      <c r="Z444" s="33"/>
      <c r="AA444" s="33"/>
      <c r="AB444" s="33"/>
    </row>
    <row r="445">
      <c r="A445" s="33"/>
      <c r="B445" s="33"/>
      <c r="C445" s="33"/>
      <c r="D445" s="43"/>
      <c r="E445" s="33"/>
      <c r="F445" s="33"/>
      <c r="G445" s="33"/>
      <c r="H445" s="33"/>
      <c r="I445" s="33"/>
      <c r="J445" s="33"/>
      <c r="K445" s="33"/>
      <c r="L445" s="33"/>
      <c r="M445" s="43"/>
      <c r="N445" s="43"/>
      <c r="O445" s="33"/>
      <c r="P445" s="33"/>
      <c r="Q445" s="33"/>
      <c r="R445" s="33"/>
      <c r="S445" s="33"/>
      <c r="T445" s="33"/>
      <c r="U445" s="33"/>
      <c r="V445" s="33"/>
      <c r="W445" s="33"/>
      <c r="X445" s="33"/>
      <c r="Y445" s="33"/>
      <c r="Z445" s="33"/>
      <c r="AA445" s="33"/>
      <c r="AB445" s="33"/>
    </row>
    <row r="446">
      <c r="A446" s="33"/>
      <c r="B446" s="33"/>
      <c r="C446" s="33"/>
      <c r="D446" s="43"/>
      <c r="E446" s="33"/>
      <c r="F446" s="33"/>
      <c r="G446" s="33"/>
      <c r="H446" s="33"/>
      <c r="I446" s="33"/>
      <c r="J446" s="33"/>
      <c r="K446" s="33"/>
      <c r="L446" s="33"/>
      <c r="M446" s="43"/>
      <c r="N446" s="43"/>
      <c r="O446" s="33"/>
      <c r="P446" s="33"/>
      <c r="Q446" s="33"/>
      <c r="R446" s="33"/>
      <c r="S446" s="33"/>
      <c r="T446" s="33"/>
      <c r="U446" s="33"/>
      <c r="V446" s="33"/>
      <c r="W446" s="33"/>
      <c r="X446" s="33"/>
      <c r="Y446" s="33"/>
      <c r="Z446" s="33"/>
      <c r="AA446" s="33"/>
      <c r="AB446" s="33"/>
    </row>
    <row r="447">
      <c r="A447" s="33"/>
      <c r="B447" s="33"/>
      <c r="C447" s="33"/>
      <c r="D447" s="43"/>
      <c r="E447" s="33"/>
      <c r="F447" s="33"/>
      <c r="G447" s="33"/>
      <c r="H447" s="33"/>
      <c r="I447" s="33"/>
      <c r="J447" s="33"/>
      <c r="K447" s="33"/>
      <c r="L447" s="33"/>
      <c r="M447" s="43"/>
      <c r="N447" s="43"/>
      <c r="O447" s="33"/>
      <c r="P447" s="33"/>
      <c r="Q447" s="33"/>
      <c r="R447" s="33"/>
      <c r="S447" s="33"/>
      <c r="T447" s="33"/>
      <c r="U447" s="33"/>
      <c r="V447" s="33"/>
      <c r="W447" s="33"/>
      <c r="X447" s="33"/>
      <c r="Y447" s="33"/>
      <c r="Z447" s="33"/>
      <c r="AA447" s="33"/>
      <c r="AB447" s="33"/>
    </row>
    <row r="448">
      <c r="A448" s="33"/>
      <c r="B448" s="33"/>
      <c r="C448" s="33"/>
      <c r="D448" s="43"/>
      <c r="E448" s="33"/>
      <c r="F448" s="33"/>
      <c r="G448" s="33"/>
      <c r="H448" s="33"/>
      <c r="I448" s="33"/>
      <c r="J448" s="33"/>
      <c r="K448" s="33"/>
      <c r="L448" s="33"/>
      <c r="M448" s="43"/>
      <c r="N448" s="43"/>
      <c r="O448" s="33"/>
      <c r="P448" s="33"/>
      <c r="Q448" s="33"/>
      <c r="R448" s="33"/>
      <c r="S448" s="33"/>
      <c r="T448" s="33"/>
      <c r="U448" s="33"/>
      <c r="V448" s="33"/>
      <c r="W448" s="33"/>
      <c r="X448" s="33"/>
      <c r="Y448" s="33"/>
      <c r="Z448" s="33"/>
      <c r="AA448" s="33"/>
      <c r="AB448" s="33"/>
    </row>
    <row r="449">
      <c r="A449" s="33"/>
      <c r="B449" s="33"/>
      <c r="C449" s="33"/>
      <c r="D449" s="43"/>
      <c r="E449" s="33"/>
      <c r="F449" s="33"/>
      <c r="G449" s="33"/>
      <c r="H449" s="33"/>
      <c r="I449" s="33"/>
      <c r="J449" s="33"/>
      <c r="K449" s="33"/>
      <c r="L449" s="33"/>
      <c r="M449" s="43"/>
      <c r="N449" s="43"/>
      <c r="O449" s="33"/>
      <c r="P449" s="33"/>
      <c r="Q449" s="33"/>
      <c r="R449" s="33"/>
      <c r="S449" s="33"/>
      <c r="T449" s="33"/>
      <c r="U449" s="33"/>
      <c r="V449" s="33"/>
      <c r="W449" s="33"/>
      <c r="X449" s="33"/>
      <c r="Y449" s="33"/>
      <c r="Z449" s="33"/>
      <c r="AA449" s="33"/>
      <c r="AB449" s="33"/>
    </row>
    <row r="450">
      <c r="A450" s="33"/>
      <c r="B450" s="33"/>
      <c r="C450" s="33"/>
      <c r="D450" s="43"/>
      <c r="E450" s="33"/>
      <c r="F450" s="33"/>
      <c r="G450" s="33"/>
      <c r="H450" s="33"/>
      <c r="I450" s="33"/>
      <c r="J450" s="33"/>
      <c r="K450" s="33"/>
      <c r="L450" s="33"/>
      <c r="M450" s="43"/>
      <c r="N450" s="43"/>
      <c r="O450" s="33"/>
      <c r="P450" s="33"/>
      <c r="Q450" s="33"/>
      <c r="R450" s="33"/>
      <c r="S450" s="33"/>
      <c r="T450" s="33"/>
      <c r="U450" s="33"/>
      <c r="V450" s="33"/>
      <c r="W450" s="33"/>
      <c r="X450" s="33"/>
      <c r="Y450" s="33"/>
      <c r="Z450" s="33"/>
      <c r="AA450" s="33"/>
      <c r="AB450" s="33"/>
    </row>
    <row r="451">
      <c r="A451" s="33"/>
      <c r="B451" s="33"/>
      <c r="C451" s="33"/>
      <c r="D451" s="43"/>
      <c r="E451" s="33"/>
      <c r="F451" s="33"/>
      <c r="G451" s="33"/>
      <c r="H451" s="33"/>
      <c r="I451" s="33"/>
      <c r="J451" s="33"/>
      <c r="K451" s="33"/>
      <c r="L451" s="33"/>
      <c r="M451" s="43"/>
      <c r="N451" s="43"/>
      <c r="O451" s="33"/>
      <c r="P451" s="33"/>
      <c r="Q451" s="33"/>
      <c r="R451" s="33"/>
      <c r="S451" s="33"/>
      <c r="T451" s="33"/>
      <c r="U451" s="33"/>
      <c r="V451" s="33"/>
      <c r="W451" s="33"/>
      <c r="X451" s="33"/>
      <c r="Y451" s="33"/>
      <c r="Z451" s="33"/>
      <c r="AA451" s="33"/>
      <c r="AB451" s="33"/>
    </row>
    <row r="452">
      <c r="A452" s="33"/>
      <c r="B452" s="33"/>
      <c r="C452" s="33"/>
      <c r="D452" s="43"/>
      <c r="E452" s="33"/>
      <c r="F452" s="33"/>
      <c r="G452" s="33"/>
      <c r="H452" s="33"/>
      <c r="I452" s="33"/>
      <c r="J452" s="33"/>
      <c r="K452" s="33"/>
      <c r="L452" s="33"/>
      <c r="M452" s="43"/>
      <c r="N452" s="43"/>
      <c r="O452" s="33"/>
      <c r="P452" s="33"/>
      <c r="Q452" s="33"/>
      <c r="R452" s="33"/>
      <c r="S452" s="33"/>
      <c r="T452" s="33"/>
      <c r="U452" s="33"/>
      <c r="V452" s="33"/>
      <c r="W452" s="33"/>
      <c r="X452" s="33"/>
      <c r="Y452" s="33"/>
      <c r="Z452" s="33"/>
      <c r="AA452" s="33"/>
      <c r="AB452" s="33"/>
    </row>
    <row r="453">
      <c r="A453" s="33"/>
      <c r="B453" s="33"/>
      <c r="C453" s="33"/>
      <c r="D453" s="43"/>
      <c r="E453" s="33"/>
      <c r="F453" s="33"/>
      <c r="G453" s="33"/>
      <c r="H453" s="33"/>
      <c r="I453" s="33"/>
      <c r="J453" s="33"/>
      <c r="K453" s="33"/>
      <c r="L453" s="33"/>
      <c r="M453" s="43"/>
      <c r="N453" s="43"/>
      <c r="O453" s="33"/>
      <c r="P453" s="33"/>
      <c r="Q453" s="33"/>
      <c r="R453" s="33"/>
      <c r="S453" s="33"/>
      <c r="T453" s="33"/>
      <c r="U453" s="33"/>
      <c r="V453" s="33"/>
      <c r="W453" s="33"/>
      <c r="X453" s="33"/>
      <c r="Y453" s="33"/>
      <c r="Z453" s="33"/>
      <c r="AA453" s="33"/>
      <c r="AB453" s="33"/>
    </row>
    <row r="454">
      <c r="A454" s="33"/>
      <c r="B454" s="33"/>
      <c r="C454" s="33"/>
      <c r="D454" s="43"/>
      <c r="E454" s="33"/>
      <c r="F454" s="33"/>
      <c r="G454" s="33"/>
      <c r="H454" s="33"/>
      <c r="I454" s="33"/>
      <c r="J454" s="33"/>
      <c r="K454" s="33"/>
      <c r="L454" s="33"/>
      <c r="M454" s="43"/>
      <c r="N454" s="43"/>
      <c r="O454" s="33"/>
      <c r="P454" s="33"/>
      <c r="Q454" s="33"/>
      <c r="R454" s="33"/>
      <c r="S454" s="33"/>
      <c r="T454" s="33"/>
      <c r="U454" s="33"/>
      <c r="V454" s="33"/>
      <c r="W454" s="33"/>
      <c r="X454" s="33"/>
      <c r="Y454" s="33"/>
      <c r="Z454" s="33"/>
      <c r="AA454" s="33"/>
      <c r="AB454" s="33"/>
    </row>
    <row r="455">
      <c r="A455" s="33"/>
      <c r="B455" s="33"/>
      <c r="C455" s="33"/>
      <c r="D455" s="43"/>
      <c r="E455" s="33"/>
      <c r="F455" s="33"/>
      <c r="G455" s="33"/>
      <c r="H455" s="33"/>
      <c r="I455" s="33"/>
      <c r="J455" s="33"/>
      <c r="K455" s="33"/>
      <c r="L455" s="33"/>
      <c r="M455" s="43"/>
      <c r="N455" s="43"/>
      <c r="O455" s="33"/>
      <c r="P455" s="33"/>
      <c r="Q455" s="33"/>
      <c r="R455" s="33"/>
      <c r="S455" s="33"/>
      <c r="T455" s="33"/>
      <c r="U455" s="33"/>
      <c r="V455" s="33"/>
      <c r="W455" s="33"/>
      <c r="X455" s="33"/>
      <c r="Y455" s="33"/>
      <c r="Z455" s="33"/>
      <c r="AA455" s="33"/>
      <c r="AB455" s="33"/>
    </row>
    <row r="456">
      <c r="A456" s="33"/>
      <c r="B456" s="33"/>
      <c r="C456" s="33"/>
      <c r="D456" s="43"/>
      <c r="E456" s="33"/>
      <c r="F456" s="33"/>
      <c r="G456" s="33"/>
      <c r="H456" s="33"/>
      <c r="I456" s="33"/>
      <c r="J456" s="33"/>
      <c r="K456" s="33"/>
      <c r="L456" s="33"/>
      <c r="M456" s="43"/>
      <c r="N456" s="43"/>
      <c r="O456" s="33"/>
      <c r="P456" s="33"/>
      <c r="Q456" s="33"/>
      <c r="R456" s="33"/>
      <c r="S456" s="33"/>
      <c r="T456" s="33"/>
      <c r="U456" s="33"/>
      <c r="V456" s="33"/>
      <c r="W456" s="33"/>
      <c r="X456" s="33"/>
      <c r="Y456" s="33"/>
      <c r="Z456" s="33"/>
      <c r="AA456" s="33"/>
      <c r="AB456" s="33"/>
    </row>
    <row r="457">
      <c r="A457" s="33"/>
      <c r="B457" s="33"/>
      <c r="C457" s="33"/>
      <c r="D457" s="43"/>
      <c r="E457" s="33"/>
      <c r="F457" s="33"/>
      <c r="G457" s="33"/>
      <c r="H457" s="33"/>
      <c r="I457" s="33"/>
      <c r="J457" s="33"/>
      <c r="K457" s="33"/>
      <c r="L457" s="33"/>
      <c r="M457" s="43"/>
      <c r="N457" s="43"/>
      <c r="O457" s="33"/>
      <c r="P457" s="33"/>
      <c r="Q457" s="33"/>
      <c r="R457" s="33"/>
      <c r="S457" s="33"/>
      <c r="T457" s="33"/>
      <c r="U457" s="33"/>
      <c r="V457" s="33"/>
      <c r="W457" s="33"/>
      <c r="X457" s="33"/>
      <c r="Y457" s="33"/>
      <c r="Z457" s="33"/>
      <c r="AA457" s="33"/>
      <c r="AB457" s="33"/>
    </row>
    <row r="458">
      <c r="A458" s="33"/>
      <c r="B458" s="33"/>
      <c r="C458" s="33"/>
      <c r="D458" s="43"/>
      <c r="E458" s="33"/>
      <c r="F458" s="33"/>
      <c r="G458" s="33"/>
      <c r="H458" s="33"/>
      <c r="I458" s="33"/>
      <c r="J458" s="33"/>
      <c r="K458" s="33"/>
      <c r="L458" s="33"/>
      <c r="M458" s="43"/>
      <c r="N458" s="43"/>
      <c r="O458" s="33"/>
      <c r="P458" s="33"/>
      <c r="Q458" s="33"/>
      <c r="R458" s="33"/>
      <c r="S458" s="33"/>
      <c r="T458" s="33"/>
      <c r="U458" s="33"/>
      <c r="V458" s="33"/>
      <c r="W458" s="33"/>
      <c r="X458" s="33"/>
      <c r="Y458" s="33"/>
      <c r="Z458" s="33"/>
      <c r="AA458" s="33"/>
      <c r="AB458" s="33"/>
    </row>
    <row r="459">
      <c r="A459" s="33"/>
      <c r="B459" s="33"/>
      <c r="C459" s="33"/>
      <c r="D459" s="43"/>
      <c r="E459" s="33"/>
      <c r="F459" s="33"/>
      <c r="G459" s="33"/>
      <c r="H459" s="33"/>
      <c r="I459" s="33"/>
      <c r="J459" s="33"/>
      <c r="K459" s="33"/>
      <c r="L459" s="33"/>
      <c r="M459" s="43"/>
      <c r="N459" s="43"/>
      <c r="O459" s="33"/>
      <c r="P459" s="33"/>
      <c r="Q459" s="33"/>
      <c r="R459" s="33"/>
      <c r="S459" s="33"/>
      <c r="T459" s="33"/>
      <c r="U459" s="33"/>
      <c r="V459" s="33"/>
      <c r="W459" s="33"/>
      <c r="X459" s="33"/>
      <c r="Y459" s="33"/>
      <c r="Z459" s="33"/>
      <c r="AA459" s="33"/>
      <c r="AB459" s="33"/>
    </row>
    <row r="460">
      <c r="A460" s="33"/>
      <c r="B460" s="33"/>
      <c r="C460" s="33"/>
      <c r="D460" s="43"/>
      <c r="E460" s="33"/>
      <c r="F460" s="33"/>
      <c r="G460" s="33"/>
      <c r="H460" s="33"/>
      <c r="I460" s="33"/>
      <c r="J460" s="33"/>
      <c r="K460" s="33"/>
      <c r="L460" s="33"/>
      <c r="M460" s="43"/>
      <c r="N460" s="43"/>
      <c r="O460" s="33"/>
      <c r="P460" s="33"/>
      <c r="Q460" s="33"/>
      <c r="R460" s="33"/>
      <c r="S460" s="33"/>
      <c r="T460" s="33"/>
      <c r="U460" s="33"/>
      <c r="V460" s="33"/>
      <c r="W460" s="33"/>
      <c r="X460" s="33"/>
      <c r="Y460" s="33"/>
      <c r="Z460" s="33"/>
      <c r="AA460" s="33"/>
      <c r="AB460" s="33"/>
    </row>
    <row r="461">
      <c r="A461" s="33"/>
      <c r="B461" s="33"/>
      <c r="C461" s="33"/>
      <c r="D461" s="43"/>
      <c r="E461" s="33"/>
      <c r="F461" s="33"/>
      <c r="G461" s="33"/>
      <c r="H461" s="33"/>
      <c r="I461" s="33"/>
      <c r="J461" s="33"/>
      <c r="K461" s="33"/>
      <c r="L461" s="33"/>
      <c r="M461" s="43"/>
      <c r="N461" s="43"/>
      <c r="O461" s="33"/>
      <c r="P461" s="33"/>
      <c r="Q461" s="33"/>
      <c r="R461" s="33"/>
      <c r="S461" s="33"/>
      <c r="T461" s="33"/>
      <c r="U461" s="33"/>
      <c r="V461" s="33"/>
      <c r="W461" s="33"/>
      <c r="X461" s="33"/>
      <c r="Y461" s="33"/>
      <c r="Z461" s="33"/>
      <c r="AA461" s="33"/>
      <c r="AB461" s="33"/>
    </row>
    <row r="462">
      <c r="A462" s="33"/>
      <c r="B462" s="33"/>
      <c r="C462" s="33"/>
      <c r="D462" s="43"/>
      <c r="E462" s="33"/>
      <c r="F462" s="33"/>
      <c r="G462" s="33"/>
      <c r="H462" s="33"/>
      <c r="I462" s="33"/>
      <c r="J462" s="33"/>
      <c r="K462" s="33"/>
      <c r="L462" s="33"/>
      <c r="M462" s="43"/>
      <c r="N462" s="43"/>
      <c r="O462" s="33"/>
      <c r="P462" s="33"/>
      <c r="Q462" s="33"/>
      <c r="R462" s="33"/>
      <c r="S462" s="33"/>
      <c r="T462" s="33"/>
      <c r="U462" s="33"/>
      <c r="V462" s="33"/>
      <c r="W462" s="33"/>
      <c r="X462" s="33"/>
      <c r="Y462" s="33"/>
      <c r="Z462" s="33"/>
      <c r="AA462" s="33"/>
      <c r="AB462" s="33"/>
    </row>
    <row r="463">
      <c r="A463" s="33"/>
      <c r="B463" s="33"/>
      <c r="C463" s="33"/>
      <c r="D463" s="43"/>
      <c r="E463" s="33"/>
      <c r="F463" s="33"/>
      <c r="G463" s="33"/>
      <c r="H463" s="33"/>
      <c r="I463" s="33"/>
      <c r="J463" s="33"/>
      <c r="K463" s="33"/>
      <c r="L463" s="33"/>
      <c r="M463" s="43"/>
      <c r="N463" s="43"/>
      <c r="O463" s="33"/>
      <c r="P463" s="33"/>
      <c r="Q463" s="33"/>
      <c r="R463" s="33"/>
      <c r="S463" s="33"/>
      <c r="T463" s="33"/>
      <c r="U463" s="33"/>
      <c r="V463" s="33"/>
      <c r="W463" s="33"/>
      <c r="X463" s="33"/>
      <c r="Y463" s="33"/>
      <c r="Z463" s="33"/>
      <c r="AA463" s="33"/>
      <c r="AB463" s="33"/>
    </row>
    <row r="464">
      <c r="A464" s="33"/>
      <c r="B464" s="33"/>
      <c r="C464" s="33"/>
      <c r="D464" s="43"/>
      <c r="E464" s="33"/>
      <c r="F464" s="33"/>
      <c r="G464" s="33"/>
      <c r="H464" s="33"/>
      <c r="I464" s="33"/>
      <c r="J464" s="33"/>
      <c r="K464" s="33"/>
      <c r="L464" s="33"/>
      <c r="M464" s="43"/>
      <c r="N464" s="43"/>
      <c r="O464" s="33"/>
      <c r="P464" s="33"/>
      <c r="Q464" s="33"/>
      <c r="R464" s="33"/>
      <c r="S464" s="33"/>
      <c r="T464" s="33"/>
      <c r="U464" s="33"/>
      <c r="V464" s="33"/>
      <c r="W464" s="33"/>
      <c r="X464" s="33"/>
      <c r="Y464" s="33"/>
      <c r="Z464" s="33"/>
      <c r="AA464" s="33"/>
      <c r="AB464" s="33"/>
    </row>
    <row r="465">
      <c r="A465" s="33"/>
      <c r="B465" s="33"/>
      <c r="C465" s="33"/>
      <c r="D465" s="43"/>
      <c r="E465" s="33"/>
      <c r="F465" s="33"/>
      <c r="G465" s="33"/>
      <c r="H465" s="33"/>
      <c r="I465" s="33"/>
      <c r="J465" s="33"/>
      <c r="K465" s="33"/>
      <c r="L465" s="33"/>
      <c r="M465" s="43"/>
      <c r="N465" s="43"/>
      <c r="O465" s="33"/>
      <c r="P465" s="33"/>
      <c r="Q465" s="33"/>
      <c r="R465" s="33"/>
      <c r="S465" s="33"/>
      <c r="T465" s="33"/>
      <c r="U465" s="33"/>
      <c r="V465" s="33"/>
      <c r="W465" s="33"/>
      <c r="X465" s="33"/>
      <c r="Y465" s="33"/>
      <c r="Z465" s="33"/>
      <c r="AA465" s="33"/>
      <c r="AB465" s="33"/>
    </row>
    <row r="466">
      <c r="A466" s="33"/>
      <c r="B466" s="33"/>
      <c r="C466" s="33"/>
      <c r="D466" s="43"/>
      <c r="E466" s="33"/>
      <c r="F466" s="33"/>
      <c r="G466" s="33"/>
      <c r="H466" s="33"/>
      <c r="I466" s="33"/>
      <c r="J466" s="33"/>
      <c r="K466" s="33"/>
      <c r="L466" s="33"/>
      <c r="M466" s="43"/>
      <c r="N466" s="43"/>
      <c r="O466" s="33"/>
      <c r="P466" s="33"/>
      <c r="Q466" s="33"/>
      <c r="R466" s="33"/>
      <c r="S466" s="33"/>
      <c r="T466" s="33"/>
      <c r="U466" s="33"/>
      <c r="V466" s="33"/>
      <c r="W466" s="33"/>
      <c r="X466" s="33"/>
      <c r="Y466" s="33"/>
      <c r="Z466" s="33"/>
      <c r="AA466" s="33"/>
      <c r="AB466" s="33"/>
    </row>
    <row r="467">
      <c r="A467" s="33"/>
      <c r="B467" s="33"/>
      <c r="C467" s="33"/>
      <c r="D467" s="43"/>
      <c r="E467" s="33"/>
      <c r="F467" s="33"/>
      <c r="G467" s="33"/>
      <c r="H467" s="33"/>
      <c r="I467" s="33"/>
      <c r="J467" s="33"/>
      <c r="K467" s="33"/>
      <c r="L467" s="33"/>
      <c r="M467" s="43"/>
      <c r="N467" s="43"/>
      <c r="O467" s="33"/>
      <c r="P467" s="33"/>
      <c r="Q467" s="33"/>
      <c r="R467" s="33"/>
      <c r="S467" s="33"/>
      <c r="T467" s="33"/>
      <c r="U467" s="33"/>
      <c r="V467" s="33"/>
      <c r="W467" s="33"/>
      <c r="X467" s="33"/>
      <c r="Y467" s="33"/>
      <c r="Z467" s="33"/>
      <c r="AA467" s="33"/>
      <c r="AB467" s="33"/>
    </row>
    <row r="468">
      <c r="A468" s="33"/>
      <c r="B468" s="33"/>
      <c r="C468" s="33"/>
      <c r="D468" s="43"/>
      <c r="E468" s="33"/>
      <c r="F468" s="33"/>
      <c r="G468" s="33"/>
      <c r="H468" s="33"/>
      <c r="I468" s="33"/>
      <c r="J468" s="33"/>
      <c r="K468" s="33"/>
      <c r="L468" s="33"/>
      <c r="M468" s="43"/>
      <c r="N468" s="43"/>
      <c r="O468" s="33"/>
      <c r="P468" s="33"/>
      <c r="Q468" s="33"/>
      <c r="R468" s="33"/>
      <c r="S468" s="33"/>
      <c r="T468" s="33"/>
      <c r="U468" s="33"/>
      <c r="V468" s="33"/>
      <c r="W468" s="33"/>
      <c r="X468" s="33"/>
      <c r="Y468" s="33"/>
      <c r="Z468" s="33"/>
      <c r="AA468" s="33"/>
      <c r="AB468" s="33"/>
    </row>
    <row r="469">
      <c r="A469" s="33"/>
      <c r="B469" s="33"/>
      <c r="C469" s="33"/>
      <c r="D469" s="43"/>
      <c r="E469" s="33"/>
      <c r="F469" s="33"/>
      <c r="G469" s="33"/>
      <c r="H469" s="33"/>
      <c r="I469" s="33"/>
      <c r="J469" s="33"/>
      <c r="K469" s="33"/>
      <c r="L469" s="33"/>
      <c r="M469" s="43"/>
      <c r="N469" s="43"/>
      <c r="O469" s="33"/>
      <c r="P469" s="33"/>
      <c r="Q469" s="33"/>
      <c r="R469" s="33"/>
      <c r="S469" s="33"/>
      <c r="T469" s="33"/>
      <c r="U469" s="33"/>
      <c r="V469" s="33"/>
      <c r="W469" s="33"/>
      <c r="X469" s="33"/>
      <c r="Y469" s="33"/>
      <c r="Z469" s="33"/>
      <c r="AA469" s="33"/>
      <c r="AB469" s="33"/>
    </row>
    <row r="470">
      <c r="A470" s="33"/>
      <c r="B470" s="33"/>
      <c r="C470" s="33"/>
      <c r="D470" s="43"/>
      <c r="E470" s="33"/>
      <c r="F470" s="33"/>
      <c r="G470" s="33"/>
      <c r="H470" s="33"/>
      <c r="I470" s="33"/>
      <c r="J470" s="33"/>
      <c r="K470" s="33"/>
      <c r="L470" s="33"/>
      <c r="M470" s="43"/>
      <c r="N470" s="43"/>
      <c r="O470" s="33"/>
      <c r="P470" s="33"/>
      <c r="Q470" s="33"/>
      <c r="R470" s="33"/>
      <c r="S470" s="33"/>
      <c r="T470" s="33"/>
      <c r="U470" s="33"/>
      <c r="V470" s="33"/>
      <c r="W470" s="33"/>
      <c r="X470" s="33"/>
      <c r="Y470" s="33"/>
      <c r="Z470" s="33"/>
      <c r="AA470" s="33"/>
      <c r="AB470" s="33"/>
    </row>
    <row r="471">
      <c r="A471" s="33"/>
      <c r="B471" s="33"/>
      <c r="C471" s="33"/>
      <c r="D471" s="43"/>
      <c r="E471" s="33"/>
      <c r="F471" s="33"/>
      <c r="G471" s="33"/>
      <c r="H471" s="33"/>
      <c r="I471" s="33"/>
      <c r="J471" s="33"/>
      <c r="K471" s="33"/>
      <c r="L471" s="33"/>
      <c r="M471" s="43"/>
      <c r="N471" s="43"/>
      <c r="O471" s="33"/>
      <c r="P471" s="33"/>
      <c r="Q471" s="33"/>
      <c r="R471" s="33"/>
      <c r="S471" s="33"/>
      <c r="T471" s="33"/>
      <c r="U471" s="33"/>
      <c r="V471" s="33"/>
      <c r="W471" s="33"/>
      <c r="X471" s="33"/>
      <c r="Y471" s="33"/>
      <c r="Z471" s="33"/>
      <c r="AA471" s="33"/>
      <c r="AB471" s="33"/>
    </row>
    <row r="472">
      <c r="A472" s="33"/>
      <c r="B472" s="33"/>
      <c r="C472" s="33"/>
      <c r="D472" s="43"/>
      <c r="E472" s="33"/>
      <c r="F472" s="33"/>
      <c r="G472" s="33"/>
      <c r="H472" s="33"/>
      <c r="I472" s="33"/>
      <c r="J472" s="33"/>
      <c r="K472" s="33"/>
      <c r="L472" s="33"/>
      <c r="M472" s="43"/>
      <c r="N472" s="43"/>
      <c r="O472" s="33"/>
      <c r="P472" s="33"/>
      <c r="Q472" s="33"/>
      <c r="R472" s="33"/>
      <c r="S472" s="33"/>
      <c r="T472" s="33"/>
      <c r="U472" s="33"/>
      <c r="V472" s="33"/>
      <c r="W472" s="33"/>
      <c r="X472" s="33"/>
      <c r="Y472" s="33"/>
      <c r="Z472" s="33"/>
      <c r="AA472" s="33"/>
      <c r="AB472" s="33"/>
    </row>
    <row r="473">
      <c r="A473" s="33"/>
      <c r="B473" s="33"/>
      <c r="C473" s="33"/>
      <c r="D473" s="43"/>
      <c r="E473" s="33"/>
      <c r="F473" s="33"/>
      <c r="G473" s="33"/>
      <c r="H473" s="33"/>
      <c r="I473" s="33"/>
      <c r="J473" s="33"/>
      <c r="K473" s="33"/>
      <c r="L473" s="33"/>
      <c r="M473" s="43"/>
      <c r="N473" s="43"/>
      <c r="O473" s="33"/>
      <c r="P473" s="33"/>
      <c r="Q473" s="33"/>
      <c r="R473" s="33"/>
      <c r="S473" s="33"/>
      <c r="T473" s="33"/>
      <c r="U473" s="33"/>
      <c r="V473" s="33"/>
      <c r="W473" s="33"/>
      <c r="X473" s="33"/>
      <c r="Y473" s="33"/>
      <c r="Z473" s="33"/>
      <c r="AA473" s="33"/>
      <c r="AB473" s="33"/>
    </row>
    <row r="474">
      <c r="A474" s="33"/>
      <c r="B474" s="33"/>
      <c r="C474" s="33"/>
      <c r="D474" s="43"/>
      <c r="E474" s="33"/>
      <c r="F474" s="33"/>
      <c r="G474" s="33"/>
      <c r="H474" s="33"/>
      <c r="I474" s="33"/>
      <c r="J474" s="33"/>
      <c r="K474" s="33"/>
      <c r="L474" s="33"/>
      <c r="M474" s="43"/>
      <c r="N474" s="43"/>
      <c r="O474" s="33"/>
      <c r="P474" s="33"/>
      <c r="Q474" s="33"/>
      <c r="R474" s="33"/>
      <c r="S474" s="33"/>
      <c r="T474" s="33"/>
      <c r="U474" s="33"/>
      <c r="V474" s="33"/>
      <c r="W474" s="33"/>
      <c r="X474" s="33"/>
      <c r="Y474" s="33"/>
      <c r="Z474" s="33"/>
      <c r="AA474" s="33"/>
      <c r="AB474" s="33"/>
    </row>
    <row r="475">
      <c r="A475" s="33"/>
      <c r="B475" s="33"/>
      <c r="C475" s="33"/>
      <c r="D475" s="43"/>
      <c r="E475" s="33"/>
      <c r="F475" s="33"/>
      <c r="G475" s="33"/>
      <c r="H475" s="33"/>
      <c r="I475" s="33"/>
      <c r="J475" s="33"/>
      <c r="K475" s="33"/>
      <c r="L475" s="33"/>
      <c r="M475" s="43"/>
      <c r="N475" s="43"/>
      <c r="O475" s="33"/>
      <c r="P475" s="33"/>
      <c r="Q475" s="33"/>
      <c r="R475" s="33"/>
      <c r="S475" s="33"/>
      <c r="T475" s="33"/>
      <c r="U475" s="33"/>
      <c r="V475" s="33"/>
      <c r="W475" s="33"/>
      <c r="X475" s="33"/>
      <c r="Y475" s="33"/>
      <c r="Z475" s="33"/>
      <c r="AA475" s="33"/>
      <c r="AB475" s="33"/>
    </row>
    <row r="476">
      <c r="A476" s="33"/>
      <c r="B476" s="33"/>
      <c r="C476" s="33"/>
      <c r="D476" s="43"/>
      <c r="E476" s="33"/>
      <c r="F476" s="33"/>
      <c r="G476" s="33"/>
      <c r="H476" s="33"/>
      <c r="I476" s="33"/>
      <c r="J476" s="33"/>
      <c r="K476" s="33"/>
      <c r="L476" s="33"/>
      <c r="M476" s="43"/>
      <c r="N476" s="43"/>
      <c r="O476" s="33"/>
      <c r="P476" s="33"/>
      <c r="Q476" s="33"/>
      <c r="R476" s="33"/>
      <c r="S476" s="33"/>
      <c r="T476" s="33"/>
      <c r="U476" s="33"/>
      <c r="V476" s="33"/>
      <c r="W476" s="33"/>
      <c r="X476" s="33"/>
      <c r="Y476" s="33"/>
      <c r="Z476" s="33"/>
      <c r="AA476" s="33"/>
      <c r="AB476" s="33"/>
    </row>
    <row r="477">
      <c r="A477" s="33"/>
      <c r="B477" s="33"/>
      <c r="C477" s="33"/>
      <c r="D477" s="43"/>
      <c r="E477" s="33"/>
      <c r="F477" s="33"/>
      <c r="G477" s="33"/>
      <c r="H477" s="33"/>
      <c r="I477" s="33"/>
      <c r="J477" s="33"/>
      <c r="K477" s="33"/>
      <c r="L477" s="33"/>
      <c r="M477" s="43"/>
      <c r="N477" s="43"/>
      <c r="O477" s="33"/>
      <c r="P477" s="33"/>
      <c r="Q477" s="33"/>
      <c r="R477" s="33"/>
      <c r="S477" s="33"/>
      <c r="T477" s="33"/>
      <c r="U477" s="33"/>
      <c r="V477" s="33"/>
      <c r="W477" s="33"/>
      <c r="X477" s="33"/>
      <c r="Y477" s="33"/>
      <c r="Z477" s="33"/>
      <c r="AA477" s="33"/>
      <c r="AB477" s="33"/>
    </row>
    <row r="478">
      <c r="A478" s="33"/>
      <c r="B478" s="33"/>
      <c r="C478" s="33"/>
      <c r="D478" s="43"/>
      <c r="E478" s="33"/>
      <c r="F478" s="33"/>
      <c r="G478" s="33"/>
      <c r="H478" s="33"/>
      <c r="I478" s="33"/>
      <c r="J478" s="33"/>
      <c r="K478" s="33"/>
      <c r="L478" s="33"/>
      <c r="M478" s="43"/>
      <c r="N478" s="43"/>
      <c r="O478" s="33"/>
      <c r="P478" s="33"/>
      <c r="Q478" s="33"/>
      <c r="R478" s="33"/>
      <c r="S478" s="33"/>
      <c r="T478" s="33"/>
      <c r="U478" s="33"/>
      <c r="V478" s="33"/>
      <c r="W478" s="33"/>
      <c r="X478" s="33"/>
      <c r="Y478" s="33"/>
      <c r="Z478" s="33"/>
      <c r="AA478" s="33"/>
      <c r="AB478" s="33"/>
    </row>
    <row r="479">
      <c r="A479" s="33"/>
      <c r="B479" s="33"/>
      <c r="C479" s="33"/>
      <c r="D479" s="43"/>
      <c r="E479" s="33"/>
      <c r="F479" s="33"/>
      <c r="G479" s="33"/>
      <c r="H479" s="33"/>
      <c r="I479" s="33"/>
      <c r="J479" s="33"/>
      <c r="K479" s="33"/>
      <c r="L479" s="33"/>
      <c r="M479" s="43"/>
      <c r="N479" s="43"/>
      <c r="O479" s="33"/>
      <c r="P479" s="33"/>
      <c r="Q479" s="33"/>
      <c r="R479" s="33"/>
      <c r="S479" s="33"/>
      <c r="T479" s="33"/>
      <c r="U479" s="33"/>
      <c r="V479" s="33"/>
      <c r="W479" s="33"/>
      <c r="X479" s="33"/>
      <c r="Y479" s="33"/>
      <c r="Z479" s="33"/>
      <c r="AA479" s="33"/>
      <c r="AB479" s="33"/>
    </row>
    <row r="480">
      <c r="A480" s="33"/>
      <c r="B480" s="33"/>
      <c r="C480" s="33"/>
      <c r="D480" s="43"/>
      <c r="E480" s="33"/>
      <c r="F480" s="33"/>
      <c r="G480" s="33"/>
      <c r="H480" s="33"/>
      <c r="I480" s="33"/>
      <c r="J480" s="33"/>
      <c r="K480" s="33"/>
      <c r="L480" s="33"/>
      <c r="M480" s="43"/>
      <c r="N480" s="43"/>
      <c r="O480" s="33"/>
      <c r="P480" s="33"/>
      <c r="Q480" s="33"/>
      <c r="R480" s="33"/>
      <c r="S480" s="33"/>
      <c r="T480" s="33"/>
      <c r="U480" s="33"/>
      <c r="V480" s="33"/>
      <c r="W480" s="33"/>
      <c r="X480" s="33"/>
      <c r="Y480" s="33"/>
      <c r="Z480" s="33"/>
      <c r="AA480" s="33"/>
      <c r="AB480" s="33"/>
    </row>
    <row r="481">
      <c r="A481" s="33"/>
      <c r="B481" s="33"/>
      <c r="C481" s="33"/>
      <c r="D481" s="43"/>
      <c r="E481" s="33"/>
      <c r="F481" s="33"/>
      <c r="G481" s="33"/>
      <c r="H481" s="33"/>
      <c r="I481" s="33"/>
      <c r="J481" s="33"/>
      <c r="K481" s="33"/>
      <c r="L481" s="33"/>
      <c r="M481" s="43"/>
      <c r="N481" s="43"/>
      <c r="O481" s="33"/>
      <c r="P481" s="33"/>
      <c r="Q481" s="33"/>
      <c r="R481" s="33"/>
      <c r="S481" s="33"/>
      <c r="T481" s="33"/>
      <c r="U481" s="33"/>
      <c r="V481" s="33"/>
      <c r="W481" s="33"/>
      <c r="X481" s="33"/>
      <c r="Y481" s="33"/>
      <c r="Z481" s="33"/>
      <c r="AA481" s="33"/>
      <c r="AB481" s="33"/>
    </row>
    <row r="482">
      <c r="A482" s="33"/>
      <c r="B482" s="33"/>
      <c r="C482" s="33"/>
      <c r="D482" s="43"/>
      <c r="E482" s="33"/>
      <c r="F482" s="33"/>
      <c r="G482" s="33"/>
      <c r="H482" s="33"/>
      <c r="I482" s="33"/>
      <c r="J482" s="33"/>
      <c r="K482" s="33"/>
      <c r="L482" s="33"/>
      <c r="M482" s="43"/>
      <c r="N482" s="43"/>
      <c r="O482" s="33"/>
      <c r="P482" s="33"/>
      <c r="Q482" s="33"/>
      <c r="R482" s="33"/>
      <c r="S482" s="33"/>
      <c r="T482" s="33"/>
      <c r="U482" s="33"/>
      <c r="V482" s="33"/>
      <c r="W482" s="33"/>
      <c r="X482" s="33"/>
      <c r="Y482" s="33"/>
      <c r="Z482" s="33"/>
      <c r="AA482" s="33"/>
      <c r="AB482" s="33"/>
    </row>
    <row r="483">
      <c r="A483" s="33"/>
      <c r="B483" s="33"/>
      <c r="C483" s="33"/>
      <c r="D483" s="43"/>
      <c r="E483" s="33"/>
      <c r="F483" s="33"/>
      <c r="G483" s="33"/>
      <c r="H483" s="33"/>
      <c r="I483" s="33"/>
      <c r="J483" s="33"/>
      <c r="K483" s="33"/>
      <c r="L483" s="33"/>
      <c r="M483" s="43"/>
      <c r="N483" s="43"/>
      <c r="O483" s="33"/>
      <c r="P483" s="33"/>
      <c r="Q483" s="33"/>
      <c r="R483" s="33"/>
      <c r="S483" s="33"/>
      <c r="T483" s="33"/>
      <c r="U483" s="33"/>
      <c r="V483" s="33"/>
      <c r="W483" s="33"/>
      <c r="X483" s="33"/>
      <c r="Y483" s="33"/>
      <c r="Z483" s="33"/>
      <c r="AA483" s="33"/>
      <c r="AB483" s="33"/>
    </row>
    <row r="484">
      <c r="A484" s="33"/>
      <c r="B484" s="33"/>
      <c r="C484" s="33"/>
      <c r="D484" s="43"/>
      <c r="E484" s="33"/>
      <c r="F484" s="33"/>
      <c r="G484" s="33"/>
      <c r="H484" s="33"/>
      <c r="I484" s="33"/>
      <c r="J484" s="33"/>
      <c r="K484" s="33"/>
      <c r="L484" s="33"/>
      <c r="M484" s="43"/>
      <c r="N484" s="43"/>
      <c r="O484" s="33"/>
      <c r="P484" s="33"/>
      <c r="Q484" s="33"/>
      <c r="R484" s="33"/>
      <c r="S484" s="33"/>
      <c r="T484" s="33"/>
      <c r="U484" s="33"/>
      <c r="V484" s="33"/>
      <c r="W484" s="33"/>
      <c r="X484" s="33"/>
      <c r="Y484" s="33"/>
      <c r="Z484" s="33"/>
      <c r="AA484" s="33"/>
      <c r="AB484" s="33"/>
    </row>
    <row r="485">
      <c r="A485" s="33"/>
      <c r="B485" s="33"/>
      <c r="C485" s="33"/>
      <c r="D485" s="43"/>
      <c r="E485" s="33"/>
      <c r="F485" s="33"/>
      <c r="G485" s="33"/>
      <c r="H485" s="33"/>
      <c r="I485" s="33"/>
      <c r="J485" s="33"/>
      <c r="K485" s="33"/>
      <c r="L485" s="33"/>
      <c r="M485" s="43"/>
      <c r="N485" s="43"/>
      <c r="O485" s="33"/>
      <c r="P485" s="33"/>
      <c r="Q485" s="33"/>
      <c r="R485" s="33"/>
      <c r="S485" s="33"/>
      <c r="T485" s="33"/>
      <c r="U485" s="33"/>
      <c r="V485" s="33"/>
      <c r="W485" s="33"/>
      <c r="X485" s="33"/>
      <c r="Y485" s="33"/>
      <c r="Z485" s="33"/>
      <c r="AA485" s="33"/>
      <c r="AB485" s="33"/>
    </row>
    <row r="486">
      <c r="A486" s="33"/>
      <c r="B486" s="33"/>
      <c r="C486" s="33"/>
      <c r="D486" s="43"/>
      <c r="E486" s="33"/>
      <c r="F486" s="33"/>
      <c r="G486" s="33"/>
      <c r="H486" s="33"/>
      <c r="I486" s="33"/>
      <c r="J486" s="33"/>
      <c r="K486" s="33"/>
      <c r="L486" s="33"/>
      <c r="M486" s="43"/>
      <c r="N486" s="43"/>
      <c r="O486" s="33"/>
      <c r="P486" s="33"/>
      <c r="Q486" s="33"/>
      <c r="R486" s="33"/>
      <c r="S486" s="33"/>
      <c r="T486" s="33"/>
      <c r="U486" s="33"/>
      <c r="V486" s="33"/>
      <c r="W486" s="33"/>
      <c r="X486" s="33"/>
      <c r="Y486" s="33"/>
      <c r="Z486" s="33"/>
      <c r="AA486" s="33"/>
      <c r="AB486" s="33"/>
    </row>
    <row r="487">
      <c r="A487" s="33"/>
      <c r="B487" s="33"/>
      <c r="C487" s="33"/>
      <c r="D487" s="43"/>
      <c r="E487" s="33"/>
      <c r="F487" s="33"/>
      <c r="G487" s="33"/>
      <c r="H487" s="33"/>
      <c r="I487" s="33"/>
      <c r="J487" s="33"/>
      <c r="K487" s="33"/>
      <c r="L487" s="33"/>
      <c r="M487" s="43"/>
      <c r="N487" s="43"/>
      <c r="O487" s="33"/>
      <c r="P487" s="33"/>
      <c r="Q487" s="33"/>
      <c r="R487" s="33"/>
      <c r="S487" s="33"/>
      <c r="T487" s="33"/>
      <c r="U487" s="33"/>
      <c r="V487" s="33"/>
      <c r="W487" s="33"/>
      <c r="X487" s="33"/>
      <c r="Y487" s="33"/>
      <c r="Z487" s="33"/>
      <c r="AA487" s="33"/>
      <c r="AB487" s="33"/>
    </row>
    <row r="488">
      <c r="A488" s="33"/>
      <c r="B488" s="33"/>
      <c r="C488" s="33"/>
      <c r="D488" s="43"/>
      <c r="E488" s="33"/>
      <c r="F488" s="33"/>
      <c r="G488" s="33"/>
      <c r="H488" s="33"/>
      <c r="I488" s="33"/>
      <c r="J488" s="33"/>
      <c r="K488" s="33"/>
      <c r="L488" s="33"/>
      <c r="M488" s="43"/>
      <c r="N488" s="43"/>
      <c r="O488" s="33"/>
      <c r="P488" s="33"/>
      <c r="Q488" s="33"/>
      <c r="R488" s="33"/>
      <c r="S488" s="33"/>
      <c r="T488" s="33"/>
      <c r="U488" s="33"/>
      <c r="V488" s="33"/>
      <c r="W488" s="33"/>
      <c r="X488" s="33"/>
      <c r="Y488" s="33"/>
      <c r="Z488" s="33"/>
      <c r="AA488" s="33"/>
      <c r="AB488" s="33"/>
    </row>
    <row r="489">
      <c r="A489" s="33"/>
      <c r="B489" s="33"/>
      <c r="C489" s="33"/>
      <c r="D489" s="43"/>
      <c r="E489" s="33"/>
      <c r="F489" s="33"/>
      <c r="G489" s="33"/>
      <c r="H489" s="33"/>
      <c r="I489" s="33"/>
      <c r="J489" s="33"/>
      <c r="K489" s="33"/>
      <c r="L489" s="33"/>
      <c r="M489" s="43"/>
      <c r="N489" s="43"/>
      <c r="O489" s="33"/>
      <c r="P489" s="33"/>
      <c r="Q489" s="33"/>
      <c r="R489" s="33"/>
      <c r="S489" s="33"/>
      <c r="T489" s="33"/>
      <c r="U489" s="33"/>
      <c r="V489" s="33"/>
      <c r="W489" s="33"/>
      <c r="X489" s="33"/>
      <c r="Y489" s="33"/>
      <c r="Z489" s="33"/>
      <c r="AA489" s="33"/>
      <c r="AB489" s="33"/>
    </row>
    <row r="490">
      <c r="A490" s="33"/>
      <c r="B490" s="33"/>
      <c r="C490" s="33"/>
      <c r="D490" s="43"/>
      <c r="E490" s="33"/>
      <c r="F490" s="33"/>
      <c r="G490" s="33"/>
      <c r="H490" s="33"/>
      <c r="I490" s="33"/>
      <c r="J490" s="33"/>
      <c r="K490" s="33"/>
      <c r="L490" s="33"/>
      <c r="M490" s="43"/>
      <c r="N490" s="43"/>
      <c r="O490" s="33"/>
      <c r="P490" s="33"/>
      <c r="Q490" s="33"/>
      <c r="R490" s="33"/>
      <c r="S490" s="33"/>
      <c r="T490" s="33"/>
      <c r="U490" s="33"/>
      <c r="V490" s="33"/>
      <c r="W490" s="33"/>
      <c r="X490" s="33"/>
      <c r="Y490" s="33"/>
      <c r="Z490" s="33"/>
      <c r="AA490" s="33"/>
      <c r="AB490" s="33"/>
    </row>
    <row r="491">
      <c r="A491" s="33"/>
      <c r="B491" s="33"/>
      <c r="C491" s="33"/>
      <c r="D491" s="43"/>
      <c r="E491" s="33"/>
      <c r="F491" s="33"/>
      <c r="G491" s="33"/>
      <c r="H491" s="33"/>
      <c r="I491" s="33"/>
      <c r="J491" s="33"/>
      <c r="K491" s="33"/>
      <c r="L491" s="33"/>
      <c r="M491" s="43"/>
      <c r="N491" s="43"/>
      <c r="O491" s="33"/>
      <c r="P491" s="33"/>
      <c r="Q491" s="33"/>
      <c r="R491" s="33"/>
      <c r="S491" s="33"/>
      <c r="T491" s="33"/>
      <c r="U491" s="33"/>
      <c r="V491" s="33"/>
      <c r="W491" s="33"/>
      <c r="X491" s="33"/>
      <c r="Y491" s="33"/>
      <c r="Z491" s="33"/>
      <c r="AA491" s="33"/>
      <c r="AB491" s="33"/>
    </row>
    <row r="492">
      <c r="A492" s="33"/>
      <c r="B492" s="33"/>
      <c r="C492" s="33"/>
      <c r="D492" s="43"/>
      <c r="E492" s="33"/>
      <c r="F492" s="33"/>
      <c r="G492" s="33"/>
      <c r="H492" s="33"/>
      <c r="I492" s="33"/>
      <c r="J492" s="33"/>
      <c r="K492" s="33"/>
      <c r="L492" s="33"/>
      <c r="M492" s="43"/>
      <c r="N492" s="43"/>
      <c r="O492" s="33"/>
      <c r="P492" s="33"/>
      <c r="Q492" s="33"/>
      <c r="R492" s="33"/>
      <c r="S492" s="33"/>
      <c r="T492" s="33"/>
      <c r="U492" s="33"/>
      <c r="V492" s="33"/>
      <c r="W492" s="33"/>
      <c r="X492" s="33"/>
      <c r="Y492" s="33"/>
      <c r="Z492" s="33"/>
      <c r="AA492" s="33"/>
      <c r="AB492" s="33"/>
    </row>
    <row r="493">
      <c r="A493" s="33"/>
      <c r="B493" s="33"/>
      <c r="C493" s="33"/>
      <c r="D493" s="43"/>
      <c r="E493" s="33"/>
      <c r="F493" s="33"/>
      <c r="G493" s="33"/>
      <c r="H493" s="33"/>
      <c r="I493" s="33"/>
      <c r="J493" s="33"/>
      <c r="K493" s="33"/>
      <c r="L493" s="33"/>
      <c r="M493" s="43"/>
      <c r="N493" s="43"/>
      <c r="O493" s="33"/>
      <c r="P493" s="33"/>
      <c r="Q493" s="33"/>
      <c r="R493" s="33"/>
      <c r="S493" s="33"/>
      <c r="T493" s="33"/>
      <c r="U493" s="33"/>
      <c r="V493" s="33"/>
      <c r="W493" s="33"/>
      <c r="X493" s="33"/>
      <c r="Y493" s="33"/>
      <c r="Z493" s="33"/>
      <c r="AA493" s="33"/>
      <c r="AB493" s="33"/>
    </row>
    <row r="494">
      <c r="A494" s="33"/>
      <c r="B494" s="33"/>
      <c r="C494" s="33"/>
      <c r="D494" s="43"/>
      <c r="E494" s="33"/>
      <c r="F494" s="33"/>
      <c r="G494" s="33"/>
      <c r="H494" s="33"/>
      <c r="I494" s="33"/>
      <c r="J494" s="33"/>
      <c r="K494" s="33"/>
      <c r="L494" s="33"/>
      <c r="M494" s="43"/>
      <c r="N494" s="43"/>
      <c r="O494" s="33"/>
      <c r="P494" s="33"/>
      <c r="Q494" s="33"/>
      <c r="R494" s="33"/>
      <c r="S494" s="33"/>
      <c r="T494" s="33"/>
      <c r="U494" s="33"/>
      <c r="V494" s="33"/>
      <c r="W494" s="33"/>
      <c r="X494" s="33"/>
      <c r="Y494" s="33"/>
      <c r="Z494" s="33"/>
      <c r="AA494" s="33"/>
      <c r="AB494" s="33"/>
    </row>
    <row r="495">
      <c r="A495" s="33"/>
      <c r="B495" s="33"/>
      <c r="C495" s="33"/>
      <c r="D495" s="43"/>
      <c r="E495" s="33"/>
      <c r="F495" s="33"/>
      <c r="G495" s="33"/>
      <c r="H495" s="33"/>
      <c r="I495" s="33"/>
      <c r="J495" s="33"/>
      <c r="K495" s="33"/>
      <c r="L495" s="33"/>
      <c r="M495" s="43"/>
      <c r="N495" s="43"/>
      <c r="O495" s="33"/>
      <c r="P495" s="33"/>
      <c r="Q495" s="33"/>
      <c r="R495" s="33"/>
      <c r="S495" s="33"/>
      <c r="T495" s="33"/>
      <c r="U495" s="33"/>
      <c r="V495" s="33"/>
      <c r="W495" s="33"/>
      <c r="X495" s="33"/>
      <c r="Y495" s="33"/>
      <c r="Z495" s="33"/>
      <c r="AA495" s="33"/>
      <c r="AB495" s="33"/>
    </row>
    <row r="496">
      <c r="A496" s="33"/>
      <c r="B496" s="33"/>
      <c r="C496" s="33"/>
      <c r="D496" s="43"/>
      <c r="E496" s="33"/>
      <c r="F496" s="33"/>
      <c r="G496" s="33"/>
      <c r="H496" s="33"/>
      <c r="I496" s="33"/>
      <c r="J496" s="33"/>
      <c r="K496" s="33"/>
      <c r="L496" s="33"/>
      <c r="M496" s="43"/>
      <c r="N496" s="43"/>
      <c r="O496" s="33"/>
      <c r="P496" s="33"/>
      <c r="Q496" s="33"/>
      <c r="R496" s="33"/>
      <c r="S496" s="33"/>
      <c r="T496" s="33"/>
      <c r="U496" s="33"/>
      <c r="V496" s="33"/>
      <c r="W496" s="33"/>
      <c r="X496" s="33"/>
      <c r="Y496" s="33"/>
      <c r="Z496" s="33"/>
      <c r="AA496" s="33"/>
      <c r="AB496" s="33"/>
    </row>
    <row r="497">
      <c r="A497" s="33"/>
      <c r="B497" s="33"/>
      <c r="C497" s="33"/>
      <c r="D497" s="43"/>
      <c r="E497" s="33"/>
      <c r="F497" s="33"/>
      <c r="G497" s="33"/>
      <c r="H497" s="33"/>
      <c r="I497" s="33"/>
      <c r="J497" s="33"/>
      <c r="K497" s="33"/>
      <c r="L497" s="33"/>
      <c r="M497" s="43"/>
      <c r="N497" s="43"/>
      <c r="O497" s="33"/>
      <c r="P497" s="33"/>
      <c r="Q497" s="33"/>
      <c r="R497" s="33"/>
      <c r="S497" s="33"/>
      <c r="T497" s="33"/>
      <c r="U497" s="33"/>
      <c r="V497" s="33"/>
      <c r="W497" s="33"/>
      <c r="X497" s="33"/>
      <c r="Y497" s="33"/>
      <c r="Z497" s="33"/>
      <c r="AA497" s="33"/>
      <c r="AB497" s="33"/>
    </row>
    <row r="498">
      <c r="A498" s="33"/>
      <c r="B498" s="33"/>
      <c r="C498" s="33"/>
      <c r="D498" s="43"/>
      <c r="E498" s="33"/>
      <c r="F498" s="33"/>
      <c r="G498" s="33"/>
      <c r="H498" s="33"/>
      <c r="I498" s="33"/>
      <c r="J498" s="33"/>
      <c r="K498" s="33"/>
      <c r="L498" s="33"/>
      <c r="M498" s="43"/>
      <c r="N498" s="43"/>
      <c r="O498" s="33"/>
      <c r="P498" s="33"/>
      <c r="Q498" s="33"/>
      <c r="R498" s="33"/>
      <c r="S498" s="33"/>
      <c r="T498" s="33"/>
      <c r="U498" s="33"/>
      <c r="V498" s="33"/>
      <c r="W498" s="33"/>
      <c r="X498" s="33"/>
      <c r="Y498" s="33"/>
      <c r="Z498" s="33"/>
      <c r="AA498" s="33"/>
      <c r="AB498" s="33"/>
    </row>
    <row r="499">
      <c r="A499" s="33"/>
      <c r="B499" s="33"/>
      <c r="C499" s="33"/>
      <c r="D499" s="43"/>
      <c r="E499" s="33"/>
      <c r="F499" s="33"/>
      <c r="G499" s="33"/>
      <c r="H499" s="33"/>
      <c r="I499" s="33"/>
      <c r="J499" s="33"/>
      <c r="K499" s="33"/>
      <c r="L499" s="33"/>
      <c r="M499" s="43"/>
      <c r="N499" s="43"/>
      <c r="O499" s="33"/>
      <c r="P499" s="33"/>
      <c r="Q499" s="33"/>
      <c r="R499" s="33"/>
      <c r="S499" s="33"/>
      <c r="T499" s="33"/>
      <c r="U499" s="33"/>
      <c r="V499" s="33"/>
      <c r="W499" s="33"/>
      <c r="X499" s="33"/>
      <c r="Y499" s="33"/>
      <c r="Z499" s="33"/>
      <c r="AA499" s="33"/>
      <c r="AB499" s="33"/>
    </row>
    <row r="500">
      <c r="A500" s="33"/>
      <c r="B500" s="33"/>
      <c r="C500" s="33"/>
      <c r="D500" s="43"/>
      <c r="E500" s="33"/>
      <c r="F500" s="33"/>
      <c r="G500" s="33"/>
      <c r="H500" s="33"/>
      <c r="I500" s="33"/>
      <c r="J500" s="33"/>
      <c r="K500" s="33"/>
      <c r="L500" s="33"/>
      <c r="M500" s="43"/>
      <c r="N500" s="43"/>
      <c r="O500" s="33"/>
      <c r="P500" s="33"/>
      <c r="Q500" s="33"/>
      <c r="R500" s="33"/>
      <c r="S500" s="33"/>
      <c r="T500" s="33"/>
      <c r="U500" s="33"/>
      <c r="V500" s="33"/>
      <c r="W500" s="33"/>
      <c r="X500" s="33"/>
      <c r="Y500" s="33"/>
      <c r="Z500" s="33"/>
      <c r="AA500" s="33"/>
      <c r="AB500" s="33"/>
    </row>
    <row r="501">
      <c r="A501" s="33"/>
      <c r="B501" s="33"/>
      <c r="C501" s="33"/>
      <c r="D501" s="43"/>
      <c r="E501" s="33"/>
      <c r="F501" s="33"/>
      <c r="G501" s="33"/>
      <c r="H501" s="33"/>
      <c r="I501" s="33"/>
      <c r="J501" s="33"/>
      <c r="K501" s="33"/>
      <c r="L501" s="33"/>
      <c r="M501" s="43"/>
      <c r="N501" s="43"/>
      <c r="O501" s="33"/>
      <c r="P501" s="33"/>
      <c r="Q501" s="33"/>
      <c r="R501" s="33"/>
      <c r="S501" s="33"/>
      <c r="T501" s="33"/>
      <c r="U501" s="33"/>
      <c r="V501" s="33"/>
      <c r="W501" s="33"/>
      <c r="X501" s="33"/>
      <c r="Y501" s="33"/>
      <c r="Z501" s="33"/>
      <c r="AA501" s="33"/>
      <c r="AB501" s="33"/>
    </row>
    <row r="502">
      <c r="A502" s="33"/>
      <c r="B502" s="33"/>
      <c r="C502" s="33"/>
      <c r="D502" s="43"/>
      <c r="E502" s="33"/>
      <c r="F502" s="33"/>
      <c r="G502" s="33"/>
      <c r="H502" s="33"/>
      <c r="I502" s="33"/>
      <c r="J502" s="33"/>
      <c r="K502" s="33"/>
      <c r="L502" s="33"/>
      <c r="M502" s="43"/>
      <c r="N502" s="43"/>
      <c r="O502" s="33"/>
      <c r="P502" s="33"/>
      <c r="Q502" s="33"/>
      <c r="R502" s="33"/>
      <c r="S502" s="33"/>
      <c r="T502" s="33"/>
      <c r="U502" s="33"/>
      <c r="V502" s="33"/>
      <c r="W502" s="33"/>
      <c r="X502" s="33"/>
      <c r="Y502" s="33"/>
      <c r="Z502" s="33"/>
      <c r="AA502" s="33"/>
      <c r="AB502" s="33"/>
    </row>
    <row r="503">
      <c r="A503" s="33"/>
      <c r="B503" s="33"/>
      <c r="C503" s="33"/>
      <c r="D503" s="43"/>
      <c r="E503" s="33"/>
      <c r="F503" s="33"/>
      <c r="G503" s="33"/>
      <c r="H503" s="33"/>
      <c r="I503" s="33"/>
      <c r="J503" s="33"/>
      <c r="K503" s="33"/>
      <c r="L503" s="33"/>
      <c r="M503" s="43"/>
      <c r="N503" s="43"/>
      <c r="O503" s="33"/>
      <c r="P503" s="33"/>
      <c r="Q503" s="33"/>
      <c r="R503" s="33"/>
      <c r="S503" s="33"/>
      <c r="T503" s="33"/>
      <c r="U503" s="33"/>
      <c r="V503" s="33"/>
      <c r="W503" s="33"/>
      <c r="X503" s="33"/>
      <c r="Y503" s="33"/>
      <c r="Z503" s="33"/>
      <c r="AA503" s="33"/>
      <c r="AB503" s="33"/>
    </row>
    <row r="504">
      <c r="A504" s="33"/>
      <c r="B504" s="33"/>
      <c r="C504" s="33"/>
      <c r="D504" s="43"/>
      <c r="E504" s="33"/>
      <c r="F504" s="33"/>
      <c r="G504" s="33"/>
      <c r="H504" s="33"/>
      <c r="I504" s="33"/>
      <c r="J504" s="33"/>
      <c r="K504" s="33"/>
      <c r="L504" s="33"/>
      <c r="M504" s="43"/>
      <c r="N504" s="43"/>
      <c r="O504" s="33"/>
      <c r="P504" s="33"/>
      <c r="Q504" s="33"/>
      <c r="R504" s="33"/>
      <c r="S504" s="33"/>
      <c r="T504" s="33"/>
      <c r="U504" s="33"/>
      <c r="V504" s="33"/>
      <c r="W504" s="33"/>
      <c r="X504" s="33"/>
      <c r="Y504" s="33"/>
      <c r="Z504" s="33"/>
      <c r="AA504" s="33"/>
      <c r="AB504" s="33"/>
    </row>
    <row r="505">
      <c r="A505" s="33"/>
      <c r="B505" s="33"/>
      <c r="C505" s="33"/>
      <c r="D505" s="43"/>
      <c r="E505" s="33"/>
      <c r="F505" s="33"/>
      <c r="G505" s="33"/>
      <c r="H505" s="33"/>
      <c r="I505" s="33"/>
      <c r="J505" s="33"/>
      <c r="K505" s="33"/>
      <c r="L505" s="33"/>
      <c r="M505" s="43"/>
      <c r="N505" s="43"/>
      <c r="O505" s="33"/>
      <c r="P505" s="33"/>
      <c r="Q505" s="33"/>
      <c r="R505" s="33"/>
      <c r="S505" s="33"/>
      <c r="T505" s="33"/>
      <c r="U505" s="33"/>
      <c r="V505" s="33"/>
      <c r="W505" s="33"/>
      <c r="X505" s="33"/>
      <c r="Y505" s="33"/>
      <c r="Z505" s="33"/>
      <c r="AA505" s="33"/>
      <c r="AB505" s="33"/>
    </row>
    <row r="506">
      <c r="A506" s="33"/>
      <c r="B506" s="33"/>
      <c r="C506" s="33"/>
      <c r="D506" s="43"/>
      <c r="E506" s="33"/>
      <c r="F506" s="33"/>
      <c r="G506" s="33"/>
      <c r="H506" s="33"/>
      <c r="I506" s="33"/>
      <c r="J506" s="33"/>
      <c r="K506" s="33"/>
      <c r="L506" s="33"/>
      <c r="M506" s="43"/>
      <c r="N506" s="43"/>
      <c r="O506" s="33"/>
      <c r="P506" s="33"/>
      <c r="Q506" s="33"/>
      <c r="R506" s="33"/>
      <c r="S506" s="33"/>
      <c r="T506" s="33"/>
      <c r="U506" s="33"/>
      <c r="V506" s="33"/>
      <c r="W506" s="33"/>
      <c r="X506" s="33"/>
      <c r="Y506" s="33"/>
      <c r="Z506" s="33"/>
      <c r="AA506" s="33"/>
      <c r="AB506" s="33"/>
    </row>
    <row r="507">
      <c r="A507" s="33"/>
      <c r="B507" s="33"/>
      <c r="C507" s="33"/>
      <c r="D507" s="43"/>
      <c r="E507" s="33"/>
      <c r="F507" s="33"/>
      <c r="G507" s="33"/>
      <c r="H507" s="33"/>
      <c r="I507" s="33"/>
      <c r="J507" s="33"/>
      <c r="K507" s="33"/>
      <c r="L507" s="33"/>
      <c r="M507" s="43"/>
      <c r="N507" s="43"/>
      <c r="O507" s="33"/>
      <c r="P507" s="33"/>
      <c r="Q507" s="33"/>
      <c r="R507" s="33"/>
      <c r="S507" s="33"/>
      <c r="T507" s="33"/>
      <c r="U507" s="33"/>
      <c r="V507" s="33"/>
      <c r="W507" s="33"/>
      <c r="X507" s="33"/>
      <c r="Y507" s="33"/>
      <c r="Z507" s="33"/>
      <c r="AA507" s="33"/>
      <c r="AB507" s="33"/>
    </row>
    <row r="508">
      <c r="A508" s="33"/>
      <c r="B508" s="33"/>
      <c r="C508" s="33"/>
      <c r="D508" s="43"/>
      <c r="E508" s="33"/>
      <c r="F508" s="33"/>
      <c r="G508" s="33"/>
      <c r="H508" s="33"/>
      <c r="I508" s="33"/>
      <c r="J508" s="33"/>
      <c r="K508" s="33"/>
      <c r="L508" s="33"/>
      <c r="M508" s="43"/>
      <c r="N508" s="43"/>
      <c r="O508" s="33"/>
      <c r="P508" s="33"/>
      <c r="Q508" s="33"/>
      <c r="R508" s="33"/>
      <c r="S508" s="33"/>
      <c r="T508" s="33"/>
      <c r="U508" s="33"/>
      <c r="V508" s="33"/>
      <c r="W508" s="33"/>
      <c r="X508" s="33"/>
      <c r="Y508" s="33"/>
      <c r="Z508" s="33"/>
      <c r="AA508" s="33"/>
      <c r="AB508" s="33"/>
    </row>
    <row r="509">
      <c r="A509" s="33"/>
      <c r="B509" s="33"/>
      <c r="C509" s="33"/>
      <c r="D509" s="43"/>
      <c r="E509" s="33"/>
      <c r="F509" s="33"/>
      <c r="G509" s="33"/>
      <c r="H509" s="33"/>
      <c r="I509" s="33"/>
      <c r="J509" s="33"/>
      <c r="K509" s="33"/>
      <c r="L509" s="33"/>
      <c r="M509" s="43"/>
      <c r="N509" s="43"/>
      <c r="O509" s="33"/>
      <c r="P509" s="33"/>
      <c r="Q509" s="33"/>
      <c r="R509" s="33"/>
      <c r="S509" s="33"/>
      <c r="T509" s="33"/>
      <c r="U509" s="33"/>
      <c r="V509" s="33"/>
      <c r="W509" s="33"/>
      <c r="X509" s="33"/>
      <c r="Y509" s="33"/>
      <c r="Z509" s="33"/>
      <c r="AA509" s="33"/>
      <c r="AB509" s="33"/>
    </row>
    <row r="510">
      <c r="A510" s="33"/>
      <c r="B510" s="33"/>
      <c r="C510" s="33"/>
      <c r="D510" s="43"/>
      <c r="E510" s="33"/>
      <c r="F510" s="33"/>
      <c r="G510" s="33"/>
      <c r="H510" s="33"/>
      <c r="I510" s="33"/>
      <c r="J510" s="33"/>
      <c r="K510" s="33"/>
      <c r="L510" s="33"/>
      <c r="M510" s="43"/>
      <c r="N510" s="43"/>
      <c r="O510" s="33"/>
      <c r="P510" s="33"/>
      <c r="Q510" s="33"/>
      <c r="R510" s="33"/>
      <c r="S510" s="33"/>
      <c r="T510" s="33"/>
      <c r="U510" s="33"/>
      <c r="V510" s="33"/>
      <c r="W510" s="33"/>
      <c r="X510" s="33"/>
      <c r="Y510" s="33"/>
      <c r="Z510" s="33"/>
      <c r="AA510" s="33"/>
      <c r="AB510" s="33"/>
    </row>
    <row r="511">
      <c r="A511" s="33"/>
      <c r="B511" s="33"/>
      <c r="C511" s="33"/>
      <c r="D511" s="43"/>
      <c r="E511" s="33"/>
      <c r="F511" s="33"/>
      <c r="G511" s="33"/>
      <c r="H511" s="33"/>
      <c r="I511" s="33"/>
      <c r="J511" s="33"/>
      <c r="K511" s="33"/>
      <c r="L511" s="33"/>
      <c r="M511" s="43"/>
      <c r="N511" s="43"/>
      <c r="O511" s="33"/>
      <c r="P511" s="33"/>
      <c r="Q511" s="33"/>
      <c r="R511" s="33"/>
      <c r="S511" s="33"/>
      <c r="T511" s="33"/>
      <c r="U511" s="33"/>
      <c r="V511" s="33"/>
      <c r="W511" s="33"/>
      <c r="X511" s="33"/>
      <c r="Y511" s="33"/>
      <c r="Z511" s="33"/>
      <c r="AA511" s="33"/>
      <c r="AB511" s="33"/>
    </row>
    <row r="512">
      <c r="A512" s="33"/>
      <c r="B512" s="33"/>
      <c r="C512" s="33"/>
      <c r="D512" s="43"/>
      <c r="E512" s="33"/>
      <c r="F512" s="33"/>
      <c r="G512" s="33"/>
      <c r="H512" s="33"/>
      <c r="I512" s="33"/>
      <c r="J512" s="33"/>
      <c r="K512" s="33"/>
      <c r="L512" s="33"/>
      <c r="M512" s="43"/>
      <c r="N512" s="43"/>
      <c r="O512" s="33"/>
      <c r="P512" s="33"/>
      <c r="Q512" s="33"/>
      <c r="R512" s="33"/>
      <c r="S512" s="33"/>
      <c r="T512" s="33"/>
      <c r="U512" s="33"/>
      <c r="V512" s="33"/>
      <c r="W512" s="33"/>
      <c r="X512" s="33"/>
      <c r="Y512" s="33"/>
      <c r="Z512" s="33"/>
      <c r="AA512" s="33"/>
      <c r="AB512" s="33"/>
    </row>
    <row r="513">
      <c r="A513" s="33"/>
      <c r="B513" s="33"/>
      <c r="C513" s="33"/>
      <c r="D513" s="43"/>
      <c r="E513" s="33"/>
      <c r="F513" s="33"/>
      <c r="G513" s="33"/>
      <c r="H513" s="33"/>
      <c r="I513" s="33"/>
      <c r="J513" s="33"/>
      <c r="K513" s="33"/>
      <c r="L513" s="33"/>
      <c r="M513" s="43"/>
      <c r="N513" s="43"/>
      <c r="O513" s="33"/>
      <c r="P513" s="33"/>
      <c r="Q513" s="33"/>
      <c r="R513" s="33"/>
      <c r="S513" s="33"/>
      <c r="T513" s="33"/>
      <c r="U513" s="33"/>
      <c r="V513" s="33"/>
      <c r="W513" s="33"/>
      <c r="X513" s="33"/>
      <c r="Y513" s="33"/>
      <c r="Z513" s="33"/>
      <c r="AA513" s="33"/>
      <c r="AB513" s="33"/>
    </row>
    <row r="514">
      <c r="A514" s="33"/>
      <c r="B514" s="33"/>
      <c r="C514" s="33"/>
      <c r="D514" s="43"/>
      <c r="E514" s="33"/>
      <c r="F514" s="33"/>
      <c r="G514" s="33"/>
      <c r="H514" s="33"/>
      <c r="I514" s="33"/>
      <c r="J514" s="33"/>
      <c r="K514" s="33"/>
      <c r="L514" s="33"/>
      <c r="M514" s="43"/>
      <c r="N514" s="43"/>
      <c r="O514" s="33"/>
      <c r="P514" s="33"/>
      <c r="Q514" s="33"/>
      <c r="R514" s="33"/>
      <c r="S514" s="33"/>
      <c r="T514" s="33"/>
      <c r="U514" s="33"/>
      <c r="V514" s="33"/>
      <c r="W514" s="33"/>
      <c r="X514" s="33"/>
      <c r="Y514" s="33"/>
      <c r="Z514" s="33"/>
      <c r="AA514" s="33"/>
      <c r="AB514" s="33"/>
    </row>
    <row r="515">
      <c r="A515" s="33"/>
      <c r="B515" s="33"/>
      <c r="C515" s="33"/>
      <c r="D515" s="43"/>
      <c r="E515" s="33"/>
      <c r="F515" s="33"/>
      <c r="G515" s="33"/>
      <c r="H515" s="33"/>
      <c r="I515" s="33"/>
      <c r="J515" s="33"/>
      <c r="K515" s="33"/>
      <c r="L515" s="33"/>
      <c r="M515" s="43"/>
      <c r="N515" s="43"/>
      <c r="O515" s="33"/>
      <c r="P515" s="33"/>
      <c r="Q515" s="33"/>
      <c r="R515" s="33"/>
      <c r="S515" s="33"/>
      <c r="T515" s="33"/>
      <c r="U515" s="33"/>
      <c r="V515" s="33"/>
      <c r="W515" s="33"/>
      <c r="X515" s="33"/>
      <c r="Y515" s="33"/>
      <c r="Z515" s="33"/>
      <c r="AA515" s="33"/>
      <c r="AB515" s="33"/>
    </row>
    <row r="516">
      <c r="A516" s="33"/>
      <c r="B516" s="33"/>
      <c r="C516" s="33"/>
      <c r="D516" s="43"/>
      <c r="E516" s="33"/>
      <c r="F516" s="33"/>
      <c r="G516" s="33"/>
      <c r="H516" s="33"/>
      <c r="I516" s="33"/>
      <c r="J516" s="33"/>
      <c r="K516" s="33"/>
      <c r="L516" s="33"/>
      <c r="M516" s="43"/>
      <c r="N516" s="43"/>
      <c r="O516" s="33"/>
      <c r="P516" s="33"/>
      <c r="Q516" s="33"/>
      <c r="R516" s="33"/>
      <c r="S516" s="33"/>
      <c r="T516" s="33"/>
      <c r="U516" s="33"/>
      <c r="V516" s="33"/>
      <c r="W516" s="33"/>
      <c r="X516" s="33"/>
      <c r="Y516" s="33"/>
      <c r="Z516" s="33"/>
      <c r="AA516" s="33"/>
      <c r="AB516" s="33"/>
    </row>
    <row r="517">
      <c r="A517" s="33"/>
      <c r="B517" s="33"/>
      <c r="C517" s="33"/>
      <c r="D517" s="43"/>
      <c r="E517" s="33"/>
      <c r="F517" s="33"/>
      <c r="G517" s="33"/>
      <c r="H517" s="33"/>
      <c r="I517" s="33"/>
      <c r="J517" s="33"/>
      <c r="K517" s="33"/>
      <c r="L517" s="33"/>
      <c r="M517" s="43"/>
      <c r="N517" s="43"/>
      <c r="O517" s="33"/>
      <c r="P517" s="33"/>
      <c r="Q517" s="33"/>
      <c r="R517" s="33"/>
      <c r="S517" s="33"/>
      <c r="T517" s="33"/>
      <c r="U517" s="33"/>
      <c r="V517" s="33"/>
      <c r="W517" s="33"/>
      <c r="X517" s="33"/>
      <c r="Y517" s="33"/>
      <c r="Z517" s="33"/>
      <c r="AA517" s="33"/>
      <c r="AB517" s="33"/>
    </row>
    <row r="518">
      <c r="A518" s="33"/>
      <c r="B518" s="33"/>
      <c r="C518" s="33"/>
      <c r="D518" s="43"/>
      <c r="E518" s="33"/>
      <c r="F518" s="33"/>
      <c r="G518" s="33"/>
      <c r="H518" s="33"/>
      <c r="I518" s="33"/>
      <c r="J518" s="33"/>
      <c r="K518" s="33"/>
      <c r="L518" s="33"/>
      <c r="M518" s="43"/>
      <c r="N518" s="43"/>
      <c r="O518" s="33"/>
      <c r="P518" s="33"/>
      <c r="Q518" s="33"/>
      <c r="R518" s="33"/>
      <c r="S518" s="33"/>
      <c r="T518" s="33"/>
      <c r="U518" s="33"/>
      <c r="V518" s="33"/>
      <c r="W518" s="33"/>
      <c r="X518" s="33"/>
      <c r="Y518" s="33"/>
      <c r="Z518" s="33"/>
      <c r="AA518" s="33"/>
      <c r="AB518" s="33"/>
    </row>
    <row r="519">
      <c r="A519" s="33"/>
      <c r="B519" s="33"/>
      <c r="C519" s="33"/>
      <c r="D519" s="43"/>
      <c r="E519" s="33"/>
      <c r="F519" s="33"/>
      <c r="G519" s="33"/>
      <c r="H519" s="33"/>
      <c r="I519" s="33"/>
      <c r="J519" s="33"/>
      <c r="K519" s="33"/>
      <c r="L519" s="33"/>
      <c r="M519" s="43"/>
      <c r="N519" s="43"/>
      <c r="O519" s="33"/>
      <c r="P519" s="33"/>
      <c r="Q519" s="33"/>
      <c r="R519" s="33"/>
      <c r="S519" s="33"/>
      <c r="T519" s="33"/>
      <c r="U519" s="33"/>
      <c r="V519" s="33"/>
      <c r="W519" s="33"/>
      <c r="X519" s="33"/>
      <c r="Y519" s="33"/>
      <c r="Z519" s="33"/>
      <c r="AA519" s="33"/>
      <c r="AB519" s="33"/>
    </row>
    <row r="520">
      <c r="A520" s="33"/>
      <c r="B520" s="33"/>
      <c r="C520" s="33"/>
      <c r="D520" s="43"/>
      <c r="E520" s="33"/>
      <c r="F520" s="33"/>
      <c r="G520" s="33"/>
      <c r="H520" s="33"/>
      <c r="I520" s="33"/>
      <c r="J520" s="33"/>
      <c r="K520" s="33"/>
      <c r="L520" s="33"/>
      <c r="M520" s="43"/>
      <c r="N520" s="43"/>
      <c r="O520" s="33"/>
      <c r="P520" s="33"/>
      <c r="Q520" s="33"/>
      <c r="R520" s="33"/>
      <c r="S520" s="33"/>
      <c r="T520" s="33"/>
      <c r="U520" s="33"/>
      <c r="V520" s="33"/>
      <c r="W520" s="33"/>
      <c r="X520" s="33"/>
      <c r="Y520" s="33"/>
      <c r="Z520" s="33"/>
      <c r="AA520" s="33"/>
      <c r="AB520" s="33"/>
    </row>
    <row r="521">
      <c r="A521" s="33"/>
      <c r="B521" s="33"/>
      <c r="C521" s="33"/>
      <c r="D521" s="43"/>
      <c r="E521" s="33"/>
      <c r="F521" s="33"/>
      <c r="G521" s="33"/>
      <c r="H521" s="33"/>
      <c r="I521" s="33"/>
      <c r="J521" s="33"/>
      <c r="K521" s="33"/>
      <c r="L521" s="33"/>
      <c r="M521" s="43"/>
      <c r="N521" s="43"/>
      <c r="O521" s="33"/>
      <c r="P521" s="33"/>
      <c r="Q521" s="33"/>
      <c r="R521" s="33"/>
      <c r="S521" s="33"/>
      <c r="T521" s="33"/>
      <c r="U521" s="33"/>
      <c r="V521" s="33"/>
      <c r="W521" s="33"/>
      <c r="X521" s="33"/>
      <c r="Y521" s="33"/>
      <c r="Z521" s="33"/>
      <c r="AA521" s="33"/>
      <c r="AB521" s="33"/>
    </row>
    <row r="522">
      <c r="A522" s="33"/>
      <c r="B522" s="33"/>
      <c r="C522" s="33"/>
      <c r="D522" s="43"/>
      <c r="E522" s="33"/>
      <c r="F522" s="33"/>
      <c r="G522" s="33"/>
      <c r="H522" s="33"/>
      <c r="I522" s="33"/>
      <c r="J522" s="33"/>
      <c r="K522" s="33"/>
      <c r="L522" s="33"/>
      <c r="M522" s="43"/>
      <c r="N522" s="43"/>
      <c r="O522" s="33"/>
      <c r="P522" s="33"/>
      <c r="Q522" s="33"/>
      <c r="R522" s="33"/>
      <c r="S522" s="33"/>
      <c r="T522" s="33"/>
      <c r="U522" s="33"/>
      <c r="V522" s="33"/>
      <c r="W522" s="33"/>
      <c r="X522" s="33"/>
      <c r="Y522" s="33"/>
      <c r="Z522" s="33"/>
      <c r="AA522" s="33"/>
      <c r="AB522" s="33"/>
    </row>
    <row r="523">
      <c r="A523" s="33"/>
      <c r="B523" s="33"/>
      <c r="C523" s="33"/>
      <c r="D523" s="43"/>
      <c r="E523" s="33"/>
      <c r="F523" s="33"/>
      <c r="G523" s="33"/>
      <c r="H523" s="33"/>
      <c r="I523" s="33"/>
      <c r="J523" s="33"/>
      <c r="K523" s="33"/>
      <c r="L523" s="33"/>
      <c r="M523" s="43"/>
      <c r="N523" s="43"/>
      <c r="O523" s="33"/>
      <c r="P523" s="33"/>
      <c r="Q523" s="33"/>
      <c r="R523" s="33"/>
      <c r="S523" s="33"/>
      <c r="T523" s="33"/>
      <c r="U523" s="33"/>
      <c r="V523" s="33"/>
      <c r="W523" s="33"/>
      <c r="X523" s="33"/>
      <c r="Y523" s="33"/>
      <c r="Z523" s="33"/>
      <c r="AA523" s="33"/>
      <c r="AB523" s="33"/>
    </row>
    <row r="524">
      <c r="A524" s="33"/>
      <c r="B524" s="33"/>
      <c r="C524" s="33"/>
      <c r="D524" s="43"/>
      <c r="E524" s="33"/>
      <c r="F524" s="33"/>
      <c r="G524" s="33"/>
      <c r="H524" s="33"/>
      <c r="I524" s="33"/>
      <c r="J524" s="33"/>
      <c r="K524" s="33"/>
      <c r="L524" s="33"/>
      <c r="M524" s="43"/>
      <c r="N524" s="43"/>
      <c r="O524" s="33"/>
      <c r="P524" s="33"/>
      <c r="Q524" s="33"/>
      <c r="R524" s="33"/>
      <c r="S524" s="33"/>
      <c r="T524" s="33"/>
      <c r="U524" s="33"/>
      <c r="V524" s="33"/>
      <c r="W524" s="33"/>
      <c r="X524" s="33"/>
      <c r="Y524" s="33"/>
      <c r="Z524" s="33"/>
      <c r="AA524" s="33"/>
      <c r="AB524" s="33"/>
    </row>
    <row r="525">
      <c r="A525" s="33"/>
      <c r="B525" s="33"/>
      <c r="C525" s="33"/>
      <c r="D525" s="43"/>
      <c r="E525" s="33"/>
      <c r="F525" s="33"/>
      <c r="G525" s="33"/>
      <c r="H525" s="33"/>
      <c r="I525" s="33"/>
      <c r="J525" s="33"/>
      <c r="K525" s="33"/>
      <c r="L525" s="33"/>
      <c r="M525" s="43"/>
      <c r="N525" s="43"/>
      <c r="O525" s="33"/>
      <c r="P525" s="33"/>
      <c r="Q525" s="33"/>
      <c r="R525" s="33"/>
      <c r="S525" s="33"/>
      <c r="T525" s="33"/>
      <c r="U525" s="33"/>
      <c r="V525" s="33"/>
      <c r="W525" s="33"/>
      <c r="X525" s="33"/>
      <c r="Y525" s="33"/>
      <c r="Z525" s="33"/>
      <c r="AA525" s="33"/>
      <c r="AB525" s="33"/>
    </row>
    <row r="526">
      <c r="A526" s="33"/>
      <c r="B526" s="33"/>
      <c r="C526" s="33"/>
      <c r="D526" s="43"/>
      <c r="E526" s="33"/>
      <c r="F526" s="33"/>
      <c r="G526" s="33"/>
      <c r="H526" s="33"/>
      <c r="I526" s="33"/>
      <c r="J526" s="33"/>
      <c r="K526" s="33"/>
      <c r="L526" s="33"/>
      <c r="M526" s="43"/>
      <c r="N526" s="43"/>
      <c r="O526" s="33"/>
      <c r="P526" s="33"/>
      <c r="Q526" s="33"/>
      <c r="R526" s="33"/>
      <c r="S526" s="33"/>
      <c r="T526" s="33"/>
      <c r="U526" s="33"/>
      <c r="V526" s="33"/>
      <c r="W526" s="33"/>
      <c r="X526" s="33"/>
      <c r="Y526" s="33"/>
      <c r="Z526" s="33"/>
      <c r="AA526" s="33"/>
      <c r="AB526" s="33"/>
    </row>
    <row r="527">
      <c r="A527" s="33"/>
      <c r="B527" s="33"/>
      <c r="C527" s="33"/>
      <c r="D527" s="43"/>
      <c r="E527" s="33"/>
      <c r="F527" s="33"/>
      <c r="G527" s="33"/>
      <c r="H527" s="33"/>
      <c r="I527" s="33"/>
      <c r="J527" s="33"/>
      <c r="K527" s="33"/>
      <c r="L527" s="33"/>
      <c r="M527" s="43"/>
      <c r="N527" s="43"/>
      <c r="O527" s="33"/>
      <c r="P527" s="33"/>
      <c r="Q527" s="33"/>
      <c r="R527" s="33"/>
      <c r="S527" s="33"/>
      <c r="T527" s="33"/>
      <c r="U527" s="33"/>
      <c r="V527" s="33"/>
      <c r="W527" s="33"/>
      <c r="X527" s="33"/>
      <c r="Y527" s="33"/>
      <c r="Z527" s="33"/>
      <c r="AA527" s="33"/>
      <c r="AB527" s="33"/>
    </row>
    <row r="528">
      <c r="A528" s="33"/>
      <c r="B528" s="33"/>
      <c r="C528" s="33"/>
      <c r="D528" s="43"/>
      <c r="E528" s="33"/>
      <c r="F528" s="33"/>
      <c r="G528" s="33"/>
      <c r="H528" s="33"/>
      <c r="I528" s="33"/>
      <c r="J528" s="33"/>
      <c r="K528" s="33"/>
      <c r="L528" s="33"/>
      <c r="M528" s="43"/>
      <c r="N528" s="43"/>
      <c r="O528" s="33"/>
      <c r="P528" s="33"/>
      <c r="Q528" s="33"/>
      <c r="R528" s="33"/>
      <c r="S528" s="33"/>
      <c r="T528" s="33"/>
      <c r="U528" s="33"/>
      <c r="V528" s="33"/>
      <c r="W528" s="33"/>
      <c r="X528" s="33"/>
      <c r="Y528" s="33"/>
      <c r="Z528" s="33"/>
      <c r="AA528" s="33"/>
      <c r="AB528" s="33"/>
    </row>
    <row r="529">
      <c r="A529" s="33"/>
      <c r="B529" s="33"/>
      <c r="C529" s="33"/>
      <c r="D529" s="43"/>
      <c r="E529" s="33"/>
      <c r="F529" s="33"/>
      <c r="G529" s="33"/>
      <c r="H529" s="33"/>
      <c r="I529" s="33"/>
      <c r="J529" s="33"/>
      <c r="K529" s="33"/>
      <c r="L529" s="33"/>
      <c r="M529" s="43"/>
      <c r="N529" s="43"/>
      <c r="O529" s="33"/>
      <c r="P529" s="33"/>
      <c r="Q529" s="33"/>
      <c r="R529" s="33"/>
      <c r="S529" s="33"/>
      <c r="T529" s="33"/>
      <c r="U529" s="33"/>
      <c r="V529" s="33"/>
      <c r="W529" s="33"/>
      <c r="X529" s="33"/>
      <c r="Y529" s="33"/>
      <c r="Z529" s="33"/>
      <c r="AA529" s="33"/>
      <c r="AB529" s="33"/>
    </row>
    <row r="530">
      <c r="A530" s="33"/>
      <c r="B530" s="33"/>
      <c r="C530" s="33"/>
      <c r="D530" s="43"/>
      <c r="E530" s="33"/>
      <c r="F530" s="33"/>
      <c r="G530" s="33"/>
      <c r="H530" s="33"/>
      <c r="I530" s="33"/>
      <c r="J530" s="33"/>
      <c r="K530" s="33"/>
      <c r="L530" s="33"/>
      <c r="M530" s="43"/>
      <c r="N530" s="43"/>
      <c r="O530" s="33"/>
      <c r="P530" s="33"/>
      <c r="Q530" s="33"/>
      <c r="R530" s="33"/>
      <c r="S530" s="33"/>
      <c r="T530" s="33"/>
      <c r="U530" s="33"/>
      <c r="V530" s="33"/>
      <c r="W530" s="33"/>
      <c r="X530" s="33"/>
      <c r="Y530" s="33"/>
      <c r="Z530" s="33"/>
      <c r="AA530" s="33"/>
      <c r="AB530" s="33"/>
    </row>
    <row r="531">
      <c r="A531" s="33"/>
      <c r="B531" s="33"/>
      <c r="C531" s="33"/>
      <c r="D531" s="43"/>
      <c r="E531" s="33"/>
      <c r="F531" s="33"/>
      <c r="G531" s="33"/>
      <c r="H531" s="33"/>
      <c r="I531" s="33"/>
      <c r="J531" s="33"/>
      <c r="K531" s="33"/>
      <c r="L531" s="33"/>
      <c r="M531" s="43"/>
      <c r="N531" s="43"/>
      <c r="O531" s="33"/>
      <c r="P531" s="33"/>
      <c r="Q531" s="33"/>
      <c r="R531" s="33"/>
      <c r="S531" s="33"/>
      <c r="T531" s="33"/>
      <c r="U531" s="33"/>
      <c r="V531" s="33"/>
      <c r="W531" s="33"/>
      <c r="X531" s="33"/>
      <c r="Y531" s="33"/>
      <c r="Z531" s="33"/>
      <c r="AA531" s="33"/>
      <c r="AB531" s="33"/>
    </row>
    <row r="532">
      <c r="A532" s="33"/>
      <c r="B532" s="33"/>
      <c r="C532" s="33"/>
      <c r="D532" s="43"/>
      <c r="E532" s="33"/>
      <c r="F532" s="33"/>
      <c r="G532" s="33"/>
      <c r="H532" s="33"/>
      <c r="I532" s="33"/>
      <c r="J532" s="33"/>
      <c r="K532" s="33"/>
      <c r="L532" s="33"/>
      <c r="M532" s="43"/>
      <c r="N532" s="43"/>
      <c r="O532" s="33"/>
      <c r="P532" s="33"/>
      <c r="Q532" s="33"/>
      <c r="R532" s="33"/>
      <c r="S532" s="33"/>
      <c r="T532" s="33"/>
      <c r="U532" s="33"/>
      <c r="V532" s="33"/>
      <c r="W532" s="33"/>
      <c r="X532" s="33"/>
      <c r="Y532" s="33"/>
      <c r="Z532" s="33"/>
      <c r="AA532" s="33"/>
      <c r="AB532" s="33"/>
    </row>
    <row r="533">
      <c r="A533" s="33"/>
      <c r="B533" s="33"/>
      <c r="C533" s="33"/>
      <c r="D533" s="43"/>
      <c r="E533" s="33"/>
      <c r="F533" s="33"/>
      <c r="G533" s="33"/>
      <c r="H533" s="33"/>
      <c r="I533" s="33"/>
      <c r="J533" s="33"/>
      <c r="K533" s="33"/>
      <c r="L533" s="33"/>
      <c r="M533" s="43"/>
      <c r="N533" s="43"/>
      <c r="O533" s="33"/>
      <c r="P533" s="33"/>
      <c r="Q533" s="33"/>
      <c r="R533" s="33"/>
      <c r="S533" s="33"/>
      <c r="T533" s="33"/>
      <c r="U533" s="33"/>
      <c r="V533" s="33"/>
      <c r="W533" s="33"/>
      <c r="X533" s="33"/>
      <c r="Y533" s="33"/>
      <c r="Z533" s="33"/>
      <c r="AA533" s="33"/>
      <c r="AB533" s="33"/>
    </row>
    <row r="534">
      <c r="A534" s="33"/>
      <c r="B534" s="33"/>
      <c r="C534" s="33"/>
      <c r="D534" s="43"/>
      <c r="E534" s="33"/>
      <c r="F534" s="33"/>
      <c r="G534" s="33"/>
      <c r="H534" s="33"/>
      <c r="I534" s="33"/>
      <c r="J534" s="33"/>
      <c r="K534" s="33"/>
      <c r="L534" s="33"/>
      <c r="M534" s="43"/>
      <c r="N534" s="43"/>
      <c r="O534" s="33"/>
      <c r="P534" s="33"/>
      <c r="Q534" s="33"/>
      <c r="R534" s="33"/>
      <c r="S534" s="33"/>
      <c r="T534" s="33"/>
      <c r="U534" s="33"/>
      <c r="V534" s="33"/>
      <c r="W534" s="33"/>
      <c r="X534" s="33"/>
      <c r="Y534" s="33"/>
      <c r="Z534" s="33"/>
      <c r="AA534" s="33"/>
      <c r="AB534" s="33"/>
    </row>
    <row r="535">
      <c r="A535" s="33"/>
      <c r="B535" s="33"/>
      <c r="C535" s="33"/>
      <c r="D535" s="43"/>
      <c r="E535" s="33"/>
      <c r="F535" s="33"/>
      <c r="G535" s="33"/>
      <c r="H535" s="33"/>
      <c r="I535" s="33"/>
      <c r="J535" s="33"/>
      <c r="K535" s="33"/>
      <c r="L535" s="33"/>
      <c r="M535" s="43"/>
      <c r="N535" s="43"/>
      <c r="O535" s="33"/>
      <c r="P535" s="33"/>
      <c r="Q535" s="33"/>
      <c r="R535" s="33"/>
      <c r="S535" s="33"/>
      <c r="T535" s="33"/>
      <c r="U535" s="33"/>
      <c r="V535" s="33"/>
      <c r="W535" s="33"/>
      <c r="X535" s="33"/>
      <c r="Y535" s="33"/>
      <c r="Z535" s="33"/>
      <c r="AA535" s="33"/>
      <c r="AB535" s="33"/>
    </row>
    <row r="536">
      <c r="A536" s="33"/>
      <c r="B536" s="33"/>
      <c r="C536" s="33"/>
      <c r="D536" s="43"/>
      <c r="E536" s="33"/>
      <c r="F536" s="33"/>
      <c r="G536" s="33"/>
      <c r="H536" s="33"/>
      <c r="I536" s="33"/>
      <c r="J536" s="33"/>
      <c r="K536" s="33"/>
      <c r="L536" s="33"/>
      <c r="M536" s="43"/>
      <c r="N536" s="43"/>
      <c r="O536" s="33"/>
      <c r="P536" s="33"/>
      <c r="Q536" s="33"/>
      <c r="R536" s="33"/>
      <c r="S536" s="33"/>
      <c r="T536" s="33"/>
      <c r="U536" s="33"/>
      <c r="V536" s="33"/>
      <c r="W536" s="33"/>
      <c r="X536" s="33"/>
      <c r="Y536" s="33"/>
      <c r="Z536" s="33"/>
      <c r="AA536" s="33"/>
      <c r="AB536" s="33"/>
    </row>
    <row r="537">
      <c r="A537" s="33"/>
      <c r="B537" s="33"/>
      <c r="C537" s="33"/>
      <c r="D537" s="43"/>
      <c r="E537" s="33"/>
      <c r="F537" s="33"/>
      <c r="G537" s="33"/>
      <c r="H537" s="33"/>
      <c r="I537" s="33"/>
      <c r="J537" s="33"/>
      <c r="K537" s="33"/>
      <c r="L537" s="33"/>
      <c r="M537" s="43"/>
      <c r="N537" s="43"/>
      <c r="O537" s="33"/>
      <c r="P537" s="33"/>
      <c r="Q537" s="33"/>
      <c r="R537" s="33"/>
      <c r="S537" s="33"/>
      <c r="T537" s="33"/>
      <c r="U537" s="33"/>
      <c r="V537" s="33"/>
      <c r="W537" s="33"/>
      <c r="X537" s="33"/>
      <c r="Y537" s="33"/>
      <c r="Z537" s="33"/>
      <c r="AA537" s="33"/>
      <c r="AB537" s="33"/>
    </row>
    <row r="538">
      <c r="A538" s="33"/>
      <c r="B538" s="33"/>
      <c r="C538" s="33"/>
      <c r="D538" s="43"/>
      <c r="E538" s="33"/>
      <c r="F538" s="33"/>
      <c r="G538" s="33"/>
      <c r="H538" s="33"/>
      <c r="I538" s="33"/>
      <c r="J538" s="33"/>
      <c r="K538" s="33"/>
      <c r="L538" s="33"/>
      <c r="M538" s="43"/>
      <c r="N538" s="43"/>
      <c r="O538" s="33"/>
      <c r="P538" s="33"/>
      <c r="Q538" s="33"/>
      <c r="R538" s="33"/>
      <c r="S538" s="33"/>
      <c r="T538" s="33"/>
      <c r="U538" s="33"/>
      <c r="V538" s="33"/>
      <c r="W538" s="33"/>
      <c r="X538" s="33"/>
      <c r="Y538" s="33"/>
      <c r="Z538" s="33"/>
      <c r="AA538" s="33"/>
      <c r="AB538" s="33"/>
    </row>
    <row r="539">
      <c r="A539" s="33"/>
      <c r="B539" s="33"/>
      <c r="C539" s="33"/>
      <c r="D539" s="43"/>
      <c r="E539" s="33"/>
      <c r="F539" s="33"/>
      <c r="G539" s="33"/>
      <c r="H539" s="33"/>
      <c r="I539" s="33"/>
      <c r="J539" s="33"/>
      <c r="K539" s="33"/>
      <c r="L539" s="33"/>
      <c r="M539" s="43"/>
      <c r="N539" s="43"/>
      <c r="O539" s="33"/>
      <c r="P539" s="33"/>
      <c r="Q539" s="33"/>
      <c r="R539" s="33"/>
      <c r="S539" s="33"/>
      <c r="T539" s="33"/>
      <c r="U539" s="33"/>
      <c r="V539" s="33"/>
      <c r="W539" s="33"/>
      <c r="X539" s="33"/>
      <c r="Y539" s="33"/>
      <c r="Z539" s="33"/>
      <c r="AA539" s="33"/>
      <c r="AB539" s="33"/>
    </row>
    <row r="540">
      <c r="A540" s="33"/>
      <c r="B540" s="33"/>
      <c r="C540" s="33"/>
      <c r="D540" s="43"/>
      <c r="E540" s="33"/>
      <c r="F540" s="33"/>
      <c r="G540" s="33"/>
      <c r="H540" s="33"/>
      <c r="I540" s="33"/>
      <c r="J540" s="33"/>
      <c r="K540" s="33"/>
      <c r="L540" s="33"/>
      <c r="M540" s="43"/>
      <c r="N540" s="43"/>
      <c r="O540" s="33"/>
      <c r="P540" s="33"/>
      <c r="Q540" s="33"/>
      <c r="R540" s="33"/>
      <c r="S540" s="33"/>
      <c r="T540" s="33"/>
      <c r="U540" s="33"/>
      <c r="V540" s="33"/>
      <c r="W540" s="33"/>
      <c r="X540" s="33"/>
      <c r="Y540" s="33"/>
      <c r="Z540" s="33"/>
      <c r="AA540" s="33"/>
      <c r="AB540" s="33"/>
    </row>
    <row r="541">
      <c r="A541" s="33"/>
      <c r="B541" s="33"/>
      <c r="C541" s="33"/>
      <c r="D541" s="43"/>
      <c r="E541" s="33"/>
      <c r="F541" s="33"/>
      <c r="G541" s="33"/>
      <c r="H541" s="33"/>
      <c r="I541" s="33"/>
      <c r="J541" s="33"/>
      <c r="K541" s="33"/>
      <c r="L541" s="33"/>
      <c r="M541" s="43"/>
      <c r="N541" s="43"/>
      <c r="O541" s="33"/>
      <c r="P541" s="33"/>
      <c r="Q541" s="33"/>
      <c r="R541" s="33"/>
      <c r="S541" s="33"/>
      <c r="T541" s="33"/>
      <c r="U541" s="33"/>
      <c r="V541" s="33"/>
      <c r="W541" s="33"/>
      <c r="X541" s="33"/>
      <c r="Y541" s="33"/>
      <c r="Z541" s="33"/>
      <c r="AA541" s="33"/>
      <c r="AB541" s="33"/>
    </row>
    <row r="542">
      <c r="A542" s="33"/>
      <c r="B542" s="33"/>
      <c r="C542" s="33"/>
      <c r="D542" s="43"/>
      <c r="E542" s="33"/>
      <c r="F542" s="33"/>
      <c r="G542" s="33"/>
      <c r="H542" s="33"/>
      <c r="I542" s="33"/>
      <c r="J542" s="33"/>
      <c r="K542" s="33"/>
      <c r="L542" s="33"/>
      <c r="M542" s="43"/>
      <c r="N542" s="43"/>
      <c r="O542" s="33"/>
      <c r="P542" s="33"/>
      <c r="Q542" s="33"/>
      <c r="R542" s="33"/>
      <c r="S542" s="33"/>
      <c r="T542" s="33"/>
      <c r="U542" s="33"/>
      <c r="V542" s="33"/>
      <c r="W542" s="33"/>
      <c r="X542" s="33"/>
      <c r="Y542" s="33"/>
      <c r="Z542" s="33"/>
      <c r="AA542" s="33"/>
      <c r="AB542" s="33"/>
    </row>
    <row r="543">
      <c r="A543" s="33"/>
      <c r="B543" s="33"/>
      <c r="C543" s="33"/>
      <c r="D543" s="43"/>
      <c r="E543" s="33"/>
      <c r="F543" s="33"/>
      <c r="G543" s="33"/>
      <c r="H543" s="33"/>
      <c r="I543" s="33"/>
      <c r="J543" s="33"/>
      <c r="K543" s="33"/>
      <c r="L543" s="33"/>
      <c r="M543" s="43"/>
      <c r="N543" s="43"/>
      <c r="O543" s="33"/>
      <c r="P543" s="33"/>
      <c r="Q543" s="33"/>
      <c r="R543" s="33"/>
      <c r="S543" s="33"/>
      <c r="T543" s="33"/>
      <c r="U543" s="33"/>
      <c r="V543" s="33"/>
      <c r="W543" s="33"/>
      <c r="X543" s="33"/>
      <c r="Y543" s="33"/>
      <c r="Z543" s="33"/>
      <c r="AA543" s="33"/>
      <c r="AB543" s="33"/>
    </row>
    <row r="544">
      <c r="A544" s="33"/>
      <c r="B544" s="33"/>
      <c r="C544" s="33"/>
      <c r="D544" s="43"/>
      <c r="E544" s="33"/>
      <c r="F544" s="33"/>
      <c r="G544" s="33"/>
      <c r="H544" s="33"/>
      <c r="I544" s="33"/>
      <c r="J544" s="33"/>
      <c r="K544" s="33"/>
      <c r="L544" s="33"/>
      <c r="M544" s="43"/>
      <c r="N544" s="43"/>
      <c r="O544" s="33"/>
      <c r="P544" s="33"/>
      <c r="Q544" s="33"/>
      <c r="R544" s="33"/>
      <c r="S544" s="33"/>
      <c r="T544" s="33"/>
      <c r="U544" s="33"/>
      <c r="V544" s="33"/>
      <c r="W544" s="33"/>
      <c r="X544" s="33"/>
      <c r="Y544" s="33"/>
      <c r="Z544" s="33"/>
      <c r="AA544" s="33"/>
      <c r="AB544" s="33"/>
    </row>
    <row r="545">
      <c r="A545" s="33"/>
      <c r="B545" s="33"/>
      <c r="C545" s="33"/>
      <c r="D545" s="43"/>
      <c r="E545" s="33"/>
      <c r="F545" s="33"/>
      <c r="G545" s="33"/>
      <c r="H545" s="33"/>
      <c r="I545" s="33"/>
      <c r="J545" s="33"/>
      <c r="K545" s="33"/>
      <c r="L545" s="33"/>
      <c r="M545" s="43"/>
      <c r="N545" s="43"/>
      <c r="O545" s="33"/>
      <c r="P545" s="33"/>
      <c r="Q545" s="33"/>
      <c r="R545" s="33"/>
      <c r="S545" s="33"/>
      <c r="T545" s="33"/>
      <c r="U545" s="33"/>
      <c r="V545" s="33"/>
      <c r="W545" s="33"/>
      <c r="X545" s="33"/>
      <c r="Y545" s="33"/>
      <c r="Z545" s="33"/>
      <c r="AA545" s="33"/>
      <c r="AB545" s="33"/>
    </row>
    <row r="546">
      <c r="A546" s="33"/>
      <c r="B546" s="33"/>
      <c r="C546" s="33"/>
      <c r="D546" s="43"/>
      <c r="E546" s="33"/>
      <c r="F546" s="33"/>
      <c r="G546" s="33"/>
      <c r="H546" s="33"/>
      <c r="I546" s="33"/>
      <c r="J546" s="33"/>
      <c r="K546" s="33"/>
      <c r="L546" s="33"/>
      <c r="M546" s="43"/>
      <c r="N546" s="43"/>
      <c r="O546" s="33"/>
      <c r="P546" s="33"/>
      <c r="Q546" s="33"/>
      <c r="R546" s="33"/>
      <c r="S546" s="33"/>
      <c r="T546" s="33"/>
      <c r="U546" s="33"/>
      <c r="V546" s="33"/>
      <c r="W546" s="33"/>
      <c r="X546" s="33"/>
      <c r="Y546" s="33"/>
      <c r="Z546" s="33"/>
      <c r="AA546" s="33"/>
      <c r="AB546" s="33"/>
    </row>
    <row r="547">
      <c r="A547" s="33"/>
      <c r="B547" s="33"/>
      <c r="C547" s="33"/>
      <c r="D547" s="43"/>
      <c r="E547" s="33"/>
      <c r="F547" s="33"/>
      <c r="G547" s="33"/>
      <c r="H547" s="33"/>
      <c r="I547" s="33"/>
      <c r="J547" s="33"/>
      <c r="K547" s="33"/>
      <c r="L547" s="33"/>
      <c r="M547" s="43"/>
      <c r="N547" s="43"/>
      <c r="O547" s="33"/>
      <c r="P547" s="33"/>
      <c r="Q547" s="33"/>
      <c r="R547" s="33"/>
      <c r="S547" s="33"/>
      <c r="T547" s="33"/>
      <c r="U547" s="33"/>
      <c r="V547" s="33"/>
      <c r="W547" s="33"/>
      <c r="X547" s="33"/>
      <c r="Y547" s="33"/>
      <c r="Z547" s="33"/>
      <c r="AA547" s="33"/>
      <c r="AB547" s="33"/>
    </row>
    <row r="548">
      <c r="A548" s="33"/>
      <c r="B548" s="33"/>
      <c r="C548" s="33"/>
      <c r="D548" s="43"/>
      <c r="E548" s="33"/>
      <c r="F548" s="33"/>
      <c r="G548" s="33"/>
      <c r="H548" s="33"/>
      <c r="I548" s="33"/>
      <c r="J548" s="33"/>
      <c r="K548" s="33"/>
      <c r="L548" s="33"/>
      <c r="M548" s="43"/>
      <c r="N548" s="43"/>
      <c r="O548" s="33"/>
      <c r="P548" s="33"/>
      <c r="Q548" s="33"/>
      <c r="R548" s="33"/>
      <c r="S548" s="33"/>
      <c r="T548" s="33"/>
      <c r="U548" s="33"/>
      <c r="V548" s="33"/>
      <c r="W548" s="33"/>
      <c r="X548" s="33"/>
      <c r="Y548" s="33"/>
      <c r="Z548" s="33"/>
      <c r="AA548" s="33"/>
      <c r="AB548" s="33"/>
    </row>
    <row r="549">
      <c r="A549" s="33"/>
      <c r="B549" s="33"/>
      <c r="C549" s="33"/>
      <c r="D549" s="43"/>
      <c r="E549" s="33"/>
      <c r="F549" s="33"/>
      <c r="G549" s="33"/>
      <c r="H549" s="33"/>
      <c r="I549" s="33"/>
      <c r="J549" s="33"/>
      <c r="K549" s="33"/>
      <c r="L549" s="33"/>
      <c r="M549" s="43"/>
      <c r="N549" s="43"/>
      <c r="O549" s="33"/>
      <c r="P549" s="33"/>
      <c r="Q549" s="33"/>
      <c r="R549" s="33"/>
      <c r="S549" s="33"/>
      <c r="T549" s="33"/>
      <c r="U549" s="33"/>
      <c r="V549" s="33"/>
      <c r="W549" s="33"/>
      <c r="X549" s="33"/>
      <c r="Y549" s="33"/>
      <c r="Z549" s="33"/>
      <c r="AA549" s="33"/>
      <c r="AB549" s="33"/>
    </row>
    <row r="550">
      <c r="A550" s="33"/>
      <c r="B550" s="33"/>
      <c r="C550" s="33"/>
      <c r="D550" s="43"/>
      <c r="E550" s="33"/>
      <c r="F550" s="33"/>
      <c r="G550" s="33"/>
      <c r="H550" s="33"/>
      <c r="I550" s="33"/>
      <c r="J550" s="33"/>
      <c r="K550" s="33"/>
      <c r="L550" s="33"/>
      <c r="M550" s="43"/>
      <c r="N550" s="43"/>
      <c r="O550" s="33"/>
      <c r="P550" s="33"/>
      <c r="Q550" s="33"/>
      <c r="R550" s="33"/>
      <c r="S550" s="33"/>
      <c r="T550" s="33"/>
      <c r="U550" s="33"/>
      <c r="V550" s="33"/>
      <c r="W550" s="33"/>
      <c r="X550" s="33"/>
      <c r="Y550" s="33"/>
      <c r="Z550" s="33"/>
      <c r="AA550" s="33"/>
      <c r="AB550" s="33"/>
    </row>
    <row r="551">
      <c r="A551" s="33"/>
      <c r="B551" s="33"/>
      <c r="C551" s="33"/>
      <c r="D551" s="43"/>
      <c r="E551" s="33"/>
      <c r="F551" s="33"/>
      <c r="G551" s="33"/>
      <c r="H551" s="33"/>
      <c r="I551" s="33"/>
      <c r="J551" s="33"/>
      <c r="K551" s="33"/>
      <c r="L551" s="33"/>
      <c r="M551" s="43"/>
      <c r="N551" s="43"/>
      <c r="O551" s="33"/>
      <c r="P551" s="33"/>
      <c r="Q551" s="33"/>
      <c r="R551" s="33"/>
      <c r="S551" s="33"/>
      <c r="T551" s="33"/>
      <c r="U551" s="33"/>
      <c r="V551" s="33"/>
      <c r="W551" s="33"/>
      <c r="X551" s="33"/>
      <c r="Y551" s="33"/>
      <c r="Z551" s="33"/>
      <c r="AA551" s="33"/>
      <c r="AB551" s="33"/>
    </row>
    <row r="552">
      <c r="A552" s="33"/>
      <c r="B552" s="33"/>
      <c r="C552" s="33"/>
      <c r="D552" s="43"/>
      <c r="E552" s="33"/>
      <c r="F552" s="33"/>
      <c r="G552" s="33"/>
      <c r="H552" s="33"/>
      <c r="I552" s="33"/>
      <c r="J552" s="33"/>
      <c r="K552" s="33"/>
      <c r="L552" s="33"/>
      <c r="M552" s="43"/>
      <c r="N552" s="43"/>
      <c r="O552" s="33"/>
      <c r="P552" s="33"/>
      <c r="Q552" s="33"/>
      <c r="R552" s="33"/>
      <c r="S552" s="33"/>
      <c r="T552" s="33"/>
      <c r="U552" s="33"/>
      <c r="V552" s="33"/>
      <c r="W552" s="33"/>
      <c r="X552" s="33"/>
      <c r="Y552" s="33"/>
      <c r="Z552" s="33"/>
      <c r="AA552" s="33"/>
      <c r="AB552" s="33"/>
    </row>
    <row r="553">
      <c r="A553" s="33"/>
      <c r="B553" s="33"/>
      <c r="C553" s="33"/>
      <c r="D553" s="43"/>
      <c r="E553" s="33"/>
      <c r="F553" s="33"/>
      <c r="G553" s="33"/>
      <c r="H553" s="33"/>
      <c r="I553" s="33"/>
      <c r="J553" s="33"/>
      <c r="K553" s="33"/>
      <c r="L553" s="33"/>
      <c r="M553" s="43"/>
      <c r="N553" s="43"/>
      <c r="O553" s="33"/>
      <c r="P553" s="33"/>
      <c r="Q553" s="33"/>
      <c r="R553" s="33"/>
      <c r="S553" s="33"/>
      <c r="T553" s="33"/>
      <c r="U553" s="33"/>
      <c r="V553" s="33"/>
      <c r="W553" s="33"/>
      <c r="X553" s="33"/>
      <c r="Y553" s="33"/>
      <c r="Z553" s="33"/>
      <c r="AA553" s="33"/>
      <c r="AB553" s="33"/>
    </row>
    <row r="554">
      <c r="A554" s="33"/>
      <c r="B554" s="33"/>
      <c r="C554" s="33"/>
      <c r="D554" s="43"/>
      <c r="E554" s="33"/>
      <c r="F554" s="33"/>
      <c r="G554" s="33"/>
      <c r="H554" s="33"/>
      <c r="I554" s="33"/>
      <c r="J554" s="33"/>
      <c r="K554" s="33"/>
      <c r="L554" s="33"/>
      <c r="M554" s="43"/>
      <c r="N554" s="43"/>
      <c r="O554" s="33"/>
      <c r="P554" s="33"/>
      <c r="Q554" s="33"/>
      <c r="R554" s="33"/>
      <c r="S554" s="33"/>
      <c r="T554" s="33"/>
      <c r="U554" s="33"/>
      <c r="V554" s="33"/>
      <c r="W554" s="33"/>
      <c r="X554" s="33"/>
      <c r="Y554" s="33"/>
      <c r="Z554" s="33"/>
      <c r="AA554" s="33"/>
      <c r="AB554" s="33"/>
    </row>
    <row r="555">
      <c r="A555" s="33"/>
      <c r="B555" s="33"/>
      <c r="C555" s="33"/>
      <c r="D555" s="43"/>
      <c r="E555" s="33"/>
      <c r="F555" s="33"/>
      <c r="G555" s="33"/>
      <c r="H555" s="33"/>
      <c r="I555" s="33"/>
      <c r="J555" s="33"/>
      <c r="K555" s="33"/>
      <c r="L555" s="33"/>
      <c r="M555" s="43"/>
      <c r="N555" s="43"/>
      <c r="O555" s="33"/>
      <c r="P555" s="33"/>
      <c r="Q555" s="33"/>
      <c r="R555" s="33"/>
      <c r="S555" s="33"/>
      <c r="T555" s="33"/>
      <c r="U555" s="33"/>
      <c r="V555" s="33"/>
      <c r="W555" s="33"/>
      <c r="X555" s="33"/>
      <c r="Y555" s="33"/>
      <c r="Z555" s="33"/>
      <c r="AA555" s="33"/>
      <c r="AB555" s="33"/>
    </row>
    <row r="556">
      <c r="A556" s="33"/>
      <c r="B556" s="33"/>
      <c r="C556" s="33"/>
      <c r="D556" s="43"/>
      <c r="E556" s="33"/>
      <c r="F556" s="33"/>
      <c r="G556" s="33"/>
      <c r="H556" s="33"/>
      <c r="I556" s="33"/>
      <c r="J556" s="33"/>
      <c r="K556" s="33"/>
      <c r="L556" s="33"/>
      <c r="M556" s="43"/>
      <c r="N556" s="43"/>
      <c r="O556" s="33"/>
      <c r="P556" s="33"/>
      <c r="Q556" s="33"/>
      <c r="R556" s="33"/>
      <c r="S556" s="33"/>
      <c r="T556" s="33"/>
      <c r="U556" s="33"/>
      <c r="V556" s="33"/>
      <c r="W556" s="33"/>
      <c r="X556" s="33"/>
      <c r="Y556" s="33"/>
      <c r="Z556" s="33"/>
      <c r="AA556" s="33"/>
      <c r="AB556" s="33"/>
    </row>
    <row r="557">
      <c r="A557" s="33"/>
      <c r="B557" s="33"/>
      <c r="C557" s="33"/>
      <c r="D557" s="43"/>
      <c r="E557" s="33"/>
      <c r="F557" s="33"/>
      <c r="G557" s="33"/>
      <c r="H557" s="33"/>
      <c r="I557" s="33"/>
      <c r="J557" s="33"/>
      <c r="K557" s="33"/>
      <c r="L557" s="33"/>
      <c r="M557" s="43"/>
      <c r="N557" s="43"/>
      <c r="O557" s="33"/>
      <c r="P557" s="33"/>
      <c r="Q557" s="33"/>
      <c r="R557" s="33"/>
      <c r="S557" s="33"/>
      <c r="T557" s="33"/>
      <c r="U557" s="33"/>
      <c r="V557" s="33"/>
      <c r="W557" s="33"/>
      <c r="X557" s="33"/>
      <c r="Y557" s="33"/>
      <c r="Z557" s="33"/>
      <c r="AA557" s="33"/>
      <c r="AB557" s="33"/>
    </row>
    <row r="558">
      <c r="A558" s="33"/>
      <c r="B558" s="33"/>
      <c r="C558" s="33"/>
      <c r="D558" s="43"/>
      <c r="E558" s="33"/>
      <c r="F558" s="33"/>
      <c r="G558" s="33"/>
      <c r="H558" s="33"/>
      <c r="I558" s="33"/>
      <c r="J558" s="33"/>
      <c r="K558" s="33"/>
      <c r="L558" s="33"/>
      <c r="M558" s="43"/>
      <c r="N558" s="43"/>
      <c r="O558" s="33"/>
      <c r="P558" s="33"/>
      <c r="Q558" s="33"/>
      <c r="R558" s="33"/>
      <c r="S558" s="33"/>
      <c r="T558" s="33"/>
      <c r="U558" s="33"/>
      <c r="V558" s="33"/>
      <c r="W558" s="33"/>
      <c r="X558" s="33"/>
      <c r="Y558" s="33"/>
      <c r="Z558" s="33"/>
      <c r="AA558" s="33"/>
      <c r="AB558" s="33"/>
    </row>
    <row r="559">
      <c r="A559" s="33"/>
      <c r="B559" s="33"/>
      <c r="C559" s="33"/>
      <c r="D559" s="43"/>
      <c r="E559" s="33"/>
      <c r="F559" s="33"/>
      <c r="G559" s="33"/>
      <c r="H559" s="33"/>
      <c r="I559" s="33"/>
      <c r="J559" s="33"/>
      <c r="K559" s="33"/>
      <c r="L559" s="33"/>
      <c r="M559" s="43"/>
      <c r="N559" s="43"/>
      <c r="O559" s="33"/>
      <c r="P559" s="33"/>
      <c r="Q559" s="33"/>
      <c r="R559" s="33"/>
      <c r="S559" s="33"/>
      <c r="T559" s="33"/>
      <c r="U559" s="33"/>
      <c r="V559" s="33"/>
      <c r="W559" s="33"/>
      <c r="X559" s="33"/>
      <c r="Y559" s="33"/>
      <c r="Z559" s="33"/>
      <c r="AA559" s="33"/>
      <c r="AB559" s="33"/>
    </row>
    <row r="560">
      <c r="A560" s="33"/>
      <c r="B560" s="33"/>
      <c r="C560" s="33"/>
      <c r="D560" s="43"/>
      <c r="E560" s="33"/>
      <c r="F560" s="33"/>
      <c r="G560" s="33"/>
      <c r="H560" s="33"/>
      <c r="I560" s="33"/>
      <c r="J560" s="33"/>
      <c r="K560" s="33"/>
      <c r="L560" s="33"/>
      <c r="M560" s="43"/>
      <c r="N560" s="43"/>
      <c r="O560" s="33"/>
      <c r="P560" s="33"/>
      <c r="Q560" s="33"/>
      <c r="R560" s="33"/>
      <c r="S560" s="33"/>
      <c r="T560" s="33"/>
      <c r="U560" s="33"/>
      <c r="V560" s="33"/>
      <c r="W560" s="33"/>
      <c r="X560" s="33"/>
      <c r="Y560" s="33"/>
      <c r="Z560" s="33"/>
      <c r="AA560" s="33"/>
      <c r="AB560" s="33"/>
    </row>
    <row r="561">
      <c r="A561" s="33"/>
      <c r="B561" s="33"/>
      <c r="C561" s="33"/>
      <c r="D561" s="43"/>
      <c r="E561" s="33"/>
      <c r="F561" s="33"/>
      <c r="G561" s="33"/>
      <c r="H561" s="33"/>
      <c r="I561" s="33"/>
      <c r="J561" s="33"/>
      <c r="K561" s="33"/>
      <c r="L561" s="33"/>
      <c r="M561" s="43"/>
      <c r="N561" s="43"/>
      <c r="O561" s="33"/>
      <c r="P561" s="33"/>
      <c r="Q561" s="33"/>
      <c r="R561" s="33"/>
      <c r="S561" s="33"/>
      <c r="T561" s="33"/>
      <c r="U561" s="33"/>
      <c r="V561" s="33"/>
      <c r="W561" s="33"/>
      <c r="X561" s="33"/>
      <c r="Y561" s="33"/>
      <c r="Z561" s="33"/>
      <c r="AA561" s="33"/>
      <c r="AB561" s="33"/>
    </row>
    <row r="562">
      <c r="A562" s="33"/>
      <c r="B562" s="33"/>
      <c r="C562" s="33"/>
      <c r="D562" s="43"/>
      <c r="E562" s="33"/>
      <c r="F562" s="33"/>
      <c r="G562" s="33"/>
      <c r="H562" s="33"/>
      <c r="I562" s="33"/>
      <c r="J562" s="33"/>
      <c r="K562" s="33"/>
      <c r="L562" s="33"/>
      <c r="M562" s="43"/>
      <c r="N562" s="43"/>
      <c r="O562" s="33"/>
      <c r="P562" s="33"/>
      <c r="Q562" s="33"/>
      <c r="R562" s="33"/>
      <c r="S562" s="33"/>
      <c r="T562" s="33"/>
      <c r="U562" s="33"/>
      <c r="V562" s="33"/>
      <c r="W562" s="33"/>
      <c r="X562" s="33"/>
      <c r="Y562" s="33"/>
      <c r="Z562" s="33"/>
      <c r="AA562" s="33"/>
      <c r="AB562" s="33"/>
    </row>
    <row r="563">
      <c r="A563" s="33"/>
      <c r="B563" s="33"/>
      <c r="C563" s="33"/>
      <c r="D563" s="43"/>
      <c r="E563" s="33"/>
      <c r="F563" s="33"/>
      <c r="G563" s="33"/>
      <c r="H563" s="33"/>
      <c r="I563" s="33"/>
      <c r="J563" s="33"/>
      <c r="K563" s="33"/>
      <c r="L563" s="33"/>
      <c r="M563" s="43"/>
      <c r="N563" s="43"/>
      <c r="O563" s="33"/>
      <c r="P563" s="33"/>
      <c r="Q563" s="33"/>
      <c r="R563" s="33"/>
      <c r="S563" s="33"/>
      <c r="T563" s="33"/>
      <c r="U563" s="33"/>
      <c r="V563" s="33"/>
      <c r="W563" s="33"/>
      <c r="X563" s="33"/>
      <c r="Y563" s="33"/>
      <c r="Z563" s="33"/>
      <c r="AA563" s="33"/>
      <c r="AB563" s="33"/>
    </row>
    <row r="564">
      <c r="A564" s="33"/>
      <c r="B564" s="33"/>
      <c r="C564" s="33"/>
      <c r="D564" s="43"/>
      <c r="E564" s="33"/>
      <c r="F564" s="33"/>
      <c r="G564" s="33"/>
      <c r="H564" s="33"/>
      <c r="I564" s="33"/>
      <c r="J564" s="33"/>
      <c r="K564" s="33"/>
      <c r="L564" s="33"/>
      <c r="M564" s="43"/>
      <c r="N564" s="43"/>
      <c r="O564" s="33"/>
      <c r="P564" s="33"/>
      <c r="Q564" s="33"/>
      <c r="R564" s="33"/>
      <c r="S564" s="33"/>
      <c r="T564" s="33"/>
      <c r="U564" s="33"/>
      <c r="V564" s="33"/>
      <c r="W564" s="33"/>
      <c r="X564" s="33"/>
      <c r="Y564" s="33"/>
      <c r="Z564" s="33"/>
      <c r="AA564" s="33"/>
      <c r="AB564" s="33"/>
    </row>
    <row r="565">
      <c r="A565" s="33"/>
      <c r="B565" s="33"/>
      <c r="C565" s="33"/>
      <c r="D565" s="43"/>
      <c r="E565" s="33"/>
      <c r="F565" s="33"/>
      <c r="G565" s="33"/>
      <c r="H565" s="33"/>
      <c r="I565" s="33"/>
      <c r="J565" s="33"/>
      <c r="K565" s="33"/>
      <c r="L565" s="33"/>
      <c r="M565" s="43"/>
      <c r="N565" s="43"/>
      <c r="O565" s="33"/>
      <c r="P565" s="33"/>
      <c r="Q565" s="33"/>
      <c r="R565" s="33"/>
      <c r="S565" s="33"/>
      <c r="T565" s="33"/>
      <c r="U565" s="33"/>
      <c r="V565" s="33"/>
      <c r="W565" s="33"/>
      <c r="X565" s="33"/>
      <c r="Y565" s="33"/>
      <c r="Z565" s="33"/>
      <c r="AA565" s="33"/>
      <c r="AB565" s="33"/>
    </row>
    <row r="566">
      <c r="A566" s="33"/>
      <c r="B566" s="33"/>
      <c r="C566" s="33"/>
      <c r="D566" s="43"/>
      <c r="E566" s="33"/>
      <c r="F566" s="33"/>
      <c r="G566" s="33"/>
      <c r="H566" s="33"/>
      <c r="I566" s="33"/>
      <c r="J566" s="33"/>
      <c r="K566" s="33"/>
      <c r="L566" s="33"/>
      <c r="M566" s="43"/>
      <c r="N566" s="43"/>
      <c r="O566" s="33"/>
      <c r="P566" s="33"/>
      <c r="Q566" s="33"/>
      <c r="R566" s="33"/>
      <c r="S566" s="33"/>
      <c r="T566" s="33"/>
      <c r="U566" s="33"/>
      <c r="V566" s="33"/>
      <c r="W566" s="33"/>
      <c r="X566" s="33"/>
      <c r="Y566" s="33"/>
      <c r="Z566" s="33"/>
      <c r="AA566" s="33"/>
      <c r="AB566" s="33"/>
    </row>
    <row r="567">
      <c r="A567" s="33"/>
      <c r="B567" s="33"/>
      <c r="C567" s="33"/>
      <c r="D567" s="43"/>
      <c r="E567" s="33"/>
      <c r="F567" s="33"/>
      <c r="G567" s="33"/>
      <c r="H567" s="33"/>
      <c r="I567" s="33"/>
      <c r="J567" s="33"/>
      <c r="K567" s="33"/>
      <c r="L567" s="33"/>
      <c r="M567" s="43"/>
      <c r="N567" s="43"/>
      <c r="O567" s="33"/>
      <c r="P567" s="33"/>
      <c r="Q567" s="33"/>
      <c r="R567" s="33"/>
      <c r="S567" s="33"/>
      <c r="T567" s="33"/>
      <c r="U567" s="33"/>
      <c r="V567" s="33"/>
      <c r="W567" s="33"/>
      <c r="X567" s="33"/>
      <c r="Y567" s="33"/>
      <c r="Z567" s="33"/>
      <c r="AA567" s="33"/>
      <c r="AB567" s="33"/>
    </row>
    <row r="568">
      <c r="A568" s="33"/>
      <c r="B568" s="33"/>
      <c r="C568" s="33"/>
      <c r="D568" s="43"/>
      <c r="E568" s="33"/>
      <c r="F568" s="33"/>
      <c r="G568" s="33"/>
      <c r="H568" s="33"/>
      <c r="I568" s="33"/>
      <c r="J568" s="33"/>
      <c r="K568" s="33"/>
      <c r="L568" s="33"/>
      <c r="M568" s="43"/>
      <c r="N568" s="43"/>
      <c r="O568" s="33"/>
      <c r="P568" s="33"/>
      <c r="Q568" s="33"/>
      <c r="R568" s="33"/>
      <c r="S568" s="33"/>
      <c r="T568" s="33"/>
      <c r="U568" s="33"/>
      <c r="V568" s="33"/>
      <c r="W568" s="33"/>
      <c r="X568" s="33"/>
      <c r="Y568" s="33"/>
      <c r="Z568" s="33"/>
      <c r="AA568" s="33"/>
      <c r="AB568" s="33"/>
    </row>
    <row r="569">
      <c r="A569" s="33"/>
      <c r="B569" s="33"/>
      <c r="C569" s="33"/>
      <c r="D569" s="43"/>
      <c r="E569" s="33"/>
      <c r="F569" s="33"/>
      <c r="G569" s="33"/>
      <c r="H569" s="33"/>
      <c r="I569" s="33"/>
      <c r="J569" s="33"/>
      <c r="K569" s="33"/>
      <c r="L569" s="33"/>
      <c r="M569" s="43"/>
      <c r="N569" s="43"/>
      <c r="O569" s="33"/>
      <c r="P569" s="33"/>
      <c r="Q569" s="33"/>
      <c r="R569" s="33"/>
      <c r="S569" s="33"/>
      <c r="T569" s="33"/>
      <c r="U569" s="33"/>
      <c r="V569" s="33"/>
      <c r="W569" s="33"/>
      <c r="X569" s="33"/>
      <c r="Y569" s="33"/>
      <c r="Z569" s="33"/>
      <c r="AA569" s="33"/>
      <c r="AB569" s="33"/>
    </row>
    <row r="570">
      <c r="A570" s="33"/>
      <c r="B570" s="33"/>
      <c r="C570" s="33"/>
      <c r="D570" s="43"/>
      <c r="E570" s="33"/>
      <c r="F570" s="33"/>
      <c r="G570" s="33"/>
      <c r="H570" s="33"/>
      <c r="I570" s="33"/>
      <c r="J570" s="33"/>
      <c r="K570" s="33"/>
      <c r="L570" s="33"/>
      <c r="M570" s="43"/>
      <c r="N570" s="43"/>
      <c r="O570" s="33"/>
      <c r="P570" s="33"/>
      <c r="Q570" s="33"/>
      <c r="R570" s="33"/>
      <c r="S570" s="33"/>
      <c r="T570" s="33"/>
      <c r="U570" s="33"/>
      <c r="V570" s="33"/>
      <c r="W570" s="33"/>
      <c r="X570" s="33"/>
      <c r="Y570" s="33"/>
      <c r="Z570" s="33"/>
      <c r="AA570" s="33"/>
      <c r="AB570" s="33"/>
    </row>
    <row r="571">
      <c r="A571" s="33"/>
      <c r="B571" s="33"/>
      <c r="C571" s="33"/>
      <c r="D571" s="43"/>
      <c r="E571" s="33"/>
      <c r="F571" s="33"/>
      <c r="G571" s="33"/>
      <c r="H571" s="33"/>
      <c r="I571" s="33"/>
      <c r="J571" s="33"/>
      <c r="K571" s="33"/>
      <c r="L571" s="33"/>
      <c r="M571" s="43"/>
      <c r="N571" s="43"/>
      <c r="O571" s="33"/>
      <c r="P571" s="33"/>
      <c r="Q571" s="33"/>
      <c r="R571" s="33"/>
      <c r="S571" s="33"/>
      <c r="T571" s="33"/>
      <c r="U571" s="33"/>
      <c r="V571" s="33"/>
      <c r="W571" s="33"/>
      <c r="X571" s="33"/>
      <c r="Y571" s="33"/>
      <c r="Z571" s="33"/>
      <c r="AA571" s="33"/>
      <c r="AB571" s="33"/>
    </row>
    <row r="572">
      <c r="A572" s="33"/>
      <c r="B572" s="33"/>
      <c r="C572" s="33"/>
      <c r="D572" s="43"/>
      <c r="E572" s="33"/>
      <c r="F572" s="33"/>
      <c r="G572" s="33"/>
      <c r="H572" s="33"/>
      <c r="I572" s="33"/>
      <c r="J572" s="33"/>
      <c r="K572" s="33"/>
      <c r="L572" s="33"/>
      <c r="M572" s="43"/>
      <c r="N572" s="43"/>
      <c r="O572" s="33"/>
      <c r="P572" s="33"/>
      <c r="Q572" s="33"/>
      <c r="R572" s="33"/>
      <c r="S572" s="33"/>
      <c r="T572" s="33"/>
      <c r="U572" s="33"/>
      <c r="V572" s="33"/>
      <c r="W572" s="33"/>
      <c r="X572" s="33"/>
      <c r="Y572" s="33"/>
      <c r="Z572" s="33"/>
      <c r="AA572" s="33"/>
      <c r="AB572" s="33"/>
    </row>
    <row r="573">
      <c r="A573" s="33"/>
      <c r="B573" s="33"/>
      <c r="C573" s="33"/>
      <c r="D573" s="43"/>
      <c r="E573" s="33"/>
      <c r="F573" s="33"/>
      <c r="G573" s="33"/>
      <c r="H573" s="33"/>
      <c r="I573" s="33"/>
      <c r="J573" s="33"/>
      <c r="K573" s="33"/>
      <c r="L573" s="33"/>
      <c r="M573" s="43"/>
      <c r="N573" s="43"/>
      <c r="O573" s="33"/>
      <c r="P573" s="33"/>
      <c r="Q573" s="33"/>
      <c r="R573" s="33"/>
      <c r="S573" s="33"/>
      <c r="T573" s="33"/>
      <c r="U573" s="33"/>
      <c r="V573" s="33"/>
      <c r="W573" s="33"/>
      <c r="X573" s="33"/>
      <c r="Y573" s="33"/>
      <c r="Z573" s="33"/>
      <c r="AA573" s="33"/>
      <c r="AB573" s="33"/>
    </row>
    <row r="574">
      <c r="A574" s="33"/>
      <c r="B574" s="33"/>
      <c r="C574" s="33"/>
      <c r="D574" s="43"/>
      <c r="E574" s="33"/>
      <c r="F574" s="33"/>
      <c r="G574" s="33"/>
      <c r="H574" s="33"/>
      <c r="I574" s="33"/>
      <c r="J574" s="33"/>
      <c r="K574" s="33"/>
      <c r="L574" s="33"/>
      <c r="M574" s="43"/>
      <c r="N574" s="43"/>
      <c r="O574" s="33"/>
      <c r="P574" s="33"/>
      <c r="Q574" s="33"/>
      <c r="R574" s="33"/>
      <c r="S574" s="33"/>
      <c r="T574" s="33"/>
      <c r="U574" s="33"/>
      <c r="V574" s="33"/>
      <c r="W574" s="33"/>
      <c r="X574" s="33"/>
      <c r="Y574" s="33"/>
      <c r="Z574" s="33"/>
      <c r="AA574" s="33"/>
      <c r="AB574" s="33"/>
    </row>
    <row r="575">
      <c r="A575" s="33"/>
      <c r="B575" s="33"/>
      <c r="C575" s="33"/>
      <c r="D575" s="43"/>
      <c r="E575" s="33"/>
      <c r="F575" s="33"/>
      <c r="G575" s="33"/>
      <c r="H575" s="33"/>
      <c r="I575" s="33"/>
      <c r="J575" s="33"/>
      <c r="K575" s="33"/>
      <c r="L575" s="33"/>
      <c r="M575" s="43"/>
      <c r="N575" s="43"/>
      <c r="O575" s="33"/>
      <c r="P575" s="33"/>
      <c r="Q575" s="33"/>
      <c r="R575" s="33"/>
      <c r="S575" s="33"/>
      <c r="T575" s="33"/>
      <c r="U575" s="33"/>
      <c r="V575" s="33"/>
      <c r="W575" s="33"/>
      <c r="X575" s="33"/>
      <c r="Y575" s="33"/>
      <c r="Z575" s="33"/>
      <c r="AA575" s="33"/>
      <c r="AB575" s="33"/>
    </row>
    <row r="576">
      <c r="A576" s="33"/>
      <c r="B576" s="33"/>
      <c r="C576" s="33"/>
      <c r="D576" s="43"/>
      <c r="E576" s="33"/>
      <c r="F576" s="33"/>
      <c r="G576" s="33"/>
      <c r="H576" s="33"/>
      <c r="I576" s="33"/>
      <c r="J576" s="33"/>
      <c r="K576" s="33"/>
      <c r="L576" s="33"/>
      <c r="M576" s="43"/>
      <c r="N576" s="43"/>
      <c r="O576" s="33"/>
      <c r="P576" s="33"/>
      <c r="Q576" s="33"/>
      <c r="R576" s="33"/>
      <c r="S576" s="33"/>
      <c r="T576" s="33"/>
      <c r="U576" s="33"/>
      <c r="V576" s="33"/>
      <c r="W576" s="33"/>
      <c r="X576" s="33"/>
      <c r="Y576" s="33"/>
      <c r="Z576" s="33"/>
      <c r="AA576" s="33"/>
      <c r="AB576" s="33"/>
    </row>
    <row r="577">
      <c r="A577" s="33"/>
      <c r="B577" s="33"/>
      <c r="C577" s="33"/>
      <c r="D577" s="43"/>
      <c r="E577" s="33"/>
      <c r="F577" s="33"/>
      <c r="G577" s="33"/>
      <c r="H577" s="33"/>
      <c r="I577" s="33"/>
      <c r="J577" s="33"/>
      <c r="K577" s="33"/>
      <c r="L577" s="33"/>
      <c r="M577" s="43"/>
      <c r="N577" s="43"/>
      <c r="O577" s="33"/>
      <c r="P577" s="33"/>
      <c r="Q577" s="33"/>
      <c r="R577" s="33"/>
      <c r="S577" s="33"/>
      <c r="T577" s="33"/>
      <c r="U577" s="33"/>
      <c r="V577" s="33"/>
      <c r="W577" s="33"/>
      <c r="X577" s="33"/>
      <c r="Y577" s="33"/>
      <c r="Z577" s="33"/>
      <c r="AA577" s="33"/>
      <c r="AB577" s="33"/>
    </row>
    <row r="578">
      <c r="A578" s="33"/>
      <c r="B578" s="33"/>
      <c r="C578" s="33"/>
      <c r="D578" s="43"/>
      <c r="E578" s="33"/>
      <c r="F578" s="33"/>
      <c r="G578" s="33"/>
      <c r="H578" s="33"/>
      <c r="I578" s="33"/>
      <c r="J578" s="33"/>
      <c r="K578" s="33"/>
      <c r="L578" s="33"/>
      <c r="M578" s="43"/>
      <c r="N578" s="43"/>
      <c r="O578" s="33"/>
      <c r="P578" s="33"/>
      <c r="Q578" s="33"/>
      <c r="R578" s="33"/>
      <c r="S578" s="33"/>
      <c r="T578" s="33"/>
      <c r="U578" s="33"/>
      <c r="V578" s="33"/>
      <c r="W578" s="33"/>
      <c r="X578" s="33"/>
      <c r="Y578" s="33"/>
      <c r="Z578" s="33"/>
      <c r="AA578" s="33"/>
      <c r="AB578" s="33"/>
    </row>
    <row r="579">
      <c r="A579" s="33"/>
      <c r="B579" s="33"/>
      <c r="C579" s="33"/>
      <c r="D579" s="43"/>
      <c r="E579" s="33"/>
      <c r="F579" s="33"/>
      <c r="G579" s="33"/>
      <c r="H579" s="33"/>
      <c r="I579" s="33"/>
      <c r="J579" s="33"/>
      <c r="K579" s="33"/>
      <c r="L579" s="33"/>
      <c r="M579" s="43"/>
      <c r="N579" s="43"/>
      <c r="O579" s="33"/>
      <c r="P579" s="33"/>
      <c r="Q579" s="33"/>
      <c r="R579" s="33"/>
      <c r="S579" s="33"/>
      <c r="T579" s="33"/>
      <c r="U579" s="33"/>
      <c r="V579" s="33"/>
      <c r="W579" s="33"/>
      <c r="X579" s="33"/>
      <c r="Y579" s="33"/>
      <c r="Z579" s="33"/>
      <c r="AA579" s="33"/>
      <c r="AB579" s="33"/>
    </row>
    <row r="580">
      <c r="A580" s="33"/>
      <c r="B580" s="33"/>
      <c r="C580" s="33"/>
      <c r="D580" s="43"/>
      <c r="E580" s="33"/>
      <c r="F580" s="33"/>
      <c r="G580" s="33"/>
      <c r="H580" s="33"/>
      <c r="I580" s="33"/>
      <c r="J580" s="33"/>
      <c r="K580" s="33"/>
      <c r="L580" s="33"/>
      <c r="M580" s="43"/>
      <c r="N580" s="43"/>
      <c r="O580" s="33"/>
      <c r="P580" s="33"/>
      <c r="Q580" s="33"/>
      <c r="R580" s="33"/>
      <c r="S580" s="33"/>
      <c r="T580" s="33"/>
      <c r="U580" s="33"/>
      <c r="V580" s="33"/>
      <c r="W580" s="33"/>
      <c r="X580" s="33"/>
      <c r="Y580" s="33"/>
      <c r="Z580" s="33"/>
      <c r="AA580" s="33"/>
      <c r="AB580" s="33"/>
    </row>
    <row r="581">
      <c r="A581" s="33"/>
      <c r="B581" s="33"/>
      <c r="C581" s="33"/>
      <c r="D581" s="43"/>
      <c r="E581" s="33"/>
      <c r="F581" s="33"/>
      <c r="G581" s="33"/>
      <c r="H581" s="33"/>
      <c r="I581" s="33"/>
      <c r="J581" s="33"/>
      <c r="K581" s="33"/>
      <c r="L581" s="33"/>
      <c r="M581" s="43"/>
      <c r="N581" s="43"/>
      <c r="O581" s="33"/>
      <c r="P581" s="33"/>
      <c r="Q581" s="33"/>
      <c r="R581" s="33"/>
      <c r="S581" s="33"/>
      <c r="T581" s="33"/>
      <c r="U581" s="33"/>
      <c r="V581" s="33"/>
      <c r="W581" s="33"/>
      <c r="X581" s="33"/>
      <c r="Y581" s="33"/>
      <c r="Z581" s="33"/>
      <c r="AA581" s="33"/>
      <c r="AB581" s="33"/>
    </row>
    <row r="582">
      <c r="A582" s="33"/>
      <c r="B582" s="33"/>
      <c r="C582" s="33"/>
      <c r="D582" s="43"/>
      <c r="E582" s="33"/>
      <c r="F582" s="33"/>
      <c r="G582" s="33"/>
      <c r="H582" s="33"/>
      <c r="I582" s="33"/>
      <c r="J582" s="33"/>
      <c r="K582" s="33"/>
      <c r="L582" s="33"/>
      <c r="M582" s="43"/>
      <c r="N582" s="43"/>
      <c r="O582" s="33"/>
      <c r="P582" s="33"/>
      <c r="Q582" s="33"/>
      <c r="R582" s="33"/>
      <c r="S582" s="33"/>
      <c r="T582" s="33"/>
      <c r="U582" s="33"/>
      <c r="V582" s="33"/>
      <c r="W582" s="33"/>
      <c r="X582" s="33"/>
      <c r="Y582" s="33"/>
      <c r="Z582" s="33"/>
      <c r="AA582" s="33"/>
      <c r="AB582" s="33"/>
    </row>
    <row r="583">
      <c r="A583" s="33"/>
      <c r="B583" s="33"/>
      <c r="C583" s="33"/>
      <c r="D583" s="43"/>
      <c r="E583" s="33"/>
      <c r="F583" s="33"/>
      <c r="G583" s="33"/>
      <c r="H583" s="33"/>
      <c r="I583" s="33"/>
      <c r="J583" s="33"/>
      <c r="K583" s="33"/>
      <c r="L583" s="33"/>
      <c r="M583" s="43"/>
      <c r="N583" s="43"/>
      <c r="O583" s="33"/>
      <c r="P583" s="33"/>
      <c r="Q583" s="33"/>
      <c r="R583" s="33"/>
      <c r="S583" s="33"/>
      <c r="T583" s="33"/>
      <c r="U583" s="33"/>
      <c r="V583" s="33"/>
      <c r="W583" s="33"/>
      <c r="X583" s="33"/>
      <c r="Y583" s="33"/>
      <c r="Z583" s="33"/>
      <c r="AA583" s="33"/>
      <c r="AB583" s="33"/>
    </row>
    <row r="584">
      <c r="A584" s="33"/>
      <c r="B584" s="33"/>
      <c r="C584" s="33"/>
      <c r="D584" s="43"/>
      <c r="E584" s="33"/>
      <c r="F584" s="33"/>
      <c r="G584" s="33"/>
      <c r="H584" s="33"/>
      <c r="I584" s="33"/>
      <c r="J584" s="33"/>
      <c r="K584" s="33"/>
      <c r="L584" s="33"/>
      <c r="M584" s="43"/>
      <c r="N584" s="43"/>
      <c r="O584" s="33"/>
      <c r="P584" s="33"/>
      <c r="Q584" s="33"/>
      <c r="R584" s="33"/>
      <c r="S584" s="33"/>
      <c r="T584" s="33"/>
      <c r="U584" s="33"/>
      <c r="V584" s="33"/>
      <c r="W584" s="33"/>
      <c r="X584" s="33"/>
      <c r="Y584" s="33"/>
      <c r="Z584" s="33"/>
      <c r="AA584" s="33"/>
      <c r="AB584" s="33"/>
    </row>
    <row r="585">
      <c r="A585" s="33"/>
      <c r="B585" s="33"/>
      <c r="C585" s="33"/>
      <c r="D585" s="43"/>
      <c r="E585" s="33"/>
      <c r="F585" s="33"/>
      <c r="G585" s="33"/>
      <c r="H585" s="33"/>
      <c r="I585" s="33"/>
      <c r="J585" s="33"/>
      <c r="K585" s="33"/>
      <c r="L585" s="33"/>
      <c r="M585" s="43"/>
      <c r="N585" s="43"/>
      <c r="O585" s="33"/>
      <c r="P585" s="33"/>
      <c r="Q585" s="33"/>
      <c r="R585" s="33"/>
      <c r="S585" s="33"/>
      <c r="T585" s="33"/>
      <c r="U585" s="33"/>
      <c r="V585" s="33"/>
      <c r="W585" s="33"/>
      <c r="X585" s="33"/>
      <c r="Y585" s="33"/>
      <c r="Z585" s="33"/>
      <c r="AA585" s="33"/>
      <c r="AB585" s="33"/>
    </row>
    <row r="586">
      <c r="A586" s="33"/>
      <c r="B586" s="33"/>
      <c r="C586" s="33"/>
      <c r="D586" s="43"/>
      <c r="E586" s="33"/>
      <c r="F586" s="33"/>
      <c r="G586" s="33"/>
      <c r="H586" s="33"/>
      <c r="I586" s="33"/>
      <c r="J586" s="33"/>
      <c r="K586" s="33"/>
      <c r="L586" s="33"/>
      <c r="M586" s="43"/>
      <c r="N586" s="43"/>
      <c r="O586" s="33"/>
      <c r="P586" s="33"/>
      <c r="Q586" s="33"/>
      <c r="R586" s="33"/>
      <c r="S586" s="33"/>
      <c r="T586" s="33"/>
      <c r="U586" s="33"/>
      <c r="V586" s="33"/>
      <c r="W586" s="33"/>
      <c r="X586" s="33"/>
      <c r="Y586" s="33"/>
      <c r="Z586" s="33"/>
      <c r="AA586" s="33"/>
      <c r="AB586" s="33"/>
    </row>
    <row r="587">
      <c r="A587" s="33"/>
      <c r="B587" s="33"/>
      <c r="C587" s="33"/>
      <c r="D587" s="43"/>
      <c r="E587" s="33"/>
      <c r="F587" s="33"/>
      <c r="G587" s="33"/>
      <c r="H587" s="33"/>
      <c r="I587" s="33"/>
      <c r="J587" s="33"/>
      <c r="K587" s="33"/>
      <c r="L587" s="33"/>
      <c r="M587" s="43"/>
      <c r="N587" s="43"/>
      <c r="O587" s="33"/>
      <c r="P587" s="33"/>
      <c r="Q587" s="33"/>
      <c r="R587" s="33"/>
      <c r="S587" s="33"/>
      <c r="T587" s="33"/>
      <c r="U587" s="33"/>
      <c r="V587" s="33"/>
      <c r="W587" s="33"/>
      <c r="X587" s="33"/>
      <c r="Y587" s="33"/>
      <c r="Z587" s="33"/>
      <c r="AA587" s="33"/>
      <c r="AB587" s="33"/>
    </row>
    <row r="588">
      <c r="A588" s="33"/>
      <c r="B588" s="33"/>
      <c r="C588" s="33"/>
      <c r="D588" s="43"/>
      <c r="E588" s="33"/>
      <c r="F588" s="33"/>
      <c r="G588" s="33"/>
      <c r="H588" s="33"/>
      <c r="I588" s="33"/>
      <c r="J588" s="33"/>
      <c r="K588" s="33"/>
      <c r="L588" s="33"/>
      <c r="M588" s="43"/>
      <c r="N588" s="43"/>
      <c r="O588" s="33"/>
      <c r="P588" s="33"/>
      <c r="Q588" s="33"/>
      <c r="R588" s="33"/>
      <c r="S588" s="33"/>
      <c r="T588" s="33"/>
      <c r="U588" s="33"/>
      <c r="V588" s="33"/>
      <c r="W588" s="33"/>
      <c r="X588" s="33"/>
      <c r="Y588" s="33"/>
      <c r="Z588" s="33"/>
      <c r="AA588" s="33"/>
      <c r="AB588" s="33"/>
    </row>
    <row r="589">
      <c r="A589" s="33"/>
      <c r="B589" s="33"/>
      <c r="C589" s="33"/>
      <c r="D589" s="43"/>
      <c r="E589" s="33"/>
      <c r="F589" s="33"/>
      <c r="G589" s="33"/>
      <c r="H589" s="33"/>
      <c r="I589" s="33"/>
      <c r="J589" s="33"/>
      <c r="K589" s="33"/>
      <c r="L589" s="33"/>
      <c r="M589" s="43"/>
      <c r="N589" s="43"/>
      <c r="O589" s="33"/>
      <c r="P589" s="33"/>
      <c r="Q589" s="33"/>
      <c r="R589" s="33"/>
      <c r="S589" s="33"/>
      <c r="T589" s="33"/>
      <c r="U589" s="33"/>
      <c r="V589" s="33"/>
      <c r="W589" s="33"/>
      <c r="X589" s="33"/>
      <c r="Y589" s="33"/>
      <c r="Z589" s="33"/>
      <c r="AA589" s="33"/>
      <c r="AB589" s="33"/>
    </row>
    <row r="590">
      <c r="A590" s="33"/>
      <c r="B590" s="33"/>
      <c r="C590" s="33"/>
      <c r="D590" s="43"/>
      <c r="E590" s="33"/>
      <c r="F590" s="33"/>
      <c r="G590" s="33"/>
      <c r="H590" s="33"/>
      <c r="I590" s="33"/>
      <c r="J590" s="33"/>
      <c r="K590" s="33"/>
      <c r="L590" s="33"/>
      <c r="M590" s="43"/>
      <c r="N590" s="43"/>
      <c r="O590" s="33"/>
      <c r="P590" s="33"/>
      <c r="Q590" s="33"/>
      <c r="R590" s="33"/>
      <c r="S590" s="33"/>
      <c r="T590" s="33"/>
      <c r="U590" s="33"/>
      <c r="V590" s="33"/>
      <c r="W590" s="33"/>
      <c r="X590" s="33"/>
      <c r="Y590" s="33"/>
      <c r="Z590" s="33"/>
      <c r="AA590" s="33"/>
      <c r="AB590" s="33"/>
    </row>
    <row r="591">
      <c r="A591" s="33"/>
      <c r="B591" s="33"/>
      <c r="C591" s="33"/>
      <c r="D591" s="43"/>
      <c r="E591" s="33"/>
      <c r="F591" s="33"/>
      <c r="G591" s="33"/>
      <c r="H591" s="33"/>
      <c r="I591" s="33"/>
      <c r="J591" s="33"/>
      <c r="K591" s="33"/>
      <c r="L591" s="33"/>
      <c r="M591" s="43"/>
      <c r="N591" s="43"/>
      <c r="O591" s="33"/>
      <c r="P591" s="33"/>
      <c r="Q591" s="33"/>
      <c r="R591" s="33"/>
      <c r="S591" s="33"/>
      <c r="T591" s="33"/>
      <c r="U591" s="33"/>
      <c r="V591" s="33"/>
      <c r="W591" s="33"/>
      <c r="X591" s="33"/>
      <c r="Y591" s="33"/>
      <c r="Z591" s="33"/>
      <c r="AA591" s="33"/>
      <c r="AB591" s="33"/>
    </row>
    <row r="592">
      <c r="A592" s="33"/>
      <c r="B592" s="33"/>
      <c r="C592" s="33"/>
      <c r="D592" s="43"/>
      <c r="E592" s="33"/>
      <c r="F592" s="33"/>
      <c r="G592" s="33"/>
      <c r="H592" s="33"/>
      <c r="I592" s="33"/>
      <c r="J592" s="33"/>
      <c r="K592" s="33"/>
      <c r="L592" s="33"/>
      <c r="M592" s="43"/>
      <c r="N592" s="43"/>
      <c r="O592" s="33"/>
      <c r="P592" s="33"/>
      <c r="Q592" s="33"/>
      <c r="R592" s="33"/>
      <c r="S592" s="33"/>
      <c r="T592" s="33"/>
      <c r="U592" s="33"/>
      <c r="V592" s="33"/>
      <c r="W592" s="33"/>
      <c r="X592" s="33"/>
      <c r="Y592" s="33"/>
      <c r="Z592" s="33"/>
      <c r="AA592" s="33"/>
      <c r="AB592" s="33"/>
    </row>
    <row r="593">
      <c r="A593" s="33"/>
      <c r="B593" s="33"/>
      <c r="C593" s="33"/>
      <c r="D593" s="43"/>
      <c r="E593" s="33"/>
      <c r="F593" s="33"/>
      <c r="G593" s="33"/>
      <c r="H593" s="33"/>
      <c r="I593" s="33"/>
      <c r="J593" s="33"/>
      <c r="K593" s="33"/>
      <c r="L593" s="33"/>
      <c r="M593" s="43"/>
      <c r="N593" s="43"/>
      <c r="O593" s="33"/>
      <c r="P593" s="33"/>
      <c r="Q593" s="33"/>
      <c r="R593" s="33"/>
      <c r="S593" s="33"/>
      <c r="T593" s="33"/>
      <c r="U593" s="33"/>
      <c r="V593" s="33"/>
      <c r="W593" s="33"/>
      <c r="X593" s="33"/>
      <c r="Y593" s="33"/>
      <c r="Z593" s="33"/>
      <c r="AA593" s="33"/>
      <c r="AB593" s="33"/>
    </row>
    <row r="594">
      <c r="A594" s="33"/>
      <c r="B594" s="33"/>
      <c r="C594" s="33"/>
      <c r="D594" s="43"/>
      <c r="E594" s="33"/>
      <c r="F594" s="33"/>
      <c r="G594" s="33"/>
      <c r="H594" s="33"/>
      <c r="I594" s="33"/>
      <c r="J594" s="33"/>
      <c r="K594" s="33"/>
      <c r="L594" s="33"/>
      <c r="M594" s="43"/>
      <c r="N594" s="43"/>
      <c r="O594" s="33"/>
      <c r="P594" s="33"/>
      <c r="Q594" s="33"/>
      <c r="R594" s="33"/>
      <c r="S594" s="33"/>
      <c r="T594" s="33"/>
      <c r="U594" s="33"/>
      <c r="V594" s="33"/>
      <c r="W594" s="33"/>
      <c r="X594" s="33"/>
      <c r="Y594" s="33"/>
      <c r="Z594" s="33"/>
      <c r="AA594" s="33"/>
      <c r="AB594" s="33"/>
    </row>
    <row r="595">
      <c r="A595" s="33"/>
      <c r="B595" s="33"/>
      <c r="C595" s="33"/>
      <c r="D595" s="43"/>
      <c r="E595" s="33"/>
      <c r="F595" s="33"/>
      <c r="G595" s="33"/>
      <c r="H595" s="33"/>
      <c r="I595" s="33"/>
      <c r="J595" s="33"/>
      <c r="K595" s="33"/>
      <c r="L595" s="33"/>
      <c r="M595" s="43"/>
      <c r="N595" s="43"/>
      <c r="O595" s="33"/>
      <c r="P595" s="33"/>
      <c r="Q595" s="33"/>
      <c r="R595" s="33"/>
      <c r="S595" s="33"/>
      <c r="T595" s="33"/>
      <c r="U595" s="33"/>
      <c r="V595" s="33"/>
      <c r="W595" s="33"/>
      <c r="X595" s="33"/>
      <c r="Y595" s="33"/>
      <c r="Z595" s="33"/>
      <c r="AA595" s="33"/>
      <c r="AB595" s="33"/>
    </row>
    <row r="596">
      <c r="A596" s="33"/>
      <c r="B596" s="33"/>
      <c r="C596" s="33"/>
      <c r="D596" s="43"/>
      <c r="E596" s="33"/>
      <c r="F596" s="33"/>
      <c r="G596" s="33"/>
      <c r="H596" s="33"/>
      <c r="I596" s="33"/>
      <c r="J596" s="33"/>
      <c r="K596" s="33"/>
      <c r="L596" s="33"/>
      <c r="M596" s="43"/>
      <c r="N596" s="43"/>
      <c r="O596" s="33"/>
      <c r="P596" s="33"/>
      <c r="Q596" s="33"/>
      <c r="R596" s="33"/>
      <c r="S596" s="33"/>
      <c r="T596" s="33"/>
      <c r="U596" s="33"/>
      <c r="V596" s="33"/>
      <c r="W596" s="33"/>
      <c r="X596" s="33"/>
      <c r="Y596" s="33"/>
      <c r="Z596" s="33"/>
      <c r="AA596" s="33"/>
      <c r="AB596" s="33"/>
    </row>
    <row r="597">
      <c r="A597" s="33"/>
      <c r="B597" s="33"/>
      <c r="C597" s="33"/>
      <c r="D597" s="43"/>
      <c r="E597" s="33"/>
      <c r="F597" s="33"/>
      <c r="G597" s="33"/>
      <c r="H597" s="33"/>
      <c r="I597" s="33"/>
      <c r="J597" s="33"/>
      <c r="K597" s="33"/>
      <c r="L597" s="33"/>
      <c r="M597" s="43"/>
      <c r="N597" s="43"/>
      <c r="O597" s="33"/>
      <c r="P597" s="33"/>
      <c r="Q597" s="33"/>
      <c r="R597" s="33"/>
      <c r="S597" s="33"/>
      <c r="T597" s="33"/>
      <c r="U597" s="33"/>
      <c r="V597" s="33"/>
      <c r="W597" s="33"/>
      <c r="X597" s="33"/>
      <c r="Y597" s="33"/>
      <c r="Z597" s="33"/>
      <c r="AA597" s="33"/>
      <c r="AB597" s="33"/>
    </row>
    <row r="598">
      <c r="A598" s="33"/>
      <c r="B598" s="33"/>
      <c r="C598" s="33"/>
      <c r="D598" s="43"/>
      <c r="E598" s="33"/>
      <c r="F598" s="33"/>
      <c r="G598" s="33"/>
      <c r="H598" s="33"/>
      <c r="I598" s="33"/>
      <c r="J598" s="33"/>
      <c r="K598" s="33"/>
      <c r="L598" s="33"/>
      <c r="M598" s="43"/>
      <c r="N598" s="43"/>
      <c r="O598" s="33"/>
      <c r="P598" s="33"/>
      <c r="Q598" s="33"/>
      <c r="R598" s="33"/>
      <c r="S598" s="33"/>
      <c r="T598" s="33"/>
      <c r="U598" s="33"/>
      <c r="V598" s="33"/>
      <c r="W598" s="33"/>
      <c r="X598" s="33"/>
      <c r="Y598" s="33"/>
      <c r="Z598" s="33"/>
      <c r="AA598" s="33"/>
      <c r="AB598" s="33"/>
    </row>
    <row r="599">
      <c r="A599" s="33"/>
      <c r="B599" s="33"/>
      <c r="C599" s="33"/>
      <c r="D599" s="43"/>
      <c r="E599" s="33"/>
      <c r="F599" s="33"/>
      <c r="G599" s="33"/>
      <c r="H599" s="33"/>
      <c r="I599" s="33"/>
      <c r="J599" s="33"/>
      <c r="K599" s="33"/>
      <c r="L599" s="33"/>
      <c r="M599" s="43"/>
      <c r="N599" s="43"/>
      <c r="O599" s="33"/>
      <c r="P599" s="33"/>
      <c r="Q599" s="33"/>
      <c r="R599" s="33"/>
      <c r="S599" s="33"/>
      <c r="T599" s="33"/>
      <c r="U599" s="33"/>
      <c r="V599" s="33"/>
      <c r="W599" s="33"/>
      <c r="X599" s="33"/>
      <c r="Y599" s="33"/>
      <c r="Z599" s="33"/>
      <c r="AA599" s="33"/>
      <c r="AB599" s="33"/>
    </row>
    <row r="600">
      <c r="A600" s="33"/>
      <c r="B600" s="33"/>
      <c r="C600" s="33"/>
      <c r="D600" s="43"/>
      <c r="E600" s="33"/>
      <c r="F600" s="33"/>
      <c r="G600" s="33"/>
      <c r="H600" s="33"/>
      <c r="I600" s="33"/>
      <c r="J600" s="33"/>
      <c r="K600" s="33"/>
      <c r="L600" s="33"/>
      <c r="M600" s="43"/>
      <c r="N600" s="43"/>
      <c r="O600" s="33"/>
      <c r="P600" s="33"/>
      <c r="Q600" s="33"/>
      <c r="R600" s="33"/>
      <c r="S600" s="33"/>
      <c r="T600" s="33"/>
      <c r="U600" s="33"/>
      <c r="V600" s="33"/>
      <c r="W600" s="33"/>
      <c r="X600" s="33"/>
      <c r="Y600" s="33"/>
      <c r="Z600" s="33"/>
      <c r="AA600" s="33"/>
      <c r="AB600" s="33"/>
    </row>
    <row r="601">
      <c r="A601" s="33"/>
      <c r="B601" s="33"/>
      <c r="C601" s="33"/>
      <c r="D601" s="43"/>
      <c r="E601" s="33"/>
      <c r="F601" s="33"/>
      <c r="G601" s="33"/>
      <c r="H601" s="33"/>
      <c r="I601" s="33"/>
      <c r="J601" s="33"/>
      <c r="K601" s="33"/>
      <c r="L601" s="33"/>
      <c r="M601" s="43"/>
      <c r="N601" s="43"/>
      <c r="O601" s="33"/>
      <c r="P601" s="33"/>
      <c r="Q601" s="33"/>
      <c r="R601" s="33"/>
      <c r="S601" s="33"/>
      <c r="T601" s="33"/>
      <c r="U601" s="33"/>
      <c r="V601" s="33"/>
      <c r="W601" s="33"/>
      <c r="X601" s="33"/>
      <c r="Y601" s="33"/>
      <c r="Z601" s="33"/>
      <c r="AA601" s="33"/>
      <c r="AB601" s="33"/>
    </row>
    <row r="602">
      <c r="A602" s="33"/>
      <c r="B602" s="33"/>
      <c r="C602" s="33"/>
      <c r="D602" s="43"/>
      <c r="E602" s="33"/>
      <c r="F602" s="33"/>
      <c r="G602" s="33"/>
      <c r="H602" s="33"/>
      <c r="I602" s="33"/>
      <c r="J602" s="33"/>
      <c r="K602" s="33"/>
      <c r="L602" s="33"/>
      <c r="M602" s="43"/>
      <c r="N602" s="43"/>
      <c r="O602" s="33"/>
      <c r="P602" s="33"/>
      <c r="Q602" s="33"/>
      <c r="R602" s="33"/>
      <c r="S602" s="33"/>
      <c r="T602" s="33"/>
      <c r="U602" s="33"/>
      <c r="V602" s="33"/>
      <c r="W602" s="33"/>
      <c r="X602" s="33"/>
      <c r="Y602" s="33"/>
      <c r="Z602" s="33"/>
      <c r="AA602" s="33"/>
      <c r="AB602" s="33"/>
    </row>
    <row r="603">
      <c r="A603" s="33"/>
      <c r="B603" s="33"/>
      <c r="C603" s="33"/>
      <c r="D603" s="43"/>
      <c r="E603" s="33"/>
      <c r="F603" s="33"/>
      <c r="G603" s="33"/>
      <c r="H603" s="33"/>
      <c r="I603" s="33"/>
      <c r="J603" s="33"/>
      <c r="K603" s="33"/>
      <c r="L603" s="33"/>
      <c r="M603" s="43"/>
      <c r="N603" s="43"/>
      <c r="O603" s="33"/>
      <c r="P603" s="33"/>
      <c r="Q603" s="33"/>
      <c r="R603" s="33"/>
      <c r="S603" s="33"/>
      <c r="T603" s="33"/>
      <c r="U603" s="33"/>
      <c r="V603" s="33"/>
      <c r="W603" s="33"/>
      <c r="X603" s="33"/>
      <c r="Y603" s="33"/>
      <c r="Z603" s="33"/>
      <c r="AA603" s="33"/>
      <c r="AB603" s="33"/>
    </row>
    <row r="604">
      <c r="A604" s="33"/>
      <c r="B604" s="33"/>
      <c r="C604" s="33"/>
      <c r="D604" s="43"/>
      <c r="E604" s="33"/>
      <c r="F604" s="33"/>
      <c r="G604" s="33"/>
      <c r="H604" s="33"/>
      <c r="I604" s="33"/>
      <c r="J604" s="33"/>
      <c r="K604" s="33"/>
      <c r="L604" s="33"/>
      <c r="M604" s="43"/>
      <c r="N604" s="43"/>
      <c r="O604" s="33"/>
      <c r="P604" s="33"/>
      <c r="Q604" s="33"/>
      <c r="R604" s="33"/>
      <c r="S604" s="33"/>
      <c r="T604" s="33"/>
      <c r="U604" s="33"/>
      <c r="V604" s="33"/>
      <c r="W604" s="33"/>
      <c r="X604" s="33"/>
      <c r="Y604" s="33"/>
      <c r="Z604" s="33"/>
      <c r="AA604" s="33"/>
      <c r="AB604" s="33"/>
    </row>
    <row r="605">
      <c r="A605" s="33"/>
      <c r="B605" s="33"/>
      <c r="C605" s="33"/>
      <c r="D605" s="43"/>
      <c r="E605" s="33"/>
      <c r="F605" s="33"/>
      <c r="G605" s="33"/>
      <c r="H605" s="33"/>
      <c r="I605" s="33"/>
      <c r="J605" s="33"/>
      <c r="K605" s="33"/>
      <c r="L605" s="33"/>
      <c r="M605" s="43"/>
      <c r="N605" s="43"/>
      <c r="O605" s="33"/>
      <c r="P605" s="33"/>
      <c r="Q605" s="33"/>
      <c r="R605" s="33"/>
      <c r="S605" s="33"/>
      <c r="T605" s="33"/>
      <c r="U605" s="33"/>
      <c r="V605" s="33"/>
      <c r="W605" s="33"/>
      <c r="X605" s="33"/>
      <c r="Y605" s="33"/>
      <c r="Z605" s="33"/>
      <c r="AA605" s="33"/>
      <c r="AB605" s="33"/>
    </row>
    <row r="606">
      <c r="A606" s="33"/>
      <c r="B606" s="33"/>
      <c r="C606" s="33"/>
      <c r="D606" s="43"/>
      <c r="E606" s="33"/>
      <c r="F606" s="33"/>
      <c r="G606" s="33"/>
      <c r="H606" s="33"/>
      <c r="I606" s="33"/>
      <c r="J606" s="33"/>
      <c r="K606" s="33"/>
      <c r="L606" s="33"/>
      <c r="M606" s="43"/>
      <c r="N606" s="43"/>
      <c r="O606" s="33"/>
      <c r="P606" s="33"/>
      <c r="Q606" s="33"/>
      <c r="R606" s="33"/>
      <c r="S606" s="33"/>
      <c r="T606" s="33"/>
      <c r="U606" s="33"/>
      <c r="V606" s="33"/>
      <c r="W606" s="33"/>
      <c r="X606" s="33"/>
      <c r="Y606" s="33"/>
      <c r="Z606" s="33"/>
      <c r="AA606" s="33"/>
      <c r="AB606" s="33"/>
    </row>
    <row r="607">
      <c r="A607" s="33"/>
      <c r="B607" s="33"/>
      <c r="C607" s="33"/>
      <c r="D607" s="43"/>
      <c r="E607" s="33"/>
      <c r="F607" s="33"/>
      <c r="G607" s="33"/>
      <c r="H607" s="33"/>
      <c r="I607" s="33"/>
      <c r="J607" s="33"/>
      <c r="K607" s="33"/>
      <c r="L607" s="33"/>
      <c r="M607" s="43"/>
      <c r="N607" s="43"/>
      <c r="O607" s="33"/>
      <c r="P607" s="33"/>
      <c r="Q607" s="33"/>
      <c r="R607" s="33"/>
      <c r="S607" s="33"/>
      <c r="T607" s="33"/>
      <c r="U607" s="33"/>
      <c r="V607" s="33"/>
      <c r="W607" s="33"/>
      <c r="X607" s="33"/>
      <c r="Y607" s="33"/>
      <c r="Z607" s="33"/>
      <c r="AA607" s="33"/>
      <c r="AB607" s="33"/>
    </row>
    <row r="608">
      <c r="A608" s="33"/>
      <c r="B608" s="33"/>
      <c r="C608" s="33"/>
      <c r="D608" s="43"/>
      <c r="E608" s="33"/>
      <c r="F608" s="33"/>
      <c r="G608" s="33"/>
      <c r="H608" s="33"/>
      <c r="I608" s="33"/>
      <c r="J608" s="33"/>
      <c r="K608" s="33"/>
      <c r="L608" s="33"/>
      <c r="M608" s="43"/>
      <c r="N608" s="43"/>
      <c r="O608" s="33"/>
      <c r="P608" s="33"/>
      <c r="Q608" s="33"/>
      <c r="R608" s="33"/>
      <c r="S608" s="33"/>
      <c r="T608" s="33"/>
      <c r="U608" s="33"/>
      <c r="V608" s="33"/>
      <c r="W608" s="33"/>
      <c r="X608" s="33"/>
      <c r="Y608" s="33"/>
      <c r="Z608" s="33"/>
      <c r="AA608" s="33"/>
      <c r="AB608" s="33"/>
    </row>
    <row r="609">
      <c r="A609" s="33"/>
      <c r="B609" s="33"/>
      <c r="C609" s="33"/>
      <c r="D609" s="43"/>
      <c r="E609" s="33"/>
      <c r="F609" s="33"/>
      <c r="G609" s="33"/>
      <c r="H609" s="33"/>
      <c r="I609" s="33"/>
      <c r="J609" s="33"/>
      <c r="K609" s="33"/>
      <c r="L609" s="33"/>
      <c r="M609" s="43"/>
      <c r="N609" s="43"/>
      <c r="O609" s="33"/>
      <c r="P609" s="33"/>
      <c r="Q609" s="33"/>
      <c r="R609" s="33"/>
      <c r="S609" s="33"/>
      <c r="T609" s="33"/>
      <c r="U609" s="33"/>
      <c r="V609" s="33"/>
      <c r="W609" s="33"/>
      <c r="X609" s="33"/>
      <c r="Y609" s="33"/>
      <c r="Z609" s="33"/>
      <c r="AA609" s="33"/>
      <c r="AB609" s="33"/>
    </row>
    <row r="610">
      <c r="A610" s="33"/>
      <c r="B610" s="33"/>
      <c r="C610" s="33"/>
      <c r="D610" s="43"/>
      <c r="E610" s="33"/>
      <c r="F610" s="33"/>
      <c r="G610" s="33"/>
      <c r="H610" s="33"/>
      <c r="I610" s="33"/>
      <c r="J610" s="33"/>
      <c r="K610" s="33"/>
      <c r="L610" s="33"/>
      <c r="M610" s="43"/>
      <c r="N610" s="43"/>
      <c r="O610" s="33"/>
      <c r="P610" s="33"/>
      <c r="Q610" s="33"/>
      <c r="R610" s="33"/>
      <c r="S610" s="33"/>
      <c r="T610" s="33"/>
      <c r="U610" s="33"/>
      <c r="V610" s="33"/>
      <c r="W610" s="33"/>
      <c r="X610" s="33"/>
      <c r="Y610" s="33"/>
      <c r="Z610" s="33"/>
      <c r="AA610" s="33"/>
      <c r="AB610" s="33"/>
    </row>
    <row r="611">
      <c r="A611" s="33"/>
      <c r="B611" s="33"/>
      <c r="C611" s="33"/>
      <c r="D611" s="43"/>
      <c r="E611" s="33"/>
      <c r="F611" s="33"/>
      <c r="G611" s="33"/>
      <c r="H611" s="33"/>
      <c r="I611" s="33"/>
      <c r="J611" s="33"/>
      <c r="K611" s="33"/>
      <c r="L611" s="33"/>
      <c r="M611" s="43"/>
      <c r="N611" s="43"/>
      <c r="O611" s="33"/>
      <c r="P611" s="33"/>
      <c r="Q611" s="33"/>
      <c r="R611" s="33"/>
      <c r="S611" s="33"/>
      <c r="T611" s="33"/>
      <c r="U611" s="33"/>
      <c r="V611" s="33"/>
      <c r="W611" s="33"/>
      <c r="X611" s="33"/>
      <c r="Y611" s="33"/>
      <c r="Z611" s="33"/>
      <c r="AA611" s="33"/>
      <c r="AB611" s="33"/>
    </row>
    <row r="612">
      <c r="A612" s="33"/>
      <c r="B612" s="33"/>
      <c r="C612" s="33"/>
      <c r="D612" s="43"/>
      <c r="E612" s="33"/>
      <c r="F612" s="33"/>
      <c r="G612" s="33"/>
      <c r="H612" s="33"/>
      <c r="I612" s="33"/>
      <c r="J612" s="33"/>
      <c r="K612" s="33"/>
      <c r="L612" s="33"/>
      <c r="M612" s="43"/>
      <c r="N612" s="43"/>
      <c r="O612" s="33"/>
      <c r="P612" s="33"/>
      <c r="Q612" s="33"/>
      <c r="R612" s="33"/>
      <c r="S612" s="33"/>
      <c r="T612" s="33"/>
      <c r="U612" s="33"/>
      <c r="V612" s="33"/>
      <c r="W612" s="33"/>
      <c r="X612" s="33"/>
      <c r="Y612" s="33"/>
      <c r="Z612" s="33"/>
      <c r="AA612" s="33"/>
      <c r="AB612" s="33"/>
    </row>
    <row r="613">
      <c r="A613" s="33"/>
      <c r="B613" s="33"/>
      <c r="C613" s="33"/>
      <c r="D613" s="43"/>
      <c r="E613" s="33"/>
      <c r="F613" s="33"/>
      <c r="G613" s="33"/>
      <c r="H613" s="33"/>
      <c r="I613" s="33"/>
      <c r="J613" s="33"/>
      <c r="K613" s="33"/>
      <c r="L613" s="33"/>
      <c r="M613" s="43"/>
      <c r="N613" s="43"/>
      <c r="O613" s="33"/>
      <c r="P613" s="33"/>
      <c r="Q613" s="33"/>
      <c r="R613" s="33"/>
      <c r="S613" s="33"/>
      <c r="T613" s="33"/>
      <c r="U613" s="33"/>
      <c r="V613" s="33"/>
      <c r="W613" s="33"/>
      <c r="X613" s="33"/>
      <c r="Y613" s="33"/>
      <c r="Z613" s="33"/>
      <c r="AA613" s="33"/>
      <c r="AB613" s="33"/>
    </row>
    <row r="614">
      <c r="A614" s="33"/>
      <c r="B614" s="33"/>
      <c r="C614" s="33"/>
      <c r="D614" s="43"/>
      <c r="E614" s="33"/>
      <c r="F614" s="33"/>
      <c r="G614" s="33"/>
      <c r="H614" s="33"/>
      <c r="I614" s="33"/>
      <c r="J614" s="33"/>
      <c r="K614" s="33"/>
      <c r="L614" s="33"/>
      <c r="M614" s="43"/>
      <c r="N614" s="43"/>
      <c r="O614" s="33"/>
      <c r="P614" s="33"/>
      <c r="Q614" s="33"/>
      <c r="R614" s="33"/>
      <c r="S614" s="33"/>
      <c r="T614" s="33"/>
      <c r="U614" s="33"/>
      <c r="V614" s="33"/>
      <c r="W614" s="33"/>
      <c r="X614" s="33"/>
      <c r="Y614" s="33"/>
      <c r="Z614" s="33"/>
      <c r="AA614" s="33"/>
      <c r="AB614" s="33"/>
    </row>
    <row r="615">
      <c r="A615" s="33"/>
      <c r="B615" s="33"/>
      <c r="C615" s="33"/>
      <c r="D615" s="43"/>
      <c r="E615" s="33"/>
      <c r="F615" s="33"/>
      <c r="G615" s="33"/>
      <c r="H615" s="33"/>
      <c r="I615" s="33"/>
      <c r="J615" s="33"/>
      <c r="K615" s="33"/>
      <c r="L615" s="33"/>
      <c r="M615" s="43"/>
      <c r="N615" s="43"/>
      <c r="O615" s="33"/>
      <c r="P615" s="33"/>
      <c r="Q615" s="33"/>
      <c r="R615" s="33"/>
      <c r="S615" s="33"/>
      <c r="T615" s="33"/>
      <c r="U615" s="33"/>
      <c r="V615" s="33"/>
      <c r="W615" s="33"/>
      <c r="X615" s="33"/>
      <c r="Y615" s="33"/>
      <c r="Z615" s="33"/>
      <c r="AA615" s="33"/>
      <c r="AB615" s="33"/>
    </row>
    <row r="616">
      <c r="A616" s="33"/>
      <c r="B616" s="33"/>
      <c r="C616" s="33"/>
      <c r="D616" s="43"/>
      <c r="E616" s="33"/>
      <c r="F616" s="33"/>
      <c r="G616" s="33"/>
      <c r="H616" s="33"/>
      <c r="I616" s="33"/>
      <c r="J616" s="33"/>
      <c r="K616" s="33"/>
      <c r="L616" s="33"/>
      <c r="M616" s="43"/>
      <c r="N616" s="43"/>
      <c r="O616" s="33"/>
      <c r="P616" s="33"/>
      <c r="Q616" s="33"/>
      <c r="R616" s="33"/>
      <c r="S616" s="33"/>
      <c r="T616" s="33"/>
      <c r="U616" s="33"/>
      <c r="V616" s="33"/>
      <c r="W616" s="33"/>
      <c r="X616" s="33"/>
      <c r="Y616" s="33"/>
      <c r="Z616" s="33"/>
      <c r="AA616" s="33"/>
      <c r="AB616" s="33"/>
    </row>
    <row r="617">
      <c r="A617" s="33"/>
      <c r="B617" s="33"/>
      <c r="C617" s="33"/>
      <c r="D617" s="43"/>
      <c r="E617" s="33"/>
      <c r="F617" s="33"/>
      <c r="G617" s="33"/>
      <c r="H617" s="33"/>
      <c r="I617" s="33"/>
      <c r="J617" s="33"/>
      <c r="K617" s="33"/>
      <c r="L617" s="33"/>
      <c r="M617" s="43"/>
      <c r="N617" s="43"/>
      <c r="O617" s="33"/>
      <c r="P617" s="33"/>
      <c r="Q617" s="33"/>
      <c r="R617" s="33"/>
      <c r="S617" s="33"/>
      <c r="T617" s="33"/>
      <c r="U617" s="33"/>
      <c r="V617" s="33"/>
      <c r="W617" s="33"/>
      <c r="X617" s="33"/>
      <c r="Y617" s="33"/>
      <c r="Z617" s="33"/>
      <c r="AA617" s="33"/>
      <c r="AB617" s="33"/>
    </row>
    <row r="618">
      <c r="A618" s="33"/>
      <c r="B618" s="33"/>
      <c r="C618" s="33"/>
      <c r="D618" s="43"/>
      <c r="E618" s="33"/>
      <c r="F618" s="33"/>
      <c r="G618" s="33"/>
      <c r="H618" s="33"/>
      <c r="I618" s="33"/>
      <c r="J618" s="33"/>
      <c r="K618" s="33"/>
      <c r="L618" s="33"/>
      <c r="M618" s="43"/>
      <c r="N618" s="43"/>
      <c r="O618" s="33"/>
      <c r="P618" s="33"/>
      <c r="Q618" s="33"/>
      <c r="R618" s="33"/>
      <c r="S618" s="33"/>
      <c r="T618" s="33"/>
      <c r="U618" s="33"/>
      <c r="V618" s="33"/>
      <c r="W618" s="33"/>
      <c r="X618" s="33"/>
      <c r="Y618" s="33"/>
      <c r="Z618" s="33"/>
      <c r="AA618" s="33"/>
      <c r="AB618" s="33"/>
    </row>
    <row r="619">
      <c r="A619" s="33"/>
      <c r="B619" s="33"/>
      <c r="C619" s="33"/>
      <c r="D619" s="43"/>
      <c r="E619" s="33"/>
      <c r="F619" s="33"/>
      <c r="G619" s="33"/>
      <c r="H619" s="33"/>
      <c r="I619" s="33"/>
      <c r="J619" s="33"/>
      <c r="K619" s="33"/>
      <c r="L619" s="33"/>
      <c r="M619" s="43"/>
      <c r="N619" s="43"/>
      <c r="O619" s="33"/>
      <c r="P619" s="33"/>
      <c r="Q619" s="33"/>
      <c r="R619" s="33"/>
      <c r="S619" s="33"/>
      <c r="T619" s="33"/>
      <c r="U619" s="33"/>
      <c r="V619" s="33"/>
      <c r="W619" s="33"/>
      <c r="X619" s="33"/>
      <c r="Y619" s="33"/>
      <c r="Z619" s="33"/>
      <c r="AA619" s="33"/>
      <c r="AB619" s="33"/>
    </row>
    <row r="620">
      <c r="A620" s="33"/>
      <c r="B620" s="33"/>
      <c r="C620" s="33"/>
      <c r="D620" s="43"/>
      <c r="E620" s="33"/>
      <c r="F620" s="33"/>
      <c r="G620" s="33"/>
      <c r="H620" s="33"/>
      <c r="I620" s="33"/>
      <c r="J620" s="33"/>
      <c r="K620" s="33"/>
      <c r="L620" s="33"/>
      <c r="M620" s="43"/>
      <c r="N620" s="43"/>
      <c r="O620" s="33"/>
      <c r="P620" s="33"/>
      <c r="Q620" s="33"/>
      <c r="R620" s="33"/>
      <c r="S620" s="33"/>
      <c r="T620" s="33"/>
      <c r="U620" s="33"/>
      <c r="V620" s="33"/>
      <c r="W620" s="33"/>
      <c r="X620" s="33"/>
      <c r="Y620" s="33"/>
      <c r="Z620" s="33"/>
      <c r="AA620" s="33"/>
      <c r="AB620" s="33"/>
    </row>
    <row r="621">
      <c r="A621" s="33"/>
      <c r="B621" s="33"/>
      <c r="C621" s="33"/>
      <c r="D621" s="43"/>
      <c r="E621" s="33"/>
      <c r="F621" s="33"/>
      <c r="G621" s="33"/>
      <c r="H621" s="33"/>
      <c r="I621" s="33"/>
      <c r="J621" s="33"/>
      <c r="K621" s="33"/>
      <c r="L621" s="33"/>
      <c r="M621" s="43"/>
      <c r="N621" s="43"/>
      <c r="O621" s="33"/>
      <c r="P621" s="33"/>
      <c r="Q621" s="33"/>
      <c r="R621" s="33"/>
      <c r="S621" s="33"/>
      <c r="T621" s="33"/>
      <c r="U621" s="33"/>
      <c r="V621" s="33"/>
      <c r="W621" s="33"/>
      <c r="X621" s="33"/>
      <c r="Y621" s="33"/>
      <c r="Z621" s="33"/>
      <c r="AA621" s="33"/>
      <c r="AB621" s="33"/>
    </row>
    <row r="622">
      <c r="A622" s="33"/>
      <c r="B622" s="33"/>
      <c r="C622" s="33"/>
      <c r="D622" s="43"/>
      <c r="E622" s="33"/>
      <c r="F622" s="33"/>
      <c r="G622" s="33"/>
      <c r="H622" s="33"/>
      <c r="I622" s="33"/>
      <c r="J622" s="33"/>
      <c r="K622" s="33"/>
      <c r="L622" s="33"/>
      <c r="M622" s="43"/>
      <c r="N622" s="43"/>
      <c r="O622" s="33"/>
      <c r="P622" s="33"/>
      <c r="Q622" s="33"/>
      <c r="R622" s="33"/>
      <c r="S622" s="33"/>
      <c r="T622" s="33"/>
      <c r="U622" s="33"/>
      <c r="V622" s="33"/>
      <c r="W622" s="33"/>
      <c r="X622" s="33"/>
      <c r="Y622" s="33"/>
      <c r="Z622" s="33"/>
      <c r="AA622" s="33"/>
      <c r="AB622" s="33"/>
    </row>
    <row r="623">
      <c r="A623" s="33"/>
      <c r="B623" s="33"/>
      <c r="C623" s="33"/>
      <c r="D623" s="43"/>
      <c r="E623" s="33"/>
      <c r="F623" s="33"/>
      <c r="G623" s="33"/>
      <c r="H623" s="33"/>
      <c r="I623" s="33"/>
      <c r="J623" s="33"/>
      <c r="K623" s="33"/>
      <c r="L623" s="33"/>
      <c r="M623" s="43"/>
      <c r="N623" s="43"/>
      <c r="O623" s="33"/>
      <c r="P623" s="33"/>
      <c r="Q623" s="33"/>
      <c r="R623" s="33"/>
      <c r="S623" s="33"/>
      <c r="T623" s="33"/>
      <c r="U623" s="33"/>
      <c r="V623" s="33"/>
      <c r="W623" s="33"/>
      <c r="X623" s="33"/>
      <c r="Y623" s="33"/>
      <c r="Z623" s="33"/>
      <c r="AA623" s="33"/>
      <c r="AB623" s="33"/>
    </row>
    <row r="624">
      <c r="A624" s="33"/>
      <c r="B624" s="33"/>
      <c r="C624" s="33"/>
      <c r="D624" s="43"/>
      <c r="E624" s="33"/>
      <c r="F624" s="33"/>
      <c r="G624" s="33"/>
      <c r="H624" s="33"/>
      <c r="I624" s="33"/>
      <c r="J624" s="33"/>
      <c r="K624" s="33"/>
      <c r="L624" s="33"/>
      <c r="M624" s="43"/>
      <c r="N624" s="43"/>
      <c r="O624" s="33"/>
      <c r="P624" s="33"/>
      <c r="Q624" s="33"/>
      <c r="R624" s="33"/>
      <c r="S624" s="33"/>
      <c r="T624" s="33"/>
      <c r="U624" s="33"/>
      <c r="V624" s="33"/>
      <c r="W624" s="33"/>
      <c r="X624" s="33"/>
      <c r="Y624" s="33"/>
      <c r="Z624" s="33"/>
      <c r="AA624" s="33"/>
      <c r="AB624" s="33"/>
    </row>
    <row r="625">
      <c r="A625" s="33"/>
      <c r="B625" s="33"/>
      <c r="C625" s="33"/>
      <c r="D625" s="43"/>
      <c r="E625" s="33"/>
      <c r="F625" s="33"/>
      <c r="G625" s="33"/>
      <c r="H625" s="33"/>
      <c r="I625" s="33"/>
      <c r="J625" s="33"/>
      <c r="K625" s="33"/>
      <c r="L625" s="33"/>
      <c r="M625" s="43"/>
      <c r="N625" s="43"/>
      <c r="O625" s="33"/>
      <c r="P625" s="33"/>
      <c r="Q625" s="33"/>
      <c r="R625" s="33"/>
      <c r="S625" s="33"/>
      <c r="T625" s="33"/>
      <c r="U625" s="33"/>
      <c r="V625" s="33"/>
      <c r="W625" s="33"/>
      <c r="X625" s="33"/>
      <c r="Y625" s="33"/>
      <c r="Z625" s="33"/>
      <c r="AA625" s="33"/>
      <c r="AB625" s="33"/>
    </row>
    <row r="626">
      <c r="A626" s="33"/>
      <c r="B626" s="33"/>
      <c r="C626" s="33"/>
      <c r="D626" s="43"/>
      <c r="E626" s="33"/>
      <c r="F626" s="33"/>
      <c r="G626" s="33"/>
      <c r="H626" s="33"/>
      <c r="I626" s="33"/>
      <c r="J626" s="33"/>
      <c r="K626" s="33"/>
      <c r="L626" s="33"/>
      <c r="M626" s="43"/>
      <c r="N626" s="43"/>
      <c r="O626" s="33"/>
      <c r="P626" s="33"/>
      <c r="Q626" s="33"/>
      <c r="R626" s="33"/>
      <c r="S626" s="33"/>
      <c r="T626" s="33"/>
      <c r="U626" s="33"/>
      <c r="V626" s="33"/>
      <c r="W626" s="33"/>
      <c r="X626" s="33"/>
      <c r="Y626" s="33"/>
      <c r="Z626" s="33"/>
      <c r="AA626" s="33"/>
      <c r="AB626" s="33"/>
    </row>
    <row r="627">
      <c r="A627" s="33"/>
      <c r="B627" s="33"/>
      <c r="C627" s="33"/>
      <c r="D627" s="43"/>
      <c r="E627" s="33"/>
      <c r="F627" s="33"/>
      <c r="G627" s="33"/>
      <c r="H627" s="33"/>
      <c r="I627" s="33"/>
      <c r="J627" s="33"/>
      <c r="K627" s="33"/>
      <c r="L627" s="33"/>
      <c r="M627" s="43"/>
      <c r="N627" s="43"/>
      <c r="O627" s="33"/>
      <c r="P627" s="33"/>
      <c r="Q627" s="33"/>
      <c r="R627" s="33"/>
      <c r="S627" s="33"/>
      <c r="T627" s="33"/>
      <c r="U627" s="33"/>
      <c r="V627" s="33"/>
      <c r="W627" s="33"/>
      <c r="X627" s="33"/>
      <c r="Y627" s="33"/>
      <c r="Z627" s="33"/>
      <c r="AA627" s="33"/>
      <c r="AB627" s="33"/>
    </row>
    <row r="628">
      <c r="A628" s="33"/>
      <c r="B628" s="33"/>
      <c r="C628" s="33"/>
      <c r="D628" s="43"/>
      <c r="E628" s="33"/>
      <c r="F628" s="33"/>
      <c r="G628" s="33"/>
      <c r="H628" s="33"/>
      <c r="I628" s="33"/>
      <c r="J628" s="33"/>
      <c r="K628" s="33"/>
      <c r="L628" s="33"/>
      <c r="M628" s="43"/>
      <c r="N628" s="43"/>
      <c r="O628" s="33"/>
      <c r="P628" s="33"/>
      <c r="Q628" s="33"/>
      <c r="R628" s="33"/>
      <c r="S628" s="33"/>
      <c r="T628" s="33"/>
      <c r="U628" s="33"/>
      <c r="V628" s="33"/>
      <c r="W628" s="33"/>
      <c r="X628" s="33"/>
      <c r="Y628" s="33"/>
      <c r="Z628" s="33"/>
      <c r="AA628" s="33"/>
      <c r="AB628" s="33"/>
    </row>
    <row r="629">
      <c r="A629" s="33"/>
      <c r="B629" s="33"/>
      <c r="C629" s="33"/>
      <c r="D629" s="43"/>
      <c r="E629" s="33"/>
      <c r="F629" s="33"/>
      <c r="G629" s="33"/>
      <c r="H629" s="33"/>
      <c r="I629" s="33"/>
      <c r="J629" s="33"/>
      <c r="K629" s="33"/>
      <c r="L629" s="33"/>
      <c r="M629" s="43"/>
      <c r="N629" s="43"/>
      <c r="O629" s="33"/>
      <c r="P629" s="33"/>
      <c r="Q629" s="33"/>
      <c r="R629" s="33"/>
      <c r="S629" s="33"/>
      <c r="T629" s="33"/>
      <c r="U629" s="33"/>
      <c r="V629" s="33"/>
      <c r="W629" s="33"/>
      <c r="X629" s="33"/>
      <c r="Y629" s="33"/>
      <c r="Z629" s="33"/>
      <c r="AA629" s="33"/>
      <c r="AB629" s="33"/>
    </row>
    <row r="630">
      <c r="A630" s="33"/>
      <c r="B630" s="33"/>
      <c r="C630" s="33"/>
      <c r="D630" s="43"/>
      <c r="E630" s="33"/>
      <c r="F630" s="33"/>
      <c r="G630" s="33"/>
      <c r="H630" s="33"/>
      <c r="I630" s="33"/>
      <c r="J630" s="33"/>
      <c r="K630" s="33"/>
      <c r="L630" s="33"/>
      <c r="M630" s="43"/>
      <c r="N630" s="43"/>
      <c r="O630" s="33"/>
      <c r="P630" s="33"/>
      <c r="Q630" s="33"/>
      <c r="R630" s="33"/>
      <c r="S630" s="33"/>
      <c r="T630" s="33"/>
      <c r="U630" s="33"/>
      <c r="V630" s="33"/>
      <c r="W630" s="33"/>
      <c r="X630" s="33"/>
      <c r="Y630" s="33"/>
      <c r="Z630" s="33"/>
      <c r="AA630" s="33"/>
      <c r="AB630" s="33"/>
    </row>
    <row r="631">
      <c r="A631" s="33"/>
      <c r="B631" s="33"/>
      <c r="C631" s="33"/>
      <c r="D631" s="43"/>
      <c r="E631" s="33"/>
      <c r="F631" s="33"/>
      <c r="G631" s="33"/>
      <c r="H631" s="33"/>
      <c r="I631" s="33"/>
      <c r="J631" s="33"/>
      <c r="K631" s="33"/>
      <c r="L631" s="33"/>
      <c r="M631" s="43"/>
      <c r="N631" s="43"/>
      <c r="O631" s="33"/>
      <c r="P631" s="33"/>
      <c r="Q631" s="33"/>
      <c r="R631" s="33"/>
      <c r="S631" s="33"/>
      <c r="T631" s="33"/>
      <c r="U631" s="33"/>
      <c r="V631" s="33"/>
      <c r="W631" s="33"/>
      <c r="X631" s="33"/>
      <c r="Y631" s="33"/>
      <c r="Z631" s="33"/>
      <c r="AA631" s="33"/>
      <c r="AB631" s="33"/>
    </row>
    <row r="632">
      <c r="A632" s="33"/>
      <c r="B632" s="33"/>
      <c r="C632" s="33"/>
      <c r="D632" s="43"/>
      <c r="E632" s="33"/>
      <c r="F632" s="33"/>
      <c r="G632" s="33"/>
      <c r="H632" s="33"/>
      <c r="I632" s="33"/>
      <c r="J632" s="33"/>
      <c r="K632" s="33"/>
      <c r="L632" s="33"/>
      <c r="M632" s="43"/>
      <c r="N632" s="43"/>
      <c r="O632" s="33"/>
      <c r="P632" s="33"/>
      <c r="Q632" s="33"/>
      <c r="R632" s="33"/>
      <c r="S632" s="33"/>
      <c r="T632" s="33"/>
      <c r="U632" s="33"/>
      <c r="V632" s="33"/>
      <c r="W632" s="33"/>
      <c r="X632" s="33"/>
      <c r="Y632" s="33"/>
      <c r="Z632" s="33"/>
      <c r="AA632" s="33"/>
      <c r="AB632" s="33"/>
    </row>
    <row r="633">
      <c r="A633" s="33"/>
      <c r="B633" s="33"/>
      <c r="C633" s="33"/>
      <c r="D633" s="43"/>
      <c r="E633" s="33"/>
      <c r="F633" s="33"/>
      <c r="G633" s="33"/>
      <c r="H633" s="33"/>
      <c r="I633" s="33"/>
      <c r="J633" s="33"/>
      <c r="K633" s="33"/>
      <c r="L633" s="33"/>
      <c r="M633" s="43"/>
      <c r="N633" s="43"/>
      <c r="O633" s="33"/>
      <c r="P633" s="33"/>
      <c r="Q633" s="33"/>
      <c r="R633" s="33"/>
      <c r="S633" s="33"/>
      <c r="T633" s="33"/>
      <c r="U633" s="33"/>
      <c r="V633" s="33"/>
      <c r="W633" s="33"/>
      <c r="X633" s="33"/>
      <c r="Y633" s="33"/>
      <c r="Z633" s="33"/>
      <c r="AA633" s="33"/>
      <c r="AB633" s="33"/>
    </row>
    <row r="634">
      <c r="A634" s="33"/>
      <c r="B634" s="33"/>
      <c r="C634" s="33"/>
      <c r="D634" s="43"/>
      <c r="E634" s="33"/>
      <c r="F634" s="33"/>
      <c r="G634" s="33"/>
      <c r="H634" s="33"/>
      <c r="I634" s="33"/>
      <c r="J634" s="33"/>
      <c r="K634" s="33"/>
      <c r="L634" s="33"/>
      <c r="M634" s="43"/>
      <c r="N634" s="43"/>
      <c r="O634" s="33"/>
      <c r="P634" s="33"/>
      <c r="Q634" s="33"/>
      <c r="R634" s="33"/>
      <c r="S634" s="33"/>
      <c r="T634" s="33"/>
      <c r="U634" s="33"/>
      <c r="V634" s="33"/>
      <c r="W634" s="33"/>
      <c r="X634" s="33"/>
      <c r="Y634" s="33"/>
      <c r="Z634" s="33"/>
      <c r="AA634" s="33"/>
      <c r="AB634" s="33"/>
    </row>
    <row r="635">
      <c r="A635" s="33"/>
      <c r="B635" s="33"/>
      <c r="C635" s="33"/>
      <c r="D635" s="43"/>
      <c r="E635" s="33"/>
      <c r="F635" s="33"/>
      <c r="G635" s="33"/>
      <c r="H635" s="33"/>
      <c r="I635" s="33"/>
      <c r="J635" s="33"/>
      <c r="K635" s="33"/>
      <c r="L635" s="33"/>
      <c r="M635" s="43"/>
      <c r="N635" s="43"/>
      <c r="O635" s="33"/>
      <c r="P635" s="33"/>
      <c r="Q635" s="33"/>
      <c r="R635" s="33"/>
      <c r="S635" s="33"/>
      <c r="T635" s="33"/>
      <c r="U635" s="33"/>
      <c r="V635" s="33"/>
      <c r="W635" s="33"/>
      <c r="X635" s="33"/>
      <c r="Y635" s="33"/>
      <c r="Z635" s="33"/>
      <c r="AA635" s="33"/>
      <c r="AB635" s="33"/>
    </row>
    <row r="636">
      <c r="A636" s="33"/>
      <c r="B636" s="33"/>
      <c r="C636" s="33"/>
      <c r="D636" s="43"/>
      <c r="E636" s="33"/>
      <c r="F636" s="33"/>
      <c r="G636" s="33"/>
      <c r="H636" s="33"/>
      <c r="I636" s="33"/>
      <c r="J636" s="33"/>
      <c r="K636" s="33"/>
      <c r="L636" s="33"/>
      <c r="M636" s="43"/>
      <c r="N636" s="43"/>
      <c r="O636" s="33"/>
      <c r="P636" s="33"/>
      <c r="Q636" s="33"/>
      <c r="R636" s="33"/>
      <c r="S636" s="33"/>
      <c r="T636" s="33"/>
      <c r="U636" s="33"/>
      <c r="V636" s="33"/>
      <c r="W636" s="33"/>
      <c r="X636" s="33"/>
      <c r="Y636" s="33"/>
      <c r="Z636" s="33"/>
      <c r="AA636" s="33"/>
      <c r="AB636" s="33"/>
    </row>
    <row r="637">
      <c r="A637" s="33"/>
      <c r="B637" s="33"/>
      <c r="C637" s="33"/>
      <c r="D637" s="43"/>
      <c r="E637" s="33"/>
      <c r="F637" s="33"/>
      <c r="G637" s="33"/>
      <c r="H637" s="33"/>
      <c r="I637" s="33"/>
      <c r="J637" s="33"/>
      <c r="K637" s="33"/>
      <c r="L637" s="33"/>
      <c r="M637" s="43"/>
      <c r="N637" s="43"/>
      <c r="O637" s="33"/>
      <c r="P637" s="33"/>
      <c r="Q637" s="33"/>
      <c r="R637" s="33"/>
      <c r="S637" s="33"/>
      <c r="T637" s="33"/>
      <c r="U637" s="33"/>
      <c r="V637" s="33"/>
      <c r="W637" s="33"/>
      <c r="X637" s="33"/>
      <c r="Y637" s="33"/>
      <c r="Z637" s="33"/>
      <c r="AA637" s="33"/>
      <c r="AB637" s="33"/>
    </row>
    <row r="638">
      <c r="A638" s="33"/>
      <c r="B638" s="33"/>
      <c r="C638" s="33"/>
      <c r="D638" s="43"/>
      <c r="E638" s="33"/>
      <c r="F638" s="33"/>
      <c r="G638" s="33"/>
      <c r="H638" s="33"/>
      <c r="I638" s="33"/>
      <c r="J638" s="33"/>
      <c r="K638" s="33"/>
      <c r="L638" s="33"/>
      <c r="M638" s="43"/>
      <c r="N638" s="43"/>
      <c r="O638" s="33"/>
      <c r="P638" s="33"/>
      <c r="Q638" s="33"/>
      <c r="R638" s="33"/>
      <c r="S638" s="33"/>
      <c r="T638" s="33"/>
      <c r="U638" s="33"/>
      <c r="V638" s="33"/>
      <c r="W638" s="33"/>
      <c r="X638" s="33"/>
      <c r="Y638" s="33"/>
      <c r="Z638" s="33"/>
      <c r="AA638" s="33"/>
      <c r="AB638" s="33"/>
    </row>
    <row r="639">
      <c r="A639" s="33"/>
      <c r="B639" s="33"/>
      <c r="C639" s="33"/>
      <c r="D639" s="43"/>
      <c r="E639" s="33"/>
      <c r="F639" s="33"/>
      <c r="G639" s="33"/>
      <c r="H639" s="33"/>
      <c r="I639" s="33"/>
      <c r="J639" s="33"/>
      <c r="K639" s="33"/>
      <c r="L639" s="33"/>
      <c r="M639" s="43"/>
      <c r="N639" s="43"/>
      <c r="O639" s="33"/>
      <c r="P639" s="33"/>
      <c r="Q639" s="33"/>
      <c r="R639" s="33"/>
      <c r="S639" s="33"/>
      <c r="T639" s="33"/>
      <c r="U639" s="33"/>
      <c r="V639" s="33"/>
      <c r="W639" s="33"/>
      <c r="X639" s="33"/>
      <c r="Y639" s="33"/>
      <c r="Z639" s="33"/>
      <c r="AA639" s="33"/>
      <c r="AB639" s="33"/>
    </row>
    <row r="640">
      <c r="A640" s="33"/>
      <c r="B640" s="33"/>
      <c r="C640" s="33"/>
      <c r="D640" s="43"/>
      <c r="E640" s="33"/>
      <c r="F640" s="33"/>
      <c r="G640" s="33"/>
      <c r="H640" s="33"/>
      <c r="I640" s="33"/>
      <c r="J640" s="33"/>
      <c r="K640" s="33"/>
      <c r="L640" s="33"/>
      <c r="M640" s="43"/>
      <c r="N640" s="43"/>
      <c r="O640" s="33"/>
      <c r="P640" s="33"/>
      <c r="Q640" s="33"/>
      <c r="R640" s="33"/>
      <c r="S640" s="33"/>
      <c r="T640" s="33"/>
      <c r="U640" s="33"/>
      <c r="V640" s="33"/>
      <c r="W640" s="33"/>
      <c r="X640" s="33"/>
      <c r="Y640" s="33"/>
      <c r="Z640" s="33"/>
      <c r="AA640" s="33"/>
      <c r="AB640" s="33"/>
    </row>
    <row r="641">
      <c r="A641" s="33"/>
      <c r="B641" s="33"/>
      <c r="C641" s="33"/>
      <c r="D641" s="43"/>
      <c r="E641" s="33"/>
      <c r="F641" s="33"/>
      <c r="G641" s="33"/>
      <c r="H641" s="33"/>
      <c r="I641" s="33"/>
      <c r="J641" s="33"/>
      <c r="K641" s="33"/>
      <c r="L641" s="33"/>
      <c r="M641" s="43"/>
      <c r="N641" s="43"/>
      <c r="O641" s="33"/>
      <c r="P641" s="33"/>
      <c r="Q641" s="33"/>
      <c r="R641" s="33"/>
      <c r="S641" s="33"/>
      <c r="T641" s="33"/>
      <c r="U641" s="33"/>
      <c r="V641" s="33"/>
      <c r="W641" s="33"/>
      <c r="X641" s="33"/>
      <c r="Y641" s="33"/>
      <c r="Z641" s="33"/>
      <c r="AA641" s="33"/>
      <c r="AB641" s="33"/>
    </row>
    <row r="642">
      <c r="A642" s="33"/>
      <c r="B642" s="33"/>
      <c r="C642" s="33"/>
      <c r="D642" s="43"/>
      <c r="E642" s="33"/>
      <c r="F642" s="33"/>
      <c r="G642" s="33"/>
      <c r="H642" s="33"/>
      <c r="I642" s="33"/>
      <c r="J642" s="33"/>
      <c r="K642" s="33"/>
      <c r="L642" s="33"/>
      <c r="M642" s="43"/>
      <c r="N642" s="43"/>
      <c r="O642" s="33"/>
      <c r="P642" s="33"/>
      <c r="Q642" s="33"/>
      <c r="R642" s="33"/>
      <c r="S642" s="33"/>
      <c r="T642" s="33"/>
      <c r="U642" s="33"/>
      <c r="V642" s="33"/>
      <c r="W642" s="33"/>
      <c r="X642" s="33"/>
      <c r="Y642" s="33"/>
      <c r="Z642" s="33"/>
      <c r="AA642" s="33"/>
      <c r="AB642" s="33"/>
    </row>
    <row r="643">
      <c r="A643" s="33"/>
      <c r="B643" s="33"/>
      <c r="C643" s="33"/>
      <c r="D643" s="43"/>
      <c r="E643" s="33"/>
      <c r="F643" s="33"/>
      <c r="G643" s="33"/>
      <c r="H643" s="33"/>
      <c r="I643" s="33"/>
      <c r="J643" s="33"/>
      <c r="K643" s="33"/>
      <c r="L643" s="33"/>
      <c r="M643" s="43"/>
      <c r="N643" s="43"/>
      <c r="O643" s="33"/>
      <c r="P643" s="33"/>
      <c r="Q643" s="33"/>
      <c r="R643" s="33"/>
      <c r="S643" s="33"/>
      <c r="T643" s="33"/>
      <c r="U643" s="33"/>
      <c r="V643" s="33"/>
      <c r="W643" s="33"/>
      <c r="X643" s="33"/>
      <c r="Y643" s="33"/>
      <c r="Z643" s="33"/>
      <c r="AA643" s="33"/>
      <c r="AB643" s="33"/>
    </row>
    <row r="644">
      <c r="A644" s="33"/>
      <c r="B644" s="33"/>
      <c r="C644" s="33"/>
      <c r="D644" s="43"/>
      <c r="E644" s="33"/>
      <c r="F644" s="33"/>
      <c r="G644" s="33"/>
      <c r="H644" s="33"/>
      <c r="I644" s="33"/>
      <c r="J644" s="33"/>
      <c r="K644" s="33"/>
      <c r="L644" s="33"/>
      <c r="M644" s="43"/>
      <c r="N644" s="43"/>
      <c r="O644" s="33"/>
      <c r="P644" s="33"/>
      <c r="Q644" s="33"/>
      <c r="R644" s="33"/>
      <c r="S644" s="33"/>
      <c r="T644" s="33"/>
      <c r="U644" s="33"/>
      <c r="V644" s="33"/>
      <c r="W644" s="33"/>
      <c r="X644" s="33"/>
      <c r="Y644" s="33"/>
      <c r="Z644" s="33"/>
      <c r="AA644" s="33"/>
      <c r="AB644" s="33"/>
    </row>
    <row r="645">
      <c r="A645" s="33"/>
      <c r="B645" s="33"/>
      <c r="C645" s="33"/>
      <c r="D645" s="43"/>
      <c r="E645" s="33"/>
      <c r="F645" s="33"/>
      <c r="G645" s="33"/>
      <c r="H645" s="33"/>
      <c r="I645" s="33"/>
      <c r="J645" s="33"/>
      <c r="K645" s="33"/>
      <c r="L645" s="33"/>
      <c r="M645" s="43"/>
      <c r="N645" s="43"/>
      <c r="O645" s="33"/>
      <c r="P645" s="33"/>
      <c r="Q645" s="33"/>
      <c r="R645" s="33"/>
      <c r="S645" s="33"/>
      <c r="T645" s="33"/>
      <c r="U645" s="33"/>
      <c r="V645" s="33"/>
      <c r="W645" s="33"/>
      <c r="X645" s="33"/>
      <c r="Y645" s="33"/>
      <c r="Z645" s="33"/>
      <c r="AA645" s="33"/>
      <c r="AB645" s="33"/>
    </row>
    <row r="646">
      <c r="A646" s="33"/>
      <c r="B646" s="33"/>
      <c r="C646" s="33"/>
      <c r="D646" s="43"/>
      <c r="E646" s="33"/>
      <c r="F646" s="33"/>
      <c r="G646" s="33"/>
      <c r="H646" s="33"/>
      <c r="I646" s="33"/>
      <c r="J646" s="33"/>
      <c r="K646" s="33"/>
      <c r="L646" s="33"/>
      <c r="M646" s="43"/>
      <c r="N646" s="43"/>
      <c r="O646" s="33"/>
      <c r="P646" s="33"/>
      <c r="Q646" s="33"/>
      <c r="R646" s="33"/>
      <c r="S646" s="33"/>
      <c r="T646" s="33"/>
      <c r="U646" s="33"/>
      <c r="V646" s="33"/>
      <c r="W646" s="33"/>
      <c r="X646" s="33"/>
      <c r="Y646" s="33"/>
      <c r="Z646" s="33"/>
      <c r="AA646" s="33"/>
      <c r="AB646" s="33"/>
    </row>
    <row r="647">
      <c r="A647" s="33"/>
      <c r="B647" s="33"/>
      <c r="C647" s="33"/>
      <c r="D647" s="43"/>
      <c r="E647" s="33"/>
      <c r="F647" s="33"/>
      <c r="G647" s="33"/>
      <c r="H647" s="33"/>
      <c r="I647" s="33"/>
      <c r="J647" s="33"/>
      <c r="K647" s="33"/>
      <c r="L647" s="33"/>
      <c r="M647" s="43"/>
      <c r="N647" s="43"/>
      <c r="O647" s="33"/>
      <c r="P647" s="33"/>
      <c r="Q647" s="33"/>
      <c r="R647" s="33"/>
      <c r="S647" s="33"/>
      <c r="T647" s="33"/>
      <c r="U647" s="33"/>
      <c r="V647" s="33"/>
      <c r="W647" s="33"/>
      <c r="X647" s="33"/>
      <c r="Y647" s="33"/>
      <c r="Z647" s="33"/>
      <c r="AA647" s="33"/>
      <c r="AB647" s="33"/>
    </row>
    <row r="648">
      <c r="A648" s="33"/>
      <c r="B648" s="33"/>
      <c r="C648" s="33"/>
      <c r="D648" s="43"/>
      <c r="E648" s="33"/>
      <c r="F648" s="33"/>
      <c r="G648" s="33"/>
      <c r="H648" s="33"/>
      <c r="I648" s="33"/>
      <c r="J648" s="33"/>
      <c r="K648" s="33"/>
      <c r="L648" s="33"/>
      <c r="M648" s="43"/>
      <c r="N648" s="43"/>
      <c r="O648" s="33"/>
      <c r="P648" s="33"/>
      <c r="Q648" s="33"/>
      <c r="R648" s="33"/>
      <c r="S648" s="33"/>
      <c r="T648" s="33"/>
      <c r="U648" s="33"/>
      <c r="V648" s="33"/>
      <c r="W648" s="33"/>
      <c r="X648" s="33"/>
      <c r="Y648" s="33"/>
      <c r="Z648" s="33"/>
      <c r="AA648" s="33"/>
      <c r="AB648" s="33"/>
    </row>
    <row r="649">
      <c r="A649" s="33"/>
      <c r="B649" s="33"/>
      <c r="C649" s="33"/>
      <c r="D649" s="43"/>
      <c r="E649" s="33"/>
      <c r="F649" s="33"/>
      <c r="G649" s="33"/>
      <c r="H649" s="33"/>
      <c r="I649" s="33"/>
      <c r="J649" s="33"/>
      <c r="K649" s="33"/>
      <c r="L649" s="33"/>
      <c r="M649" s="43"/>
      <c r="N649" s="43"/>
      <c r="O649" s="33"/>
      <c r="P649" s="33"/>
      <c r="Q649" s="33"/>
      <c r="R649" s="33"/>
      <c r="S649" s="33"/>
      <c r="T649" s="33"/>
      <c r="U649" s="33"/>
      <c r="V649" s="33"/>
      <c r="W649" s="33"/>
      <c r="X649" s="33"/>
      <c r="Y649" s="33"/>
      <c r="Z649" s="33"/>
      <c r="AA649" s="33"/>
      <c r="AB649" s="33"/>
    </row>
    <row r="650">
      <c r="A650" s="33"/>
      <c r="B650" s="33"/>
      <c r="C650" s="33"/>
      <c r="D650" s="43"/>
      <c r="E650" s="33"/>
      <c r="F650" s="33"/>
      <c r="G650" s="33"/>
      <c r="H650" s="33"/>
      <c r="I650" s="33"/>
      <c r="J650" s="33"/>
      <c r="K650" s="33"/>
      <c r="L650" s="33"/>
      <c r="M650" s="43"/>
      <c r="N650" s="43"/>
      <c r="O650" s="33"/>
      <c r="P650" s="33"/>
      <c r="Q650" s="33"/>
      <c r="R650" s="33"/>
      <c r="S650" s="33"/>
      <c r="T650" s="33"/>
      <c r="U650" s="33"/>
      <c r="V650" s="33"/>
      <c r="W650" s="33"/>
      <c r="X650" s="33"/>
      <c r="Y650" s="33"/>
      <c r="Z650" s="33"/>
      <c r="AA650" s="33"/>
      <c r="AB650" s="33"/>
    </row>
    <row r="651">
      <c r="A651" s="33"/>
      <c r="B651" s="33"/>
      <c r="C651" s="33"/>
      <c r="D651" s="43"/>
      <c r="E651" s="33"/>
      <c r="F651" s="33"/>
      <c r="G651" s="33"/>
      <c r="H651" s="33"/>
      <c r="I651" s="33"/>
      <c r="J651" s="33"/>
      <c r="K651" s="33"/>
      <c r="L651" s="33"/>
      <c r="M651" s="43"/>
      <c r="N651" s="43"/>
      <c r="O651" s="33"/>
      <c r="P651" s="33"/>
      <c r="Q651" s="33"/>
      <c r="R651" s="33"/>
      <c r="S651" s="33"/>
      <c r="T651" s="33"/>
      <c r="U651" s="33"/>
      <c r="V651" s="33"/>
      <c r="W651" s="33"/>
      <c r="X651" s="33"/>
      <c r="Y651" s="33"/>
      <c r="Z651" s="33"/>
      <c r="AA651" s="33"/>
      <c r="AB651" s="33"/>
    </row>
    <row r="652">
      <c r="A652" s="33"/>
      <c r="B652" s="33"/>
      <c r="C652" s="33"/>
      <c r="D652" s="43"/>
      <c r="E652" s="33"/>
      <c r="F652" s="33"/>
      <c r="G652" s="33"/>
      <c r="H652" s="33"/>
      <c r="I652" s="33"/>
      <c r="J652" s="33"/>
      <c r="K652" s="33"/>
      <c r="L652" s="33"/>
      <c r="M652" s="43"/>
      <c r="N652" s="43"/>
      <c r="O652" s="33"/>
      <c r="P652" s="33"/>
      <c r="Q652" s="33"/>
      <c r="R652" s="33"/>
      <c r="S652" s="33"/>
      <c r="T652" s="33"/>
      <c r="U652" s="33"/>
      <c r="V652" s="33"/>
      <c r="W652" s="33"/>
      <c r="X652" s="33"/>
      <c r="Y652" s="33"/>
      <c r="Z652" s="33"/>
      <c r="AA652" s="33"/>
      <c r="AB652" s="33"/>
    </row>
    <row r="653">
      <c r="A653" s="33"/>
      <c r="B653" s="33"/>
      <c r="C653" s="33"/>
      <c r="D653" s="43"/>
      <c r="E653" s="33"/>
      <c r="F653" s="33"/>
      <c r="G653" s="33"/>
      <c r="H653" s="33"/>
      <c r="I653" s="33"/>
      <c r="J653" s="33"/>
      <c r="K653" s="33"/>
      <c r="L653" s="33"/>
      <c r="M653" s="43"/>
      <c r="N653" s="43"/>
      <c r="O653" s="33"/>
      <c r="P653" s="33"/>
      <c r="Q653" s="33"/>
      <c r="R653" s="33"/>
      <c r="S653" s="33"/>
      <c r="T653" s="33"/>
      <c r="U653" s="33"/>
      <c r="V653" s="33"/>
      <c r="W653" s="33"/>
      <c r="X653" s="33"/>
      <c r="Y653" s="33"/>
      <c r="Z653" s="33"/>
      <c r="AA653" s="33"/>
      <c r="AB653" s="33"/>
    </row>
    <row r="654">
      <c r="A654" s="33"/>
      <c r="B654" s="33"/>
      <c r="C654" s="33"/>
      <c r="D654" s="43"/>
      <c r="E654" s="33"/>
      <c r="F654" s="33"/>
      <c r="G654" s="33"/>
      <c r="H654" s="33"/>
      <c r="I654" s="33"/>
      <c r="J654" s="33"/>
      <c r="K654" s="33"/>
      <c r="L654" s="33"/>
      <c r="M654" s="43"/>
      <c r="N654" s="43"/>
      <c r="O654" s="33"/>
      <c r="P654" s="33"/>
      <c r="Q654" s="33"/>
      <c r="R654" s="33"/>
      <c r="S654" s="33"/>
      <c r="T654" s="33"/>
      <c r="U654" s="33"/>
      <c r="V654" s="33"/>
      <c r="W654" s="33"/>
      <c r="X654" s="33"/>
      <c r="Y654" s="33"/>
      <c r="Z654" s="33"/>
      <c r="AA654" s="33"/>
      <c r="AB654" s="33"/>
    </row>
    <row r="655">
      <c r="A655" s="33"/>
      <c r="B655" s="33"/>
      <c r="C655" s="33"/>
      <c r="D655" s="43"/>
      <c r="E655" s="33"/>
      <c r="F655" s="33"/>
      <c r="G655" s="33"/>
      <c r="H655" s="33"/>
      <c r="I655" s="33"/>
      <c r="J655" s="33"/>
      <c r="K655" s="33"/>
      <c r="L655" s="33"/>
      <c r="M655" s="43"/>
      <c r="N655" s="43"/>
      <c r="O655" s="33"/>
      <c r="P655" s="33"/>
      <c r="Q655" s="33"/>
      <c r="R655" s="33"/>
      <c r="S655" s="33"/>
      <c r="T655" s="33"/>
      <c r="U655" s="33"/>
      <c r="V655" s="33"/>
      <c r="W655" s="33"/>
      <c r="X655" s="33"/>
      <c r="Y655" s="33"/>
      <c r="Z655" s="33"/>
      <c r="AA655" s="33"/>
      <c r="AB655" s="33"/>
    </row>
    <row r="656">
      <c r="A656" s="33"/>
      <c r="B656" s="33"/>
      <c r="C656" s="33"/>
      <c r="D656" s="43"/>
      <c r="E656" s="33"/>
      <c r="F656" s="33"/>
      <c r="G656" s="33"/>
      <c r="H656" s="33"/>
      <c r="I656" s="33"/>
      <c r="J656" s="33"/>
      <c r="K656" s="33"/>
      <c r="L656" s="33"/>
      <c r="M656" s="43"/>
      <c r="N656" s="43"/>
      <c r="O656" s="33"/>
      <c r="P656" s="33"/>
      <c r="Q656" s="33"/>
      <c r="R656" s="33"/>
      <c r="S656" s="33"/>
      <c r="T656" s="33"/>
      <c r="U656" s="33"/>
      <c r="V656" s="33"/>
      <c r="W656" s="33"/>
      <c r="X656" s="33"/>
      <c r="Y656" s="33"/>
      <c r="Z656" s="33"/>
      <c r="AA656" s="33"/>
      <c r="AB656" s="33"/>
    </row>
    <row r="657">
      <c r="A657" s="33"/>
      <c r="B657" s="33"/>
      <c r="C657" s="33"/>
      <c r="D657" s="43"/>
      <c r="E657" s="33"/>
      <c r="F657" s="33"/>
      <c r="G657" s="33"/>
      <c r="H657" s="33"/>
      <c r="I657" s="33"/>
      <c r="J657" s="33"/>
      <c r="K657" s="33"/>
      <c r="L657" s="33"/>
      <c r="M657" s="43"/>
      <c r="N657" s="43"/>
      <c r="O657" s="33"/>
      <c r="P657" s="33"/>
      <c r="Q657" s="33"/>
      <c r="R657" s="33"/>
      <c r="S657" s="33"/>
      <c r="T657" s="33"/>
      <c r="U657" s="33"/>
      <c r="V657" s="33"/>
      <c r="W657" s="33"/>
      <c r="X657" s="33"/>
      <c r="Y657" s="33"/>
      <c r="Z657" s="33"/>
      <c r="AA657" s="33"/>
      <c r="AB657" s="33"/>
    </row>
    <row r="658">
      <c r="A658" s="33"/>
      <c r="B658" s="33"/>
      <c r="C658" s="33"/>
      <c r="D658" s="43"/>
      <c r="E658" s="33"/>
      <c r="F658" s="33"/>
      <c r="G658" s="33"/>
      <c r="H658" s="33"/>
      <c r="I658" s="33"/>
      <c r="J658" s="33"/>
      <c r="K658" s="33"/>
      <c r="L658" s="33"/>
      <c r="M658" s="43"/>
      <c r="N658" s="43"/>
      <c r="O658" s="33"/>
      <c r="P658" s="33"/>
      <c r="Q658" s="33"/>
      <c r="R658" s="33"/>
      <c r="S658" s="33"/>
      <c r="T658" s="33"/>
      <c r="U658" s="33"/>
      <c r="V658" s="33"/>
      <c r="W658" s="33"/>
      <c r="X658" s="33"/>
      <c r="Y658" s="33"/>
      <c r="Z658" s="33"/>
      <c r="AA658" s="33"/>
      <c r="AB658" s="33"/>
    </row>
    <row r="659">
      <c r="A659" s="33"/>
      <c r="B659" s="33"/>
      <c r="C659" s="33"/>
      <c r="D659" s="43"/>
      <c r="E659" s="33"/>
      <c r="F659" s="33"/>
      <c r="G659" s="33"/>
      <c r="H659" s="33"/>
      <c r="I659" s="33"/>
      <c r="J659" s="33"/>
      <c r="K659" s="33"/>
      <c r="L659" s="33"/>
      <c r="M659" s="43"/>
      <c r="N659" s="43"/>
      <c r="O659" s="33"/>
      <c r="P659" s="33"/>
      <c r="Q659" s="33"/>
      <c r="R659" s="33"/>
      <c r="S659" s="33"/>
      <c r="T659" s="33"/>
      <c r="U659" s="33"/>
      <c r="V659" s="33"/>
      <c r="W659" s="33"/>
      <c r="X659" s="33"/>
      <c r="Y659" s="33"/>
      <c r="Z659" s="33"/>
      <c r="AA659" s="33"/>
      <c r="AB659" s="33"/>
    </row>
    <row r="660">
      <c r="A660" s="33"/>
      <c r="B660" s="33"/>
      <c r="C660" s="33"/>
      <c r="D660" s="43"/>
      <c r="E660" s="33"/>
      <c r="F660" s="33"/>
      <c r="G660" s="33"/>
      <c r="H660" s="33"/>
      <c r="I660" s="33"/>
      <c r="J660" s="33"/>
      <c r="K660" s="33"/>
      <c r="L660" s="33"/>
      <c r="M660" s="43"/>
      <c r="N660" s="43"/>
      <c r="O660" s="33"/>
      <c r="P660" s="33"/>
      <c r="Q660" s="33"/>
      <c r="R660" s="33"/>
      <c r="S660" s="33"/>
      <c r="T660" s="33"/>
      <c r="U660" s="33"/>
      <c r="V660" s="33"/>
      <c r="W660" s="33"/>
      <c r="X660" s="33"/>
      <c r="Y660" s="33"/>
      <c r="Z660" s="33"/>
      <c r="AA660" s="33"/>
      <c r="AB660" s="33"/>
    </row>
    <row r="661">
      <c r="A661" s="33"/>
      <c r="B661" s="33"/>
      <c r="C661" s="33"/>
      <c r="D661" s="43"/>
      <c r="E661" s="33"/>
      <c r="F661" s="33"/>
      <c r="G661" s="33"/>
      <c r="H661" s="33"/>
      <c r="I661" s="33"/>
      <c r="J661" s="33"/>
      <c r="K661" s="33"/>
      <c r="L661" s="33"/>
      <c r="M661" s="43"/>
      <c r="N661" s="43"/>
      <c r="O661" s="33"/>
      <c r="P661" s="33"/>
      <c r="Q661" s="33"/>
      <c r="R661" s="33"/>
      <c r="S661" s="33"/>
      <c r="T661" s="33"/>
      <c r="U661" s="33"/>
      <c r="V661" s="33"/>
      <c r="W661" s="33"/>
      <c r="X661" s="33"/>
      <c r="Y661" s="33"/>
      <c r="Z661" s="33"/>
      <c r="AA661" s="33"/>
      <c r="AB661" s="33"/>
    </row>
    <row r="662">
      <c r="A662" s="33"/>
      <c r="B662" s="33"/>
      <c r="C662" s="33"/>
      <c r="D662" s="43"/>
      <c r="E662" s="33"/>
      <c r="F662" s="33"/>
      <c r="G662" s="33"/>
      <c r="H662" s="33"/>
      <c r="I662" s="33"/>
      <c r="J662" s="33"/>
      <c r="K662" s="33"/>
      <c r="L662" s="33"/>
      <c r="M662" s="43"/>
      <c r="N662" s="43"/>
      <c r="O662" s="33"/>
      <c r="P662" s="33"/>
      <c r="Q662" s="33"/>
      <c r="R662" s="33"/>
      <c r="S662" s="33"/>
      <c r="T662" s="33"/>
      <c r="U662" s="33"/>
      <c r="V662" s="33"/>
      <c r="W662" s="33"/>
      <c r="X662" s="33"/>
      <c r="Y662" s="33"/>
      <c r="Z662" s="33"/>
      <c r="AA662" s="33"/>
      <c r="AB662" s="33"/>
    </row>
    <row r="663">
      <c r="A663" s="33"/>
      <c r="B663" s="33"/>
      <c r="C663" s="33"/>
      <c r="D663" s="43"/>
      <c r="E663" s="33"/>
      <c r="F663" s="33"/>
      <c r="G663" s="33"/>
      <c r="H663" s="33"/>
      <c r="I663" s="33"/>
      <c r="J663" s="33"/>
      <c r="K663" s="33"/>
      <c r="L663" s="33"/>
      <c r="M663" s="43"/>
      <c r="N663" s="43"/>
      <c r="O663" s="33"/>
      <c r="P663" s="33"/>
      <c r="Q663" s="33"/>
      <c r="R663" s="33"/>
      <c r="S663" s="33"/>
      <c r="T663" s="33"/>
      <c r="U663" s="33"/>
      <c r="V663" s="33"/>
      <c r="W663" s="33"/>
      <c r="X663" s="33"/>
      <c r="Y663" s="33"/>
      <c r="Z663" s="33"/>
      <c r="AA663" s="33"/>
      <c r="AB663" s="33"/>
    </row>
    <row r="664">
      <c r="A664" s="33"/>
      <c r="B664" s="33"/>
      <c r="C664" s="33"/>
      <c r="D664" s="43"/>
      <c r="E664" s="33"/>
      <c r="F664" s="33"/>
      <c r="G664" s="33"/>
      <c r="H664" s="33"/>
      <c r="I664" s="33"/>
      <c r="J664" s="33"/>
      <c r="K664" s="33"/>
      <c r="L664" s="33"/>
      <c r="M664" s="43"/>
      <c r="N664" s="43"/>
      <c r="O664" s="33"/>
      <c r="P664" s="33"/>
      <c r="Q664" s="33"/>
      <c r="R664" s="33"/>
      <c r="S664" s="33"/>
      <c r="T664" s="33"/>
      <c r="U664" s="33"/>
      <c r="V664" s="33"/>
      <c r="W664" s="33"/>
      <c r="X664" s="33"/>
      <c r="Y664" s="33"/>
      <c r="Z664" s="33"/>
      <c r="AA664" s="33"/>
      <c r="AB664" s="33"/>
    </row>
    <row r="665">
      <c r="A665" s="33"/>
      <c r="B665" s="33"/>
      <c r="C665" s="33"/>
      <c r="D665" s="43"/>
      <c r="E665" s="33"/>
      <c r="F665" s="33"/>
      <c r="G665" s="33"/>
      <c r="H665" s="33"/>
      <c r="I665" s="33"/>
      <c r="J665" s="33"/>
      <c r="K665" s="33"/>
      <c r="L665" s="33"/>
      <c r="M665" s="43"/>
      <c r="N665" s="43"/>
      <c r="O665" s="33"/>
      <c r="P665" s="33"/>
      <c r="Q665" s="33"/>
      <c r="R665" s="33"/>
      <c r="S665" s="33"/>
      <c r="T665" s="33"/>
      <c r="U665" s="33"/>
      <c r="V665" s="33"/>
      <c r="W665" s="33"/>
      <c r="X665" s="33"/>
      <c r="Y665" s="33"/>
      <c r="Z665" s="33"/>
      <c r="AA665" s="33"/>
      <c r="AB665" s="33"/>
    </row>
    <row r="666">
      <c r="A666" s="33"/>
      <c r="B666" s="33"/>
      <c r="C666" s="33"/>
      <c r="D666" s="43"/>
      <c r="E666" s="33"/>
      <c r="F666" s="33"/>
      <c r="G666" s="33"/>
      <c r="H666" s="33"/>
      <c r="I666" s="33"/>
      <c r="J666" s="33"/>
      <c r="K666" s="33"/>
      <c r="L666" s="33"/>
      <c r="M666" s="43"/>
      <c r="N666" s="43"/>
      <c r="O666" s="33"/>
      <c r="P666" s="33"/>
      <c r="Q666" s="33"/>
      <c r="R666" s="33"/>
      <c r="S666" s="33"/>
      <c r="T666" s="33"/>
      <c r="U666" s="33"/>
      <c r="V666" s="33"/>
      <c r="W666" s="33"/>
      <c r="X666" s="33"/>
      <c r="Y666" s="33"/>
      <c r="Z666" s="33"/>
      <c r="AA666" s="33"/>
      <c r="AB666" s="33"/>
    </row>
    <row r="667">
      <c r="A667" s="33"/>
      <c r="B667" s="33"/>
      <c r="C667" s="33"/>
      <c r="D667" s="43"/>
      <c r="E667" s="33"/>
      <c r="F667" s="33"/>
      <c r="G667" s="33"/>
      <c r="H667" s="33"/>
      <c r="I667" s="33"/>
      <c r="J667" s="33"/>
      <c r="K667" s="33"/>
      <c r="L667" s="33"/>
      <c r="M667" s="43"/>
      <c r="N667" s="43"/>
      <c r="O667" s="33"/>
      <c r="P667" s="33"/>
      <c r="Q667" s="33"/>
      <c r="R667" s="33"/>
      <c r="S667" s="33"/>
      <c r="T667" s="33"/>
      <c r="U667" s="33"/>
      <c r="V667" s="33"/>
      <c r="W667" s="33"/>
      <c r="X667" s="33"/>
      <c r="Y667" s="33"/>
      <c r="Z667" s="33"/>
      <c r="AA667" s="33"/>
      <c r="AB667" s="33"/>
    </row>
    <row r="668">
      <c r="A668" s="33"/>
      <c r="B668" s="33"/>
      <c r="C668" s="33"/>
      <c r="D668" s="43"/>
      <c r="E668" s="33"/>
      <c r="F668" s="33"/>
      <c r="G668" s="33"/>
      <c r="H668" s="33"/>
      <c r="I668" s="33"/>
      <c r="J668" s="33"/>
      <c r="K668" s="33"/>
      <c r="L668" s="33"/>
      <c r="M668" s="43"/>
      <c r="N668" s="43"/>
      <c r="O668" s="33"/>
      <c r="P668" s="33"/>
      <c r="Q668" s="33"/>
      <c r="R668" s="33"/>
      <c r="S668" s="33"/>
      <c r="T668" s="33"/>
      <c r="U668" s="33"/>
      <c r="V668" s="33"/>
      <c r="W668" s="33"/>
      <c r="X668" s="33"/>
      <c r="Y668" s="33"/>
      <c r="Z668" s="33"/>
      <c r="AA668" s="33"/>
      <c r="AB668" s="33"/>
    </row>
    <row r="669">
      <c r="A669" s="33"/>
      <c r="B669" s="33"/>
      <c r="C669" s="33"/>
      <c r="D669" s="43"/>
      <c r="E669" s="33"/>
      <c r="F669" s="33"/>
      <c r="G669" s="33"/>
      <c r="H669" s="33"/>
      <c r="I669" s="33"/>
      <c r="J669" s="33"/>
      <c r="K669" s="33"/>
      <c r="L669" s="33"/>
      <c r="M669" s="43"/>
      <c r="N669" s="43"/>
      <c r="O669" s="33"/>
      <c r="P669" s="33"/>
      <c r="Q669" s="33"/>
      <c r="R669" s="33"/>
      <c r="S669" s="33"/>
      <c r="T669" s="33"/>
      <c r="U669" s="33"/>
      <c r="V669" s="33"/>
      <c r="W669" s="33"/>
      <c r="X669" s="33"/>
      <c r="Y669" s="33"/>
      <c r="Z669" s="33"/>
      <c r="AA669" s="33"/>
      <c r="AB669" s="33"/>
    </row>
    <row r="670">
      <c r="A670" s="33"/>
      <c r="B670" s="33"/>
      <c r="C670" s="33"/>
      <c r="D670" s="43"/>
      <c r="E670" s="33"/>
      <c r="F670" s="33"/>
      <c r="G670" s="33"/>
      <c r="H670" s="33"/>
      <c r="I670" s="33"/>
      <c r="J670" s="33"/>
      <c r="K670" s="33"/>
      <c r="L670" s="33"/>
      <c r="M670" s="43"/>
      <c r="N670" s="43"/>
      <c r="O670" s="33"/>
      <c r="P670" s="33"/>
      <c r="Q670" s="33"/>
      <c r="R670" s="33"/>
      <c r="S670" s="33"/>
      <c r="T670" s="33"/>
      <c r="U670" s="33"/>
      <c r="V670" s="33"/>
      <c r="W670" s="33"/>
      <c r="X670" s="33"/>
      <c r="Y670" s="33"/>
      <c r="Z670" s="33"/>
      <c r="AA670" s="33"/>
      <c r="AB670" s="33"/>
    </row>
    <row r="671">
      <c r="A671" s="33"/>
      <c r="B671" s="33"/>
      <c r="C671" s="33"/>
      <c r="D671" s="43"/>
      <c r="E671" s="33"/>
      <c r="F671" s="33"/>
      <c r="G671" s="33"/>
      <c r="H671" s="33"/>
      <c r="I671" s="33"/>
      <c r="J671" s="33"/>
      <c r="K671" s="33"/>
      <c r="L671" s="33"/>
      <c r="M671" s="43"/>
      <c r="N671" s="43"/>
      <c r="O671" s="33"/>
      <c r="P671" s="33"/>
      <c r="Q671" s="33"/>
      <c r="R671" s="33"/>
      <c r="S671" s="33"/>
      <c r="T671" s="33"/>
      <c r="U671" s="33"/>
      <c r="V671" s="33"/>
      <c r="W671" s="33"/>
      <c r="X671" s="33"/>
      <c r="Y671" s="33"/>
      <c r="Z671" s="33"/>
      <c r="AA671" s="33"/>
      <c r="AB671" s="33"/>
    </row>
    <row r="672">
      <c r="A672" s="33"/>
      <c r="B672" s="33"/>
      <c r="C672" s="33"/>
      <c r="D672" s="43"/>
      <c r="E672" s="33"/>
      <c r="F672" s="33"/>
      <c r="G672" s="33"/>
      <c r="H672" s="33"/>
      <c r="I672" s="33"/>
      <c r="J672" s="33"/>
      <c r="K672" s="33"/>
      <c r="L672" s="33"/>
      <c r="M672" s="43"/>
      <c r="N672" s="43"/>
      <c r="O672" s="33"/>
      <c r="P672" s="33"/>
      <c r="Q672" s="33"/>
      <c r="R672" s="33"/>
      <c r="S672" s="33"/>
      <c r="T672" s="33"/>
      <c r="U672" s="33"/>
      <c r="V672" s="33"/>
      <c r="W672" s="33"/>
      <c r="X672" s="33"/>
      <c r="Y672" s="33"/>
      <c r="Z672" s="33"/>
      <c r="AA672" s="33"/>
      <c r="AB672" s="33"/>
    </row>
    <row r="673">
      <c r="A673" s="33"/>
      <c r="B673" s="33"/>
      <c r="C673" s="33"/>
      <c r="D673" s="43"/>
      <c r="E673" s="33"/>
      <c r="F673" s="33"/>
      <c r="G673" s="33"/>
      <c r="H673" s="33"/>
      <c r="I673" s="33"/>
      <c r="J673" s="33"/>
      <c r="K673" s="33"/>
      <c r="L673" s="33"/>
      <c r="M673" s="43"/>
      <c r="N673" s="43"/>
      <c r="O673" s="33"/>
      <c r="P673" s="33"/>
      <c r="Q673" s="33"/>
      <c r="R673" s="33"/>
      <c r="S673" s="33"/>
      <c r="T673" s="33"/>
      <c r="U673" s="33"/>
      <c r="V673" s="33"/>
      <c r="W673" s="33"/>
      <c r="X673" s="33"/>
      <c r="Y673" s="33"/>
      <c r="Z673" s="33"/>
      <c r="AA673" s="33"/>
      <c r="AB673" s="33"/>
    </row>
    <row r="674">
      <c r="A674" s="33"/>
      <c r="B674" s="33"/>
      <c r="C674" s="33"/>
      <c r="D674" s="43"/>
      <c r="E674" s="33"/>
      <c r="F674" s="33"/>
      <c r="G674" s="33"/>
      <c r="H674" s="33"/>
      <c r="I674" s="33"/>
      <c r="J674" s="33"/>
      <c r="K674" s="33"/>
      <c r="L674" s="33"/>
      <c r="M674" s="43"/>
      <c r="N674" s="43"/>
      <c r="O674" s="33"/>
      <c r="P674" s="33"/>
      <c r="Q674" s="33"/>
      <c r="R674" s="33"/>
      <c r="S674" s="33"/>
      <c r="T674" s="33"/>
      <c r="U674" s="33"/>
      <c r="V674" s="33"/>
      <c r="W674" s="33"/>
      <c r="X674" s="33"/>
      <c r="Y674" s="33"/>
      <c r="Z674" s="33"/>
      <c r="AA674" s="33"/>
      <c r="AB674" s="33"/>
    </row>
    <row r="675">
      <c r="A675" s="33"/>
      <c r="B675" s="33"/>
      <c r="C675" s="33"/>
      <c r="D675" s="43"/>
      <c r="E675" s="33"/>
      <c r="F675" s="33"/>
      <c r="G675" s="33"/>
      <c r="H675" s="33"/>
      <c r="I675" s="33"/>
      <c r="J675" s="33"/>
      <c r="K675" s="33"/>
      <c r="L675" s="33"/>
      <c r="M675" s="43"/>
      <c r="N675" s="43"/>
      <c r="O675" s="33"/>
      <c r="P675" s="33"/>
      <c r="Q675" s="33"/>
      <c r="R675" s="33"/>
      <c r="S675" s="33"/>
      <c r="T675" s="33"/>
      <c r="U675" s="33"/>
      <c r="V675" s="33"/>
      <c r="W675" s="33"/>
      <c r="X675" s="33"/>
      <c r="Y675" s="33"/>
      <c r="Z675" s="33"/>
      <c r="AA675" s="33"/>
      <c r="AB675" s="33"/>
    </row>
    <row r="676">
      <c r="A676" s="33"/>
      <c r="B676" s="33"/>
      <c r="C676" s="33"/>
      <c r="D676" s="43"/>
      <c r="E676" s="33"/>
      <c r="F676" s="33"/>
      <c r="G676" s="33"/>
      <c r="H676" s="33"/>
      <c r="I676" s="33"/>
      <c r="J676" s="33"/>
      <c r="K676" s="33"/>
      <c r="L676" s="33"/>
      <c r="M676" s="43"/>
      <c r="N676" s="43"/>
      <c r="O676" s="33"/>
      <c r="P676" s="33"/>
      <c r="Q676" s="33"/>
      <c r="R676" s="33"/>
      <c r="S676" s="33"/>
      <c r="T676" s="33"/>
      <c r="U676" s="33"/>
      <c r="V676" s="33"/>
      <c r="W676" s="33"/>
      <c r="X676" s="33"/>
      <c r="Y676" s="33"/>
      <c r="Z676" s="33"/>
      <c r="AA676" s="33"/>
      <c r="AB676" s="33"/>
    </row>
    <row r="677">
      <c r="A677" s="33"/>
      <c r="B677" s="33"/>
      <c r="C677" s="33"/>
      <c r="D677" s="43"/>
      <c r="E677" s="33"/>
      <c r="F677" s="33"/>
      <c r="G677" s="33"/>
      <c r="H677" s="33"/>
      <c r="I677" s="33"/>
      <c r="J677" s="33"/>
      <c r="K677" s="33"/>
      <c r="L677" s="33"/>
      <c r="M677" s="43"/>
      <c r="N677" s="43"/>
      <c r="O677" s="33"/>
      <c r="P677" s="33"/>
      <c r="Q677" s="33"/>
      <c r="R677" s="33"/>
      <c r="S677" s="33"/>
      <c r="T677" s="33"/>
      <c r="U677" s="33"/>
      <c r="V677" s="33"/>
      <c r="W677" s="33"/>
      <c r="X677" s="33"/>
      <c r="Y677" s="33"/>
      <c r="Z677" s="33"/>
      <c r="AA677" s="33"/>
      <c r="AB677" s="33"/>
    </row>
    <row r="678">
      <c r="A678" s="33"/>
      <c r="B678" s="33"/>
      <c r="C678" s="33"/>
      <c r="D678" s="43"/>
      <c r="E678" s="33"/>
      <c r="F678" s="33"/>
      <c r="G678" s="33"/>
      <c r="H678" s="33"/>
      <c r="I678" s="33"/>
      <c r="J678" s="33"/>
      <c r="K678" s="33"/>
      <c r="L678" s="33"/>
      <c r="M678" s="43"/>
      <c r="N678" s="43"/>
      <c r="O678" s="33"/>
      <c r="P678" s="33"/>
      <c r="Q678" s="33"/>
      <c r="R678" s="33"/>
      <c r="S678" s="33"/>
      <c r="T678" s="33"/>
      <c r="U678" s="33"/>
      <c r="V678" s="33"/>
      <c r="W678" s="33"/>
      <c r="X678" s="33"/>
      <c r="Y678" s="33"/>
      <c r="Z678" s="33"/>
      <c r="AA678" s="33"/>
      <c r="AB678" s="33"/>
    </row>
    <row r="679">
      <c r="A679" s="33"/>
      <c r="B679" s="33"/>
      <c r="C679" s="33"/>
      <c r="D679" s="43"/>
      <c r="E679" s="33"/>
      <c r="F679" s="33"/>
      <c r="G679" s="33"/>
      <c r="H679" s="33"/>
      <c r="I679" s="33"/>
      <c r="J679" s="33"/>
      <c r="K679" s="33"/>
      <c r="L679" s="33"/>
      <c r="M679" s="43"/>
      <c r="N679" s="43"/>
      <c r="O679" s="33"/>
      <c r="P679" s="33"/>
      <c r="Q679" s="33"/>
      <c r="R679" s="33"/>
      <c r="S679" s="33"/>
      <c r="T679" s="33"/>
      <c r="U679" s="33"/>
      <c r="V679" s="33"/>
      <c r="W679" s="33"/>
      <c r="X679" s="33"/>
      <c r="Y679" s="33"/>
      <c r="Z679" s="33"/>
      <c r="AA679" s="33"/>
      <c r="AB679" s="33"/>
    </row>
    <row r="680">
      <c r="A680" s="33"/>
      <c r="B680" s="33"/>
      <c r="C680" s="33"/>
      <c r="D680" s="43"/>
      <c r="E680" s="33"/>
      <c r="F680" s="33"/>
      <c r="G680" s="33"/>
      <c r="H680" s="33"/>
      <c r="I680" s="33"/>
      <c r="J680" s="33"/>
      <c r="K680" s="33"/>
      <c r="L680" s="33"/>
      <c r="M680" s="43"/>
      <c r="N680" s="43"/>
      <c r="O680" s="33"/>
      <c r="P680" s="33"/>
      <c r="Q680" s="33"/>
      <c r="R680" s="33"/>
      <c r="S680" s="33"/>
      <c r="T680" s="33"/>
      <c r="U680" s="33"/>
      <c r="V680" s="33"/>
      <c r="W680" s="33"/>
      <c r="X680" s="33"/>
      <c r="Y680" s="33"/>
      <c r="Z680" s="33"/>
      <c r="AA680" s="33"/>
      <c r="AB680" s="33"/>
    </row>
    <row r="681">
      <c r="A681" s="33"/>
      <c r="B681" s="33"/>
      <c r="C681" s="33"/>
      <c r="D681" s="43"/>
      <c r="E681" s="33"/>
      <c r="F681" s="33"/>
      <c r="G681" s="33"/>
      <c r="H681" s="33"/>
      <c r="I681" s="33"/>
      <c r="J681" s="33"/>
      <c r="K681" s="33"/>
      <c r="L681" s="33"/>
      <c r="M681" s="43"/>
      <c r="N681" s="43"/>
      <c r="O681" s="33"/>
      <c r="P681" s="33"/>
      <c r="Q681" s="33"/>
      <c r="R681" s="33"/>
      <c r="S681" s="33"/>
      <c r="T681" s="33"/>
      <c r="U681" s="33"/>
      <c r="V681" s="33"/>
      <c r="W681" s="33"/>
      <c r="X681" s="33"/>
      <c r="Y681" s="33"/>
      <c r="Z681" s="33"/>
      <c r="AA681" s="33"/>
      <c r="AB681" s="33"/>
    </row>
    <row r="682">
      <c r="A682" s="33"/>
      <c r="B682" s="33"/>
      <c r="C682" s="33"/>
      <c r="D682" s="43"/>
      <c r="E682" s="33"/>
      <c r="F682" s="33"/>
      <c r="G682" s="33"/>
      <c r="H682" s="33"/>
      <c r="I682" s="33"/>
      <c r="J682" s="33"/>
      <c r="K682" s="33"/>
      <c r="L682" s="33"/>
      <c r="M682" s="43"/>
      <c r="N682" s="43"/>
      <c r="O682" s="33"/>
      <c r="P682" s="33"/>
      <c r="Q682" s="33"/>
      <c r="R682" s="33"/>
      <c r="S682" s="33"/>
      <c r="T682" s="33"/>
      <c r="U682" s="33"/>
      <c r="V682" s="33"/>
      <c r="W682" s="33"/>
      <c r="X682" s="33"/>
      <c r="Y682" s="33"/>
      <c r="Z682" s="33"/>
      <c r="AA682" s="33"/>
      <c r="AB682" s="33"/>
    </row>
    <row r="683">
      <c r="A683" s="33"/>
      <c r="B683" s="33"/>
      <c r="C683" s="33"/>
      <c r="D683" s="43"/>
      <c r="E683" s="33"/>
      <c r="F683" s="33"/>
      <c r="G683" s="33"/>
      <c r="H683" s="33"/>
      <c r="I683" s="33"/>
      <c r="J683" s="33"/>
      <c r="K683" s="33"/>
      <c r="L683" s="33"/>
      <c r="M683" s="43"/>
      <c r="N683" s="43"/>
      <c r="O683" s="33"/>
      <c r="P683" s="33"/>
      <c r="Q683" s="33"/>
      <c r="R683" s="33"/>
      <c r="S683" s="33"/>
      <c r="T683" s="33"/>
      <c r="U683" s="33"/>
      <c r="V683" s="33"/>
      <c r="W683" s="33"/>
      <c r="X683" s="33"/>
      <c r="Y683" s="33"/>
      <c r="Z683" s="33"/>
      <c r="AA683" s="33"/>
      <c r="AB683" s="33"/>
    </row>
    <row r="684">
      <c r="A684" s="33"/>
      <c r="B684" s="33"/>
      <c r="C684" s="33"/>
      <c r="D684" s="43"/>
      <c r="E684" s="33"/>
      <c r="F684" s="33"/>
      <c r="G684" s="33"/>
      <c r="H684" s="33"/>
      <c r="I684" s="33"/>
      <c r="J684" s="33"/>
      <c r="K684" s="33"/>
      <c r="L684" s="33"/>
      <c r="M684" s="43"/>
      <c r="N684" s="43"/>
      <c r="O684" s="33"/>
      <c r="P684" s="33"/>
      <c r="Q684" s="33"/>
      <c r="R684" s="33"/>
      <c r="S684" s="33"/>
      <c r="T684" s="33"/>
      <c r="U684" s="33"/>
      <c r="V684" s="33"/>
      <c r="W684" s="33"/>
      <c r="X684" s="33"/>
      <c r="Y684" s="33"/>
      <c r="Z684" s="33"/>
      <c r="AA684" s="33"/>
      <c r="AB684" s="33"/>
    </row>
    <row r="685">
      <c r="A685" s="33"/>
      <c r="B685" s="33"/>
      <c r="C685" s="33"/>
      <c r="D685" s="43"/>
      <c r="E685" s="33"/>
      <c r="F685" s="33"/>
      <c r="G685" s="33"/>
      <c r="H685" s="33"/>
      <c r="I685" s="33"/>
      <c r="J685" s="33"/>
      <c r="K685" s="33"/>
      <c r="L685" s="33"/>
      <c r="M685" s="43"/>
      <c r="N685" s="43"/>
      <c r="O685" s="33"/>
      <c r="P685" s="33"/>
      <c r="Q685" s="33"/>
      <c r="R685" s="33"/>
      <c r="S685" s="33"/>
      <c r="T685" s="33"/>
      <c r="U685" s="33"/>
      <c r="V685" s="33"/>
      <c r="W685" s="33"/>
      <c r="X685" s="33"/>
      <c r="Y685" s="33"/>
      <c r="Z685" s="33"/>
      <c r="AA685" s="33"/>
      <c r="AB685" s="33"/>
    </row>
    <row r="686">
      <c r="A686" s="33"/>
      <c r="B686" s="33"/>
      <c r="C686" s="33"/>
      <c r="D686" s="43"/>
      <c r="E686" s="33"/>
      <c r="F686" s="33"/>
      <c r="G686" s="33"/>
      <c r="H686" s="33"/>
      <c r="I686" s="33"/>
      <c r="J686" s="33"/>
      <c r="K686" s="33"/>
      <c r="L686" s="33"/>
      <c r="M686" s="43"/>
      <c r="N686" s="43"/>
      <c r="O686" s="33"/>
      <c r="P686" s="33"/>
      <c r="Q686" s="33"/>
      <c r="R686" s="33"/>
      <c r="S686" s="33"/>
      <c r="T686" s="33"/>
      <c r="U686" s="33"/>
      <c r="V686" s="33"/>
      <c r="W686" s="33"/>
      <c r="X686" s="33"/>
      <c r="Y686" s="33"/>
      <c r="Z686" s="33"/>
      <c r="AA686" s="33"/>
      <c r="AB686" s="33"/>
    </row>
    <row r="687">
      <c r="A687" s="33"/>
      <c r="B687" s="33"/>
      <c r="C687" s="33"/>
      <c r="D687" s="43"/>
      <c r="E687" s="33"/>
      <c r="F687" s="33"/>
      <c r="G687" s="33"/>
      <c r="H687" s="33"/>
      <c r="I687" s="33"/>
      <c r="J687" s="33"/>
      <c r="K687" s="33"/>
      <c r="L687" s="33"/>
      <c r="M687" s="43"/>
      <c r="N687" s="43"/>
      <c r="O687" s="33"/>
      <c r="P687" s="33"/>
      <c r="Q687" s="33"/>
      <c r="R687" s="33"/>
      <c r="S687" s="33"/>
      <c r="T687" s="33"/>
      <c r="U687" s="33"/>
      <c r="V687" s="33"/>
      <c r="W687" s="33"/>
      <c r="X687" s="33"/>
      <c r="Y687" s="33"/>
      <c r="Z687" s="33"/>
      <c r="AA687" s="33"/>
      <c r="AB687" s="33"/>
    </row>
    <row r="688">
      <c r="A688" s="33"/>
      <c r="B688" s="33"/>
      <c r="C688" s="33"/>
      <c r="D688" s="43"/>
      <c r="E688" s="33"/>
      <c r="F688" s="33"/>
      <c r="G688" s="33"/>
      <c r="H688" s="33"/>
      <c r="I688" s="33"/>
      <c r="J688" s="33"/>
      <c r="K688" s="33"/>
      <c r="L688" s="33"/>
      <c r="M688" s="43"/>
      <c r="N688" s="43"/>
      <c r="O688" s="33"/>
      <c r="P688" s="33"/>
      <c r="Q688" s="33"/>
      <c r="R688" s="33"/>
      <c r="S688" s="33"/>
      <c r="T688" s="33"/>
      <c r="U688" s="33"/>
      <c r="V688" s="33"/>
      <c r="W688" s="33"/>
      <c r="X688" s="33"/>
      <c r="Y688" s="33"/>
      <c r="Z688" s="33"/>
      <c r="AA688" s="33"/>
      <c r="AB688" s="33"/>
    </row>
    <row r="689">
      <c r="A689" s="33"/>
      <c r="B689" s="33"/>
      <c r="C689" s="33"/>
      <c r="D689" s="43"/>
      <c r="E689" s="33"/>
      <c r="F689" s="33"/>
      <c r="G689" s="33"/>
      <c r="H689" s="33"/>
      <c r="I689" s="33"/>
      <c r="J689" s="33"/>
      <c r="K689" s="33"/>
      <c r="L689" s="33"/>
      <c r="M689" s="43"/>
      <c r="N689" s="43"/>
      <c r="O689" s="33"/>
      <c r="P689" s="33"/>
      <c r="Q689" s="33"/>
      <c r="R689" s="33"/>
      <c r="S689" s="33"/>
      <c r="T689" s="33"/>
      <c r="U689" s="33"/>
      <c r="V689" s="33"/>
      <c r="W689" s="33"/>
      <c r="X689" s="33"/>
      <c r="Y689" s="33"/>
      <c r="Z689" s="33"/>
      <c r="AA689" s="33"/>
      <c r="AB689" s="33"/>
    </row>
    <row r="690">
      <c r="A690" s="33"/>
      <c r="B690" s="33"/>
      <c r="C690" s="33"/>
      <c r="D690" s="43"/>
      <c r="E690" s="33"/>
      <c r="F690" s="33"/>
      <c r="G690" s="33"/>
      <c r="H690" s="33"/>
      <c r="I690" s="33"/>
      <c r="J690" s="33"/>
      <c r="K690" s="33"/>
      <c r="L690" s="33"/>
      <c r="M690" s="43"/>
      <c r="N690" s="43"/>
      <c r="O690" s="33"/>
      <c r="P690" s="33"/>
      <c r="Q690" s="33"/>
      <c r="R690" s="33"/>
      <c r="S690" s="33"/>
      <c r="T690" s="33"/>
      <c r="U690" s="33"/>
      <c r="V690" s="33"/>
      <c r="W690" s="33"/>
      <c r="X690" s="33"/>
      <c r="Y690" s="33"/>
      <c r="Z690" s="33"/>
      <c r="AA690" s="33"/>
      <c r="AB690" s="33"/>
    </row>
    <row r="691">
      <c r="A691" s="33"/>
      <c r="B691" s="33"/>
      <c r="C691" s="33"/>
      <c r="D691" s="43"/>
      <c r="E691" s="33"/>
      <c r="F691" s="33"/>
      <c r="G691" s="33"/>
      <c r="H691" s="33"/>
      <c r="I691" s="33"/>
      <c r="J691" s="33"/>
      <c r="K691" s="33"/>
      <c r="L691" s="33"/>
      <c r="M691" s="43"/>
      <c r="N691" s="43"/>
      <c r="O691" s="33"/>
      <c r="P691" s="33"/>
      <c r="Q691" s="33"/>
      <c r="R691" s="33"/>
      <c r="S691" s="33"/>
      <c r="T691" s="33"/>
      <c r="U691" s="33"/>
      <c r="V691" s="33"/>
      <c r="W691" s="33"/>
      <c r="X691" s="33"/>
      <c r="Y691" s="33"/>
      <c r="Z691" s="33"/>
      <c r="AA691" s="33"/>
      <c r="AB691" s="33"/>
    </row>
    <row r="692">
      <c r="A692" s="33"/>
      <c r="B692" s="33"/>
      <c r="C692" s="33"/>
      <c r="D692" s="43"/>
      <c r="E692" s="33"/>
      <c r="F692" s="33"/>
      <c r="G692" s="33"/>
      <c r="H692" s="33"/>
      <c r="I692" s="33"/>
      <c r="J692" s="33"/>
      <c r="K692" s="33"/>
      <c r="L692" s="33"/>
      <c r="M692" s="43"/>
      <c r="N692" s="43"/>
      <c r="O692" s="33"/>
      <c r="P692" s="33"/>
      <c r="Q692" s="33"/>
      <c r="R692" s="33"/>
      <c r="S692" s="33"/>
      <c r="T692" s="33"/>
      <c r="U692" s="33"/>
      <c r="V692" s="33"/>
      <c r="W692" s="33"/>
      <c r="X692" s="33"/>
      <c r="Y692" s="33"/>
      <c r="Z692" s="33"/>
      <c r="AA692" s="33"/>
      <c r="AB692" s="33"/>
    </row>
    <row r="693">
      <c r="A693" s="33"/>
      <c r="B693" s="33"/>
      <c r="C693" s="33"/>
      <c r="D693" s="43"/>
      <c r="E693" s="33"/>
      <c r="F693" s="33"/>
      <c r="G693" s="33"/>
      <c r="H693" s="33"/>
      <c r="I693" s="33"/>
      <c r="J693" s="33"/>
      <c r="K693" s="33"/>
      <c r="L693" s="33"/>
      <c r="M693" s="43"/>
      <c r="N693" s="43"/>
      <c r="O693" s="33"/>
      <c r="P693" s="33"/>
      <c r="Q693" s="33"/>
      <c r="R693" s="33"/>
      <c r="S693" s="33"/>
      <c r="T693" s="33"/>
      <c r="U693" s="33"/>
      <c r="V693" s="33"/>
      <c r="W693" s="33"/>
      <c r="X693" s="33"/>
      <c r="Y693" s="33"/>
      <c r="Z693" s="33"/>
      <c r="AA693" s="33"/>
      <c r="AB693" s="33"/>
    </row>
    <row r="694">
      <c r="A694" s="33"/>
      <c r="B694" s="33"/>
      <c r="C694" s="33"/>
      <c r="D694" s="43"/>
      <c r="E694" s="33"/>
      <c r="F694" s="33"/>
      <c r="G694" s="33"/>
      <c r="H694" s="33"/>
      <c r="I694" s="33"/>
      <c r="J694" s="33"/>
      <c r="K694" s="33"/>
      <c r="L694" s="33"/>
      <c r="M694" s="43"/>
      <c r="N694" s="43"/>
      <c r="O694" s="33"/>
      <c r="P694" s="33"/>
      <c r="Q694" s="33"/>
      <c r="R694" s="33"/>
      <c r="S694" s="33"/>
      <c r="T694" s="33"/>
      <c r="U694" s="33"/>
      <c r="V694" s="33"/>
      <c r="W694" s="33"/>
      <c r="X694" s="33"/>
      <c r="Y694" s="33"/>
      <c r="Z694" s="33"/>
      <c r="AA694" s="33"/>
      <c r="AB694" s="33"/>
    </row>
    <row r="695">
      <c r="A695" s="33"/>
      <c r="B695" s="33"/>
      <c r="C695" s="33"/>
      <c r="D695" s="43"/>
      <c r="E695" s="33"/>
      <c r="F695" s="33"/>
      <c r="G695" s="33"/>
      <c r="H695" s="33"/>
      <c r="I695" s="33"/>
      <c r="J695" s="33"/>
      <c r="K695" s="33"/>
      <c r="L695" s="33"/>
      <c r="M695" s="43"/>
      <c r="N695" s="43"/>
      <c r="O695" s="33"/>
      <c r="P695" s="33"/>
      <c r="Q695" s="33"/>
      <c r="R695" s="33"/>
      <c r="S695" s="33"/>
      <c r="T695" s="33"/>
      <c r="U695" s="33"/>
      <c r="V695" s="33"/>
      <c r="W695" s="33"/>
      <c r="X695" s="33"/>
      <c r="Y695" s="33"/>
      <c r="Z695" s="33"/>
      <c r="AA695" s="33"/>
      <c r="AB695" s="33"/>
    </row>
    <row r="696">
      <c r="A696" s="33"/>
      <c r="B696" s="33"/>
      <c r="C696" s="33"/>
      <c r="D696" s="43"/>
      <c r="E696" s="33"/>
      <c r="F696" s="33"/>
      <c r="G696" s="33"/>
      <c r="H696" s="33"/>
      <c r="I696" s="33"/>
      <c r="J696" s="33"/>
      <c r="K696" s="33"/>
      <c r="L696" s="33"/>
      <c r="M696" s="43"/>
      <c r="N696" s="43"/>
      <c r="O696" s="33"/>
      <c r="P696" s="33"/>
      <c r="Q696" s="33"/>
      <c r="R696" s="33"/>
      <c r="S696" s="33"/>
      <c r="T696" s="33"/>
      <c r="U696" s="33"/>
      <c r="V696" s="33"/>
      <c r="W696" s="33"/>
      <c r="X696" s="33"/>
      <c r="Y696" s="33"/>
      <c r="Z696" s="33"/>
      <c r="AA696" s="33"/>
      <c r="AB696" s="33"/>
    </row>
    <row r="697">
      <c r="A697" s="33"/>
      <c r="B697" s="33"/>
      <c r="C697" s="33"/>
      <c r="D697" s="43"/>
      <c r="E697" s="33"/>
      <c r="F697" s="33"/>
      <c r="G697" s="33"/>
      <c r="H697" s="33"/>
      <c r="I697" s="33"/>
      <c r="J697" s="33"/>
      <c r="K697" s="33"/>
      <c r="L697" s="33"/>
      <c r="M697" s="43"/>
      <c r="N697" s="43"/>
      <c r="O697" s="33"/>
      <c r="P697" s="33"/>
      <c r="Q697" s="33"/>
      <c r="R697" s="33"/>
      <c r="S697" s="33"/>
      <c r="T697" s="33"/>
      <c r="U697" s="33"/>
      <c r="V697" s="33"/>
      <c r="W697" s="33"/>
      <c r="X697" s="33"/>
      <c r="Y697" s="33"/>
      <c r="Z697" s="33"/>
      <c r="AA697" s="33"/>
      <c r="AB697" s="33"/>
    </row>
    <row r="698">
      <c r="A698" s="33"/>
      <c r="B698" s="33"/>
      <c r="C698" s="33"/>
      <c r="D698" s="43"/>
      <c r="E698" s="33"/>
      <c r="F698" s="33"/>
      <c r="G698" s="33"/>
      <c r="H698" s="33"/>
      <c r="I698" s="33"/>
      <c r="J698" s="33"/>
      <c r="K698" s="33"/>
      <c r="L698" s="33"/>
      <c r="M698" s="43"/>
      <c r="N698" s="43"/>
      <c r="O698" s="33"/>
      <c r="P698" s="33"/>
      <c r="Q698" s="33"/>
      <c r="R698" s="33"/>
      <c r="S698" s="33"/>
      <c r="T698" s="33"/>
      <c r="U698" s="33"/>
      <c r="V698" s="33"/>
      <c r="W698" s="33"/>
      <c r="X698" s="33"/>
      <c r="Y698" s="33"/>
      <c r="Z698" s="33"/>
      <c r="AA698" s="33"/>
      <c r="AB698" s="33"/>
    </row>
    <row r="699">
      <c r="A699" s="33"/>
      <c r="B699" s="33"/>
      <c r="C699" s="33"/>
      <c r="D699" s="43"/>
      <c r="E699" s="33"/>
      <c r="F699" s="33"/>
      <c r="G699" s="33"/>
      <c r="H699" s="33"/>
      <c r="I699" s="33"/>
      <c r="J699" s="33"/>
      <c r="K699" s="33"/>
      <c r="L699" s="33"/>
      <c r="M699" s="43"/>
      <c r="N699" s="43"/>
      <c r="O699" s="33"/>
      <c r="P699" s="33"/>
      <c r="Q699" s="33"/>
      <c r="R699" s="33"/>
      <c r="S699" s="33"/>
      <c r="T699" s="33"/>
      <c r="U699" s="33"/>
      <c r="V699" s="33"/>
      <c r="W699" s="33"/>
      <c r="X699" s="33"/>
      <c r="Y699" s="33"/>
      <c r="Z699" s="33"/>
      <c r="AA699" s="33"/>
      <c r="AB699" s="33"/>
    </row>
    <row r="700">
      <c r="A700" s="33"/>
      <c r="B700" s="33"/>
      <c r="C700" s="33"/>
      <c r="D700" s="43"/>
      <c r="E700" s="33"/>
      <c r="F700" s="33"/>
      <c r="G700" s="33"/>
      <c r="H700" s="33"/>
      <c r="I700" s="33"/>
      <c r="J700" s="33"/>
      <c r="K700" s="33"/>
      <c r="L700" s="33"/>
      <c r="M700" s="43"/>
      <c r="N700" s="43"/>
      <c r="O700" s="33"/>
      <c r="P700" s="33"/>
      <c r="Q700" s="33"/>
      <c r="R700" s="33"/>
      <c r="S700" s="33"/>
      <c r="T700" s="33"/>
      <c r="U700" s="33"/>
      <c r="V700" s="33"/>
      <c r="W700" s="33"/>
      <c r="X700" s="33"/>
      <c r="Y700" s="33"/>
      <c r="Z700" s="33"/>
      <c r="AA700" s="33"/>
      <c r="AB700" s="33"/>
    </row>
    <row r="701">
      <c r="A701" s="33"/>
      <c r="B701" s="33"/>
      <c r="C701" s="33"/>
      <c r="D701" s="43"/>
      <c r="E701" s="33"/>
      <c r="F701" s="33"/>
      <c r="G701" s="33"/>
      <c r="H701" s="33"/>
      <c r="I701" s="33"/>
      <c r="J701" s="33"/>
      <c r="K701" s="33"/>
      <c r="L701" s="33"/>
      <c r="M701" s="43"/>
      <c r="N701" s="43"/>
      <c r="O701" s="33"/>
      <c r="P701" s="33"/>
      <c r="Q701" s="33"/>
      <c r="R701" s="33"/>
      <c r="S701" s="33"/>
      <c r="T701" s="33"/>
      <c r="U701" s="33"/>
      <c r="V701" s="33"/>
      <c r="W701" s="33"/>
      <c r="X701" s="33"/>
      <c r="Y701" s="33"/>
      <c r="Z701" s="33"/>
      <c r="AA701" s="33"/>
      <c r="AB701" s="33"/>
    </row>
    <row r="702">
      <c r="A702" s="33"/>
      <c r="B702" s="33"/>
      <c r="C702" s="33"/>
      <c r="D702" s="43"/>
      <c r="E702" s="33"/>
      <c r="F702" s="33"/>
      <c r="G702" s="33"/>
      <c r="H702" s="33"/>
      <c r="I702" s="33"/>
      <c r="J702" s="33"/>
      <c r="K702" s="33"/>
      <c r="L702" s="33"/>
      <c r="M702" s="43"/>
      <c r="N702" s="43"/>
      <c r="O702" s="33"/>
      <c r="P702" s="33"/>
      <c r="Q702" s="33"/>
      <c r="R702" s="33"/>
      <c r="S702" s="33"/>
      <c r="T702" s="33"/>
      <c r="U702" s="33"/>
      <c r="V702" s="33"/>
      <c r="W702" s="33"/>
      <c r="X702" s="33"/>
      <c r="Y702" s="33"/>
      <c r="Z702" s="33"/>
      <c r="AA702" s="33"/>
      <c r="AB702" s="33"/>
    </row>
    <row r="703">
      <c r="A703" s="33"/>
      <c r="B703" s="33"/>
      <c r="C703" s="33"/>
      <c r="D703" s="43"/>
      <c r="E703" s="33"/>
      <c r="F703" s="33"/>
      <c r="G703" s="33"/>
      <c r="H703" s="33"/>
      <c r="I703" s="33"/>
      <c r="J703" s="33"/>
      <c r="K703" s="33"/>
      <c r="L703" s="33"/>
      <c r="M703" s="43"/>
      <c r="N703" s="43"/>
      <c r="O703" s="33"/>
      <c r="P703" s="33"/>
      <c r="Q703" s="33"/>
      <c r="R703" s="33"/>
      <c r="S703" s="33"/>
      <c r="T703" s="33"/>
      <c r="U703" s="33"/>
      <c r="V703" s="33"/>
      <c r="W703" s="33"/>
      <c r="X703" s="33"/>
      <c r="Y703" s="33"/>
      <c r="Z703" s="33"/>
      <c r="AA703" s="33"/>
      <c r="AB703" s="33"/>
    </row>
    <row r="704">
      <c r="A704" s="33"/>
      <c r="B704" s="33"/>
      <c r="C704" s="33"/>
      <c r="D704" s="43"/>
      <c r="E704" s="33"/>
      <c r="F704" s="33"/>
      <c r="G704" s="33"/>
      <c r="H704" s="33"/>
      <c r="I704" s="33"/>
      <c r="J704" s="33"/>
      <c r="K704" s="33"/>
      <c r="L704" s="33"/>
      <c r="M704" s="43"/>
      <c r="N704" s="43"/>
      <c r="O704" s="33"/>
      <c r="P704" s="33"/>
      <c r="Q704" s="33"/>
      <c r="R704" s="33"/>
      <c r="S704" s="33"/>
      <c r="T704" s="33"/>
      <c r="U704" s="33"/>
      <c r="V704" s="33"/>
      <c r="W704" s="33"/>
      <c r="X704" s="33"/>
      <c r="Y704" s="33"/>
      <c r="Z704" s="33"/>
      <c r="AA704" s="33"/>
      <c r="AB704" s="33"/>
    </row>
    <row r="705">
      <c r="A705" s="33"/>
      <c r="B705" s="33"/>
      <c r="C705" s="33"/>
      <c r="D705" s="43"/>
      <c r="E705" s="33"/>
      <c r="F705" s="33"/>
      <c r="G705" s="33"/>
      <c r="H705" s="33"/>
      <c r="I705" s="33"/>
      <c r="J705" s="33"/>
      <c r="K705" s="33"/>
      <c r="L705" s="33"/>
      <c r="M705" s="43"/>
      <c r="N705" s="43"/>
      <c r="O705" s="33"/>
      <c r="P705" s="33"/>
      <c r="Q705" s="33"/>
      <c r="R705" s="33"/>
      <c r="S705" s="33"/>
      <c r="T705" s="33"/>
      <c r="U705" s="33"/>
      <c r="V705" s="33"/>
      <c r="W705" s="33"/>
      <c r="X705" s="33"/>
      <c r="Y705" s="33"/>
      <c r="Z705" s="33"/>
      <c r="AA705" s="33"/>
      <c r="AB705" s="33"/>
    </row>
    <row r="706">
      <c r="A706" s="33"/>
      <c r="B706" s="33"/>
      <c r="C706" s="33"/>
      <c r="D706" s="43"/>
      <c r="E706" s="33"/>
      <c r="F706" s="33"/>
      <c r="G706" s="33"/>
      <c r="H706" s="33"/>
      <c r="I706" s="33"/>
      <c r="J706" s="33"/>
      <c r="K706" s="33"/>
      <c r="L706" s="33"/>
      <c r="M706" s="43"/>
      <c r="N706" s="43"/>
      <c r="O706" s="33"/>
      <c r="P706" s="33"/>
      <c r="Q706" s="33"/>
      <c r="R706" s="33"/>
      <c r="S706" s="33"/>
      <c r="T706" s="33"/>
      <c r="U706" s="33"/>
      <c r="V706" s="33"/>
      <c r="W706" s="33"/>
      <c r="X706" s="33"/>
      <c r="Y706" s="33"/>
      <c r="Z706" s="33"/>
      <c r="AA706" s="33"/>
      <c r="AB706" s="33"/>
    </row>
    <row r="707">
      <c r="A707" s="33"/>
      <c r="B707" s="33"/>
      <c r="C707" s="33"/>
      <c r="D707" s="43"/>
      <c r="E707" s="33"/>
      <c r="F707" s="33"/>
      <c r="G707" s="33"/>
      <c r="H707" s="33"/>
      <c r="I707" s="33"/>
      <c r="J707" s="33"/>
      <c r="K707" s="33"/>
      <c r="L707" s="33"/>
      <c r="M707" s="43"/>
      <c r="N707" s="43"/>
      <c r="O707" s="33"/>
      <c r="P707" s="33"/>
      <c r="Q707" s="33"/>
      <c r="R707" s="33"/>
      <c r="S707" s="33"/>
      <c r="T707" s="33"/>
      <c r="U707" s="33"/>
      <c r="V707" s="33"/>
      <c r="W707" s="33"/>
      <c r="X707" s="33"/>
      <c r="Y707" s="33"/>
      <c r="Z707" s="33"/>
      <c r="AA707" s="33"/>
      <c r="AB707" s="33"/>
    </row>
    <row r="708">
      <c r="A708" s="33"/>
      <c r="B708" s="33"/>
      <c r="C708" s="33"/>
      <c r="D708" s="43"/>
      <c r="E708" s="33"/>
      <c r="F708" s="33"/>
      <c r="G708" s="33"/>
      <c r="H708" s="33"/>
      <c r="I708" s="33"/>
      <c r="J708" s="33"/>
      <c r="K708" s="33"/>
      <c r="L708" s="33"/>
      <c r="M708" s="43"/>
      <c r="N708" s="43"/>
      <c r="O708" s="33"/>
      <c r="P708" s="33"/>
      <c r="Q708" s="33"/>
      <c r="R708" s="33"/>
      <c r="S708" s="33"/>
      <c r="T708" s="33"/>
      <c r="U708" s="33"/>
      <c r="V708" s="33"/>
      <c r="W708" s="33"/>
      <c r="X708" s="33"/>
      <c r="Y708" s="33"/>
      <c r="Z708" s="33"/>
      <c r="AA708" s="33"/>
      <c r="AB708" s="33"/>
    </row>
    <row r="709">
      <c r="A709" s="33"/>
      <c r="B709" s="33"/>
      <c r="C709" s="33"/>
      <c r="D709" s="43"/>
      <c r="E709" s="33"/>
      <c r="F709" s="33"/>
      <c r="G709" s="33"/>
      <c r="H709" s="33"/>
      <c r="I709" s="33"/>
      <c r="J709" s="33"/>
      <c r="K709" s="33"/>
      <c r="L709" s="33"/>
      <c r="M709" s="43"/>
      <c r="N709" s="43"/>
      <c r="O709" s="33"/>
      <c r="P709" s="33"/>
      <c r="Q709" s="33"/>
      <c r="R709" s="33"/>
      <c r="S709" s="33"/>
      <c r="T709" s="33"/>
      <c r="U709" s="33"/>
      <c r="V709" s="33"/>
      <c r="W709" s="33"/>
      <c r="X709" s="33"/>
      <c r="Y709" s="33"/>
      <c r="Z709" s="33"/>
      <c r="AA709" s="33"/>
      <c r="AB709" s="33"/>
    </row>
    <row r="710">
      <c r="A710" s="33"/>
      <c r="B710" s="33"/>
      <c r="C710" s="33"/>
      <c r="D710" s="43"/>
      <c r="E710" s="33"/>
      <c r="F710" s="33"/>
      <c r="G710" s="33"/>
      <c r="H710" s="33"/>
      <c r="I710" s="33"/>
      <c r="J710" s="33"/>
      <c r="K710" s="33"/>
      <c r="L710" s="33"/>
      <c r="M710" s="43"/>
      <c r="N710" s="43"/>
      <c r="O710" s="33"/>
      <c r="P710" s="33"/>
      <c r="Q710" s="33"/>
      <c r="R710" s="33"/>
      <c r="S710" s="33"/>
      <c r="T710" s="33"/>
      <c r="U710" s="33"/>
      <c r="V710" s="33"/>
      <c r="W710" s="33"/>
      <c r="X710" s="33"/>
      <c r="Y710" s="33"/>
      <c r="Z710" s="33"/>
      <c r="AA710" s="33"/>
      <c r="AB710" s="33"/>
    </row>
    <row r="711">
      <c r="A711" s="33"/>
      <c r="B711" s="33"/>
      <c r="C711" s="33"/>
      <c r="D711" s="43"/>
      <c r="E711" s="33"/>
      <c r="F711" s="33"/>
      <c r="G711" s="33"/>
      <c r="H711" s="33"/>
      <c r="I711" s="33"/>
      <c r="J711" s="33"/>
      <c r="K711" s="33"/>
      <c r="L711" s="33"/>
      <c r="M711" s="43"/>
      <c r="N711" s="43"/>
      <c r="O711" s="33"/>
      <c r="P711" s="33"/>
      <c r="Q711" s="33"/>
      <c r="R711" s="33"/>
      <c r="S711" s="33"/>
      <c r="T711" s="33"/>
      <c r="U711" s="33"/>
      <c r="V711" s="33"/>
      <c r="W711" s="33"/>
      <c r="X711" s="33"/>
      <c r="Y711" s="33"/>
      <c r="Z711" s="33"/>
      <c r="AA711" s="33"/>
      <c r="AB711" s="33"/>
    </row>
    <row r="712">
      <c r="A712" s="33"/>
      <c r="B712" s="33"/>
      <c r="C712" s="33"/>
      <c r="D712" s="43"/>
      <c r="E712" s="33"/>
      <c r="F712" s="33"/>
      <c r="G712" s="33"/>
      <c r="H712" s="33"/>
      <c r="I712" s="33"/>
      <c r="J712" s="33"/>
      <c r="K712" s="33"/>
      <c r="L712" s="33"/>
      <c r="M712" s="43"/>
      <c r="N712" s="43"/>
      <c r="O712" s="33"/>
      <c r="P712" s="33"/>
      <c r="Q712" s="33"/>
      <c r="R712" s="33"/>
      <c r="S712" s="33"/>
      <c r="T712" s="33"/>
      <c r="U712" s="33"/>
      <c r="V712" s="33"/>
      <c r="W712" s="33"/>
      <c r="X712" s="33"/>
      <c r="Y712" s="33"/>
      <c r="Z712" s="33"/>
      <c r="AA712" s="33"/>
      <c r="AB712" s="33"/>
    </row>
    <row r="713">
      <c r="A713" s="33"/>
      <c r="B713" s="33"/>
      <c r="C713" s="33"/>
      <c r="D713" s="43"/>
      <c r="E713" s="33"/>
      <c r="F713" s="33"/>
      <c r="G713" s="33"/>
      <c r="H713" s="33"/>
      <c r="I713" s="33"/>
      <c r="J713" s="33"/>
      <c r="K713" s="33"/>
      <c r="L713" s="33"/>
      <c r="M713" s="43"/>
      <c r="N713" s="43"/>
      <c r="O713" s="33"/>
      <c r="P713" s="33"/>
      <c r="Q713" s="33"/>
      <c r="R713" s="33"/>
      <c r="S713" s="33"/>
      <c r="T713" s="33"/>
      <c r="U713" s="33"/>
      <c r="V713" s="33"/>
      <c r="W713" s="33"/>
      <c r="X713" s="33"/>
      <c r="Y713" s="33"/>
      <c r="Z713" s="33"/>
      <c r="AA713" s="33"/>
      <c r="AB713" s="33"/>
    </row>
    <row r="714">
      <c r="A714" s="33"/>
      <c r="B714" s="33"/>
      <c r="C714" s="33"/>
      <c r="D714" s="43"/>
      <c r="E714" s="33"/>
      <c r="F714" s="33"/>
      <c r="G714" s="33"/>
      <c r="H714" s="33"/>
      <c r="I714" s="33"/>
      <c r="J714" s="33"/>
      <c r="K714" s="33"/>
      <c r="L714" s="33"/>
      <c r="M714" s="43"/>
      <c r="N714" s="43"/>
      <c r="O714" s="33"/>
      <c r="P714" s="33"/>
      <c r="Q714" s="33"/>
      <c r="R714" s="33"/>
      <c r="S714" s="33"/>
      <c r="T714" s="33"/>
      <c r="U714" s="33"/>
      <c r="V714" s="33"/>
      <c r="W714" s="33"/>
      <c r="X714" s="33"/>
      <c r="Y714" s="33"/>
      <c r="Z714" s="33"/>
      <c r="AA714" s="33"/>
      <c r="AB714" s="33"/>
    </row>
    <row r="715">
      <c r="A715" s="33"/>
      <c r="B715" s="33"/>
      <c r="C715" s="33"/>
      <c r="D715" s="43"/>
      <c r="E715" s="33"/>
      <c r="F715" s="33"/>
      <c r="G715" s="33"/>
      <c r="H715" s="33"/>
      <c r="I715" s="33"/>
      <c r="J715" s="33"/>
      <c r="K715" s="33"/>
      <c r="L715" s="33"/>
      <c r="M715" s="43"/>
      <c r="N715" s="43"/>
      <c r="O715" s="33"/>
      <c r="P715" s="33"/>
      <c r="Q715" s="33"/>
      <c r="R715" s="33"/>
      <c r="S715" s="33"/>
      <c r="T715" s="33"/>
      <c r="U715" s="33"/>
      <c r="V715" s="33"/>
      <c r="W715" s="33"/>
      <c r="X715" s="33"/>
      <c r="Y715" s="33"/>
      <c r="Z715" s="33"/>
      <c r="AA715" s="33"/>
      <c r="AB715" s="33"/>
    </row>
    <row r="716">
      <c r="A716" s="33"/>
      <c r="B716" s="33"/>
      <c r="C716" s="33"/>
      <c r="D716" s="43"/>
      <c r="E716" s="33"/>
      <c r="F716" s="33"/>
      <c r="G716" s="33"/>
      <c r="H716" s="33"/>
      <c r="I716" s="33"/>
      <c r="J716" s="33"/>
      <c r="K716" s="33"/>
      <c r="L716" s="33"/>
      <c r="M716" s="43"/>
      <c r="N716" s="43"/>
      <c r="O716" s="33"/>
      <c r="P716" s="33"/>
      <c r="Q716" s="33"/>
      <c r="R716" s="33"/>
      <c r="S716" s="33"/>
      <c r="T716" s="33"/>
      <c r="U716" s="33"/>
      <c r="V716" s="33"/>
      <c r="W716" s="33"/>
      <c r="X716" s="33"/>
      <c r="Y716" s="33"/>
      <c r="Z716" s="33"/>
      <c r="AA716" s="33"/>
      <c r="AB716" s="33"/>
    </row>
    <row r="717">
      <c r="A717" s="33"/>
      <c r="B717" s="33"/>
      <c r="C717" s="33"/>
      <c r="D717" s="43"/>
      <c r="E717" s="33"/>
      <c r="F717" s="33"/>
      <c r="G717" s="33"/>
      <c r="H717" s="33"/>
      <c r="I717" s="33"/>
      <c r="J717" s="33"/>
      <c r="K717" s="33"/>
      <c r="L717" s="33"/>
      <c r="M717" s="43"/>
      <c r="N717" s="43"/>
      <c r="O717" s="33"/>
      <c r="P717" s="33"/>
      <c r="Q717" s="33"/>
      <c r="R717" s="33"/>
      <c r="S717" s="33"/>
      <c r="T717" s="33"/>
      <c r="U717" s="33"/>
      <c r="V717" s="33"/>
      <c r="W717" s="33"/>
      <c r="X717" s="33"/>
      <c r="Y717" s="33"/>
      <c r="Z717" s="33"/>
      <c r="AA717" s="33"/>
      <c r="AB717" s="33"/>
    </row>
    <row r="718">
      <c r="A718" s="33"/>
      <c r="B718" s="33"/>
      <c r="C718" s="33"/>
      <c r="D718" s="43"/>
      <c r="E718" s="33"/>
      <c r="F718" s="33"/>
      <c r="G718" s="33"/>
      <c r="H718" s="33"/>
      <c r="I718" s="33"/>
      <c r="J718" s="33"/>
      <c r="K718" s="33"/>
      <c r="L718" s="33"/>
      <c r="M718" s="43"/>
      <c r="N718" s="43"/>
      <c r="O718" s="33"/>
      <c r="P718" s="33"/>
      <c r="Q718" s="33"/>
      <c r="R718" s="33"/>
      <c r="S718" s="33"/>
      <c r="T718" s="33"/>
      <c r="U718" s="33"/>
      <c r="V718" s="33"/>
      <c r="W718" s="33"/>
      <c r="X718" s="33"/>
      <c r="Y718" s="33"/>
      <c r="Z718" s="33"/>
      <c r="AA718" s="33"/>
      <c r="AB718" s="33"/>
    </row>
    <row r="719">
      <c r="A719" s="33"/>
      <c r="B719" s="33"/>
      <c r="C719" s="33"/>
      <c r="D719" s="43"/>
      <c r="E719" s="33"/>
      <c r="F719" s="33"/>
      <c r="G719" s="33"/>
      <c r="H719" s="33"/>
      <c r="I719" s="33"/>
      <c r="J719" s="33"/>
      <c r="K719" s="33"/>
      <c r="L719" s="33"/>
      <c r="M719" s="43"/>
      <c r="N719" s="43"/>
      <c r="O719" s="33"/>
      <c r="P719" s="33"/>
      <c r="Q719" s="33"/>
      <c r="R719" s="33"/>
      <c r="S719" s="33"/>
      <c r="T719" s="33"/>
      <c r="U719" s="33"/>
      <c r="V719" s="33"/>
      <c r="W719" s="33"/>
      <c r="X719" s="33"/>
      <c r="Y719" s="33"/>
      <c r="Z719" s="33"/>
      <c r="AA719" s="33"/>
      <c r="AB719" s="33"/>
    </row>
    <row r="720">
      <c r="A720" s="33"/>
      <c r="B720" s="33"/>
      <c r="C720" s="33"/>
      <c r="D720" s="43"/>
      <c r="E720" s="33"/>
      <c r="F720" s="33"/>
      <c r="G720" s="33"/>
      <c r="H720" s="33"/>
      <c r="I720" s="33"/>
      <c r="J720" s="33"/>
      <c r="K720" s="33"/>
      <c r="L720" s="33"/>
      <c r="M720" s="43"/>
      <c r="N720" s="43"/>
      <c r="O720" s="33"/>
      <c r="P720" s="33"/>
      <c r="Q720" s="33"/>
      <c r="R720" s="33"/>
      <c r="S720" s="33"/>
      <c r="T720" s="33"/>
      <c r="U720" s="33"/>
      <c r="V720" s="33"/>
      <c r="W720" s="33"/>
      <c r="X720" s="33"/>
      <c r="Y720" s="33"/>
      <c r="Z720" s="33"/>
      <c r="AA720" s="33"/>
      <c r="AB720" s="33"/>
    </row>
    <row r="721">
      <c r="A721" s="33"/>
      <c r="B721" s="33"/>
      <c r="C721" s="33"/>
      <c r="D721" s="43"/>
      <c r="E721" s="33"/>
      <c r="F721" s="33"/>
      <c r="G721" s="33"/>
      <c r="H721" s="33"/>
      <c r="I721" s="33"/>
      <c r="J721" s="33"/>
      <c r="K721" s="33"/>
      <c r="L721" s="33"/>
      <c r="M721" s="43"/>
      <c r="N721" s="43"/>
      <c r="O721" s="33"/>
      <c r="P721" s="33"/>
      <c r="Q721" s="33"/>
      <c r="R721" s="33"/>
      <c r="S721" s="33"/>
      <c r="T721" s="33"/>
      <c r="U721" s="33"/>
      <c r="V721" s="33"/>
      <c r="W721" s="33"/>
      <c r="X721" s="33"/>
      <c r="Y721" s="33"/>
      <c r="Z721" s="33"/>
      <c r="AA721" s="33"/>
      <c r="AB721" s="33"/>
    </row>
    <row r="722">
      <c r="A722" s="33"/>
      <c r="B722" s="33"/>
      <c r="C722" s="33"/>
      <c r="D722" s="43"/>
      <c r="E722" s="33"/>
      <c r="F722" s="33"/>
      <c r="G722" s="33"/>
      <c r="H722" s="33"/>
      <c r="I722" s="33"/>
      <c r="J722" s="33"/>
      <c r="K722" s="33"/>
      <c r="L722" s="33"/>
      <c r="M722" s="43"/>
      <c r="N722" s="43"/>
      <c r="O722" s="33"/>
      <c r="P722" s="33"/>
      <c r="Q722" s="33"/>
      <c r="R722" s="33"/>
      <c r="S722" s="33"/>
      <c r="T722" s="33"/>
      <c r="U722" s="33"/>
      <c r="V722" s="33"/>
      <c r="W722" s="33"/>
      <c r="X722" s="33"/>
      <c r="Y722" s="33"/>
      <c r="Z722" s="33"/>
      <c r="AA722" s="33"/>
      <c r="AB722" s="33"/>
    </row>
    <row r="723">
      <c r="A723" s="33"/>
      <c r="B723" s="33"/>
      <c r="C723" s="33"/>
      <c r="D723" s="43"/>
      <c r="E723" s="33"/>
      <c r="F723" s="33"/>
      <c r="G723" s="33"/>
      <c r="H723" s="33"/>
      <c r="I723" s="33"/>
      <c r="J723" s="33"/>
      <c r="K723" s="33"/>
      <c r="L723" s="33"/>
      <c r="M723" s="43"/>
      <c r="N723" s="43"/>
      <c r="O723" s="33"/>
      <c r="P723" s="33"/>
      <c r="Q723" s="33"/>
      <c r="R723" s="33"/>
      <c r="S723" s="33"/>
      <c r="T723" s="33"/>
      <c r="U723" s="33"/>
      <c r="V723" s="33"/>
      <c r="W723" s="33"/>
      <c r="X723" s="33"/>
      <c r="Y723" s="33"/>
      <c r="Z723" s="33"/>
      <c r="AA723" s="33"/>
      <c r="AB723" s="33"/>
    </row>
    <row r="724">
      <c r="A724" s="33"/>
      <c r="B724" s="33"/>
      <c r="C724" s="33"/>
      <c r="D724" s="43"/>
      <c r="E724" s="33"/>
      <c r="F724" s="33"/>
      <c r="G724" s="33"/>
      <c r="H724" s="33"/>
      <c r="I724" s="33"/>
      <c r="J724" s="33"/>
      <c r="K724" s="33"/>
      <c r="L724" s="33"/>
      <c r="M724" s="43"/>
      <c r="N724" s="43"/>
      <c r="O724" s="33"/>
      <c r="P724" s="33"/>
      <c r="Q724" s="33"/>
      <c r="R724" s="33"/>
      <c r="S724" s="33"/>
      <c r="T724" s="33"/>
      <c r="U724" s="33"/>
      <c r="V724" s="33"/>
      <c r="W724" s="33"/>
      <c r="X724" s="33"/>
      <c r="Y724" s="33"/>
      <c r="Z724" s="33"/>
      <c r="AA724" s="33"/>
      <c r="AB724" s="33"/>
    </row>
    <row r="725">
      <c r="A725" s="33"/>
      <c r="B725" s="33"/>
      <c r="C725" s="33"/>
      <c r="D725" s="43"/>
      <c r="E725" s="33"/>
      <c r="F725" s="33"/>
      <c r="G725" s="33"/>
      <c r="H725" s="33"/>
      <c r="I725" s="33"/>
      <c r="J725" s="33"/>
      <c r="K725" s="33"/>
      <c r="L725" s="33"/>
      <c r="M725" s="43"/>
      <c r="N725" s="43"/>
      <c r="O725" s="33"/>
      <c r="P725" s="33"/>
      <c r="Q725" s="33"/>
      <c r="R725" s="33"/>
      <c r="S725" s="33"/>
      <c r="T725" s="33"/>
      <c r="U725" s="33"/>
      <c r="V725" s="33"/>
      <c r="W725" s="33"/>
      <c r="X725" s="33"/>
      <c r="Y725" s="33"/>
      <c r="Z725" s="33"/>
      <c r="AA725" s="33"/>
      <c r="AB725" s="33"/>
    </row>
    <row r="726">
      <c r="A726" s="33"/>
      <c r="B726" s="33"/>
      <c r="C726" s="33"/>
      <c r="D726" s="43"/>
      <c r="E726" s="33"/>
      <c r="F726" s="33"/>
      <c r="G726" s="33"/>
      <c r="H726" s="33"/>
      <c r="I726" s="33"/>
      <c r="J726" s="33"/>
      <c r="K726" s="33"/>
      <c r="L726" s="33"/>
      <c r="M726" s="43"/>
      <c r="N726" s="43"/>
      <c r="O726" s="33"/>
      <c r="P726" s="33"/>
      <c r="Q726" s="33"/>
      <c r="R726" s="33"/>
      <c r="S726" s="33"/>
      <c r="T726" s="33"/>
      <c r="U726" s="33"/>
      <c r="V726" s="33"/>
      <c r="W726" s="33"/>
      <c r="X726" s="33"/>
      <c r="Y726" s="33"/>
      <c r="Z726" s="33"/>
      <c r="AA726" s="33"/>
      <c r="AB726" s="33"/>
    </row>
    <row r="727">
      <c r="A727" s="33"/>
      <c r="B727" s="33"/>
      <c r="C727" s="33"/>
      <c r="D727" s="43"/>
      <c r="E727" s="33"/>
      <c r="F727" s="33"/>
      <c r="G727" s="33"/>
      <c r="H727" s="33"/>
      <c r="I727" s="33"/>
      <c r="J727" s="33"/>
      <c r="K727" s="33"/>
      <c r="L727" s="33"/>
      <c r="M727" s="43"/>
      <c r="N727" s="43"/>
      <c r="O727" s="33"/>
      <c r="P727" s="33"/>
      <c r="Q727" s="33"/>
      <c r="R727" s="33"/>
      <c r="S727" s="33"/>
      <c r="T727" s="33"/>
      <c r="U727" s="33"/>
      <c r="V727" s="33"/>
      <c r="W727" s="33"/>
      <c r="X727" s="33"/>
      <c r="Y727" s="33"/>
      <c r="Z727" s="33"/>
      <c r="AA727" s="33"/>
      <c r="AB727" s="33"/>
    </row>
    <row r="728">
      <c r="A728" s="33"/>
      <c r="B728" s="33"/>
      <c r="C728" s="33"/>
      <c r="D728" s="43"/>
      <c r="E728" s="33"/>
      <c r="F728" s="33"/>
      <c r="G728" s="33"/>
      <c r="H728" s="33"/>
      <c r="I728" s="33"/>
      <c r="J728" s="33"/>
      <c r="K728" s="33"/>
      <c r="L728" s="33"/>
      <c r="M728" s="43"/>
      <c r="N728" s="43"/>
      <c r="O728" s="33"/>
      <c r="P728" s="33"/>
      <c r="Q728" s="33"/>
      <c r="R728" s="33"/>
      <c r="S728" s="33"/>
      <c r="T728" s="33"/>
      <c r="U728" s="33"/>
      <c r="V728" s="33"/>
      <c r="W728" s="33"/>
      <c r="X728" s="33"/>
      <c r="Y728" s="33"/>
      <c r="Z728" s="33"/>
      <c r="AA728" s="33"/>
      <c r="AB728" s="33"/>
    </row>
    <row r="729">
      <c r="A729" s="33"/>
      <c r="B729" s="33"/>
      <c r="C729" s="33"/>
      <c r="D729" s="43"/>
      <c r="E729" s="33"/>
      <c r="F729" s="33"/>
      <c r="G729" s="33"/>
      <c r="H729" s="33"/>
      <c r="I729" s="33"/>
      <c r="J729" s="33"/>
      <c r="K729" s="33"/>
      <c r="L729" s="33"/>
      <c r="M729" s="43"/>
      <c r="N729" s="43"/>
      <c r="O729" s="33"/>
      <c r="P729" s="33"/>
      <c r="Q729" s="33"/>
      <c r="R729" s="33"/>
      <c r="S729" s="33"/>
      <c r="T729" s="33"/>
      <c r="U729" s="33"/>
      <c r="V729" s="33"/>
      <c r="W729" s="33"/>
      <c r="X729" s="33"/>
      <c r="Y729" s="33"/>
      <c r="Z729" s="33"/>
      <c r="AA729" s="33"/>
      <c r="AB729" s="33"/>
    </row>
    <row r="730">
      <c r="A730" s="33"/>
      <c r="B730" s="33"/>
      <c r="C730" s="33"/>
      <c r="D730" s="43"/>
      <c r="E730" s="33"/>
      <c r="F730" s="33"/>
      <c r="G730" s="33"/>
      <c r="H730" s="33"/>
      <c r="I730" s="33"/>
      <c r="J730" s="33"/>
      <c r="K730" s="33"/>
      <c r="L730" s="33"/>
      <c r="M730" s="43"/>
      <c r="N730" s="43"/>
      <c r="O730" s="33"/>
      <c r="P730" s="33"/>
      <c r="Q730" s="33"/>
      <c r="R730" s="33"/>
      <c r="S730" s="33"/>
      <c r="T730" s="33"/>
      <c r="U730" s="33"/>
      <c r="V730" s="33"/>
      <c r="W730" s="33"/>
      <c r="X730" s="33"/>
      <c r="Y730" s="33"/>
      <c r="Z730" s="33"/>
      <c r="AA730" s="33"/>
      <c r="AB730" s="33"/>
    </row>
    <row r="731">
      <c r="A731" s="33"/>
      <c r="B731" s="33"/>
      <c r="C731" s="33"/>
      <c r="D731" s="43"/>
      <c r="E731" s="33"/>
      <c r="F731" s="33"/>
      <c r="G731" s="33"/>
      <c r="H731" s="33"/>
      <c r="I731" s="33"/>
      <c r="J731" s="33"/>
      <c r="K731" s="33"/>
      <c r="L731" s="33"/>
      <c r="M731" s="43"/>
      <c r="N731" s="43"/>
      <c r="O731" s="33"/>
      <c r="P731" s="33"/>
      <c r="Q731" s="33"/>
      <c r="R731" s="33"/>
      <c r="S731" s="33"/>
      <c r="T731" s="33"/>
      <c r="U731" s="33"/>
      <c r="V731" s="33"/>
      <c r="W731" s="33"/>
      <c r="X731" s="33"/>
      <c r="Y731" s="33"/>
      <c r="Z731" s="33"/>
      <c r="AA731" s="33"/>
      <c r="AB731" s="33"/>
    </row>
    <row r="732">
      <c r="A732" s="33"/>
      <c r="B732" s="33"/>
      <c r="C732" s="33"/>
      <c r="D732" s="43"/>
      <c r="E732" s="33"/>
      <c r="F732" s="33"/>
      <c r="G732" s="33"/>
      <c r="H732" s="33"/>
      <c r="I732" s="33"/>
      <c r="J732" s="33"/>
      <c r="K732" s="33"/>
      <c r="L732" s="33"/>
      <c r="M732" s="43"/>
      <c r="N732" s="43"/>
      <c r="O732" s="33"/>
      <c r="P732" s="33"/>
      <c r="Q732" s="33"/>
      <c r="R732" s="33"/>
      <c r="S732" s="33"/>
      <c r="T732" s="33"/>
      <c r="U732" s="33"/>
      <c r="V732" s="33"/>
      <c r="W732" s="33"/>
      <c r="X732" s="33"/>
      <c r="Y732" s="33"/>
      <c r="Z732" s="33"/>
      <c r="AA732" s="33"/>
      <c r="AB732" s="33"/>
    </row>
    <row r="733">
      <c r="A733" s="33"/>
      <c r="B733" s="33"/>
      <c r="C733" s="33"/>
      <c r="D733" s="43"/>
      <c r="E733" s="33"/>
      <c r="F733" s="33"/>
      <c r="G733" s="33"/>
      <c r="H733" s="33"/>
      <c r="I733" s="33"/>
      <c r="J733" s="33"/>
      <c r="K733" s="33"/>
      <c r="L733" s="33"/>
      <c r="M733" s="43"/>
      <c r="N733" s="43"/>
      <c r="O733" s="33"/>
      <c r="P733" s="33"/>
      <c r="Q733" s="33"/>
      <c r="R733" s="33"/>
      <c r="S733" s="33"/>
      <c r="T733" s="33"/>
      <c r="U733" s="33"/>
      <c r="V733" s="33"/>
      <c r="W733" s="33"/>
      <c r="X733" s="33"/>
      <c r="Y733" s="33"/>
      <c r="Z733" s="33"/>
      <c r="AA733" s="33"/>
      <c r="AB733" s="33"/>
    </row>
    <row r="734">
      <c r="A734" s="33"/>
      <c r="B734" s="33"/>
      <c r="C734" s="33"/>
      <c r="D734" s="43"/>
      <c r="E734" s="33"/>
      <c r="F734" s="33"/>
      <c r="G734" s="33"/>
      <c r="H734" s="33"/>
      <c r="I734" s="33"/>
      <c r="J734" s="33"/>
      <c r="K734" s="33"/>
      <c r="L734" s="33"/>
      <c r="M734" s="43"/>
      <c r="N734" s="43"/>
      <c r="O734" s="33"/>
      <c r="P734" s="33"/>
      <c r="Q734" s="33"/>
      <c r="R734" s="33"/>
      <c r="S734" s="33"/>
      <c r="T734" s="33"/>
      <c r="U734" s="33"/>
      <c r="V734" s="33"/>
      <c r="W734" s="33"/>
      <c r="X734" s="33"/>
      <c r="Y734" s="33"/>
      <c r="Z734" s="33"/>
      <c r="AA734" s="33"/>
      <c r="AB734" s="33"/>
    </row>
    <row r="735">
      <c r="A735" s="33"/>
      <c r="B735" s="33"/>
      <c r="C735" s="33"/>
      <c r="D735" s="43"/>
      <c r="E735" s="33"/>
      <c r="F735" s="33"/>
      <c r="G735" s="33"/>
      <c r="H735" s="33"/>
      <c r="I735" s="33"/>
      <c r="J735" s="33"/>
      <c r="K735" s="33"/>
      <c r="L735" s="33"/>
      <c r="M735" s="43"/>
      <c r="N735" s="43"/>
      <c r="O735" s="33"/>
      <c r="P735" s="33"/>
      <c r="Q735" s="33"/>
      <c r="R735" s="33"/>
      <c r="S735" s="33"/>
      <c r="T735" s="33"/>
      <c r="U735" s="33"/>
      <c r="V735" s="33"/>
      <c r="W735" s="33"/>
      <c r="X735" s="33"/>
      <c r="Y735" s="33"/>
      <c r="Z735" s="33"/>
      <c r="AA735" s="33"/>
      <c r="AB735" s="33"/>
    </row>
    <row r="736">
      <c r="A736" s="33"/>
      <c r="B736" s="33"/>
      <c r="C736" s="33"/>
      <c r="D736" s="43"/>
      <c r="E736" s="33"/>
      <c r="F736" s="33"/>
      <c r="G736" s="33"/>
      <c r="H736" s="33"/>
      <c r="I736" s="33"/>
      <c r="J736" s="33"/>
      <c r="K736" s="33"/>
      <c r="L736" s="33"/>
      <c r="M736" s="43"/>
      <c r="N736" s="43"/>
      <c r="O736" s="33"/>
      <c r="P736" s="33"/>
      <c r="Q736" s="33"/>
      <c r="R736" s="33"/>
      <c r="S736" s="33"/>
      <c r="T736" s="33"/>
      <c r="U736" s="33"/>
      <c r="V736" s="33"/>
      <c r="W736" s="33"/>
      <c r="X736" s="33"/>
      <c r="Y736" s="33"/>
      <c r="Z736" s="33"/>
      <c r="AA736" s="33"/>
      <c r="AB736" s="33"/>
    </row>
    <row r="737">
      <c r="A737" s="33"/>
      <c r="B737" s="33"/>
      <c r="C737" s="33"/>
      <c r="D737" s="43"/>
      <c r="E737" s="33"/>
      <c r="F737" s="33"/>
      <c r="G737" s="33"/>
      <c r="H737" s="33"/>
      <c r="I737" s="33"/>
      <c r="J737" s="33"/>
      <c r="K737" s="33"/>
      <c r="L737" s="33"/>
      <c r="M737" s="43"/>
      <c r="N737" s="43"/>
      <c r="O737" s="33"/>
      <c r="P737" s="33"/>
      <c r="Q737" s="33"/>
      <c r="R737" s="33"/>
      <c r="S737" s="33"/>
      <c r="T737" s="33"/>
      <c r="U737" s="33"/>
      <c r="V737" s="33"/>
      <c r="W737" s="33"/>
      <c r="X737" s="33"/>
      <c r="Y737" s="33"/>
      <c r="Z737" s="33"/>
      <c r="AA737" s="33"/>
      <c r="AB737" s="33"/>
    </row>
    <row r="738">
      <c r="A738" s="33"/>
      <c r="B738" s="33"/>
      <c r="C738" s="33"/>
      <c r="D738" s="43"/>
      <c r="E738" s="33"/>
      <c r="F738" s="33"/>
      <c r="G738" s="33"/>
      <c r="H738" s="33"/>
      <c r="I738" s="33"/>
      <c r="J738" s="33"/>
      <c r="K738" s="33"/>
      <c r="L738" s="33"/>
      <c r="M738" s="43"/>
      <c r="N738" s="43"/>
      <c r="O738" s="33"/>
      <c r="P738" s="33"/>
      <c r="Q738" s="33"/>
      <c r="R738" s="33"/>
      <c r="S738" s="33"/>
      <c r="T738" s="33"/>
      <c r="U738" s="33"/>
      <c r="V738" s="33"/>
      <c r="W738" s="33"/>
      <c r="X738" s="33"/>
      <c r="Y738" s="33"/>
      <c r="Z738" s="33"/>
      <c r="AA738" s="33"/>
      <c r="AB738" s="33"/>
    </row>
    <row r="739">
      <c r="A739" s="33"/>
      <c r="B739" s="33"/>
      <c r="C739" s="33"/>
      <c r="D739" s="43"/>
      <c r="E739" s="33"/>
      <c r="F739" s="33"/>
      <c r="G739" s="33"/>
      <c r="H739" s="33"/>
      <c r="I739" s="33"/>
      <c r="J739" s="33"/>
      <c r="K739" s="33"/>
      <c r="L739" s="33"/>
      <c r="M739" s="43"/>
      <c r="N739" s="43"/>
      <c r="O739" s="33"/>
      <c r="P739" s="33"/>
      <c r="Q739" s="33"/>
      <c r="R739" s="33"/>
      <c r="S739" s="33"/>
      <c r="T739" s="33"/>
      <c r="U739" s="33"/>
      <c r="V739" s="33"/>
      <c r="W739" s="33"/>
      <c r="X739" s="33"/>
      <c r="Y739" s="33"/>
      <c r="Z739" s="33"/>
      <c r="AA739" s="33"/>
      <c r="AB739" s="33"/>
    </row>
    <row r="740">
      <c r="A740" s="33"/>
      <c r="B740" s="33"/>
      <c r="C740" s="33"/>
      <c r="D740" s="43"/>
      <c r="E740" s="33"/>
      <c r="F740" s="33"/>
      <c r="G740" s="33"/>
      <c r="H740" s="33"/>
      <c r="I740" s="33"/>
      <c r="J740" s="33"/>
      <c r="K740" s="33"/>
      <c r="L740" s="33"/>
      <c r="M740" s="43"/>
      <c r="N740" s="43"/>
      <c r="O740" s="33"/>
      <c r="P740" s="33"/>
      <c r="Q740" s="33"/>
      <c r="R740" s="33"/>
      <c r="S740" s="33"/>
      <c r="T740" s="33"/>
      <c r="U740" s="33"/>
      <c r="V740" s="33"/>
      <c r="W740" s="33"/>
      <c r="X740" s="33"/>
      <c r="Y740" s="33"/>
      <c r="Z740" s="33"/>
      <c r="AA740" s="33"/>
      <c r="AB740" s="33"/>
    </row>
    <row r="741">
      <c r="A741" s="33"/>
      <c r="B741" s="33"/>
      <c r="C741" s="33"/>
      <c r="D741" s="43"/>
      <c r="E741" s="33"/>
      <c r="F741" s="33"/>
      <c r="G741" s="33"/>
      <c r="H741" s="33"/>
      <c r="I741" s="33"/>
      <c r="J741" s="33"/>
      <c r="K741" s="33"/>
      <c r="L741" s="33"/>
      <c r="M741" s="43"/>
      <c r="N741" s="43"/>
      <c r="O741" s="33"/>
      <c r="P741" s="33"/>
      <c r="Q741" s="33"/>
      <c r="R741" s="33"/>
      <c r="S741" s="33"/>
      <c r="T741" s="33"/>
      <c r="U741" s="33"/>
      <c r="V741" s="33"/>
      <c r="W741" s="33"/>
      <c r="X741" s="33"/>
      <c r="Y741" s="33"/>
      <c r="Z741" s="33"/>
      <c r="AA741" s="33"/>
      <c r="AB741" s="33"/>
    </row>
    <row r="742">
      <c r="A742" s="33"/>
      <c r="B742" s="33"/>
      <c r="C742" s="33"/>
      <c r="D742" s="43"/>
      <c r="E742" s="33"/>
      <c r="F742" s="33"/>
      <c r="G742" s="33"/>
      <c r="H742" s="33"/>
      <c r="I742" s="33"/>
      <c r="J742" s="33"/>
      <c r="K742" s="33"/>
      <c r="L742" s="33"/>
      <c r="M742" s="43"/>
      <c r="N742" s="43"/>
      <c r="O742" s="33"/>
      <c r="P742" s="33"/>
      <c r="Q742" s="33"/>
      <c r="R742" s="33"/>
      <c r="S742" s="33"/>
      <c r="T742" s="33"/>
      <c r="U742" s="33"/>
      <c r="V742" s="33"/>
      <c r="W742" s="33"/>
      <c r="X742" s="33"/>
      <c r="Y742" s="33"/>
      <c r="Z742" s="33"/>
      <c r="AA742" s="33"/>
      <c r="AB742" s="33"/>
    </row>
    <row r="743">
      <c r="A743" s="33"/>
      <c r="B743" s="33"/>
      <c r="C743" s="33"/>
      <c r="D743" s="43"/>
      <c r="E743" s="33"/>
      <c r="F743" s="33"/>
      <c r="G743" s="33"/>
      <c r="H743" s="33"/>
      <c r="I743" s="33"/>
      <c r="J743" s="33"/>
      <c r="K743" s="33"/>
      <c r="L743" s="33"/>
      <c r="M743" s="43"/>
      <c r="N743" s="43"/>
      <c r="O743" s="33"/>
      <c r="P743" s="33"/>
      <c r="Q743" s="33"/>
      <c r="R743" s="33"/>
      <c r="S743" s="33"/>
      <c r="T743" s="33"/>
      <c r="U743" s="33"/>
      <c r="V743" s="33"/>
      <c r="W743" s="33"/>
      <c r="X743" s="33"/>
      <c r="Y743" s="33"/>
      <c r="Z743" s="33"/>
      <c r="AA743" s="33"/>
      <c r="AB743" s="33"/>
    </row>
    <row r="744">
      <c r="A744" s="33"/>
      <c r="B744" s="33"/>
      <c r="C744" s="33"/>
      <c r="D744" s="43"/>
      <c r="E744" s="33"/>
      <c r="F744" s="33"/>
      <c r="G744" s="33"/>
      <c r="H744" s="33"/>
      <c r="I744" s="33"/>
      <c r="J744" s="33"/>
      <c r="K744" s="33"/>
      <c r="L744" s="33"/>
      <c r="M744" s="43"/>
      <c r="N744" s="43"/>
      <c r="O744" s="33"/>
      <c r="P744" s="33"/>
      <c r="Q744" s="33"/>
      <c r="R744" s="33"/>
      <c r="S744" s="33"/>
      <c r="T744" s="33"/>
      <c r="U744" s="33"/>
      <c r="V744" s="33"/>
      <c r="W744" s="33"/>
      <c r="X744" s="33"/>
      <c r="Y744" s="33"/>
      <c r="Z744" s="33"/>
      <c r="AA744" s="33"/>
      <c r="AB744" s="33"/>
    </row>
    <row r="745">
      <c r="A745" s="33"/>
      <c r="B745" s="33"/>
      <c r="C745" s="33"/>
      <c r="D745" s="43"/>
      <c r="E745" s="33"/>
      <c r="F745" s="33"/>
      <c r="G745" s="33"/>
      <c r="H745" s="33"/>
      <c r="I745" s="33"/>
      <c r="J745" s="33"/>
      <c r="K745" s="33"/>
      <c r="L745" s="33"/>
      <c r="M745" s="43"/>
      <c r="N745" s="43"/>
      <c r="O745" s="33"/>
      <c r="P745" s="33"/>
      <c r="Q745" s="33"/>
      <c r="R745" s="33"/>
      <c r="S745" s="33"/>
      <c r="T745" s="33"/>
      <c r="U745" s="33"/>
      <c r="V745" s="33"/>
      <c r="W745" s="33"/>
      <c r="X745" s="33"/>
      <c r="Y745" s="33"/>
      <c r="Z745" s="33"/>
      <c r="AA745" s="33"/>
      <c r="AB745" s="33"/>
    </row>
    <row r="746">
      <c r="A746" s="33"/>
      <c r="B746" s="33"/>
      <c r="C746" s="33"/>
      <c r="D746" s="43"/>
      <c r="E746" s="33"/>
      <c r="F746" s="33"/>
      <c r="G746" s="33"/>
      <c r="H746" s="33"/>
      <c r="I746" s="33"/>
      <c r="J746" s="33"/>
      <c r="K746" s="33"/>
      <c r="L746" s="33"/>
      <c r="M746" s="43"/>
      <c r="N746" s="43"/>
      <c r="O746" s="33"/>
      <c r="P746" s="33"/>
      <c r="Q746" s="33"/>
      <c r="R746" s="33"/>
      <c r="S746" s="33"/>
      <c r="T746" s="33"/>
      <c r="U746" s="33"/>
      <c r="V746" s="33"/>
      <c r="W746" s="33"/>
      <c r="X746" s="33"/>
      <c r="Y746" s="33"/>
      <c r="Z746" s="33"/>
      <c r="AA746" s="33"/>
      <c r="AB746" s="33"/>
    </row>
    <row r="747">
      <c r="A747" s="33"/>
      <c r="B747" s="33"/>
      <c r="C747" s="33"/>
      <c r="D747" s="43"/>
      <c r="E747" s="33"/>
      <c r="F747" s="33"/>
      <c r="G747" s="33"/>
      <c r="H747" s="33"/>
      <c r="I747" s="33"/>
      <c r="J747" s="33"/>
      <c r="K747" s="33"/>
      <c r="L747" s="33"/>
      <c r="M747" s="43"/>
      <c r="N747" s="43"/>
      <c r="O747" s="33"/>
      <c r="P747" s="33"/>
      <c r="Q747" s="33"/>
      <c r="R747" s="33"/>
      <c r="S747" s="33"/>
      <c r="T747" s="33"/>
      <c r="U747" s="33"/>
      <c r="V747" s="33"/>
      <c r="W747" s="33"/>
      <c r="X747" s="33"/>
      <c r="Y747" s="33"/>
      <c r="Z747" s="33"/>
      <c r="AA747" s="33"/>
      <c r="AB747" s="33"/>
    </row>
    <row r="748">
      <c r="A748" s="33"/>
      <c r="B748" s="33"/>
      <c r="C748" s="33"/>
      <c r="D748" s="43"/>
      <c r="E748" s="33"/>
      <c r="F748" s="33"/>
      <c r="G748" s="33"/>
      <c r="H748" s="33"/>
      <c r="I748" s="33"/>
      <c r="J748" s="33"/>
      <c r="K748" s="33"/>
      <c r="L748" s="33"/>
      <c r="M748" s="43"/>
      <c r="N748" s="43"/>
      <c r="O748" s="33"/>
      <c r="P748" s="33"/>
      <c r="Q748" s="33"/>
      <c r="R748" s="33"/>
      <c r="S748" s="33"/>
      <c r="T748" s="33"/>
      <c r="U748" s="33"/>
      <c r="V748" s="33"/>
      <c r="W748" s="33"/>
      <c r="X748" s="33"/>
      <c r="Y748" s="33"/>
      <c r="Z748" s="33"/>
      <c r="AA748" s="33"/>
      <c r="AB748" s="33"/>
    </row>
    <row r="749">
      <c r="A749" s="33"/>
      <c r="B749" s="33"/>
      <c r="C749" s="33"/>
      <c r="D749" s="43"/>
      <c r="E749" s="33"/>
      <c r="F749" s="33"/>
      <c r="G749" s="33"/>
      <c r="H749" s="33"/>
      <c r="I749" s="33"/>
      <c r="J749" s="33"/>
      <c r="K749" s="33"/>
      <c r="L749" s="33"/>
      <c r="M749" s="43"/>
      <c r="N749" s="43"/>
      <c r="O749" s="33"/>
      <c r="P749" s="33"/>
      <c r="Q749" s="33"/>
      <c r="R749" s="33"/>
      <c r="S749" s="33"/>
      <c r="T749" s="33"/>
      <c r="U749" s="33"/>
      <c r="V749" s="33"/>
      <c r="W749" s="33"/>
      <c r="X749" s="33"/>
      <c r="Y749" s="33"/>
      <c r="Z749" s="33"/>
      <c r="AA749" s="33"/>
      <c r="AB749" s="33"/>
    </row>
    <row r="750">
      <c r="A750" s="33"/>
      <c r="B750" s="33"/>
      <c r="C750" s="33"/>
      <c r="D750" s="43"/>
      <c r="E750" s="33"/>
      <c r="F750" s="33"/>
      <c r="G750" s="33"/>
      <c r="H750" s="33"/>
      <c r="I750" s="33"/>
      <c r="J750" s="33"/>
      <c r="K750" s="33"/>
      <c r="L750" s="33"/>
      <c r="M750" s="43"/>
      <c r="N750" s="43"/>
      <c r="O750" s="33"/>
      <c r="P750" s="33"/>
      <c r="Q750" s="33"/>
      <c r="R750" s="33"/>
      <c r="S750" s="33"/>
      <c r="T750" s="33"/>
      <c r="U750" s="33"/>
      <c r="V750" s="33"/>
      <c r="W750" s="33"/>
      <c r="X750" s="33"/>
      <c r="Y750" s="33"/>
      <c r="Z750" s="33"/>
      <c r="AA750" s="33"/>
      <c r="AB750" s="33"/>
    </row>
    <row r="751">
      <c r="A751" s="33"/>
      <c r="B751" s="33"/>
      <c r="C751" s="33"/>
      <c r="D751" s="43"/>
      <c r="E751" s="33"/>
      <c r="F751" s="33"/>
      <c r="G751" s="33"/>
      <c r="H751" s="33"/>
      <c r="I751" s="33"/>
      <c r="J751" s="33"/>
      <c r="K751" s="33"/>
      <c r="L751" s="33"/>
      <c r="M751" s="43"/>
      <c r="N751" s="43"/>
      <c r="O751" s="33"/>
      <c r="P751" s="33"/>
      <c r="Q751" s="33"/>
      <c r="R751" s="33"/>
      <c r="S751" s="33"/>
      <c r="T751" s="33"/>
      <c r="U751" s="33"/>
      <c r="V751" s="33"/>
      <c r="W751" s="33"/>
      <c r="X751" s="33"/>
      <c r="Y751" s="33"/>
      <c r="Z751" s="33"/>
      <c r="AA751" s="33"/>
      <c r="AB751" s="33"/>
    </row>
    <row r="752">
      <c r="A752" s="33"/>
      <c r="B752" s="33"/>
      <c r="C752" s="33"/>
      <c r="D752" s="43"/>
      <c r="E752" s="33"/>
      <c r="F752" s="33"/>
      <c r="G752" s="33"/>
      <c r="H752" s="33"/>
      <c r="I752" s="33"/>
      <c r="J752" s="33"/>
      <c r="K752" s="33"/>
      <c r="L752" s="33"/>
      <c r="M752" s="43"/>
      <c r="N752" s="43"/>
      <c r="O752" s="33"/>
      <c r="P752" s="33"/>
      <c r="Q752" s="33"/>
      <c r="R752" s="33"/>
      <c r="S752" s="33"/>
      <c r="T752" s="33"/>
      <c r="U752" s="33"/>
      <c r="V752" s="33"/>
      <c r="W752" s="33"/>
      <c r="X752" s="33"/>
      <c r="Y752" s="33"/>
      <c r="Z752" s="33"/>
      <c r="AA752" s="33"/>
      <c r="AB752" s="33"/>
    </row>
    <row r="753">
      <c r="A753" s="33"/>
      <c r="B753" s="33"/>
      <c r="C753" s="33"/>
      <c r="D753" s="43"/>
      <c r="E753" s="33"/>
      <c r="F753" s="33"/>
      <c r="G753" s="33"/>
      <c r="H753" s="33"/>
      <c r="I753" s="33"/>
      <c r="J753" s="33"/>
      <c r="K753" s="33"/>
      <c r="L753" s="33"/>
      <c r="M753" s="43"/>
      <c r="N753" s="43"/>
      <c r="O753" s="33"/>
      <c r="P753" s="33"/>
      <c r="Q753" s="33"/>
      <c r="R753" s="33"/>
      <c r="S753" s="33"/>
      <c r="T753" s="33"/>
      <c r="U753" s="33"/>
      <c r="V753" s="33"/>
      <c r="W753" s="33"/>
      <c r="X753" s="33"/>
      <c r="Y753" s="33"/>
      <c r="Z753" s="33"/>
      <c r="AA753" s="33"/>
      <c r="AB753" s="33"/>
    </row>
    <row r="754">
      <c r="A754" s="33"/>
      <c r="B754" s="33"/>
      <c r="C754" s="33"/>
      <c r="D754" s="43"/>
      <c r="E754" s="33"/>
      <c r="F754" s="33"/>
      <c r="G754" s="33"/>
      <c r="H754" s="33"/>
      <c r="I754" s="33"/>
      <c r="J754" s="33"/>
      <c r="K754" s="33"/>
      <c r="L754" s="33"/>
      <c r="M754" s="43"/>
      <c r="N754" s="43"/>
      <c r="O754" s="33"/>
      <c r="P754" s="33"/>
      <c r="Q754" s="33"/>
      <c r="R754" s="33"/>
      <c r="S754" s="33"/>
      <c r="T754" s="33"/>
      <c r="U754" s="33"/>
      <c r="V754" s="33"/>
      <c r="W754" s="33"/>
      <c r="X754" s="33"/>
      <c r="Y754" s="33"/>
      <c r="Z754" s="33"/>
      <c r="AA754" s="33"/>
      <c r="AB754" s="33"/>
    </row>
    <row r="755">
      <c r="A755" s="33"/>
      <c r="B755" s="33"/>
      <c r="C755" s="33"/>
      <c r="D755" s="43"/>
      <c r="E755" s="33"/>
      <c r="F755" s="33"/>
      <c r="G755" s="33"/>
      <c r="H755" s="33"/>
      <c r="I755" s="33"/>
      <c r="J755" s="33"/>
      <c r="K755" s="33"/>
      <c r="L755" s="33"/>
      <c r="M755" s="43"/>
      <c r="N755" s="43"/>
      <c r="O755" s="33"/>
      <c r="P755" s="33"/>
      <c r="Q755" s="33"/>
      <c r="R755" s="33"/>
      <c r="S755" s="33"/>
      <c r="T755" s="33"/>
      <c r="U755" s="33"/>
      <c r="V755" s="33"/>
      <c r="W755" s="33"/>
      <c r="X755" s="33"/>
      <c r="Y755" s="33"/>
      <c r="Z755" s="33"/>
      <c r="AA755" s="33"/>
      <c r="AB755" s="33"/>
    </row>
    <row r="756">
      <c r="A756" s="33"/>
      <c r="B756" s="33"/>
      <c r="C756" s="33"/>
      <c r="D756" s="43"/>
      <c r="E756" s="33"/>
      <c r="F756" s="33"/>
      <c r="G756" s="33"/>
      <c r="H756" s="33"/>
      <c r="I756" s="33"/>
      <c r="J756" s="33"/>
      <c r="K756" s="33"/>
      <c r="L756" s="33"/>
      <c r="M756" s="43"/>
      <c r="N756" s="43"/>
      <c r="O756" s="33"/>
      <c r="P756" s="33"/>
      <c r="Q756" s="33"/>
      <c r="R756" s="33"/>
      <c r="S756" s="33"/>
      <c r="T756" s="33"/>
      <c r="U756" s="33"/>
      <c r="V756" s="33"/>
      <c r="W756" s="33"/>
      <c r="X756" s="33"/>
      <c r="Y756" s="33"/>
      <c r="Z756" s="33"/>
      <c r="AA756" s="33"/>
      <c r="AB756" s="33"/>
    </row>
    <row r="757">
      <c r="A757" s="33"/>
      <c r="B757" s="33"/>
      <c r="C757" s="33"/>
      <c r="D757" s="43"/>
      <c r="E757" s="33"/>
      <c r="F757" s="33"/>
      <c r="G757" s="33"/>
      <c r="H757" s="33"/>
      <c r="I757" s="33"/>
      <c r="J757" s="33"/>
      <c r="K757" s="33"/>
      <c r="L757" s="33"/>
      <c r="M757" s="43"/>
      <c r="N757" s="43"/>
      <c r="O757" s="33"/>
      <c r="P757" s="33"/>
      <c r="Q757" s="33"/>
      <c r="R757" s="33"/>
      <c r="S757" s="33"/>
      <c r="T757" s="33"/>
      <c r="U757" s="33"/>
      <c r="V757" s="33"/>
      <c r="W757" s="33"/>
      <c r="X757" s="33"/>
      <c r="Y757" s="33"/>
      <c r="Z757" s="33"/>
      <c r="AA757" s="33"/>
      <c r="AB757" s="33"/>
    </row>
    <row r="758">
      <c r="A758" s="33"/>
      <c r="B758" s="33"/>
      <c r="C758" s="33"/>
      <c r="D758" s="43"/>
      <c r="E758" s="33"/>
      <c r="F758" s="33"/>
      <c r="G758" s="33"/>
      <c r="H758" s="33"/>
      <c r="I758" s="33"/>
      <c r="J758" s="33"/>
      <c r="K758" s="33"/>
      <c r="L758" s="33"/>
      <c r="M758" s="43"/>
      <c r="N758" s="43"/>
      <c r="O758" s="33"/>
      <c r="P758" s="33"/>
      <c r="Q758" s="33"/>
      <c r="R758" s="33"/>
      <c r="S758" s="33"/>
      <c r="T758" s="33"/>
      <c r="U758" s="33"/>
      <c r="V758" s="33"/>
      <c r="W758" s="33"/>
      <c r="X758" s="33"/>
      <c r="Y758" s="33"/>
      <c r="Z758" s="33"/>
      <c r="AA758" s="33"/>
      <c r="AB758" s="33"/>
    </row>
    <row r="759">
      <c r="A759" s="33"/>
      <c r="B759" s="33"/>
      <c r="C759" s="33"/>
      <c r="D759" s="43"/>
      <c r="E759" s="33"/>
      <c r="F759" s="33"/>
      <c r="G759" s="33"/>
      <c r="H759" s="33"/>
      <c r="I759" s="33"/>
      <c r="J759" s="33"/>
      <c r="K759" s="33"/>
      <c r="L759" s="33"/>
      <c r="M759" s="43"/>
      <c r="N759" s="43"/>
      <c r="O759" s="33"/>
      <c r="P759" s="33"/>
      <c r="Q759" s="33"/>
      <c r="R759" s="33"/>
      <c r="S759" s="33"/>
      <c r="T759" s="33"/>
      <c r="U759" s="33"/>
      <c r="V759" s="33"/>
      <c r="W759" s="33"/>
      <c r="X759" s="33"/>
      <c r="Y759" s="33"/>
      <c r="Z759" s="33"/>
      <c r="AA759" s="33"/>
      <c r="AB759" s="33"/>
    </row>
    <row r="760">
      <c r="A760" s="33"/>
      <c r="B760" s="33"/>
      <c r="C760" s="33"/>
      <c r="D760" s="43"/>
      <c r="E760" s="33"/>
      <c r="F760" s="33"/>
      <c r="G760" s="33"/>
      <c r="H760" s="33"/>
      <c r="I760" s="33"/>
      <c r="J760" s="33"/>
      <c r="K760" s="33"/>
      <c r="L760" s="33"/>
      <c r="M760" s="43"/>
      <c r="N760" s="43"/>
      <c r="O760" s="33"/>
      <c r="P760" s="33"/>
      <c r="Q760" s="33"/>
      <c r="R760" s="33"/>
      <c r="S760" s="33"/>
      <c r="T760" s="33"/>
      <c r="U760" s="33"/>
      <c r="V760" s="33"/>
      <c r="W760" s="33"/>
      <c r="X760" s="33"/>
      <c r="Y760" s="33"/>
      <c r="Z760" s="33"/>
      <c r="AA760" s="33"/>
      <c r="AB760" s="33"/>
    </row>
    <row r="761">
      <c r="A761" s="33"/>
      <c r="B761" s="33"/>
      <c r="C761" s="33"/>
      <c r="D761" s="43"/>
      <c r="E761" s="33"/>
      <c r="F761" s="33"/>
      <c r="G761" s="33"/>
      <c r="H761" s="33"/>
      <c r="I761" s="33"/>
      <c r="J761" s="33"/>
      <c r="K761" s="33"/>
      <c r="L761" s="33"/>
      <c r="M761" s="43"/>
      <c r="N761" s="43"/>
      <c r="O761" s="33"/>
      <c r="P761" s="33"/>
      <c r="Q761" s="33"/>
      <c r="R761" s="33"/>
      <c r="S761" s="33"/>
      <c r="T761" s="33"/>
      <c r="U761" s="33"/>
      <c r="V761" s="33"/>
      <c r="W761" s="33"/>
      <c r="X761" s="33"/>
      <c r="Y761" s="33"/>
      <c r="Z761" s="33"/>
      <c r="AA761" s="33"/>
      <c r="AB761" s="33"/>
    </row>
    <row r="762">
      <c r="A762" s="33"/>
      <c r="B762" s="33"/>
      <c r="C762" s="33"/>
      <c r="D762" s="43"/>
      <c r="E762" s="33"/>
      <c r="F762" s="33"/>
      <c r="G762" s="33"/>
      <c r="H762" s="33"/>
      <c r="I762" s="33"/>
      <c r="J762" s="33"/>
      <c r="K762" s="33"/>
      <c r="L762" s="33"/>
      <c r="M762" s="43"/>
      <c r="N762" s="43"/>
      <c r="O762" s="33"/>
      <c r="P762" s="33"/>
      <c r="Q762" s="33"/>
      <c r="R762" s="33"/>
      <c r="S762" s="33"/>
      <c r="T762" s="33"/>
      <c r="U762" s="33"/>
      <c r="V762" s="33"/>
      <c r="W762" s="33"/>
      <c r="X762" s="33"/>
      <c r="Y762" s="33"/>
      <c r="Z762" s="33"/>
      <c r="AA762" s="33"/>
      <c r="AB762" s="33"/>
    </row>
    <row r="763">
      <c r="A763" s="33"/>
      <c r="B763" s="33"/>
      <c r="C763" s="33"/>
      <c r="D763" s="43"/>
      <c r="E763" s="33"/>
      <c r="F763" s="33"/>
      <c r="G763" s="33"/>
      <c r="H763" s="33"/>
      <c r="I763" s="33"/>
      <c r="J763" s="33"/>
      <c r="K763" s="33"/>
      <c r="L763" s="33"/>
      <c r="M763" s="43"/>
      <c r="N763" s="43"/>
      <c r="O763" s="33"/>
      <c r="P763" s="33"/>
      <c r="Q763" s="33"/>
      <c r="R763" s="33"/>
      <c r="S763" s="33"/>
      <c r="T763" s="33"/>
      <c r="U763" s="33"/>
      <c r="V763" s="33"/>
      <c r="W763" s="33"/>
      <c r="X763" s="33"/>
      <c r="Y763" s="33"/>
      <c r="Z763" s="33"/>
      <c r="AA763" s="33"/>
      <c r="AB763" s="33"/>
    </row>
    <row r="764">
      <c r="A764" s="33"/>
      <c r="B764" s="33"/>
      <c r="C764" s="33"/>
      <c r="D764" s="43"/>
      <c r="E764" s="33"/>
      <c r="F764" s="33"/>
      <c r="G764" s="33"/>
      <c r="H764" s="33"/>
      <c r="I764" s="33"/>
      <c r="J764" s="33"/>
      <c r="K764" s="33"/>
      <c r="L764" s="33"/>
      <c r="M764" s="43"/>
      <c r="N764" s="43"/>
      <c r="O764" s="33"/>
      <c r="P764" s="33"/>
      <c r="Q764" s="33"/>
      <c r="R764" s="33"/>
      <c r="S764" s="33"/>
      <c r="T764" s="33"/>
      <c r="U764" s="33"/>
      <c r="V764" s="33"/>
      <c r="W764" s="33"/>
      <c r="X764" s="33"/>
      <c r="Y764" s="33"/>
      <c r="Z764" s="33"/>
      <c r="AA764" s="33"/>
      <c r="AB764" s="33"/>
    </row>
    <row r="765">
      <c r="A765" s="33"/>
      <c r="B765" s="33"/>
      <c r="C765" s="33"/>
      <c r="D765" s="43"/>
      <c r="E765" s="33"/>
      <c r="F765" s="33"/>
      <c r="G765" s="33"/>
      <c r="H765" s="33"/>
      <c r="I765" s="33"/>
      <c r="J765" s="33"/>
      <c r="K765" s="33"/>
      <c r="L765" s="33"/>
      <c r="M765" s="43"/>
      <c r="N765" s="43"/>
      <c r="O765" s="33"/>
      <c r="P765" s="33"/>
      <c r="Q765" s="33"/>
      <c r="R765" s="33"/>
      <c r="S765" s="33"/>
      <c r="T765" s="33"/>
      <c r="U765" s="33"/>
      <c r="V765" s="33"/>
      <c r="W765" s="33"/>
      <c r="X765" s="33"/>
      <c r="Y765" s="33"/>
      <c r="Z765" s="33"/>
      <c r="AA765" s="33"/>
      <c r="AB765" s="33"/>
    </row>
    <row r="766">
      <c r="A766" s="33"/>
      <c r="B766" s="33"/>
      <c r="C766" s="33"/>
      <c r="D766" s="43"/>
      <c r="E766" s="33"/>
      <c r="F766" s="33"/>
      <c r="G766" s="33"/>
      <c r="H766" s="33"/>
      <c r="I766" s="33"/>
      <c r="J766" s="33"/>
      <c r="K766" s="33"/>
      <c r="L766" s="33"/>
      <c r="M766" s="43"/>
      <c r="N766" s="43"/>
      <c r="O766" s="33"/>
      <c r="P766" s="33"/>
      <c r="Q766" s="33"/>
      <c r="R766" s="33"/>
      <c r="S766" s="33"/>
      <c r="T766" s="33"/>
      <c r="U766" s="33"/>
      <c r="V766" s="33"/>
      <c r="W766" s="33"/>
      <c r="X766" s="33"/>
      <c r="Y766" s="33"/>
      <c r="Z766" s="33"/>
      <c r="AA766" s="33"/>
      <c r="AB766" s="33"/>
    </row>
    <row r="767">
      <c r="A767" s="33"/>
      <c r="B767" s="33"/>
      <c r="C767" s="33"/>
      <c r="D767" s="43"/>
      <c r="E767" s="33"/>
      <c r="F767" s="33"/>
      <c r="G767" s="33"/>
      <c r="H767" s="33"/>
      <c r="I767" s="33"/>
      <c r="J767" s="33"/>
      <c r="K767" s="33"/>
      <c r="L767" s="33"/>
      <c r="M767" s="43"/>
      <c r="N767" s="43"/>
      <c r="O767" s="33"/>
      <c r="P767" s="33"/>
      <c r="Q767" s="33"/>
      <c r="R767" s="33"/>
      <c r="S767" s="33"/>
      <c r="T767" s="33"/>
      <c r="U767" s="33"/>
      <c r="V767" s="33"/>
      <c r="W767" s="33"/>
      <c r="X767" s="33"/>
      <c r="Y767" s="33"/>
      <c r="Z767" s="33"/>
      <c r="AA767" s="33"/>
      <c r="AB767" s="33"/>
    </row>
    <row r="768">
      <c r="A768" s="33"/>
      <c r="B768" s="33"/>
      <c r="C768" s="33"/>
      <c r="D768" s="43"/>
      <c r="E768" s="33"/>
      <c r="F768" s="33"/>
      <c r="G768" s="33"/>
      <c r="H768" s="33"/>
      <c r="I768" s="33"/>
      <c r="J768" s="33"/>
      <c r="K768" s="33"/>
      <c r="L768" s="33"/>
      <c r="M768" s="43"/>
      <c r="N768" s="43"/>
      <c r="O768" s="33"/>
      <c r="P768" s="33"/>
      <c r="Q768" s="33"/>
      <c r="R768" s="33"/>
      <c r="S768" s="33"/>
      <c r="T768" s="33"/>
      <c r="U768" s="33"/>
      <c r="V768" s="33"/>
      <c r="W768" s="33"/>
      <c r="X768" s="33"/>
      <c r="Y768" s="33"/>
      <c r="Z768" s="33"/>
      <c r="AA768" s="33"/>
      <c r="AB768" s="33"/>
    </row>
    <row r="769">
      <c r="A769" s="33"/>
      <c r="B769" s="33"/>
      <c r="C769" s="33"/>
      <c r="D769" s="43"/>
      <c r="E769" s="33"/>
      <c r="F769" s="33"/>
      <c r="G769" s="33"/>
      <c r="H769" s="33"/>
      <c r="I769" s="33"/>
      <c r="J769" s="33"/>
      <c r="K769" s="33"/>
      <c r="L769" s="33"/>
      <c r="M769" s="43"/>
      <c r="N769" s="43"/>
      <c r="O769" s="33"/>
      <c r="P769" s="33"/>
      <c r="Q769" s="33"/>
      <c r="R769" s="33"/>
      <c r="S769" s="33"/>
      <c r="T769" s="33"/>
      <c r="U769" s="33"/>
      <c r="V769" s="33"/>
      <c r="W769" s="33"/>
      <c r="X769" s="33"/>
      <c r="Y769" s="33"/>
      <c r="Z769" s="33"/>
      <c r="AA769" s="33"/>
      <c r="AB769" s="33"/>
    </row>
    <row r="770">
      <c r="A770" s="33"/>
      <c r="B770" s="33"/>
      <c r="C770" s="33"/>
      <c r="D770" s="43"/>
      <c r="E770" s="33"/>
      <c r="F770" s="33"/>
      <c r="G770" s="33"/>
      <c r="H770" s="33"/>
      <c r="I770" s="33"/>
      <c r="J770" s="33"/>
      <c r="K770" s="33"/>
      <c r="L770" s="33"/>
      <c r="M770" s="43"/>
      <c r="N770" s="43"/>
      <c r="O770" s="33"/>
      <c r="P770" s="33"/>
      <c r="Q770" s="33"/>
      <c r="R770" s="33"/>
      <c r="S770" s="33"/>
      <c r="T770" s="33"/>
      <c r="U770" s="33"/>
      <c r="V770" s="33"/>
      <c r="W770" s="33"/>
      <c r="X770" s="33"/>
      <c r="Y770" s="33"/>
      <c r="Z770" s="33"/>
      <c r="AA770" s="33"/>
      <c r="AB770" s="33"/>
    </row>
    <row r="771">
      <c r="A771" s="33"/>
      <c r="B771" s="33"/>
      <c r="C771" s="33"/>
      <c r="D771" s="43"/>
      <c r="E771" s="33"/>
      <c r="F771" s="33"/>
      <c r="G771" s="33"/>
      <c r="H771" s="33"/>
      <c r="I771" s="33"/>
      <c r="J771" s="33"/>
      <c r="K771" s="33"/>
      <c r="L771" s="33"/>
      <c r="M771" s="43"/>
      <c r="N771" s="43"/>
      <c r="O771" s="33"/>
      <c r="P771" s="33"/>
      <c r="Q771" s="33"/>
      <c r="R771" s="33"/>
      <c r="S771" s="33"/>
      <c r="T771" s="33"/>
      <c r="U771" s="33"/>
      <c r="V771" s="33"/>
      <c r="W771" s="33"/>
      <c r="X771" s="33"/>
      <c r="Y771" s="33"/>
      <c r="Z771" s="33"/>
      <c r="AA771" s="33"/>
      <c r="AB771" s="33"/>
    </row>
    <row r="772">
      <c r="A772" s="33"/>
      <c r="B772" s="33"/>
      <c r="C772" s="33"/>
      <c r="D772" s="43"/>
      <c r="E772" s="33"/>
      <c r="F772" s="33"/>
      <c r="G772" s="33"/>
      <c r="H772" s="33"/>
      <c r="I772" s="33"/>
      <c r="J772" s="33"/>
      <c r="K772" s="33"/>
      <c r="L772" s="33"/>
      <c r="M772" s="43"/>
      <c r="N772" s="43"/>
      <c r="O772" s="33"/>
      <c r="P772" s="33"/>
      <c r="Q772" s="33"/>
      <c r="R772" s="33"/>
      <c r="S772" s="33"/>
      <c r="T772" s="33"/>
      <c r="U772" s="33"/>
      <c r="V772" s="33"/>
      <c r="W772" s="33"/>
      <c r="X772" s="33"/>
      <c r="Y772" s="33"/>
      <c r="Z772" s="33"/>
      <c r="AA772" s="33"/>
      <c r="AB772" s="33"/>
    </row>
    <row r="773">
      <c r="A773" s="33"/>
      <c r="B773" s="33"/>
      <c r="C773" s="33"/>
      <c r="D773" s="43"/>
      <c r="E773" s="33"/>
      <c r="F773" s="33"/>
      <c r="G773" s="33"/>
      <c r="H773" s="33"/>
      <c r="I773" s="33"/>
      <c r="J773" s="33"/>
      <c r="K773" s="33"/>
      <c r="L773" s="33"/>
      <c r="M773" s="43"/>
      <c r="N773" s="43"/>
      <c r="O773" s="33"/>
      <c r="P773" s="33"/>
      <c r="Q773" s="33"/>
      <c r="R773" s="33"/>
      <c r="S773" s="33"/>
      <c r="T773" s="33"/>
      <c r="U773" s="33"/>
      <c r="V773" s="33"/>
      <c r="W773" s="33"/>
      <c r="X773" s="33"/>
      <c r="Y773" s="33"/>
      <c r="Z773" s="33"/>
      <c r="AA773" s="33"/>
      <c r="AB773" s="33"/>
    </row>
    <row r="774">
      <c r="A774" s="33"/>
      <c r="B774" s="33"/>
      <c r="C774" s="33"/>
      <c r="D774" s="43"/>
      <c r="E774" s="33"/>
      <c r="F774" s="33"/>
      <c r="G774" s="33"/>
      <c r="H774" s="33"/>
      <c r="I774" s="33"/>
      <c r="J774" s="33"/>
      <c r="K774" s="33"/>
      <c r="L774" s="33"/>
      <c r="M774" s="43"/>
      <c r="N774" s="43"/>
      <c r="O774" s="33"/>
      <c r="P774" s="33"/>
      <c r="Q774" s="33"/>
      <c r="R774" s="33"/>
      <c r="S774" s="33"/>
      <c r="T774" s="33"/>
      <c r="U774" s="33"/>
      <c r="V774" s="33"/>
      <c r="W774" s="33"/>
      <c r="X774" s="33"/>
      <c r="Y774" s="33"/>
      <c r="Z774" s="33"/>
      <c r="AA774" s="33"/>
      <c r="AB774" s="33"/>
    </row>
    <row r="775">
      <c r="A775" s="33"/>
      <c r="B775" s="33"/>
      <c r="C775" s="33"/>
      <c r="D775" s="43"/>
      <c r="E775" s="33"/>
      <c r="F775" s="33"/>
      <c r="G775" s="33"/>
      <c r="H775" s="33"/>
      <c r="I775" s="33"/>
      <c r="J775" s="33"/>
      <c r="K775" s="33"/>
      <c r="L775" s="33"/>
      <c r="M775" s="43"/>
      <c r="N775" s="43"/>
      <c r="O775" s="33"/>
      <c r="P775" s="33"/>
      <c r="Q775" s="33"/>
      <c r="R775" s="33"/>
      <c r="S775" s="33"/>
      <c r="T775" s="33"/>
      <c r="U775" s="33"/>
      <c r="V775" s="33"/>
      <c r="W775" s="33"/>
      <c r="X775" s="33"/>
      <c r="Y775" s="33"/>
      <c r="Z775" s="33"/>
      <c r="AA775" s="33"/>
      <c r="AB775" s="33"/>
    </row>
    <row r="776">
      <c r="A776" s="33"/>
      <c r="B776" s="33"/>
      <c r="C776" s="33"/>
      <c r="D776" s="43"/>
      <c r="E776" s="33"/>
      <c r="F776" s="33"/>
      <c r="G776" s="33"/>
      <c r="H776" s="33"/>
      <c r="I776" s="33"/>
      <c r="J776" s="33"/>
      <c r="K776" s="33"/>
      <c r="L776" s="33"/>
      <c r="M776" s="43"/>
      <c r="N776" s="43"/>
      <c r="O776" s="33"/>
      <c r="P776" s="33"/>
      <c r="Q776" s="33"/>
      <c r="R776" s="33"/>
      <c r="S776" s="33"/>
      <c r="T776" s="33"/>
      <c r="U776" s="33"/>
      <c r="V776" s="33"/>
      <c r="W776" s="33"/>
      <c r="X776" s="33"/>
      <c r="Y776" s="33"/>
      <c r="Z776" s="33"/>
      <c r="AA776" s="33"/>
      <c r="AB776" s="33"/>
    </row>
    <row r="777">
      <c r="A777" s="33"/>
      <c r="B777" s="33"/>
      <c r="C777" s="33"/>
      <c r="D777" s="43"/>
      <c r="E777" s="33"/>
      <c r="F777" s="33"/>
      <c r="G777" s="33"/>
      <c r="H777" s="33"/>
      <c r="I777" s="33"/>
      <c r="J777" s="33"/>
      <c r="K777" s="33"/>
      <c r="L777" s="33"/>
      <c r="M777" s="43"/>
      <c r="N777" s="43"/>
      <c r="O777" s="33"/>
      <c r="P777" s="33"/>
      <c r="Q777" s="33"/>
      <c r="R777" s="33"/>
      <c r="S777" s="33"/>
      <c r="T777" s="33"/>
      <c r="U777" s="33"/>
      <c r="V777" s="33"/>
      <c r="W777" s="33"/>
      <c r="X777" s="33"/>
      <c r="Y777" s="33"/>
      <c r="Z777" s="33"/>
      <c r="AA777" s="33"/>
      <c r="AB777" s="33"/>
    </row>
    <row r="778">
      <c r="A778" s="33"/>
      <c r="B778" s="33"/>
      <c r="C778" s="33"/>
      <c r="D778" s="43"/>
      <c r="E778" s="33"/>
      <c r="F778" s="33"/>
      <c r="G778" s="33"/>
      <c r="H778" s="33"/>
      <c r="I778" s="33"/>
      <c r="J778" s="33"/>
      <c r="K778" s="33"/>
      <c r="L778" s="33"/>
      <c r="M778" s="43"/>
      <c r="N778" s="43"/>
      <c r="O778" s="33"/>
      <c r="P778" s="33"/>
      <c r="Q778" s="33"/>
      <c r="R778" s="33"/>
      <c r="S778" s="33"/>
      <c r="T778" s="33"/>
      <c r="U778" s="33"/>
      <c r="V778" s="33"/>
      <c r="W778" s="33"/>
      <c r="X778" s="33"/>
      <c r="Y778" s="33"/>
      <c r="Z778" s="33"/>
      <c r="AA778" s="33"/>
      <c r="AB778" s="33"/>
    </row>
    <row r="779">
      <c r="A779" s="33"/>
      <c r="B779" s="33"/>
      <c r="C779" s="33"/>
      <c r="D779" s="43"/>
      <c r="E779" s="33"/>
      <c r="F779" s="33"/>
      <c r="G779" s="33"/>
      <c r="H779" s="33"/>
      <c r="I779" s="33"/>
      <c r="J779" s="33"/>
      <c r="K779" s="33"/>
      <c r="L779" s="33"/>
      <c r="M779" s="43"/>
      <c r="N779" s="43"/>
      <c r="O779" s="33"/>
      <c r="P779" s="33"/>
      <c r="Q779" s="33"/>
      <c r="R779" s="33"/>
      <c r="S779" s="33"/>
      <c r="T779" s="33"/>
      <c r="U779" s="33"/>
      <c r="V779" s="33"/>
      <c r="W779" s="33"/>
      <c r="X779" s="33"/>
      <c r="Y779" s="33"/>
      <c r="Z779" s="33"/>
      <c r="AA779" s="33"/>
      <c r="AB779" s="33"/>
    </row>
    <row r="780">
      <c r="A780" s="33"/>
      <c r="B780" s="33"/>
      <c r="C780" s="33"/>
      <c r="D780" s="43"/>
      <c r="E780" s="33"/>
      <c r="F780" s="33"/>
      <c r="G780" s="33"/>
      <c r="H780" s="33"/>
      <c r="I780" s="33"/>
      <c r="J780" s="33"/>
      <c r="K780" s="33"/>
      <c r="L780" s="33"/>
      <c r="M780" s="43"/>
      <c r="N780" s="43"/>
      <c r="O780" s="33"/>
      <c r="P780" s="33"/>
      <c r="Q780" s="33"/>
      <c r="R780" s="33"/>
      <c r="S780" s="33"/>
      <c r="T780" s="33"/>
      <c r="U780" s="33"/>
      <c r="V780" s="33"/>
      <c r="W780" s="33"/>
      <c r="X780" s="33"/>
      <c r="Y780" s="33"/>
      <c r="Z780" s="33"/>
      <c r="AA780" s="33"/>
      <c r="AB780" s="33"/>
    </row>
    <row r="781">
      <c r="A781" s="33"/>
      <c r="B781" s="33"/>
      <c r="C781" s="33"/>
      <c r="D781" s="43"/>
      <c r="E781" s="33"/>
      <c r="F781" s="33"/>
      <c r="G781" s="33"/>
      <c r="H781" s="33"/>
      <c r="I781" s="33"/>
      <c r="J781" s="33"/>
      <c r="K781" s="33"/>
      <c r="L781" s="33"/>
      <c r="M781" s="43"/>
      <c r="N781" s="43"/>
      <c r="O781" s="33"/>
      <c r="P781" s="33"/>
      <c r="Q781" s="33"/>
      <c r="R781" s="33"/>
      <c r="S781" s="33"/>
      <c r="T781" s="33"/>
      <c r="U781" s="33"/>
      <c r="V781" s="33"/>
      <c r="W781" s="33"/>
      <c r="X781" s="33"/>
      <c r="Y781" s="33"/>
      <c r="Z781" s="33"/>
      <c r="AA781" s="33"/>
      <c r="AB781" s="33"/>
    </row>
    <row r="782">
      <c r="A782" s="33"/>
      <c r="B782" s="33"/>
      <c r="C782" s="33"/>
      <c r="D782" s="43"/>
      <c r="E782" s="33"/>
      <c r="F782" s="33"/>
      <c r="G782" s="33"/>
      <c r="H782" s="33"/>
      <c r="I782" s="33"/>
      <c r="J782" s="33"/>
      <c r="K782" s="33"/>
      <c r="L782" s="33"/>
      <c r="M782" s="43"/>
      <c r="N782" s="43"/>
      <c r="O782" s="33"/>
      <c r="P782" s="33"/>
      <c r="Q782" s="33"/>
      <c r="R782" s="33"/>
      <c r="S782" s="33"/>
      <c r="T782" s="33"/>
      <c r="U782" s="33"/>
      <c r="V782" s="33"/>
      <c r="W782" s="33"/>
      <c r="X782" s="33"/>
      <c r="Y782" s="33"/>
      <c r="Z782" s="33"/>
      <c r="AA782" s="33"/>
      <c r="AB782" s="33"/>
    </row>
    <row r="783">
      <c r="A783" s="33"/>
      <c r="B783" s="33"/>
      <c r="C783" s="33"/>
      <c r="D783" s="43"/>
      <c r="E783" s="33"/>
      <c r="F783" s="33"/>
      <c r="G783" s="33"/>
      <c r="H783" s="33"/>
      <c r="I783" s="33"/>
      <c r="J783" s="33"/>
      <c r="K783" s="33"/>
      <c r="L783" s="33"/>
      <c r="M783" s="43"/>
      <c r="N783" s="43"/>
      <c r="O783" s="33"/>
      <c r="P783" s="33"/>
      <c r="Q783" s="33"/>
      <c r="R783" s="33"/>
      <c r="S783" s="33"/>
      <c r="T783" s="33"/>
      <c r="U783" s="33"/>
      <c r="V783" s="33"/>
      <c r="W783" s="33"/>
      <c r="X783" s="33"/>
      <c r="Y783" s="33"/>
      <c r="Z783" s="33"/>
      <c r="AA783" s="33"/>
      <c r="AB783" s="33"/>
    </row>
    <row r="784">
      <c r="A784" s="33"/>
      <c r="B784" s="33"/>
      <c r="C784" s="33"/>
      <c r="D784" s="43"/>
      <c r="E784" s="33"/>
      <c r="F784" s="33"/>
      <c r="G784" s="33"/>
      <c r="H784" s="33"/>
      <c r="I784" s="33"/>
      <c r="J784" s="33"/>
      <c r="K784" s="33"/>
      <c r="L784" s="33"/>
      <c r="M784" s="43"/>
      <c r="N784" s="43"/>
      <c r="O784" s="33"/>
      <c r="P784" s="33"/>
      <c r="Q784" s="33"/>
      <c r="R784" s="33"/>
      <c r="S784" s="33"/>
      <c r="T784" s="33"/>
      <c r="U784" s="33"/>
      <c r="V784" s="33"/>
      <c r="W784" s="33"/>
      <c r="X784" s="33"/>
      <c r="Y784" s="33"/>
      <c r="Z784" s="33"/>
      <c r="AA784" s="33"/>
      <c r="AB784" s="33"/>
    </row>
    <row r="785">
      <c r="A785" s="33"/>
      <c r="B785" s="33"/>
      <c r="C785" s="33"/>
      <c r="D785" s="43"/>
      <c r="E785" s="33"/>
      <c r="F785" s="33"/>
      <c r="G785" s="33"/>
      <c r="H785" s="33"/>
      <c r="I785" s="33"/>
      <c r="J785" s="33"/>
      <c r="K785" s="33"/>
      <c r="L785" s="33"/>
      <c r="M785" s="43"/>
      <c r="N785" s="43"/>
      <c r="O785" s="33"/>
      <c r="P785" s="33"/>
      <c r="Q785" s="33"/>
      <c r="R785" s="33"/>
      <c r="S785" s="33"/>
      <c r="T785" s="33"/>
      <c r="U785" s="33"/>
      <c r="V785" s="33"/>
      <c r="W785" s="33"/>
      <c r="X785" s="33"/>
      <c r="Y785" s="33"/>
      <c r="Z785" s="33"/>
      <c r="AA785" s="33"/>
      <c r="AB785" s="33"/>
    </row>
    <row r="786">
      <c r="A786" s="33"/>
      <c r="B786" s="33"/>
      <c r="C786" s="33"/>
      <c r="D786" s="43"/>
      <c r="E786" s="33"/>
      <c r="F786" s="33"/>
      <c r="G786" s="33"/>
      <c r="H786" s="33"/>
      <c r="I786" s="33"/>
      <c r="J786" s="33"/>
      <c r="K786" s="33"/>
      <c r="L786" s="33"/>
      <c r="M786" s="43"/>
      <c r="N786" s="43"/>
      <c r="O786" s="33"/>
      <c r="P786" s="33"/>
      <c r="Q786" s="33"/>
      <c r="R786" s="33"/>
      <c r="S786" s="33"/>
      <c r="T786" s="33"/>
      <c r="U786" s="33"/>
      <c r="V786" s="33"/>
      <c r="W786" s="33"/>
      <c r="X786" s="33"/>
      <c r="Y786" s="33"/>
      <c r="Z786" s="33"/>
      <c r="AA786" s="33"/>
      <c r="AB786" s="33"/>
    </row>
    <row r="787">
      <c r="A787" s="33"/>
      <c r="B787" s="33"/>
      <c r="C787" s="33"/>
      <c r="D787" s="43"/>
      <c r="E787" s="33"/>
      <c r="F787" s="33"/>
      <c r="G787" s="33"/>
      <c r="H787" s="33"/>
      <c r="I787" s="33"/>
      <c r="J787" s="33"/>
      <c r="K787" s="33"/>
      <c r="L787" s="33"/>
      <c r="M787" s="43"/>
      <c r="N787" s="43"/>
      <c r="O787" s="33"/>
      <c r="P787" s="33"/>
      <c r="Q787" s="33"/>
      <c r="R787" s="33"/>
      <c r="S787" s="33"/>
      <c r="T787" s="33"/>
      <c r="U787" s="33"/>
      <c r="V787" s="33"/>
      <c r="W787" s="33"/>
      <c r="X787" s="33"/>
      <c r="Y787" s="33"/>
      <c r="Z787" s="33"/>
      <c r="AA787" s="33"/>
      <c r="AB787" s="33"/>
    </row>
    <row r="788">
      <c r="A788" s="33"/>
      <c r="B788" s="33"/>
      <c r="C788" s="33"/>
      <c r="D788" s="43"/>
      <c r="E788" s="33"/>
      <c r="F788" s="33"/>
      <c r="G788" s="33"/>
      <c r="H788" s="33"/>
      <c r="I788" s="33"/>
      <c r="J788" s="33"/>
      <c r="K788" s="33"/>
      <c r="L788" s="33"/>
      <c r="M788" s="43"/>
      <c r="N788" s="43"/>
      <c r="O788" s="33"/>
      <c r="P788" s="33"/>
      <c r="Q788" s="33"/>
      <c r="R788" s="33"/>
      <c r="S788" s="33"/>
      <c r="T788" s="33"/>
      <c r="U788" s="33"/>
      <c r="V788" s="33"/>
      <c r="W788" s="33"/>
      <c r="X788" s="33"/>
      <c r="Y788" s="33"/>
      <c r="Z788" s="33"/>
      <c r="AA788" s="33"/>
      <c r="AB788" s="33"/>
    </row>
    <row r="789">
      <c r="A789" s="33"/>
      <c r="B789" s="33"/>
      <c r="C789" s="33"/>
      <c r="D789" s="43"/>
      <c r="E789" s="33"/>
      <c r="F789" s="33"/>
      <c r="G789" s="33"/>
      <c r="H789" s="33"/>
      <c r="I789" s="33"/>
      <c r="J789" s="33"/>
      <c r="K789" s="33"/>
      <c r="L789" s="33"/>
      <c r="M789" s="43"/>
      <c r="N789" s="43"/>
      <c r="O789" s="33"/>
      <c r="P789" s="33"/>
      <c r="Q789" s="33"/>
      <c r="R789" s="33"/>
      <c r="S789" s="33"/>
      <c r="T789" s="33"/>
      <c r="U789" s="33"/>
      <c r="V789" s="33"/>
      <c r="W789" s="33"/>
      <c r="X789" s="33"/>
      <c r="Y789" s="33"/>
      <c r="Z789" s="33"/>
      <c r="AA789" s="33"/>
      <c r="AB789" s="33"/>
    </row>
    <row r="790">
      <c r="A790" s="33"/>
      <c r="B790" s="33"/>
      <c r="C790" s="33"/>
      <c r="D790" s="43"/>
      <c r="E790" s="33"/>
      <c r="F790" s="33"/>
      <c r="G790" s="33"/>
      <c r="H790" s="33"/>
      <c r="I790" s="33"/>
      <c r="J790" s="33"/>
      <c r="K790" s="33"/>
      <c r="L790" s="33"/>
      <c r="M790" s="43"/>
      <c r="N790" s="43"/>
      <c r="O790" s="33"/>
      <c r="P790" s="33"/>
      <c r="Q790" s="33"/>
      <c r="R790" s="33"/>
      <c r="S790" s="33"/>
      <c r="T790" s="33"/>
      <c r="U790" s="33"/>
      <c r="V790" s="33"/>
      <c r="W790" s="33"/>
      <c r="X790" s="33"/>
      <c r="Y790" s="33"/>
      <c r="Z790" s="33"/>
      <c r="AA790" s="33"/>
      <c r="AB790" s="33"/>
    </row>
    <row r="791">
      <c r="A791" s="33"/>
      <c r="B791" s="33"/>
      <c r="C791" s="33"/>
      <c r="D791" s="43"/>
      <c r="E791" s="33"/>
      <c r="F791" s="33"/>
      <c r="G791" s="33"/>
      <c r="H791" s="33"/>
      <c r="I791" s="33"/>
      <c r="J791" s="33"/>
      <c r="K791" s="33"/>
      <c r="L791" s="33"/>
      <c r="M791" s="43"/>
      <c r="N791" s="43"/>
      <c r="O791" s="33"/>
      <c r="P791" s="33"/>
      <c r="Q791" s="33"/>
      <c r="R791" s="33"/>
      <c r="S791" s="33"/>
      <c r="T791" s="33"/>
      <c r="U791" s="33"/>
      <c r="V791" s="33"/>
      <c r="W791" s="33"/>
      <c r="X791" s="33"/>
      <c r="Y791" s="33"/>
      <c r="Z791" s="33"/>
      <c r="AA791" s="33"/>
      <c r="AB791" s="33"/>
    </row>
    <row r="792">
      <c r="A792" s="33"/>
      <c r="B792" s="33"/>
      <c r="C792" s="33"/>
      <c r="D792" s="43"/>
      <c r="E792" s="33"/>
      <c r="F792" s="33"/>
      <c r="G792" s="33"/>
      <c r="H792" s="33"/>
      <c r="I792" s="33"/>
      <c r="J792" s="33"/>
      <c r="K792" s="33"/>
      <c r="L792" s="33"/>
      <c r="M792" s="43"/>
      <c r="N792" s="43"/>
      <c r="O792" s="33"/>
      <c r="P792" s="33"/>
      <c r="Q792" s="33"/>
      <c r="R792" s="33"/>
      <c r="S792" s="33"/>
      <c r="T792" s="33"/>
      <c r="U792" s="33"/>
      <c r="V792" s="33"/>
      <c r="W792" s="33"/>
      <c r="X792" s="33"/>
      <c r="Y792" s="33"/>
      <c r="Z792" s="33"/>
      <c r="AA792" s="33"/>
      <c r="AB792" s="33"/>
    </row>
    <row r="793">
      <c r="A793" s="33"/>
      <c r="B793" s="33"/>
      <c r="C793" s="33"/>
      <c r="D793" s="43"/>
      <c r="E793" s="33"/>
      <c r="F793" s="33"/>
      <c r="G793" s="33"/>
      <c r="H793" s="33"/>
      <c r="I793" s="33"/>
      <c r="J793" s="33"/>
      <c r="K793" s="33"/>
      <c r="L793" s="33"/>
      <c r="M793" s="43"/>
      <c r="N793" s="43"/>
      <c r="O793" s="33"/>
      <c r="P793" s="33"/>
      <c r="Q793" s="33"/>
      <c r="R793" s="33"/>
      <c r="S793" s="33"/>
      <c r="T793" s="33"/>
      <c r="U793" s="33"/>
      <c r="V793" s="33"/>
      <c r="W793" s="33"/>
      <c r="X793" s="33"/>
      <c r="Y793" s="33"/>
      <c r="Z793" s="33"/>
      <c r="AA793" s="33"/>
      <c r="AB793" s="33"/>
    </row>
    <row r="794">
      <c r="A794" s="33"/>
      <c r="B794" s="33"/>
      <c r="C794" s="33"/>
      <c r="D794" s="43"/>
      <c r="E794" s="33"/>
      <c r="F794" s="33"/>
      <c r="G794" s="33"/>
      <c r="H794" s="33"/>
      <c r="I794" s="33"/>
      <c r="J794" s="33"/>
      <c r="K794" s="33"/>
      <c r="L794" s="33"/>
      <c r="M794" s="43"/>
      <c r="N794" s="43"/>
      <c r="O794" s="33"/>
      <c r="P794" s="33"/>
      <c r="Q794" s="33"/>
      <c r="R794" s="33"/>
      <c r="S794" s="33"/>
      <c r="T794" s="33"/>
      <c r="U794" s="33"/>
      <c r="V794" s="33"/>
      <c r="W794" s="33"/>
      <c r="X794" s="33"/>
      <c r="Y794" s="33"/>
      <c r="Z794" s="33"/>
      <c r="AA794" s="33"/>
      <c r="AB794" s="33"/>
    </row>
    <row r="795">
      <c r="A795" s="33"/>
      <c r="B795" s="33"/>
      <c r="C795" s="33"/>
      <c r="D795" s="43"/>
      <c r="E795" s="33"/>
      <c r="F795" s="33"/>
      <c r="G795" s="33"/>
      <c r="H795" s="33"/>
      <c r="I795" s="33"/>
      <c r="J795" s="33"/>
      <c r="K795" s="33"/>
      <c r="L795" s="33"/>
      <c r="M795" s="43"/>
      <c r="N795" s="43"/>
      <c r="O795" s="33"/>
      <c r="P795" s="33"/>
      <c r="Q795" s="33"/>
      <c r="R795" s="33"/>
      <c r="S795" s="33"/>
      <c r="T795" s="33"/>
      <c r="U795" s="33"/>
      <c r="V795" s="33"/>
      <c r="W795" s="33"/>
      <c r="X795" s="33"/>
      <c r="Y795" s="33"/>
      <c r="Z795" s="33"/>
      <c r="AA795" s="33"/>
      <c r="AB795" s="33"/>
    </row>
    <row r="796">
      <c r="A796" s="33"/>
      <c r="B796" s="33"/>
      <c r="C796" s="33"/>
      <c r="D796" s="43"/>
      <c r="E796" s="33"/>
      <c r="F796" s="33"/>
      <c r="G796" s="33"/>
      <c r="H796" s="33"/>
      <c r="I796" s="33"/>
      <c r="J796" s="33"/>
      <c r="K796" s="33"/>
      <c r="L796" s="33"/>
      <c r="M796" s="43"/>
      <c r="N796" s="43"/>
      <c r="O796" s="33"/>
      <c r="P796" s="33"/>
      <c r="Q796" s="33"/>
      <c r="R796" s="33"/>
      <c r="S796" s="33"/>
      <c r="T796" s="33"/>
      <c r="U796" s="33"/>
      <c r="V796" s="33"/>
      <c r="W796" s="33"/>
      <c r="X796" s="33"/>
      <c r="Y796" s="33"/>
      <c r="Z796" s="33"/>
      <c r="AA796" s="33"/>
      <c r="AB796" s="33"/>
    </row>
    <row r="797">
      <c r="A797" s="33"/>
      <c r="B797" s="33"/>
      <c r="C797" s="33"/>
      <c r="D797" s="43"/>
      <c r="E797" s="33"/>
      <c r="F797" s="33"/>
      <c r="G797" s="33"/>
      <c r="H797" s="33"/>
      <c r="I797" s="33"/>
      <c r="J797" s="33"/>
      <c r="K797" s="33"/>
      <c r="L797" s="33"/>
      <c r="M797" s="43"/>
      <c r="N797" s="43"/>
      <c r="O797" s="33"/>
      <c r="P797" s="33"/>
      <c r="Q797" s="33"/>
      <c r="R797" s="33"/>
      <c r="S797" s="33"/>
      <c r="T797" s="33"/>
      <c r="U797" s="33"/>
      <c r="V797" s="33"/>
      <c r="W797" s="33"/>
      <c r="X797" s="33"/>
      <c r="Y797" s="33"/>
      <c r="Z797" s="33"/>
      <c r="AA797" s="33"/>
      <c r="AB797" s="33"/>
    </row>
    <row r="798">
      <c r="A798" s="33"/>
      <c r="B798" s="33"/>
      <c r="C798" s="33"/>
      <c r="D798" s="43"/>
      <c r="E798" s="33"/>
      <c r="F798" s="33"/>
      <c r="G798" s="33"/>
      <c r="H798" s="33"/>
      <c r="I798" s="33"/>
      <c r="J798" s="33"/>
      <c r="K798" s="33"/>
      <c r="L798" s="33"/>
      <c r="M798" s="43"/>
      <c r="N798" s="43"/>
      <c r="O798" s="33"/>
      <c r="P798" s="33"/>
      <c r="Q798" s="33"/>
      <c r="R798" s="33"/>
      <c r="S798" s="33"/>
      <c r="T798" s="33"/>
      <c r="U798" s="33"/>
      <c r="V798" s="33"/>
      <c r="W798" s="33"/>
      <c r="X798" s="33"/>
      <c r="Y798" s="33"/>
      <c r="Z798" s="33"/>
      <c r="AA798" s="33"/>
      <c r="AB798" s="33"/>
    </row>
    <row r="799">
      <c r="A799" s="33"/>
      <c r="B799" s="33"/>
      <c r="C799" s="33"/>
      <c r="D799" s="43"/>
      <c r="E799" s="33"/>
      <c r="F799" s="33"/>
      <c r="G799" s="33"/>
      <c r="H799" s="33"/>
      <c r="I799" s="33"/>
      <c r="J799" s="33"/>
      <c r="K799" s="33"/>
      <c r="L799" s="33"/>
      <c r="M799" s="43"/>
      <c r="N799" s="43"/>
      <c r="O799" s="33"/>
      <c r="P799" s="33"/>
      <c r="Q799" s="33"/>
      <c r="R799" s="33"/>
      <c r="S799" s="33"/>
      <c r="T799" s="33"/>
      <c r="U799" s="33"/>
      <c r="V799" s="33"/>
      <c r="W799" s="33"/>
      <c r="X799" s="33"/>
      <c r="Y799" s="33"/>
      <c r="Z799" s="33"/>
      <c r="AA799" s="33"/>
      <c r="AB799" s="33"/>
    </row>
    <row r="800">
      <c r="A800" s="33"/>
      <c r="B800" s="33"/>
      <c r="C800" s="33"/>
      <c r="D800" s="43"/>
      <c r="E800" s="33"/>
      <c r="F800" s="33"/>
      <c r="G800" s="33"/>
      <c r="H800" s="33"/>
      <c r="I800" s="33"/>
      <c r="J800" s="33"/>
      <c r="K800" s="33"/>
      <c r="L800" s="33"/>
      <c r="M800" s="43"/>
      <c r="N800" s="43"/>
      <c r="O800" s="33"/>
      <c r="P800" s="33"/>
      <c r="Q800" s="33"/>
      <c r="R800" s="33"/>
      <c r="S800" s="33"/>
      <c r="T800" s="33"/>
      <c r="U800" s="33"/>
      <c r="V800" s="33"/>
      <c r="W800" s="33"/>
      <c r="X800" s="33"/>
      <c r="Y800" s="33"/>
      <c r="Z800" s="33"/>
      <c r="AA800" s="33"/>
      <c r="AB800" s="33"/>
    </row>
    <row r="801">
      <c r="A801" s="33"/>
      <c r="B801" s="33"/>
      <c r="C801" s="33"/>
      <c r="D801" s="43"/>
      <c r="E801" s="33"/>
      <c r="F801" s="33"/>
      <c r="G801" s="33"/>
      <c r="H801" s="33"/>
      <c r="I801" s="33"/>
      <c r="J801" s="33"/>
      <c r="K801" s="33"/>
      <c r="L801" s="33"/>
      <c r="M801" s="43"/>
      <c r="N801" s="43"/>
      <c r="O801" s="33"/>
      <c r="P801" s="33"/>
      <c r="Q801" s="33"/>
      <c r="R801" s="33"/>
      <c r="S801" s="33"/>
      <c r="T801" s="33"/>
      <c r="U801" s="33"/>
      <c r="V801" s="33"/>
      <c r="W801" s="33"/>
      <c r="X801" s="33"/>
      <c r="Y801" s="33"/>
      <c r="Z801" s="33"/>
      <c r="AA801" s="33"/>
      <c r="AB801" s="33"/>
    </row>
    <row r="802">
      <c r="A802" s="33"/>
      <c r="B802" s="33"/>
      <c r="C802" s="33"/>
      <c r="D802" s="43"/>
      <c r="E802" s="33"/>
      <c r="F802" s="33"/>
      <c r="G802" s="33"/>
      <c r="H802" s="33"/>
      <c r="I802" s="33"/>
      <c r="J802" s="33"/>
      <c r="K802" s="33"/>
      <c r="L802" s="33"/>
      <c r="M802" s="43"/>
      <c r="N802" s="43"/>
      <c r="O802" s="33"/>
      <c r="P802" s="33"/>
      <c r="Q802" s="33"/>
      <c r="R802" s="33"/>
      <c r="S802" s="33"/>
      <c r="T802" s="33"/>
      <c r="U802" s="33"/>
      <c r="V802" s="33"/>
      <c r="W802" s="33"/>
      <c r="X802" s="33"/>
      <c r="Y802" s="33"/>
      <c r="Z802" s="33"/>
      <c r="AA802" s="33"/>
      <c r="AB802" s="33"/>
    </row>
    <row r="803">
      <c r="A803" s="33"/>
      <c r="B803" s="33"/>
      <c r="C803" s="33"/>
      <c r="D803" s="43"/>
      <c r="E803" s="33"/>
      <c r="F803" s="33"/>
      <c r="G803" s="33"/>
      <c r="H803" s="33"/>
      <c r="I803" s="33"/>
      <c r="J803" s="33"/>
      <c r="K803" s="33"/>
      <c r="L803" s="33"/>
      <c r="M803" s="43"/>
      <c r="N803" s="43"/>
      <c r="O803" s="33"/>
      <c r="P803" s="33"/>
      <c r="Q803" s="33"/>
      <c r="R803" s="33"/>
      <c r="S803" s="33"/>
      <c r="T803" s="33"/>
      <c r="U803" s="33"/>
      <c r="V803" s="33"/>
      <c r="W803" s="33"/>
      <c r="X803" s="33"/>
      <c r="Y803" s="33"/>
      <c r="Z803" s="33"/>
      <c r="AA803" s="33"/>
      <c r="AB803" s="33"/>
    </row>
    <row r="804">
      <c r="A804" s="33"/>
      <c r="B804" s="33"/>
      <c r="C804" s="33"/>
      <c r="D804" s="43"/>
      <c r="E804" s="33"/>
      <c r="F804" s="33"/>
      <c r="G804" s="33"/>
      <c r="H804" s="33"/>
      <c r="I804" s="33"/>
      <c r="J804" s="33"/>
      <c r="K804" s="33"/>
      <c r="L804" s="33"/>
      <c r="M804" s="43"/>
      <c r="N804" s="43"/>
      <c r="O804" s="33"/>
      <c r="P804" s="33"/>
      <c r="Q804" s="33"/>
      <c r="R804" s="33"/>
      <c r="S804" s="33"/>
      <c r="T804" s="33"/>
      <c r="U804" s="33"/>
      <c r="V804" s="33"/>
      <c r="W804" s="33"/>
      <c r="X804" s="33"/>
      <c r="Y804" s="33"/>
      <c r="Z804" s="33"/>
      <c r="AA804" s="33"/>
      <c r="AB804" s="33"/>
    </row>
    <row r="805">
      <c r="A805" s="33"/>
      <c r="B805" s="33"/>
      <c r="C805" s="33"/>
      <c r="D805" s="43"/>
      <c r="E805" s="33"/>
      <c r="F805" s="33"/>
      <c r="G805" s="33"/>
      <c r="H805" s="33"/>
      <c r="I805" s="33"/>
      <c r="J805" s="33"/>
      <c r="K805" s="33"/>
      <c r="L805" s="33"/>
      <c r="M805" s="43"/>
      <c r="N805" s="43"/>
      <c r="O805" s="33"/>
      <c r="P805" s="33"/>
      <c r="Q805" s="33"/>
      <c r="R805" s="33"/>
      <c r="S805" s="33"/>
      <c r="T805" s="33"/>
      <c r="U805" s="33"/>
      <c r="V805" s="33"/>
      <c r="W805" s="33"/>
      <c r="X805" s="33"/>
      <c r="Y805" s="33"/>
      <c r="Z805" s="33"/>
      <c r="AA805" s="33"/>
      <c r="AB805" s="33"/>
    </row>
    <row r="806">
      <c r="A806" s="33"/>
      <c r="B806" s="33"/>
      <c r="C806" s="33"/>
      <c r="D806" s="43"/>
      <c r="E806" s="33"/>
      <c r="F806" s="33"/>
      <c r="G806" s="33"/>
      <c r="H806" s="33"/>
      <c r="I806" s="33"/>
      <c r="J806" s="33"/>
      <c r="K806" s="33"/>
      <c r="L806" s="33"/>
      <c r="M806" s="43"/>
      <c r="N806" s="43"/>
      <c r="O806" s="33"/>
      <c r="P806" s="33"/>
      <c r="Q806" s="33"/>
      <c r="R806" s="33"/>
      <c r="S806" s="33"/>
      <c r="T806" s="33"/>
      <c r="U806" s="33"/>
      <c r="V806" s="33"/>
      <c r="W806" s="33"/>
      <c r="X806" s="33"/>
      <c r="Y806" s="33"/>
      <c r="Z806" s="33"/>
      <c r="AA806" s="33"/>
      <c r="AB806" s="33"/>
    </row>
    <row r="807">
      <c r="A807" s="33"/>
      <c r="B807" s="33"/>
      <c r="C807" s="33"/>
      <c r="D807" s="43"/>
      <c r="E807" s="33"/>
      <c r="F807" s="33"/>
      <c r="G807" s="33"/>
      <c r="H807" s="33"/>
      <c r="I807" s="33"/>
      <c r="J807" s="33"/>
      <c r="K807" s="33"/>
      <c r="L807" s="33"/>
      <c r="M807" s="43"/>
      <c r="N807" s="43"/>
      <c r="O807" s="33"/>
      <c r="P807" s="33"/>
      <c r="Q807" s="33"/>
      <c r="R807" s="33"/>
      <c r="S807" s="33"/>
      <c r="T807" s="33"/>
      <c r="U807" s="33"/>
      <c r="V807" s="33"/>
      <c r="W807" s="33"/>
      <c r="X807" s="33"/>
      <c r="Y807" s="33"/>
      <c r="Z807" s="33"/>
      <c r="AA807" s="33"/>
      <c r="AB807" s="33"/>
    </row>
    <row r="808">
      <c r="A808" s="33"/>
      <c r="B808" s="33"/>
      <c r="C808" s="33"/>
      <c r="D808" s="43"/>
      <c r="E808" s="33"/>
      <c r="F808" s="33"/>
      <c r="G808" s="33"/>
      <c r="H808" s="33"/>
      <c r="I808" s="33"/>
      <c r="J808" s="33"/>
      <c r="K808" s="33"/>
      <c r="L808" s="33"/>
      <c r="M808" s="43"/>
      <c r="N808" s="43"/>
      <c r="O808" s="33"/>
      <c r="P808" s="33"/>
      <c r="Q808" s="33"/>
      <c r="R808" s="33"/>
      <c r="S808" s="33"/>
      <c r="T808" s="33"/>
      <c r="U808" s="33"/>
      <c r="V808" s="33"/>
      <c r="W808" s="33"/>
      <c r="X808" s="33"/>
      <c r="Y808" s="33"/>
      <c r="Z808" s="33"/>
      <c r="AA808" s="33"/>
      <c r="AB808" s="33"/>
    </row>
    <row r="809">
      <c r="A809" s="33"/>
      <c r="B809" s="33"/>
      <c r="C809" s="33"/>
      <c r="D809" s="43"/>
      <c r="E809" s="33"/>
      <c r="F809" s="33"/>
      <c r="G809" s="33"/>
      <c r="H809" s="33"/>
      <c r="I809" s="33"/>
      <c r="J809" s="33"/>
      <c r="K809" s="33"/>
      <c r="L809" s="33"/>
      <c r="M809" s="43"/>
      <c r="N809" s="43"/>
      <c r="O809" s="33"/>
      <c r="P809" s="33"/>
      <c r="Q809" s="33"/>
      <c r="R809" s="33"/>
      <c r="S809" s="33"/>
      <c r="T809" s="33"/>
      <c r="U809" s="33"/>
      <c r="V809" s="33"/>
      <c r="W809" s="33"/>
      <c r="X809" s="33"/>
      <c r="Y809" s="33"/>
      <c r="Z809" s="33"/>
      <c r="AA809" s="33"/>
      <c r="AB809" s="33"/>
    </row>
    <row r="810">
      <c r="A810" s="33"/>
      <c r="B810" s="33"/>
      <c r="C810" s="33"/>
      <c r="D810" s="43"/>
      <c r="E810" s="33"/>
      <c r="F810" s="33"/>
      <c r="G810" s="33"/>
      <c r="H810" s="33"/>
      <c r="I810" s="33"/>
      <c r="J810" s="33"/>
      <c r="K810" s="33"/>
      <c r="L810" s="33"/>
      <c r="M810" s="43"/>
      <c r="N810" s="43"/>
      <c r="O810" s="33"/>
      <c r="P810" s="33"/>
      <c r="Q810" s="33"/>
      <c r="R810" s="33"/>
      <c r="S810" s="33"/>
      <c r="T810" s="33"/>
      <c r="U810" s="33"/>
      <c r="V810" s="33"/>
      <c r="W810" s="33"/>
      <c r="X810" s="33"/>
      <c r="Y810" s="33"/>
      <c r="Z810" s="33"/>
      <c r="AA810" s="33"/>
      <c r="AB810" s="33"/>
    </row>
    <row r="811">
      <c r="A811" s="33"/>
      <c r="B811" s="33"/>
      <c r="C811" s="33"/>
      <c r="D811" s="43"/>
      <c r="E811" s="33"/>
      <c r="F811" s="33"/>
      <c r="G811" s="33"/>
      <c r="H811" s="33"/>
      <c r="I811" s="33"/>
      <c r="J811" s="33"/>
      <c r="K811" s="33"/>
      <c r="L811" s="33"/>
      <c r="M811" s="43"/>
      <c r="N811" s="43"/>
      <c r="O811" s="33"/>
      <c r="P811" s="33"/>
      <c r="Q811" s="33"/>
      <c r="R811" s="33"/>
      <c r="S811" s="33"/>
      <c r="T811" s="33"/>
      <c r="U811" s="33"/>
      <c r="V811" s="33"/>
      <c r="W811" s="33"/>
      <c r="X811" s="33"/>
      <c r="Y811" s="33"/>
      <c r="Z811" s="33"/>
      <c r="AA811" s="33"/>
      <c r="AB811" s="33"/>
    </row>
    <row r="812">
      <c r="A812" s="33"/>
      <c r="B812" s="33"/>
      <c r="C812" s="33"/>
      <c r="D812" s="43"/>
      <c r="E812" s="33"/>
      <c r="F812" s="33"/>
      <c r="G812" s="33"/>
      <c r="H812" s="33"/>
      <c r="I812" s="33"/>
      <c r="J812" s="33"/>
      <c r="K812" s="33"/>
      <c r="L812" s="33"/>
      <c r="M812" s="43"/>
      <c r="N812" s="43"/>
      <c r="O812" s="33"/>
      <c r="P812" s="33"/>
      <c r="Q812" s="33"/>
      <c r="R812" s="33"/>
      <c r="S812" s="33"/>
      <c r="T812" s="33"/>
      <c r="U812" s="33"/>
      <c r="V812" s="33"/>
      <c r="W812" s="33"/>
      <c r="X812" s="33"/>
      <c r="Y812" s="33"/>
      <c r="Z812" s="33"/>
      <c r="AA812" s="33"/>
      <c r="AB812" s="33"/>
    </row>
    <row r="813">
      <c r="A813" s="33"/>
      <c r="B813" s="33"/>
      <c r="C813" s="33"/>
      <c r="D813" s="43"/>
      <c r="E813" s="33"/>
      <c r="F813" s="33"/>
      <c r="G813" s="33"/>
      <c r="H813" s="33"/>
      <c r="I813" s="33"/>
      <c r="J813" s="33"/>
      <c r="K813" s="33"/>
      <c r="L813" s="33"/>
      <c r="M813" s="43"/>
      <c r="N813" s="43"/>
      <c r="O813" s="33"/>
      <c r="P813" s="33"/>
      <c r="Q813" s="33"/>
      <c r="R813" s="33"/>
      <c r="S813" s="33"/>
      <c r="T813" s="33"/>
      <c r="U813" s="33"/>
      <c r="V813" s="33"/>
      <c r="W813" s="33"/>
      <c r="X813" s="33"/>
      <c r="Y813" s="33"/>
      <c r="Z813" s="33"/>
      <c r="AA813" s="33"/>
      <c r="AB813" s="33"/>
    </row>
    <row r="814">
      <c r="A814" s="33"/>
      <c r="B814" s="33"/>
      <c r="C814" s="33"/>
      <c r="D814" s="43"/>
      <c r="E814" s="33"/>
      <c r="F814" s="33"/>
      <c r="G814" s="33"/>
      <c r="H814" s="33"/>
      <c r="I814" s="33"/>
      <c r="J814" s="33"/>
      <c r="K814" s="33"/>
      <c r="L814" s="33"/>
      <c r="M814" s="43"/>
      <c r="N814" s="43"/>
      <c r="O814" s="33"/>
      <c r="P814" s="33"/>
      <c r="Q814" s="33"/>
      <c r="R814" s="33"/>
      <c r="S814" s="33"/>
      <c r="T814" s="33"/>
      <c r="U814" s="33"/>
      <c r="V814" s="33"/>
      <c r="W814" s="33"/>
      <c r="X814" s="33"/>
      <c r="Y814" s="33"/>
      <c r="Z814" s="33"/>
      <c r="AA814" s="33"/>
      <c r="AB814" s="33"/>
    </row>
    <row r="815">
      <c r="A815" s="33"/>
      <c r="B815" s="33"/>
      <c r="C815" s="33"/>
      <c r="D815" s="43"/>
      <c r="E815" s="33"/>
      <c r="F815" s="33"/>
      <c r="G815" s="33"/>
      <c r="H815" s="33"/>
      <c r="I815" s="33"/>
      <c r="J815" s="33"/>
      <c r="K815" s="33"/>
      <c r="L815" s="33"/>
      <c r="M815" s="43"/>
      <c r="N815" s="43"/>
      <c r="O815" s="33"/>
      <c r="P815" s="33"/>
      <c r="Q815" s="33"/>
      <c r="R815" s="33"/>
      <c r="S815" s="33"/>
      <c r="T815" s="33"/>
      <c r="U815" s="33"/>
      <c r="V815" s="33"/>
      <c r="W815" s="33"/>
      <c r="X815" s="33"/>
      <c r="Y815" s="33"/>
      <c r="Z815" s="33"/>
      <c r="AA815" s="33"/>
      <c r="AB815" s="33"/>
    </row>
    <row r="816">
      <c r="A816" s="33"/>
      <c r="B816" s="33"/>
      <c r="C816" s="33"/>
      <c r="D816" s="43"/>
      <c r="E816" s="33"/>
      <c r="F816" s="33"/>
      <c r="G816" s="33"/>
      <c r="H816" s="33"/>
      <c r="I816" s="33"/>
      <c r="J816" s="33"/>
      <c r="K816" s="33"/>
      <c r="L816" s="33"/>
      <c r="M816" s="43"/>
      <c r="N816" s="43"/>
      <c r="O816" s="33"/>
      <c r="P816" s="33"/>
      <c r="Q816" s="33"/>
      <c r="R816" s="33"/>
      <c r="S816" s="33"/>
      <c r="T816" s="33"/>
      <c r="U816" s="33"/>
      <c r="V816" s="33"/>
      <c r="W816" s="33"/>
      <c r="X816" s="33"/>
      <c r="Y816" s="33"/>
      <c r="Z816" s="33"/>
      <c r="AA816" s="33"/>
      <c r="AB816" s="33"/>
    </row>
    <row r="817">
      <c r="A817" s="33"/>
      <c r="B817" s="33"/>
      <c r="C817" s="33"/>
      <c r="D817" s="43"/>
      <c r="E817" s="33"/>
      <c r="F817" s="33"/>
      <c r="G817" s="33"/>
      <c r="H817" s="33"/>
      <c r="I817" s="33"/>
      <c r="J817" s="33"/>
      <c r="K817" s="33"/>
      <c r="L817" s="33"/>
      <c r="M817" s="43"/>
      <c r="N817" s="43"/>
      <c r="O817" s="33"/>
      <c r="P817" s="33"/>
      <c r="Q817" s="33"/>
      <c r="R817" s="33"/>
      <c r="S817" s="33"/>
      <c r="T817" s="33"/>
      <c r="U817" s="33"/>
      <c r="V817" s="33"/>
      <c r="W817" s="33"/>
      <c r="X817" s="33"/>
      <c r="Y817" s="33"/>
      <c r="Z817" s="33"/>
      <c r="AA817" s="33"/>
      <c r="AB817" s="33"/>
    </row>
    <row r="818">
      <c r="A818" s="33"/>
      <c r="B818" s="33"/>
      <c r="C818" s="33"/>
      <c r="D818" s="43"/>
      <c r="E818" s="33"/>
      <c r="F818" s="33"/>
      <c r="G818" s="33"/>
      <c r="H818" s="33"/>
      <c r="I818" s="33"/>
      <c r="J818" s="33"/>
      <c r="K818" s="33"/>
      <c r="L818" s="33"/>
      <c r="M818" s="43"/>
      <c r="N818" s="43"/>
      <c r="O818" s="33"/>
      <c r="P818" s="33"/>
      <c r="Q818" s="33"/>
      <c r="R818" s="33"/>
      <c r="S818" s="33"/>
      <c r="T818" s="33"/>
      <c r="U818" s="33"/>
      <c r="V818" s="33"/>
      <c r="W818" s="33"/>
      <c r="X818" s="33"/>
      <c r="Y818" s="33"/>
      <c r="Z818" s="33"/>
      <c r="AA818" s="33"/>
      <c r="AB818" s="33"/>
    </row>
    <row r="819">
      <c r="A819" s="33"/>
      <c r="B819" s="33"/>
      <c r="C819" s="33"/>
      <c r="D819" s="43"/>
      <c r="E819" s="33"/>
      <c r="F819" s="33"/>
      <c r="G819" s="33"/>
      <c r="H819" s="33"/>
      <c r="I819" s="33"/>
      <c r="J819" s="33"/>
      <c r="K819" s="33"/>
      <c r="L819" s="33"/>
      <c r="M819" s="43"/>
      <c r="N819" s="43"/>
      <c r="O819" s="33"/>
      <c r="P819" s="33"/>
      <c r="Q819" s="33"/>
      <c r="R819" s="33"/>
      <c r="S819" s="33"/>
      <c r="T819" s="33"/>
      <c r="U819" s="33"/>
      <c r="V819" s="33"/>
      <c r="W819" s="33"/>
      <c r="X819" s="33"/>
      <c r="Y819" s="33"/>
      <c r="Z819" s="33"/>
      <c r="AA819" s="33"/>
      <c r="AB819" s="33"/>
    </row>
    <row r="820">
      <c r="A820" s="33"/>
      <c r="B820" s="33"/>
      <c r="C820" s="33"/>
      <c r="D820" s="43"/>
      <c r="E820" s="33"/>
      <c r="F820" s="33"/>
      <c r="G820" s="33"/>
      <c r="H820" s="33"/>
      <c r="I820" s="33"/>
      <c r="J820" s="33"/>
      <c r="K820" s="33"/>
      <c r="L820" s="33"/>
      <c r="M820" s="43"/>
      <c r="N820" s="43"/>
      <c r="O820" s="33"/>
      <c r="P820" s="33"/>
      <c r="Q820" s="33"/>
      <c r="R820" s="33"/>
      <c r="S820" s="33"/>
      <c r="T820" s="33"/>
      <c r="U820" s="33"/>
      <c r="V820" s="33"/>
      <c r="W820" s="33"/>
      <c r="X820" s="33"/>
      <c r="Y820" s="33"/>
      <c r="Z820" s="33"/>
      <c r="AA820" s="33"/>
      <c r="AB820" s="33"/>
    </row>
    <row r="821">
      <c r="A821" s="33"/>
      <c r="B821" s="33"/>
      <c r="C821" s="33"/>
      <c r="D821" s="43"/>
      <c r="E821" s="33"/>
      <c r="F821" s="33"/>
      <c r="G821" s="33"/>
      <c r="H821" s="33"/>
      <c r="I821" s="33"/>
      <c r="J821" s="33"/>
      <c r="K821" s="33"/>
      <c r="L821" s="33"/>
      <c r="M821" s="43"/>
      <c r="N821" s="43"/>
      <c r="O821" s="33"/>
      <c r="P821" s="33"/>
      <c r="Q821" s="33"/>
      <c r="R821" s="33"/>
      <c r="S821" s="33"/>
      <c r="T821" s="33"/>
      <c r="U821" s="33"/>
      <c r="V821" s="33"/>
      <c r="W821" s="33"/>
      <c r="X821" s="33"/>
      <c r="Y821" s="33"/>
      <c r="Z821" s="33"/>
      <c r="AA821" s="33"/>
      <c r="AB821" s="33"/>
    </row>
    <row r="822">
      <c r="A822" s="33"/>
      <c r="B822" s="33"/>
      <c r="C822" s="33"/>
      <c r="D822" s="43"/>
      <c r="E822" s="33"/>
      <c r="F822" s="33"/>
      <c r="G822" s="33"/>
      <c r="H822" s="33"/>
      <c r="I822" s="33"/>
      <c r="J822" s="33"/>
      <c r="K822" s="33"/>
      <c r="L822" s="33"/>
      <c r="M822" s="43"/>
      <c r="N822" s="43"/>
      <c r="O822" s="33"/>
      <c r="P822" s="33"/>
      <c r="Q822" s="33"/>
      <c r="R822" s="33"/>
      <c r="S822" s="33"/>
      <c r="T822" s="33"/>
      <c r="U822" s="33"/>
      <c r="V822" s="33"/>
      <c r="W822" s="33"/>
      <c r="X822" s="33"/>
      <c r="Y822" s="33"/>
      <c r="Z822" s="33"/>
      <c r="AA822" s="33"/>
      <c r="AB822" s="33"/>
    </row>
    <row r="823">
      <c r="A823" s="33"/>
      <c r="B823" s="33"/>
      <c r="C823" s="33"/>
      <c r="D823" s="43"/>
      <c r="E823" s="33"/>
      <c r="F823" s="33"/>
      <c r="G823" s="33"/>
      <c r="H823" s="33"/>
      <c r="I823" s="33"/>
      <c r="J823" s="33"/>
      <c r="K823" s="33"/>
      <c r="L823" s="33"/>
      <c r="M823" s="43"/>
      <c r="N823" s="43"/>
      <c r="O823" s="33"/>
      <c r="P823" s="33"/>
      <c r="Q823" s="33"/>
      <c r="R823" s="33"/>
      <c r="S823" s="33"/>
      <c r="T823" s="33"/>
      <c r="U823" s="33"/>
      <c r="V823" s="33"/>
      <c r="W823" s="33"/>
      <c r="X823" s="33"/>
      <c r="Y823" s="33"/>
      <c r="Z823" s="33"/>
      <c r="AA823" s="33"/>
      <c r="AB823" s="33"/>
    </row>
    <row r="824">
      <c r="A824" s="33"/>
      <c r="B824" s="33"/>
      <c r="C824" s="33"/>
      <c r="D824" s="43"/>
      <c r="E824" s="33"/>
      <c r="F824" s="33"/>
      <c r="G824" s="33"/>
      <c r="H824" s="33"/>
      <c r="I824" s="33"/>
      <c r="J824" s="33"/>
      <c r="K824" s="33"/>
      <c r="L824" s="33"/>
      <c r="M824" s="43"/>
      <c r="N824" s="43"/>
      <c r="O824" s="33"/>
      <c r="P824" s="33"/>
      <c r="Q824" s="33"/>
      <c r="R824" s="33"/>
      <c r="S824" s="33"/>
      <c r="T824" s="33"/>
      <c r="U824" s="33"/>
      <c r="V824" s="33"/>
      <c r="W824" s="33"/>
      <c r="X824" s="33"/>
      <c r="Y824" s="33"/>
      <c r="Z824" s="33"/>
      <c r="AA824" s="33"/>
      <c r="AB824" s="33"/>
    </row>
    <row r="825">
      <c r="A825" s="33"/>
      <c r="B825" s="33"/>
      <c r="C825" s="33"/>
      <c r="D825" s="43"/>
      <c r="E825" s="33"/>
      <c r="F825" s="33"/>
      <c r="G825" s="33"/>
      <c r="H825" s="33"/>
      <c r="I825" s="33"/>
      <c r="J825" s="33"/>
      <c r="K825" s="33"/>
      <c r="L825" s="33"/>
      <c r="M825" s="43"/>
      <c r="N825" s="43"/>
      <c r="O825" s="33"/>
      <c r="P825" s="33"/>
      <c r="Q825" s="33"/>
      <c r="R825" s="33"/>
      <c r="S825" s="33"/>
      <c r="T825" s="33"/>
      <c r="U825" s="33"/>
      <c r="V825" s="33"/>
      <c r="W825" s="33"/>
      <c r="X825" s="33"/>
      <c r="Y825" s="33"/>
      <c r="Z825" s="33"/>
      <c r="AA825" s="33"/>
      <c r="AB825" s="33"/>
    </row>
    <row r="826">
      <c r="A826" s="33"/>
      <c r="B826" s="33"/>
      <c r="C826" s="33"/>
      <c r="D826" s="43"/>
      <c r="E826" s="33"/>
      <c r="F826" s="33"/>
      <c r="G826" s="33"/>
      <c r="H826" s="33"/>
      <c r="I826" s="33"/>
      <c r="J826" s="33"/>
      <c r="K826" s="33"/>
      <c r="L826" s="33"/>
      <c r="M826" s="43"/>
      <c r="N826" s="43"/>
      <c r="O826" s="33"/>
      <c r="P826" s="33"/>
      <c r="Q826" s="33"/>
      <c r="R826" s="33"/>
      <c r="S826" s="33"/>
      <c r="T826" s="33"/>
      <c r="U826" s="33"/>
      <c r="V826" s="33"/>
      <c r="W826" s="33"/>
      <c r="X826" s="33"/>
      <c r="Y826" s="33"/>
      <c r="Z826" s="33"/>
      <c r="AA826" s="33"/>
      <c r="AB826" s="33"/>
    </row>
    <row r="827">
      <c r="A827" s="33"/>
      <c r="B827" s="33"/>
      <c r="C827" s="33"/>
      <c r="D827" s="43"/>
      <c r="E827" s="33"/>
      <c r="F827" s="33"/>
      <c r="G827" s="33"/>
      <c r="H827" s="33"/>
      <c r="I827" s="33"/>
      <c r="J827" s="33"/>
      <c r="K827" s="33"/>
      <c r="L827" s="33"/>
      <c r="M827" s="43"/>
      <c r="N827" s="43"/>
      <c r="O827" s="33"/>
      <c r="P827" s="33"/>
      <c r="Q827" s="33"/>
      <c r="R827" s="33"/>
      <c r="S827" s="33"/>
      <c r="T827" s="33"/>
      <c r="U827" s="33"/>
      <c r="V827" s="33"/>
      <c r="W827" s="33"/>
      <c r="X827" s="33"/>
      <c r="Y827" s="33"/>
      <c r="Z827" s="33"/>
      <c r="AA827" s="33"/>
      <c r="AB827" s="33"/>
    </row>
    <row r="828">
      <c r="A828" s="33"/>
      <c r="B828" s="33"/>
      <c r="C828" s="33"/>
      <c r="D828" s="43"/>
      <c r="E828" s="33"/>
      <c r="F828" s="33"/>
      <c r="G828" s="33"/>
      <c r="H828" s="33"/>
      <c r="I828" s="33"/>
      <c r="J828" s="33"/>
      <c r="K828" s="33"/>
      <c r="L828" s="33"/>
      <c r="M828" s="43"/>
      <c r="N828" s="43"/>
      <c r="O828" s="33"/>
      <c r="P828" s="33"/>
      <c r="Q828" s="33"/>
      <c r="R828" s="33"/>
      <c r="S828" s="33"/>
      <c r="T828" s="33"/>
      <c r="U828" s="33"/>
      <c r="V828" s="33"/>
      <c r="W828" s="33"/>
      <c r="X828" s="33"/>
      <c r="Y828" s="33"/>
      <c r="Z828" s="33"/>
      <c r="AA828" s="33"/>
      <c r="AB828" s="33"/>
    </row>
    <row r="829">
      <c r="A829" s="33"/>
      <c r="B829" s="33"/>
      <c r="C829" s="33"/>
      <c r="D829" s="43"/>
      <c r="E829" s="33"/>
      <c r="F829" s="33"/>
      <c r="G829" s="33"/>
      <c r="H829" s="33"/>
      <c r="I829" s="33"/>
      <c r="J829" s="33"/>
      <c r="K829" s="33"/>
      <c r="L829" s="33"/>
      <c r="M829" s="43"/>
      <c r="N829" s="43"/>
      <c r="O829" s="33"/>
      <c r="P829" s="33"/>
      <c r="Q829" s="33"/>
      <c r="R829" s="33"/>
      <c r="S829" s="33"/>
      <c r="T829" s="33"/>
      <c r="U829" s="33"/>
      <c r="V829" s="33"/>
      <c r="W829" s="33"/>
      <c r="X829" s="33"/>
      <c r="Y829" s="33"/>
      <c r="Z829" s="33"/>
      <c r="AA829" s="33"/>
      <c r="AB829" s="33"/>
    </row>
    <row r="830">
      <c r="A830" s="33"/>
      <c r="B830" s="33"/>
      <c r="C830" s="33"/>
      <c r="D830" s="43"/>
      <c r="E830" s="33"/>
      <c r="F830" s="33"/>
      <c r="G830" s="33"/>
      <c r="H830" s="33"/>
      <c r="I830" s="33"/>
      <c r="J830" s="33"/>
      <c r="K830" s="33"/>
      <c r="L830" s="33"/>
      <c r="M830" s="43"/>
      <c r="N830" s="43"/>
      <c r="O830" s="33"/>
      <c r="P830" s="33"/>
      <c r="Q830" s="33"/>
      <c r="R830" s="33"/>
      <c r="S830" s="33"/>
      <c r="T830" s="33"/>
      <c r="U830" s="33"/>
      <c r="V830" s="33"/>
      <c r="W830" s="33"/>
      <c r="X830" s="33"/>
      <c r="Y830" s="33"/>
      <c r="Z830" s="33"/>
      <c r="AA830" s="33"/>
      <c r="AB830" s="33"/>
    </row>
    <row r="831">
      <c r="A831" s="33"/>
      <c r="B831" s="33"/>
      <c r="C831" s="33"/>
      <c r="D831" s="43"/>
      <c r="E831" s="33"/>
      <c r="F831" s="33"/>
      <c r="G831" s="33"/>
      <c r="H831" s="33"/>
      <c r="I831" s="33"/>
      <c r="J831" s="33"/>
      <c r="K831" s="33"/>
      <c r="L831" s="33"/>
      <c r="M831" s="43"/>
      <c r="N831" s="43"/>
      <c r="O831" s="33"/>
      <c r="P831" s="33"/>
      <c r="Q831" s="33"/>
      <c r="R831" s="33"/>
      <c r="S831" s="33"/>
      <c r="T831" s="33"/>
      <c r="U831" s="33"/>
      <c r="V831" s="33"/>
      <c r="W831" s="33"/>
      <c r="X831" s="33"/>
      <c r="Y831" s="33"/>
      <c r="Z831" s="33"/>
      <c r="AA831" s="33"/>
      <c r="AB831" s="33"/>
    </row>
    <row r="832">
      <c r="A832" s="33"/>
      <c r="B832" s="33"/>
      <c r="C832" s="33"/>
      <c r="D832" s="43"/>
      <c r="E832" s="33"/>
      <c r="F832" s="33"/>
      <c r="G832" s="33"/>
      <c r="H832" s="33"/>
      <c r="I832" s="33"/>
      <c r="J832" s="33"/>
      <c r="K832" s="33"/>
      <c r="L832" s="33"/>
      <c r="M832" s="43"/>
      <c r="N832" s="43"/>
      <c r="O832" s="33"/>
      <c r="P832" s="33"/>
      <c r="Q832" s="33"/>
      <c r="R832" s="33"/>
      <c r="S832" s="33"/>
      <c r="T832" s="33"/>
      <c r="U832" s="33"/>
      <c r="V832" s="33"/>
      <c r="W832" s="33"/>
      <c r="X832" s="33"/>
      <c r="Y832" s="33"/>
      <c r="Z832" s="33"/>
      <c r="AA832" s="33"/>
      <c r="AB832" s="33"/>
    </row>
    <row r="833">
      <c r="A833" s="33"/>
      <c r="B833" s="33"/>
      <c r="C833" s="33"/>
      <c r="D833" s="43"/>
      <c r="E833" s="33"/>
      <c r="F833" s="33"/>
      <c r="G833" s="33"/>
      <c r="H833" s="33"/>
      <c r="I833" s="33"/>
      <c r="J833" s="33"/>
      <c r="K833" s="33"/>
      <c r="L833" s="33"/>
      <c r="M833" s="43"/>
      <c r="N833" s="43"/>
      <c r="O833" s="33"/>
      <c r="P833" s="33"/>
      <c r="Q833" s="33"/>
      <c r="R833" s="33"/>
      <c r="S833" s="33"/>
      <c r="T833" s="33"/>
      <c r="U833" s="33"/>
      <c r="V833" s="33"/>
      <c r="W833" s="33"/>
      <c r="X833" s="33"/>
      <c r="Y833" s="33"/>
      <c r="Z833" s="33"/>
      <c r="AA833" s="33"/>
      <c r="AB833" s="33"/>
    </row>
    <row r="834">
      <c r="A834" s="33"/>
      <c r="B834" s="33"/>
      <c r="C834" s="33"/>
      <c r="D834" s="43"/>
      <c r="E834" s="33"/>
      <c r="F834" s="33"/>
      <c r="G834" s="33"/>
      <c r="H834" s="33"/>
      <c r="I834" s="33"/>
      <c r="J834" s="33"/>
      <c r="K834" s="33"/>
      <c r="L834" s="33"/>
      <c r="M834" s="43"/>
      <c r="N834" s="43"/>
      <c r="O834" s="33"/>
      <c r="P834" s="33"/>
      <c r="Q834" s="33"/>
      <c r="R834" s="33"/>
      <c r="S834" s="33"/>
      <c r="T834" s="33"/>
      <c r="U834" s="33"/>
      <c r="V834" s="33"/>
      <c r="W834" s="33"/>
      <c r="X834" s="33"/>
      <c r="Y834" s="33"/>
      <c r="Z834" s="33"/>
      <c r="AA834" s="33"/>
      <c r="AB834" s="33"/>
    </row>
    <row r="835">
      <c r="A835" s="33"/>
      <c r="B835" s="33"/>
      <c r="C835" s="33"/>
      <c r="D835" s="43"/>
      <c r="E835" s="33"/>
      <c r="F835" s="33"/>
      <c r="G835" s="33"/>
      <c r="H835" s="33"/>
      <c r="I835" s="33"/>
      <c r="J835" s="33"/>
      <c r="K835" s="33"/>
      <c r="L835" s="33"/>
      <c r="M835" s="43"/>
      <c r="N835" s="43"/>
      <c r="O835" s="33"/>
      <c r="P835" s="33"/>
      <c r="Q835" s="33"/>
      <c r="R835" s="33"/>
      <c r="S835" s="33"/>
      <c r="T835" s="33"/>
      <c r="U835" s="33"/>
      <c r="V835" s="33"/>
      <c r="W835" s="33"/>
      <c r="X835" s="33"/>
      <c r="Y835" s="33"/>
      <c r="Z835" s="33"/>
      <c r="AA835" s="33"/>
      <c r="AB835" s="33"/>
    </row>
    <row r="836">
      <c r="A836" s="33"/>
      <c r="B836" s="33"/>
      <c r="C836" s="33"/>
      <c r="D836" s="43"/>
      <c r="E836" s="33"/>
      <c r="F836" s="33"/>
      <c r="G836" s="33"/>
      <c r="H836" s="33"/>
      <c r="I836" s="33"/>
      <c r="J836" s="33"/>
      <c r="K836" s="33"/>
      <c r="L836" s="33"/>
      <c r="M836" s="43"/>
      <c r="N836" s="43"/>
      <c r="O836" s="33"/>
      <c r="P836" s="33"/>
      <c r="Q836" s="33"/>
      <c r="R836" s="33"/>
      <c r="S836" s="33"/>
      <c r="T836" s="33"/>
      <c r="U836" s="33"/>
      <c r="V836" s="33"/>
      <c r="W836" s="33"/>
      <c r="X836" s="33"/>
      <c r="Y836" s="33"/>
      <c r="Z836" s="33"/>
      <c r="AA836" s="33"/>
      <c r="AB836" s="33"/>
    </row>
    <row r="837">
      <c r="A837" s="33"/>
      <c r="B837" s="33"/>
      <c r="C837" s="33"/>
      <c r="D837" s="43"/>
      <c r="E837" s="33"/>
      <c r="F837" s="33"/>
      <c r="G837" s="33"/>
      <c r="H837" s="33"/>
      <c r="I837" s="33"/>
      <c r="J837" s="33"/>
      <c r="K837" s="33"/>
      <c r="L837" s="33"/>
      <c r="M837" s="43"/>
      <c r="N837" s="43"/>
      <c r="O837" s="33"/>
      <c r="P837" s="33"/>
      <c r="Q837" s="33"/>
      <c r="R837" s="33"/>
      <c r="S837" s="33"/>
      <c r="T837" s="33"/>
      <c r="U837" s="33"/>
      <c r="V837" s="33"/>
      <c r="W837" s="33"/>
      <c r="X837" s="33"/>
      <c r="Y837" s="33"/>
      <c r="Z837" s="33"/>
      <c r="AA837" s="33"/>
      <c r="AB837" s="33"/>
    </row>
    <row r="838">
      <c r="A838" s="33"/>
      <c r="B838" s="33"/>
      <c r="C838" s="33"/>
      <c r="D838" s="43"/>
      <c r="E838" s="33"/>
      <c r="F838" s="33"/>
      <c r="G838" s="33"/>
      <c r="H838" s="33"/>
      <c r="I838" s="33"/>
      <c r="J838" s="33"/>
      <c r="K838" s="33"/>
      <c r="L838" s="33"/>
      <c r="M838" s="43"/>
      <c r="N838" s="43"/>
      <c r="O838" s="33"/>
      <c r="P838" s="33"/>
      <c r="Q838" s="33"/>
      <c r="R838" s="33"/>
      <c r="S838" s="33"/>
      <c r="T838" s="33"/>
      <c r="U838" s="33"/>
      <c r="V838" s="33"/>
      <c r="W838" s="33"/>
      <c r="X838" s="33"/>
      <c r="Y838" s="33"/>
      <c r="Z838" s="33"/>
      <c r="AA838" s="33"/>
      <c r="AB838" s="33"/>
    </row>
    <row r="839">
      <c r="A839" s="33"/>
      <c r="B839" s="33"/>
      <c r="C839" s="33"/>
      <c r="D839" s="43"/>
      <c r="E839" s="33"/>
      <c r="F839" s="33"/>
      <c r="G839" s="33"/>
      <c r="H839" s="33"/>
      <c r="I839" s="33"/>
      <c r="J839" s="33"/>
      <c r="K839" s="33"/>
      <c r="L839" s="33"/>
      <c r="M839" s="43"/>
      <c r="N839" s="43"/>
      <c r="O839" s="33"/>
      <c r="P839" s="33"/>
      <c r="Q839" s="33"/>
      <c r="R839" s="33"/>
      <c r="S839" s="33"/>
      <c r="T839" s="33"/>
      <c r="U839" s="33"/>
      <c r="V839" s="33"/>
      <c r="W839" s="33"/>
      <c r="X839" s="33"/>
      <c r="Y839" s="33"/>
      <c r="Z839" s="33"/>
      <c r="AA839" s="33"/>
      <c r="AB839" s="33"/>
    </row>
    <row r="840">
      <c r="A840" s="33"/>
      <c r="B840" s="33"/>
      <c r="C840" s="33"/>
      <c r="D840" s="43"/>
      <c r="E840" s="33"/>
      <c r="F840" s="33"/>
      <c r="G840" s="33"/>
      <c r="H840" s="33"/>
      <c r="I840" s="33"/>
      <c r="J840" s="33"/>
      <c r="K840" s="33"/>
      <c r="L840" s="33"/>
      <c r="M840" s="43"/>
      <c r="N840" s="43"/>
      <c r="O840" s="33"/>
      <c r="P840" s="33"/>
      <c r="Q840" s="33"/>
      <c r="R840" s="33"/>
      <c r="S840" s="33"/>
      <c r="T840" s="33"/>
      <c r="U840" s="33"/>
      <c r="V840" s="33"/>
      <c r="W840" s="33"/>
      <c r="X840" s="33"/>
      <c r="Y840" s="33"/>
      <c r="Z840" s="33"/>
      <c r="AA840" s="33"/>
      <c r="AB840" s="33"/>
    </row>
    <row r="841">
      <c r="A841" s="33"/>
      <c r="B841" s="33"/>
      <c r="C841" s="33"/>
      <c r="D841" s="43"/>
      <c r="E841" s="33"/>
      <c r="F841" s="33"/>
      <c r="G841" s="33"/>
      <c r="H841" s="33"/>
      <c r="I841" s="33"/>
      <c r="J841" s="33"/>
      <c r="K841" s="33"/>
      <c r="L841" s="33"/>
      <c r="M841" s="43"/>
      <c r="N841" s="43"/>
      <c r="O841" s="33"/>
      <c r="P841" s="33"/>
      <c r="Q841" s="33"/>
      <c r="R841" s="33"/>
      <c r="S841" s="33"/>
      <c r="T841" s="33"/>
      <c r="U841" s="33"/>
      <c r="V841" s="33"/>
      <c r="W841" s="33"/>
      <c r="X841" s="33"/>
      <c r="Y841" s="33"/>
      <c r="Z841" s="33"/>
      <c r="AA841" s="33"/>
      <c r="AB841" s="33"/>
    </row>
    <row r="842">
      <c r="A842" s="33"/>
      <c r="B842" s="33"/>
      <c r="C842" s="33"/>
      <c r="D842" s="43"/>
      <c r="E842" s="33"/>
      <c r="F842" s="33"/>
      <c r="G842" s="33"/>
      <c r="H842" s="33"/>
      <c r="I842" s="33"/>
      <c r="J842" s="33"/>
      <c r="K842" s="33"/>
      <c r="L842" s="33"/>
      <c r="M842" s="43"/>
      <c r="N842" s="43"/>
      <c r="O842" s="33"/>
      <c r="P842" s="33"/>
      <c r="Q842" s="33"/>
      <c r="R842" s="33"/>
      <c r="S842" s="33"/>
      <c r="T842" s="33"/>
      <c r="U842" s="33"/>
      <c r="V842" s="33"/>
      <c r="W842" s="33"/>
      <c r="X842" s="33"/>
      <c r="Y842" s="33"/>
      <c r="Z842" s="33"/>
      <c r="AA842" s="33"/>
      <c r="AB842" s="33"/>
    </row>
    <row r="843">
      <c r="A843" s="33"/>
      <c r="B843" s="33"/>
      <c r="C843" s="33"/>
      <c r="D843" s="43"/>
      <c r="E843" s="33"/>
      <c r="F843" s="33"/>
      <c r="G843" s="33"/>
      <c r="H843" s="33"/>
      <c r="I843" s="33"/>
      <c r="J843" s="33"/>
      <c r="K843" s="33"/>
      <c r="L843" s="33"/>
      <c r="M843" s="43"/>
      <c r="N843" s="43"/>
      <c r="O843" s="33"/>
      <c r="P843" s="33"/>
      <c r="Q843" s="33"/>
      <c r="R843" s="33"/>
      <c r="S843" s="33"/>
      <c r="T843" s="33"/>
      <c r="U843" s="33"/>
      <c r="V843" s="33"/>
      <c r="W843" s="33"/>
      <c r="X843" s="33"/>
      <c r="Y843" s="33"/>
      <c r="Z843" s="33"/>
      <c r="AA843" s="33"/>
      <c r="AB843" s="33"/>
    </row>
    <row r="844">
      <c r="A844" s="33"/>
      <c r="B844" s="33"/>
      <c r="C844" s="33"/>
      <c r="D844" s="43"/>
      <c r="E844" s="33"/>
      <c r="F844" s="33"/>
      <c r="G844" s="33"/>
      <c r="H844" s="33"/>
      <c r="I844" s="33"/>
      <c r="J844" s="33"/>
      <c r="K844" s="33"/>
      <c r="L844" s="33"/>
      <c r="M844" s="43"/>
      <c r="N844" s="43"/>
      <c r="O844" s="33"/>
      <c r="P844" s="33"/>
      <c r="Q844" s="33"/>
      <c r="R844" s="33"/>
      <c r="S844" s="33"/>
      <c r="T844" s="33"/>
      <c r="U844" s="33"/>
      <c r="V844" s="33"/>
      <c r="W844" s="33"/>
      <c r="X844" s="33"/>
      <c r="Y844" s="33"/>
      <c r="Z844" s="33"/>
      <c r="AA844" s="33"/>
      <c r="AB844" s="33"/>
    </row>
    <row r="845">
      <c r="A845" s="33"/>
      <c r="B845" s="33"/>
      <c r="C845" s="33"/>
      <c r="D845" s="43"/>
      <c r="E845" s="33"/>
      <c r="F845" s="33"/>
      <c r="G845" s="33"/>
      <c r="H845" s="33"/>
      <c r="I845" s="33"/>
      <c r="J845" s="33"/>
      <c r="K845" s="33"/>
      <c r="L845" s="33"/>
      <c r="M845" s="43"/>
      <c r="N845" s="43"/>
      <c r="O845" s="33"/>
      <c r="P845" s="33"/>
      <c r="Q845" s="33"/>
      <c r="R845" s="33"/>
      <c r="S845" s="33"/>
      <c r="T845" s="33"/>
      <c r="U845" s="33"/>
      <c r="V845" s="33"/>
      <c r="W845" s="33"/>
      <c r="X845" s="33"/>
      <c r="Y845" s="33"/>
      <c r="Z845" s="33"/>
      <c r="AA845" s="33"/>
      <c r="AB845" s="33"/>
    </row>
    <row r="846">
      <c r="A846" s="33"/>
      <c r="B846" s="33"/>
      <c r="C846" s="33"/>
      <c r="D846" s="43"/>
      <c r="E846" s="33"/>
      <c r="F846" s="33"/>
      <c r="G846" s="33"/>
      <c r="H846" s="33"/>
      <c r="I846" s="33"/>
      <c r="J846" s="33"/>
      <c r="K846" s="33"/>
      <c r="L846" s="33"/>
      <c r="M846" s="43"/>
      <c r="N846" s="43"/>
      <c r="O846" s="33"/>
      <c r="P846" s="33"/>
      <c r="Q846" s="33"/>
      <c r="R846" s="33"/>
      <c r="S846" s="33"/>
      <c r="T846" s="33"/>
      <c r="U846" s="33"/>
      <c r="V846" s="33"/>
      <c r="W846" s="33"/>
      <c r="X846" s="33"/>
      <c r="Y846" s="33"/>
      <c r="Z846" s="33"/>
      <c r="AA846" s="33"/>
      <c r="AB846" s="33"/>
    </row>
    <row r="847">
      <c r="A847" s="33"/>
      <c r="B847" s="33"/>
      <c r="C847" s="33"/>
      <c r="D847" s="43"/>
      <c r="E847" s="33"/>
      <c r="F847" s="33"/>
      <c r="G847" s="33"/>
      <c r="H847" s="33"/>
      <c r="I847" s="33"/>
      <c r="J847" s="33"/>
      <c r="K847" s="33"/>
      <c r="L847" s="33"/>
      <c r="M847" s="43"/>
      <c r="N847" s="43"/>
      <c r="O847" s="33"/>
      <c r="P847" s="33"/>
      <c r="Q847" s="33"/>
      <c r="R847" s="33"/>
      <c r="S847" s="33"/>
      <c r="T847" s="33"/>
      <c r="U847" s="33"/>
      <c r="V847" s="33"/>
      <c r="W847" s="33"/>
      <c r="X847" s="33"/>
      <c r="Y847" s="33"/>
      <c r="Z847" s="33"/>
      <c r="AA847" s="33"/>
      <c r="AB847" s="33"/>
    </row>
    <row r="848">
      <c r="A848" s="33"/>
      <c r="B848" s="33"/>
      <c r="C848" s="33"/>
      <c r="D848" s="43"/>
      <c r="E848" s="33"/>
      <c r="F848" s="33"/>
      <c r="G848" s="33"/>
      <c r="H848" s="33"/>
      <c r="I848" s="33"/>
      <c r="J848" s="33"/>
      <c r="K848" s="33"/>
      <c r="L848" s="33"/>
      <c r="M848" s="43"/>
      <c r="N848" s="43"/>
      <c r="O848" s="33"/>
      <c r="P848" s="33"/>
      <c r="Q848" s="33"/>
      <c r="R848" s="33"/>
      <c r="S848" s="33"/>
      <c r="T848" s="33"/>
      <c r="U848" s="33"/>
      <c r="V848" s="33"/>
      <c r="W848" s="33"/>
      <c r="X848" s="33"/>
      <c r="Y848" s="33"/>
      <c r="Z848" s="33"/>
      <c r="AA848" s="33"/>
      <c r="AB848" s="33"/>
    </row>
    <row r="849">
      <c r="A849" s="33"/>
      <c r="B849" s="33"/>
      <c r="C849" s="33"/>
      <c r="D849" s="43"/>
      <c r="E849" s="33"/>
      <c r="F849" s="33"/>
      <c r="G849" s="33"/>
      <c r="H849" s="33"/>
      <c r="I849" s="33"/>
      <c r="J849" s="33"/>
      <c r="K849" s="33"/>
      <c r="L849" s="33"/>
      <c r="M849" s="43"/>
      <c r="N849" s="43"/>
      <c r="O849" s="33"/>
      <c r="P849" s="33"/>
      <c r="Q849" s="33"/>
      <c r="R849" s="33"/>
      <c r="S849" s="33"/>
      <c r="T849" s="33"/>
      <c r="U849" s="33"/>
      <c r="V849" s="33"/>
      <c r="W849" s="33"/>
      <c r="X849" s="33"/>
      <c r="Y849" s="33"/>
      <c r="Z849" s="33"/>
      <c r="AA849" s="33"/>
      <c r="AB849" s="33"/>
    </row>
    <row r="850">
      <c r="A850" s="33"/>
      <c r="B850" s="33"/>
      <c r="C850" s="33"/>
      <c r="D850" s="43"/>
      <c r="E850" s="33"/>
      <c r="F850" s="33"/>
      <c r="G850" s="33"/>
      <c r="H850" s="33"/>
      <c r="I850" s="33"/>
      <c r="J850" s="33"/>
      <c r="K850" s="33"/>
      <c r="L850" s="33"/>
      <c r="M850" s="43"/>
      <c r="N850" s="43"/>
      <c r="O850" s="33"/>
      <c r="P850" s="33"/>
      <c r="Q850" s="33"/>
      <c r="R850" s="33"/>
      <c r="S850" s="33"/>
      <c r="T850" s="33"/>
      <c r="U850" s="33"/>
      <c r="V850" s="33"/>
      <c r="W850" s="33"/>
      <c r="X850" s="33"/>
      <c r="Y850" s="33"/>
      <c r="Z850" s="33"/>
      <c r="AA850" s="33"/>
      <c r="AB850" s="33"/>
    </row>
    <row r="851">
      <c r="A851" s="33"/>
      <c r="B851" s="33"/>
      <c r="C851" s="33"/>
      <c r="D851" s="43"/>
      <c r="E851" s="33"/>
      <c r="F851" s="33"/>
      <c r="G851" s="33"/>
      <c r="H851" s="33"/>
      <c r="I851" s="33"/>
      <c r="J851" s="33"/>
      <c r="K851" s="33"/>
      <c r="L851" s="33"/>
      <c r="M851" s="43"/>
      <c r="N851" s="43"/>
      <c r="O851" s="33"/>
      <c r="P851" s="33"/>
      <c r="Q851" s="33"/>
      <c r="R851" s="33"/>
      <c r="S851" s="33"/>
      <c r="T851" s="33"/>
      <c r="U851" s="33"/>
      <c r="V851" s="33"/>
      <c r="W851" s="33"/>
      <c r="X851" s="33"/>
      <c r="Y851" s="33"/>
      <c r="Z851" s="33"/>
      <c r="AA851" s="33"/>
      <c r="AB851" s="33"/>
    </row>
    <row r="852">
      <c r="A852" s="33"/>
      <c r="B852" s="33"/>
      <c r="C852" s="33"/>
      <c r="D852" s="43"/>
      <c r="E852" s="33"/>
      <c r="F852" s="33"/>
      <c r="G852" s="33"/>
      <c r="H852" s="33"/>
      <c r="I852" s="33"/>
      <c r="J852" s="33"/>
      <c r="K852" s="33"/>
      <c r="L852" s="33"/>
      <c r="M852" s="43"/>
      <c r="N852" s="43"/>
      <c r="O852" s="33"/>
      <c r="P852" s="33"/>
      <c r="Q852" s="33"/>
      <c r="R852" s="33"/>
      <c r="S852" s="33"/>
      <c r="T852" s="33"/>
      <c r="U852" s="33"/>
      <c r="V852" s="33"/>
      <c r="W852" s="33"/>
      <c r="X852" s="33"/>
      <c r="Y852" s="33"/>
      <c r="Z852" s="33"/>
      <c r="AA852" s="33"/>
      <c r="AB852" s="33"/>
    </row>
    <row r="853">
      <c r="A853" s="33"/>
      <c r="B853" s="33"/>
      <c r="C853" s="33"/>
      <c r="D853" s="43"/>
      <c r="E853" s="33"/>
      <c r="F853" s="33"/>
      <c r="G853" s="33"/>
      <c r="H853" s="33"/>
      <c r="I853" s="33"/>
      <c r="J853" s="33"/>
      <c r="K853" s="33"/>
      <c r="L853" s="33"/>
      <c r="M853" s="43"/>
      <c r="N853" s="43"/>
      <c r="O853" s="33"/>
      <c r="P853" s="33"/>
      <c r="Q853" s="33"/>
      <c r="R853" s="33"/>
      <c r="S853" s="33"/>
      <c r="T853" s="33"/>
      <c r="U853" s="33"/>
      <c r="V853" s="33"/>
      <c r="W853" s="33"/>
      <c r="X853" s="33"/>
      <c r="Y853" s="33"/>
      <c r="Z853" s="33"/>
      <c r="AA853" s="33"/>
      <c r="AB853" s="33"/>
    </row>
    <row r="854">
      <c r="A854" s="33"/>
      <c r="B854" s="33"/>
      <c r="C854" s="33"/>
      <c r="D854" s="43"/>
      <c r="E854" s="33"/>
      <c r="F854" s="33"/>
      <c r="G854" s="33"/>
      <c r="H854" s="33"/>
      <c r="I854" s="33"/>
      <c r="J854" s="33"/>
      <c r="K854" s="33"/>
      <c r="L854" s="33"/>
      <c r="M854" s="43"/>
      <c r="N854" s="43"/>
      <c r="O854" s="33"/>
      <c r="P854" s="33"/>
      <c r="Q854" s="33"/>
      <c r="R854" s="33"/>
      <c r="S854" s="33"/>
      <c r="T854" s="33"/>
      <c r="U854" s="33"/>
      <c r="V854" s="33"/>
      <c r="W854" s="33"/>
      <c r="X854" s="33"/>
      <c r="Y854" s="33"/>
      <c r="Z854" s="33"/>
      <c r="AA854" s="33"/>
      <c r="AB854" s="33"/>
    </row>
    <row r="855">
      <c r="A855" s="33"/>
      <c r="B855" s="33"/>
      <c r="C855" s="33"/>
      <c r="D855" s="43"/>
      <c r="E855" s="33"/>
      <c r="F855" s="33"/>
      <c r="G855" s="33"/>
      <c r="H855" s="33"/>
      <c r="I855" s="33"/>
      <c r="J855" s="33"/>
      <c r="K855" s="33"/>
      <c r="L855" s="33"/>
      <c r="M855" s="43"/>
      <c r="N855" s="43"/>
      <c r="O855" s="33"/>
      <c r="P855" s="33"/>
      <c r="Q855" s="33"/>
      <c r="R855" s="33"/>
      <c r="S855" s="33"/>
      <c r="T855" s="33"/>
      <c r="U855" s="33"/>
      <c r="V855" s="33"/>
      <c r="W855" s="33"/>
      <c r="X855" s="33"/>
      <c r="Y855" s="33"/>
      <c r="Z855" s="33"/>
      <c r="AA855" s="33"/>
      <c r="AB855" s="33"/>
    </row>
    <row r="856">
      <c r="A856" s="33"/>
      <c r="B856" s="33"/>
      <c r="C856" s="33"/>
      <c r="D856" s="43"/>
      <c r="E856" s="33"/>
      <c r="F856" s="33"/>
      <c r="G856" s="33"/>
      <c r="H856" s="33"/>
      <c r="I856" s="33"/>
      <c r="J856" s="33"/>
      <c r="K856" s="33"/>
      <c r="L856" s="33"/>
      <c r="M856" s="43"/>
      <c r="N856" s="43"/>
      <c r="O856" s="33"/>
      <c r="P856" s="33"/>
      <c r="Q856" s="33"/>
      <c r="R856" s="33"/>
      <c r="S856" s="33"/>
      <c r="T856" s="33"/>
      <c r="U856" s="33"/>
      <c r="V856" s="33"/>
      <c r="W856" s="33"/>
      <c r="X856" s="33"/>
      <c r="Y856" s="33"/>
      <c r="Z856" s="33"/>
      <c r="AA856" s="33"/>
      <c r="AB856" s="33"/>
    </row>
    <row r="857">
      <c r="A857" s="33"/>
      <c r="B857" s="33"/>
      <c r="C857" s="33"/>
      <c r="D857" s="43"/>
      <c r="E857" s="33"/>
      <c r="F857" s="33"/>
      <c r="G857" s="33"/>
      <c r="H857" s="33"/>
      <c r="I857" s="33"/>
      <c r="J857" s="33"/>
      <c r="K857" s="33"/>
      <c r="L857" s="33"/>
      <c r="M857" s="43"/>
      <c r="N857" s="43"/>
      <c r="O857" s="33"/>
      <c r="P857" s="33"/>
      <c r="Q857" s="33"/>
      <c r="R857" s="33"/>
      <c r="S857" s="33"/>
      <c r="T857" s="33"/>
      <c r="U857" s="33"/>
      <c r="V857" s="33"/>
      <c r="W857" s="33"/>
      <c r="X857" s="33"/>
      <c r="Y857" s="33"/>
      <c r="Z857" s="33"/>
      <c r="AA857" s="33"/>
      <c r="AB857" s="33"/>
    </row>
    <row r="858">
      <c r="A858" s="33"/>
      <c r="B858" s="33"/>
      <c r="C858" s="33"/>
      <c r="D858" s="43"/>
      <c r="E858" s="33"/>
      <c r="F858" s="33"/>
      <c r="G858" s="33"/>
      <c r="H858" s="33"/>
      <c r="I858" s="33"/>
      <c r="J858" s="33"/>
      <c r="K858" s="33"/>
      <c r="L858" s="33"/>
      <c r="M858" s="43"/>
      <c r="N858" s="43"/>
      <c r="O858" s="33"/>
      <c r="P858" s="33"/>
      <c r="Q858" s="33"/>
      <c r="R858" s="33"/>
      <c r="S858" s="33"/>
      <c r="T858" s="33"/>
      <c r="U858" s="33"/>
      <c r="V858" s="33"/>
      <c r="W858" s="33"/>
      <c r="X858" s="33"/>
      <c r="Y858" s="33"/>
      <c r="Z858" s="33"/>
      <c r="AA858" s="33"/>
      <c r="AB858" s="33"/>
    </row>
    <row r="859">
      <c r="A859" s="33"/>
      <c r="B859" s="33"/>
      <c r="C859" s="33"/>
      <c r="D859" s="43"/>
      <c r="E859" s="33"/>
      <c r="F859" s="33"/>
      <c r="G859" s="33"/>
      <c r="H859" s="33"/>
      <c r="I859" s="33"/>
      <c r="J859" s="33"/>
      <c r="K859" s="33"/>
      <c r="L859" s="33"/>
      <c r="M859" s="43"/>
      <c r="N859" s="43"/>
      <c r="O859" s="33"/>
      <c r="P859" s="33"/>
      <c r="Q859" s="33"/>
      <c r="R859" s="33"/>
      <c r="S859" s="33"/>
      <c r="T859" s="33"/>
      <c r="U859" s="33"/>
      <c r="V859" s="33"/>
      <c r="W859" s="33"/>
      <c r="X859" s="33"/>
      <c r="Y859" s="33"/>
      <c r="Z859" s="33"/>
      <c r="AA859" s="33"/>
      <c r="AB859" s="33"/>
    </row>
    <row r="860">
      <c r="A860" s="33"/>
      <c r="B860" s="33"/>
      <c r="C860" s="33"/>
      <c r="D860" s="43"/>
      <c r="E860" s="33"/>
      <c r="F860" s="33"/>
      <c r="G860" s="33"/>
      <c r="H860" s="33"/>
      <c r="I860" s="33"/>
      <c r="J860" s="33"/>
      <c r="K860" s="33"/>
      <c r="L860" s="33"/>
      <c r="M860" s="43"/>
      <c r="N860" s="43"/>
      <c r="O860" s="33"/>
      <c r="P860" s="33"/>
      <c r="Q860" s="33"/>
      <c r="R860" s="33"/>
      <c r="S860" s="33"/>
      <c r="T860" s="33"/>
      <c r="U860" s="33"/>
      <c r="V860" s="33"/>
      <c r="W860" s="33"/>
      <c r="X860" s="33"/>
      <c r="Y860" s="33"/>
      <c r="Z860" s="33"/>
      <c r="AA860" s="33"/>
      <c r="AB860" s="33"/>
    </row>
    <row r="861">
      <c r="A861" s="33"/>
      <c r="B861" s="33"/>
      <c r="C861" s="33"/>
      <c r="D861" s="43"/>
      <c r="E861" s="33"/>
      <c r="F861" s="33"/>
      <c r="G861" s="33"/>
      <c r="H861" s="33"/>
      <c r="I861" s="33"/>
      <c r="J861" s="33"/>
      <c r="K861" s="33"/>
      <c r="L861" s="33"/>
      <c r="M861" s="43"/>
      <c r="N861" s="43"/>
      <c r="O861" s="33"/>
      <c r="P861" s="33"/>
      <c r="Q861" s="33"/>
      <c r="R861" s="33"/>
      <c r="S861" s="33"/>
      <c r="T861" s="33"/>
      <c r="U861" s="33"/>
      <c r="V861" s="33"/>
      <c r="W861" s="33"/>
      <c r="X861" s="33"/>
      <c r="Y861" s="33"/>
      <c r="Z861" s="33"/>
      <c r="AA861" s="33"/>
      <c r="AB861" s="33"/>
    </row>
    <row r="862">
      <c r="A862" s="33"/>
      <c r="B862" s="33"/>
      <c r="C862" s="33"/>
      <c r="D862" s="43"/>
      <c r="E862" s="33"/>
      <c r="F862" s="33"/>
      <c r="G862" s="33"/>
      <c r="H862" s="33"/>
      <c r="I862" s="33"/>
      <c r="J862" s="33"/>
      <c r="K862" s="33"/>
      <c r="L862" s="33"/>
      <c r="M862" s="43"/>
      <c r="N862" s="43"/>
      <c r="O862" s="33"/>
      <c r="P862" s="33"/>
      <c r="Q862" s="33"/>
      <c r="R862" s="33"/>
      <c r="S862" s="33"/>
      <c r="T862" s="33"/>
      <c r="U862" s="33"/>
      <c r="V862" s="33"/>
      <c r="W862" s="33"/>
      <c r="X862" s="33"/>
      <c r="Y862" s="33"/>
      <c r="Z862" s="33"/>
      <c r="AA862" s="33"/>
      <c r="AB862" s="33"/>
    </row>
    <row r="863">
      <c r="A863" s="33"/>
      <c r="B863" s="33"/>
      <c r="C863" s="33"/>
      <c r="D863" s="43"/>
      <c r="E863" s="33"/>
      <c r="F863" s="33"/>
      <c r="G863" s="33"/>
      <c r="H863" s="33"/>
      <c r="I863" s="33"/>
      <c r="J863" s="33"/>
      <c r="K863" s="33"/>
      <c r="L863" s="33"/>
      <c r="M863" s="43"/>
      <c r="N863" s="43"/>
      <c r="O863" s="33"/>
      <c r="P863" s="33"/>
      <c r="Q863" s="33"/>
      <c r="R863" s="33"/>
      <c r="S863" s="33"/>
      <c r="T863" s="33"/>
      <c r="U863" s="33"/>
      <c r="V863" s="33"/>
      <c r="W863" s="33"/>
      <c r="X863" s="33"/>
      <c r="Y863" s="33"/>
      <c r="Z863" s="33"/>
      <c r="AA863" s="33"/>
      <c r="AB863" s="33"/>
    </row>
    <row r="864">
      <c r="A864" s="33"/>
      <c r="B864" s="33"/>
      <c r="C864" s="33"/>
      <c r="D864" s="43"/>
      <c r="E864" s="33"/>
      <c r="F864" s="33"/>
      <c r="G864" s="33"/>
      <c r="H864" s="33"/>
      <c r="I864" s="33"/>
      <c r="J864" s="33"/>
      <c r="K864" s="33"/>
      <c r="L864" s="33"/>
      <c r="M864" s="43"/>
      <c r="N864" s="43"/>
      <c r="O864" s="33"/>
      <c r="P864" s="33"/>
      <c r="Q864" s="33"/>
      <c r="R864" s="33"/>
      <c r="S864" s="33"/>
      <c r="T864" s="33"/>
      <c r="U864" s="33"/>
      <c r="V864" s="33"/>
      <c r="W864" s="33"/>
      <c r="X864" s="33"/>
      <c r="Y864" s="33"/>
      <c r="Z864" s="33"/>
      <c r="AA864" s="33"/>
      <c r="AB864" s="33"/>
    </row>
    <row r="865">
      <c r="A865" s="33"/>
      <c r="B865" s="33"/>
      <c r="C865" s="33"/>
      <c r="D865" s="43"/>
      <c r="E865" s="33"/>
      <c r="F865" s="33"/>
      <c r="G865" s="33"/>
      <c r="H865" s="33"/>
      <c r="I865" s="33"/>
      <c r="J865" s="33"/>
      <c r="K865" s="33"/>
      <c r="L865" s="33"/>
      <c r="M865" s="43"/>
      <c r="N865" s="43"/>
      <c r="O865" s="33"/>
      <c r="P865" s="33"/>
      <c r="Q865" s="33"/>
      <c r="R865" s="33"/>
      <c r="S865" s="33"/>
      <c r="T865" s="33"/>
      <c r="U865" s="33"/>
      <c r="V865" s="33"/>
      <c r="W865" s="33"/>
      <c r="X865" s="33"/>
      <c r="Y865" s="33"/>
      <c r="Z865" s="33"/>
      <c r="AA865" s="33"/>
      <c r="AB865" s="33"/>
    </row>
    <row r="866">
      <c r="A866" s="33"/>
      <c r="B866" s="33"/>
      <c r="C866" s="33"/>
      <c r="D866" s="43"/>
      <c r="E866" s="33"/>
      <c r="F866" s="33"/>
      <c r="G866" s="33"/>
      <c r="H866" s="33"/>
      <c r="I866" s="33"/>
      <c r="J866" s="33"/>
      <c r="K866" s="33"/>
      <c r="L866" s="33"/>
      <c r="M866" s="43"/>
      <c r="N866" s="43"/>
      <c r="O866" s="33"/>
      <c r="P866" s="33"/>
      <c r="Q866" s="33"/>
      <c r="R866" s="33"/>
      <c r="S866" s="33"/>
      <c r="T866" s="33"/>
      <c r="U866" s="33"/>
      <c r="V866" s="33"/>
      <c r="W866" s="33"/>
      <c r="X866" s="33"/>
      <c r="Y866" s="33"/>
      <c r="Z866" s="33"/>
      <c r="AA866" s="33"/>
      <c r="AB866" s="33"/>
    </row>
    <row r="867">
      <c r="A867" s="33"/>
      <c r="B867" s="33"/>
      <c r="C867" s="33"/>
      <c r="D867" s="43"/>
      <c r="E867" s="33"/>
      <c r="F867" s="33"/>
      <c r="G867" s="33"/>
      <c r="H867" s="33"/>
      <c r="I867" s="33"/>
      <c r="J867" s="33"/>
      <c r="K867" s="33"/>
      <c r="L867" s="33"/>
      <c r="M867" s="43"/>
      <c r="N867" s="43"/>
      <c r="O867" s="33"/>
      <c r="P867" s="33"/>
      <c r="Q867" s="33"/>
      <c r="R867" s="33"/>
      <c r="S867" s="33"/>
      <c r="T867" s="33"/>
      <c r="U867" s="33"/>
      <c r="V867" s="33"/>
      <c r="W867" s="33"/>
      <c r="X867" s="33"/>
      <c r="Y867" s="33"/>
      <c r="Z867" s="33"/>
      <c r="AA867" s="33"/>
      <c r="AB867" s="33"/>
    </row>
    <row r="868">
      <c r="A868" s="33"/>
      <c r="B868" s="33"/>
      <c r="C868" s="33"/>
      <c r="D868" s="43"/>
      <c r="E868" s="33"/>
      <c r="F868" s="33"/>
      <c r="G868" s="33"/>
      <c r="H868" s="33"/>
      <c r="I868" s="33"/>
      <c r="J868" s="33"/>
      <c r="K868" s="33"/>
      <c r="L868" s="33"/>
      <c r="M868" s="43"/>
      <c r="N868" s="43"/>
      <c r="O868" s="33"/>
      <c r="P868" s="33"/>
      <c r="Q868" s="33"/>
      <c r="R868" s="33"/>
      <c r="S868" s="33"/>
      <c r="T868" s="33"/>
      <c r="U868" s="33"/>
      <c r="V868" s="33"/>
      <c r="W868" s="33"/>
      <c r="X868" s="33"/>
      <c r="Y868" s="33"/>
      <c r="Z868" s="33"/>
      <c r="AA868" s="33"/>
      <c r="AB868" s="33"/>
    </row>
    <row r="869">
      <c r="A869" s="33"/>
      <c r="B869" s="33"/>
      <c r="C869" s="33"/>
      <c r="D869" s="43"/>
      <c r="E869" s="33"/>
      <c r="F869" s="33"/>
      <c r="G869" s="33"/>
      <c r="H869" s="33"/>
      <c r="I869" s="33"/>
      <c r="J869" s="33"/>
      <c r="K869" s="33"/>
      <c r="L869" s="33"/>
      <c r="M869" s="43"/>
      <c r="N869" s="43"/>
      <c r="O869" s="33"/>
      <c r="P869" s="33"/>
      <c r="Q869" s="33"/>
      <c r="R869" s="33"/>
      <c r="S869" s="33"/>
      <c r="T869" s="33"/>
      <c r="U869" s="33"/>
      <c r="V869" s="33"/>
      <c r="W869" s="33"/>
      <c r="X869" s="33"/>
      <c r="Y869" s="33"/>
      <c r="Z869" s="33"/>
      <c r="AA869" s="33"/>
      <c r="AB869" s="33"/>
    </row>
    <row r="870">
      <c r="A870" s="33"/>
      <c r="B870" s="33"/>
      <c r="C870" s="33"/>
      <c r="D870" s="43"/>
      <c r="E870" s="33"/>
      <c r="F870" s="33"/>
      <c r="G870" s="33"/>
      <c r="H870" s="33"/>
      <c r="I870" s="33"/>
      <c r="J870" s="33"/>
      <c r="K870" s="33"/>
      <c r="L870" s="33"/>
      <c r="M870" s="43"/>
      <c r="N870" s="43"/>
      <c r="O870" s="33"/>
      <c r="P870" s="33"/>
      <c r="Q870" s="33"/>
      <c r="R870" s="33"/>
      <c r="S870" s="33"/>
      <c r="T870" s="33"/>
      <c r="U870" s="33"/>
      <c r="V870" s="33"/>
      <c r="W870" s="33"/>
      <c r="X870" s="33"/>
      <c r="Y870" s="33"/>
      <c r="Z870" s="33"/>
      <c r="AA870" s="33"/>
      <c r="AB870" s="33"/>
    </row>
    <row r="871">
      <c r="A871" s="33"/>
      <c r="B871" s="33"/>
      <c r="C871" s="33"/>
      <c r="D871" s="43"/>
      <c r="E871" s="33"/>
      <c r="F871" s="33"/>
      <c r="G871" s="33"/>
      <c r="H871" s="33"/>
      <c r="I871" s="33"/>
      <c r="J871" s="33"/>
      <c r="K871" s="33"/>
      <c r="L871" s="33"/>
      <c r="M871" s="43"/>
      <c r="N871" s="43"/>
      <c r="O871" s="33"/>
      <c r="P871" s="33"/>
      <c r="Q871" s="33"/>
      <c r="R871" s="33"/>
      <c r="S871" s="33"/>
      <c r="T871" s="33"/>
      <c r="U871" s="33"/>
      <c r="V871" s="33"/>
      <c r="W871" s="33"/>
      <c r="X871" s="33"/>
      <c r="Y871" s="33"/>
      <c r="Z871" s="33"/>
      <c r="AA871" s="33"/>
      <c r="AB871" s="33"/>
    </row>
    <row r="872">
      <c r="A872" s="33"/>
      <c r="B872" s="33"/>
      <c r="C872" s="33"/>
      <c r="D872" s="43"/>
      <c r="E872" s="33"/>
      <c r="F872" s="33"/>
      <c r="G872" s="33"/>
      <c r="H872" s="33"/>
      <c r="I872" s="33"/>
      <c r="J872" s="33"/>
      <c r="K872" s="33"/>
      <c r="L872" s="33"/>
      <c r="M872" s="43"/>
      <c r="N872" s="43"/>
      <c r="O872" s="33"/>
      <c r="P872" s="33"/>
      <c r="Q872" s="33"/>
      <c r="R872" s="33"/>
      <c r="S872" s="33"/>
      <c r="T872" s="33"/>
      <c r="U872" s="33"/>
      <c r="V872" s="33"/>
      <c r="W872" s="33"/>
      <c r="X872" s="33"/>
      <c r="Y872" s="33"/>
      <c r="Z872" s="33"/>
      <c r="AA872" s="33"/>
      <c r="AB872" s="33"/>
    </row>
    <row r="873">
      <c r="A873" s="33"/>
      <c r="B873" s="33"/>
      <c r="C873" s="33"/>
      <c r="D873" s="43"/>
      <c r="E873" s="33"/>
      <c r="F873" s="33"/>
      <c r="G873" s="33"/>
      <c r="H873" s="33"/>
      <c r="I873" s="33"/>
      <c r="J873" s="33"/>
      <c r="K873" s="33"/>
      <c r="L873" s="33"/>
      <c r="M873" s="43"/>
      <c r="N873" s="43"/>
      <c r="O873" s="33"/>
      <c r="P873" s="33"/>
      <c r="Q873" s="33"/>
      <c r="R873" s="33"/>
      <c r="S873" s="33"/>
      <c r="T873" s="33"/>
      <c r="U873" s="33"/>
      <c r="V873" s="33"/>
      <c r="W873" s="33"/>
      <c r="X873" s="33"/>
      <c r="Y873" s="33"/>
      <c r="Z873" s="33"/>
      <c r="AA873" s="33"/>
      <c r="AB873" s="33"/>
    </row>
    <row r="874">
      <c r="A874" s="33"/>
      <c r="B874" s="33"/>
      <c r="C874" s="33"/>
      <c r="D874" s="43"/>
      <c r="E874" s="33"/>
      <c r="F874" s="33"/>
      <c r="G874" s="33"/>
      <c r="H874" s="33"/>
      <c r="I874" s="33"/>
      <c r="J874" s="33"/>
      <c r="K874" s="33"/>
      <c r="L874" s="33"/>
      <c r="M874" s="43"/>
      <c r="N874" s="43"/>
      <c r="O874" s="33"/>
      <c r="P874" s="33"/>
      <c r="Q874" s="33"/>
      <c r="R874" s="33"/>
      <c r="S874" s="33"/>
      <c r="T874" s="33"/>
      <c r="U874" s="33"/>
      <c r="V874" s="33"/>
      <c r="W874" s="33"/>
      <c r="X874" s="33"/>
      <c r="Y874" s="33"/>
      <c r="Z874" s="33"/>
      <c r="AA874" s="33"/>
      <c r="AB874" s="33"/>
    </row>
    <row r="875">
      <c r="A875" s="33"/>
      <c r="B875" s="33"/>
      <c r="C875" s="33"/>
      <c r="D875" s="43"/>
      <c r="E875" s="33"/>
      <c r="F875" s="33"/>
      <c r="G875" s="33"/>
      <c r="H875" s="33"/>
      <c r="I875" s="33"/>
      <c r="J875" s="33"/>
      <c r="K875" s="33"/>
      <c r="L875" s="33"/>
      <c r="M875" s="43"/>
      <c r="N875" s="43"/>
      <c r="O875" s="33"/>
      <c r="P875" s="33"/>
      <c r="Q875" s="33"/>
      <c r="R875" s="33"/>
      <c r="S875" s="33"/>
      <c r="T875" s="33"/>
      <c r="U875" s="33"/>
      <c r="V875" s="33"/>
      <c r="W875" s="33"/>
      <c r="X875" s="33"/>
      <c r="Y875" s="33"/>
      <c r="Z875" s="33"/>
      <c r="AA875" s="33"/>
      <c r="AB875" s="33"/>
    </row>
    <row r="876">
      <c r="A876" s="33"/>
      <c r="B876" s="33"/>
      <c r="C876" s="33"/>
      <c r="D876" s="43"/>
      <c r="E876" s="33"/>
      <c r="F876" s="33"/>
      <c r="G876" s="33"/>
      <c r="H876" s="33"/>
      <c r="I876" s="33"/>
      <c r="J876" s="33"/>
      <c r="K876" s="33"/>
      <c r="L876" s="33"/>
      <c r="M876" s="43"/>
      <c r="N876" s="43"/>
      <c r="O876" s="33"/>
      <c r="P876" s="33"/>
      <c r="Q876" s="33"/>
      <c r="R876" s="33"/>
      <c r="S876" s="33"/>
      <c r="T876" s="33"/>
      <c r="U876" s="33"/>
      <c r="V876" s="33"/>
      <c r="W876" s="33"/>
      <c r="X876" s="33"/>
      <c r="Y876" s="33"/>
      <c r="Z876" s="33"/>
      <c r="AA876" s="33"/>
      <c r="AB876" s="33"/>
    </row>
    <row r="877">
      <c r="A877" s="33"/>
      <c r="B877" s="33"/>
      <c r="C877" s="33"/>
      <c r="D877" s="43"/>
      <c r="E877" s="33"/>
      <c r="F877" s="33"/>
      <c r="G877" s="33"/>
      <c r="H877" s="33"/>
      <c r="I877" s="33"/>
      <c r="J877" s="33"/>
      <c r="K877" s="33"/>
      <c r="L877" s="33"/>
      <c r="M877" s="43"/>
      <c r="N877" s="43"/>
      <c r="O877" s="33"/>
      <c r="P877" s="33"/>
      <c r="Q877" s="33"/>
      <c r="R877" s="33"/>
      <c r="S877" s="33"/>
      <c r="T877" s="33"/>
      <c r="U877" s="33"/>
      <c r="V877" s="33"/>
      <c r="W877" s="33"/>
      <c r="X877" s="33"/>
      <c r="Y877" s="33"/>
      <c r="Z877" s="33"/>
      <c r="AA877" s="33"/>
      <c r="AB877" s="33"/>
    </row>
    <row r="878">
      <c r="A878" s="33"/>
      <c r="B878" s="33"/>
      <c r="C878" s="33"/>
      <c r="D878" s="43"/>
      <c r="E878" s="33"/>
      <c r="F878" s="33"/>
      <c r="G878" s="33"/>
      <c r="H878" s="33"/>
      <c r="I878" s="33"/>
      <c r="J878" s="33"/>
      <c r="K878" s="33"/>
      <c r="L878" s="33"/>
      <c r="M878" s="43"/>
      <c r="N878" s="43"/>
      <c r="O878" s="33"/>
      <c r="P878" s="33"/>
      <c r="Q878" s="33"/>
      <c r="R878" s="33"/>
      <c r="S878" s="33"/>
      <c r="T878" s="33"/>
      <c r="U878" s="33"/>
      <c r="V878" s="33"/>
      <c r="W878" s="33"/>
      <c r="X878" s="33"/>
      <c r="Y878" s="33"/>
      <c r="Z878" s="33"/>
      <c r="AA878" s="33"/>
      <c r="AB878" s="33"/>
    </row>
    <row r="879">
      <c r="A879" s="33"/>
      <c r="B879" s="33"/>
      <c r="C879" s="33"/>
      <c r="D879" s="43"/>
      <c r="E879" s="33"/>
      <c r="F879" s="33"/>
      <c r="G879" s="33"/>
      <c r="H879" s="33"/>
      <c r="I879" s="33"/>
      <c r="J879" s="33"/>
      <c r="K879" s="33"/>
      <c r="L879" s="33"/>
      <c r="M879" s="43"/>
      <c r="N879" s="43"/>
      <c r="O879" s="33"/>
      <c r="P879" s="33"/>
      <c r="Q879" s="33"/>
      <c r="R879" s="33"/>
      <c r="S879" s="33"/>
      <c r="T879" s="33"/>
      <c r="U879" s="33"/>
      <c r="V879" s="33"/>
      <c r="W879" s="33"/>
      <c r="X879" s="33"/>
      <c r="Y879" s="33"/>
      <c r="Z879" s="33"/>
      <c r="AA879" s="33"/>
      <c r="AB879" s="33"/>
    </row>
    <row r="880">
      <c r="A880" s="33"/>
      <c r="B880" s="33"/>
      <c r="C880" s="33"/>
      <c r="D880" s="43"/>
      <c r="E880" s="33"/>
      <c r="F880" s="33"/>
      <c r="G880" s="33"/>
      <c r="H880" s="33"/>
      <c r="I880" s="33"/>
      <c r="J880" s="33"/>
      <c r="K880" s="33"/>
      <c r="L880" s="33"/>
      <c r="M880" s="43"/>
      <c r="N880" s="43"/>
      <c r="O880" s="33"/>
      <c r="P880" s="33"/>
      <c r="Q880" s="33"/>
      <c r="R880" s="33"/>
      <c r="S880" s="33"/>
      <c r="T880" s="33"/>
      <c r="U880" s="33"/>
      <c r="V880" s="33"/>
      <c r="W880" s="33"/>
      <c r="X880" s="33"/>
      <c r="Y880" s="33"/>
      <c r="Z880" s="33"/>
      <c r="AA880" s="33"/>
      <c r="AB880" s="33"/>
    </row>
    <row r="881">
      <c r="A881" s="33"/>
      <c r="B881" s="33"/>
      <c r="C881" s="33"/>
      <c r="D881" s="43"/>
      <c r="E881" s="33"/>
      <c r="F881" s="33"/>
      <c r="G881" s="33"/>
      <c r="H881" s="33"/>
      <c r="I881" s="33"/>
      <c r="J881" s="33"/>
      <c r="K881" s="33"/>
      <c r="L881" s="33"/>
      <c r="M881" s="43"/>
      <c r="N881" s="43"/>
      <c r="O881" s="33"/>
      <c r="P881" s="33"/>
      <c r="Q881" s="33"/>
      <c r="R881" s="33"/>
      <c r="S881" s="33"/>
      <c r="T881" s="33"/>
      <c r="U881" s="33"/>
      <c r="V881" s="33"/>
      <c r="W881" s="33"/>
      <c r="X881" s="33"/>
      <c r="Y881" s="33"/>
      <c r="Z881" s="33"/>
      <c r="AA881" s="33"/>
      <c r="AB881" s="33"/>
    </row>
    <row r="882">
      <c r="A882" s="33"/>
      <c r="B882" s="33"/>
      <c r="C882" s="33"/>
      <c r="D882" s="43"/>
      <c r="E882" s="33"/>
      <c r="F882" s="33"/>
      <c r="G882" s="33"/>
      <c r="H882" s="33"/>
      <c r="I882" s="33"/>
      <c r="J882" s="33"/>
      <c r="K882" s="33"/>
      <c r="L882" s="33"/>
      <c r="M882" s="43"/>
      <c r="N882" s="43"/>
      <c r="O882" s="33"/>
      <c r="P882" s="33"/>
      <c r="Q882" s="33"/>
      <c r="R882" s="33"/>
      <c r="S882" s="33"/>
      <c r="T882" s="33"/>
      <c r="U882" s="33"/>
      <c r="V882" s="33"/>
      <c r="W882" s="33"/>
      <c r="X882" s="33"/>
      <c r="Y882" s="33"/>
      <c r="Z882" s="33"/>
      <c r="AA882" s="33"/>
      <c r="AB882" s="33"/>
    </row>
    <row r="883">
      <c r="A883" s="33"/>
      <c r="B883" s="33"/>
      <c r="C883" s="33"/>
      <c r="D883" s="43"/>
      <c r="E883" s="33"/>
      <c r="F883" s="33"/>
      <c r="G883" s="33"/>
      <c r="H883" s="33"/>
      <c r="I883" s="33"/>
      <c r="J883" s="33"/>
      <c r="K883" s="33"/>
      <c r="L883" s="33"/>
      <c r="M883" s="43"/>
      <c r="N883" s="43"/>
      <c r="O883" s="33"/>
      <c r="P883" s="33"/>
      <c r="Q883" s="33"/>
      <c r="R883" s="33"/>
      <c r="S883" s="33"/>
      <c r="T883" s="33"/>
      <c r="U883" s="33"/>
      <c r="V883" s="33"/>
      <c r="W883" s="33"/>
      <c r="X883" s="33"/>
      <c r="Y883" s="33"/>
      <c r="Z883" s="33"/>
      <c r="AA883" s="33"/>
      <c r="AB883" s="33"/>
    </row>
    <row r="884">
      <c r="A884" s="33"/>
      <c r="B884" s="33"/>
      <c r="C884" s="33"/>
      <c r="D884" s="43"/>
      <c r="E884" s="33"/>
      <c r="F884" s="33"/>
      <c r="G884" s="33"/>
      <c r="H884" s="33"/>
      <c r="I884" s="33"/>
      <c r="J884" s="33"/>
      <c r="K884" s="33"/>
      <c r="L884" s="33"/>
      <c r="M884" s="43"/>
      <c r="N884" s="43"/>
      <c r="O884" s="33"/>
      <c r="P884" s="33"/>
      <c r="Q884" s="33"/>
      <c r="R884" s="33"/>
      <c r="S884" s="33"/>
      <c r="T884" s="33"/>
      <c r="U884" s="33"/>
      <c r="V884" s="33"/>
      <c r="W884" s="33"/>
      <c r="X884" s="33"/>
      <c r="Y884" s="33"/>
      <c r="Z884" s="33"/>
      <c r="AA884" s="33"/>
      <c r="AB884" s="33"/>
    </row>
    <row r="885">
      <c r="A885" s="33"/>
      <c r="B885" s="33"/>
      <c r="C885" s="33"/>
      <c r="D885" s="43"/>
      <c r="E885" s="33"/>
      <c r="F885" s="33"/>
      <c r="G885" s="33"/>
      <c r="H885" s="33"/>
      <c r="I885" s="33"/>
      <c r="J885" s="33"/>
      <c r="K885" s="33"/>
      <c r="L885" s="33"/>
      <c r="M885" s="43"/>
      <c r="N885" s="43"/>
      <c r="O885" s="33"/>
      <c r="P885" s="33"/>
      <c r="Q885" s="33"/>
      <c r="R885" s="33"/>
      <c r="S885" s="33"/>
      <c r="T885" s="33"/>
      <c r="U885" s="33"/>
      <c r="V885" s="33"/>
      <c r="W885" s="33"/>
      <c r="X885" s="33"/>
      <c r="Y885" s="33"/>
      <c r="Z885" s="33"/>
      <c r="AA885" s="33"/>
      <c r="AB885" s="33"/>
    </row>
    <row r="886">
      <c r="A886" s="33"/>
      <c r="B886" s="33"/>
      <c r="C886" s="33"/>
      <c r="D886" s="43"/>
      <c r="E886" s="33"/>
      <c r="F886" s="33"/>
      <c r="G886" s="33"/>
      <c r="H886" s="33"/>
      <c r="I886" s="33"/>
      <c r="J886" s="33"/>
      <c r="K886" s="33"/>
      <c r="L886" s="33"/>
      <c r="M886" s="43"/>
      <c r="N886" s="43"/>
      <c r="O886" s="33"/>
      <c r="P886" s="33"/>
      <c r="Q886" s="33"/>
      <c r="R886" s="33"/>
      <c r="S886" s="33"/>
      <c r="T886" s="33"/>
      <c r="U886" s="33"/>
      <c r="V886" s="33"/>
      <c r="W886" s="33"/>
      <c r="X886" s="33"/>
      <c r="Y886" s="33"/>
      <c r="Z886" s="33"/>
      <c r="AA886" s="33"/>
      <c r="AB886" s="33"/>
    </row>
    <row r="887">
      <c r="A887" s="33"/>
      <c r="B887" s="33"/>
      <c r="C887" s="33"/>
      <c r="D887" s="43"/>
      <c r="E887" s="33"/>
      <c r="F887" s="33"/>
      <c r="G887" s="33"/>
      <c r="H887" s="33"/>
      <c r="I887" s="33"/>
      <c r="J887" s="33"/>
      <c r="K887" s="33"/>
      <c r="L887" s="33"/>
      <c r="M887" s="43"/>
      <c r="N887" s="43"/>
      <c r="O887" s="33"/>
      <c r="P887" s="33"/>
      <c r="Q887" s="33"/>
      <c r="R887" s="33"/>
      <c r="S887" s="33"/>
      <c r="T887" s="33"/>
      <c r="U887" s="33"/>
      <c r="V887" s="33"/>
      <c r="W887" s="33"/>
      <c r="X887" s="33"/>
      <c r="Y887" s="33"/>
      <c r="Z887" s="33"/>
      <c r="AA887" s="33"/>
      <c r="AB887" s="33"/>
    </row>
    <row r="888">
      <c r="A888" s="33"/>
      <c r="B888" s="33"/>
      <c r="C888" s="33"/>
      <c r="D888" s="43"/>
      <c r="E888" s="33"/>
      <c r="F888" s="33"/>
      <c r="G888" s="33"/>
      <c r="H888" s="33"/>
      <c r="I888" s="33"/>
      <c r="J888" s="33"/>
      <c r="K888" s="33"/>
      <c r="L888" s="33"/>
      <c r="M888" s="43"/>
      <c r="N888" s="43"/>
      <c r="O888" s="33"/>
      <c r="P888" s="33"/>
      <c r="Q888" s="33"/>
      <c r="R888" s="33"/>
      <c r="S888" s="33"/>
      <c r="T888" s="33"/>
      <c r="U888" s="33"/>
      <c r="V888" s="33"/>
      <c r="W888" s="33"/>
      <c r="X888" s="33"/>
      <c r="Y888" s="33"/>
      <c r="Z888" s="33"/>
      <c r="AA888" s="33"/>
      <c r="AB888" s="33"/>
    </row>
    <row r="889">
      <c r="A889" s="33"/>
      <c r="B889" s="33"/>
      <c r="C889" s="33"/>
      <c r="D889" s="43"/>
      <c r="E889" s="33"/>
      <c r="F889" s="33"/>
      <c r="G889" s="33"/>
      <c r="H889" s="33"/>
      <c r="I889" s="33"/>
      <c r="J889" s="33"/>
      <c r="K889" s="33"/>
      <c r="L889" s="33"/>
      <c r="M889" s="43"/>
      <c r="N889" s="43"/>
      <c r="O889" s="33"/>
      <c r="P889" s="33"/>
      <c r="Q889" s="33"/>
      <c r="R889" s="33"/>
      <c r="S889" s="33"/>
      <c r="T889" s="33"/>
      <c r="U889" s="33"/>
      <c r="V889" s="33"/>
      <c r="W889" s="33"/>
      <c r="X889" s="33"/>
      <c r="Y889" s="33"/>
      <c r="Z889" s="33"/>
      <c r="AA889" s="33"/>
      <c r="AB889" s="33"/>
    </row>
    <row r="890">
      <c r="A890" s="33"/>
      <c r="B890" s="33"/>
      <c r="C890" s="33"/>
      <c r="D890" s="43"/>
      <c r="E890" s="33"/>
      <c r="F890" s="33"/>
      <c r="G890" s="33"/>
      <c r="H890" s="33"/>
      <c r="I890" s="33"/>
      <c r="J890" s="33"/>
      <c r="K890" s="33"/>
      <c r="L890" s="33"/>
      <c r="M890" s="43"/>
      <c r="N890" s="43"/>
      <c r="O890" s="33"/>
      <c r="P890" s="33"/>
      <c r="Q890" s="33"/>
      <c r="R890" s="33"/>
      <c r="S890" s="33"/>
      <c r="T890" s="33"/>
      <c r="U890" s="33"/>
      <c r="V890" s="33"/>
      <c r="W890" s="33"/>
      <c r="X890" s="33"/>
      <c r="Y890" s="33"/>
      <c r="Z890" s="33"/>
      <c r="AA890" s="33"/>
      <c r="AB890" s="33"/>
    </row>
    <row r="891">
      <c r="A891" s="33"/>
      <c r="B891" s="33"/>
      <c r="C891" s="33"/>
      <c r="D891" s="43"/>
      <c r="E891" s="33"/>
      <c r="F891" s="33"/>
      <c r="G891" s="33"/>
      <c r="H891" s="33"/>
      <c r="I891" s="33"/>
      <c r="J891" s="33"/>
      <c r="K891" s="33"/>
      <c r="L891" s="33"/>
      <c r="M891" s="43"/>
      <c r="N891" s="43"/>
      <c r="O891" s="33"/>
      <c r="P891" s="33"/>
      <c r="Q891" s="33"/>
      <c r="R891" s="33"/>
      <c r="S891" s="33"/>
      <c r="T891" s="33"/>
      <c r="U891" s="33"/>
      <c r="V891" s="33"/>
      <c r="W891" s="33"/>
      <c r="X891" s="33"/>
      <c r="Y891" s="33"/>
      <c r="Z891" s="33"/>
      <c r="AA891" s="33"/>
      <c r="AB891" s="33"/>
    </row>
    <row r="892">
      <c r="A892" s="33"/>
      <c r="B892" s="33"/>
      <c r="C892" s="33"/>
      <c r="D892" s="43"/>
      <c r="E892" s="33"/>
      <c r="F892" s="33"/>
      <c r="G892" s="33"/>
      <c r="H892" s="33"/>
      <c r="I892" s="33"/>
      <c r="J892" s="33"/>
      <c r="K892" s="33"/>
      <c r="L892" s="33"/>
      <c r="M892" s="43"/>
      <c r="N892" s="43"/>
      <c r="O892" s="33"/>
      <c r="P892" s="33"/>
      <c r="Q892" s="33"/>
      <c r="R892" s="33"/>
      <c r="S892" s="33"/>
      <c r="T892" s="33"/>
      <c r="U892" s="33"/>
      <c r="V892" s="33"/>
      <c r="W892" s="33"/>
      <c r="X892" s="33"/>
      <c r="Y892" s="33"/>
      <c r="Z892" s="33"/>
      <c r="AA892" s="33"/>
      <c r="AB892" s="33"/>
    </row>
    <row r="893">
      <c r="A893" s="33"/>
      <c r="B893" s="33"/>
      <c r="C893" s="33"/>
      <c r="D893" s="43"/>
      <c r="E893" s="33"/>
      <c r="F893" s="33"/>
      <c r="G893" s="33"/>
      <c r="H893" s="33"/>
      <c r="I893" s="33"/>
      <c r="J893" s="33"/>
      <c r="K893" s="33"/>
      <c r="L893" s="33"/>
      <c r="M893" s="43"/>
      <c r="N893" s="43"/>
      <c r="O893" s="33"/>
      <c r="P893" s="33"/>
      <c r="Q893" s="33"/>
      <c r="R893" s="33"/>
      <c r="S893" s="33"/>
      <c r="T893" s="33"/>
      <c r="U893" s="33"/>
      <c r="V893" s="33"/>
      <c r="W893" s="33"/>
      <c r="X893" s="33"/>
      <c r="Y893" s="33"/>
      <c r="Z893" s="33"/>
      <c r="AA893" s="33"/>
      <c r="AB893" s="33"/>
    </row>
    <row r="894">
      <c r="A894" s="33"/>
      <c r="B894" s="33"/>
      <c r="C894" s="33"/>
      <c r="D894" s="43"/>
      <c r="E894" s="33"/>
      <c r="F894" s="33"/>
      <c r="G894" s="33"/>
      <c r="H894" s="33"/>
      <c r="I894" s="33"/>
      <c r="J894" s="33"/>
      <c r="K894" s="33"/>
      <c r="L894" s="33"/>
      <c r="M894" s="43"/>
      <c r="N894" s="43"/>
      <c r="O894" s="33"/>
      <c r="P894" s="33"/>
      <c r="Q894" s="33"/>
      <c r="R894" s="33"/>
      <c r="S894" s="33"/>
      <c r="T894" s="33"/>
      <c r="U894" s="33"/>
      <c r="V894" s="33"/>
      <c r="W894" s="33"/>
      <c r="X894" s="33"/>
      <c r="Y894" s="33"/>
      <c r="Z894" s="33"/>
      <c r="AA894" s="33"/>
      <c r="AB894" s="33"/>
    </row>
    <row r="895">
      <c r="A895" s="33"/>
      <c r="B895" s="33"/>
      <c r="C895" s="33"/>
      <c r="D895" s="43"/>
      <c r="E895" s="33"/>
      <c r="F895" s="33"/>
      <c r="G895" s="33"/>
      <c r="H895" s="33"/>
      <c r="I895" s="33"/>
      <c r="J895" s="33"/>
      <c r="K895" s="33"/>
      <c r="L895" s="33"/>
      <c r="M895" s="43"/>
      <c r="N895" s="43"/>
      <c r="O895" s="33"/>
      <c r="P895" s="33"/>
      <c r="Q895" s="33"/>
      <c r="R895" s="33"/>
      <c r="S895" s="33"/>
      <c r="T895" s="33"/>
      <c r="U895" s="33"/>
      <c r="V895" s="33"/>
      <c r="W895" s="33"/>
      <c r="X895" s="33"/>
      <c r="Y895" s="33"/>
      <c r="Z895" s="33"/>
      <c r="AA895" s="33"/>
      <c r="AB895" s="33"/>
    </row>
    <row r="896">
      <c r="A896" s="33"/>
      <c r="B896" s="33"/>
      <c r="C896" s="33"/>
      <c r="D896" s="43"/>
      <c r="E896" s="33"/>
      <c r="F896" s="33"/>
      <c r="G896" s="33"/>
      <c r="H896" s="33"/>
      <c r="I896" s="33"/>
      <c r="J896" s="33"/>
      <c r="K896" s="33"/>
      <c r="L896" s="33"/>
      <c r="M896" s="43"/>
      <c r="N896" s="43"/>
      <c r="O896" s="33"/>
      <c r="P896" s="33"/>
      <c r="Q896" s="33"/>
      <c r="R896" s="33"/>
      <c r="S896" s="33"/>
      <c r="T896" s="33"/>
      <c r="U896" s="33"/>
      <c r="V896" s="33"/>
      <c r="W896" s="33"/>
      <c r="X896" s="33"/>
      <c r="Y896" s="33"/>
      <c r="Z896" s="33"/>
      <c r="AA896" s="33"/>
      <c r="AB896" s="33"/>
    </row>
    <row r="897">
      <c r="A897" s="33"/>
      <c r="B897" s="33"/>
      <c r="C897" s="33"/>
      <c r="D897" s="43"/>
      <c r="E897" s="33"/>
      <c r="F897" s="33"/>
      <c r="G897" s="33"/>
      <c r="H897" s="33"/>
      <c r="I897" s="33"/>
      <c r="J897" s="33"/>
      <c r="K897" s="33"/>
      <c r="L897" s="33"/>
      <c r="M897" s="43"/>
      <c r="N897" s="43"/>
      <c r="O897" s="33"/>
      <c r="P897" s="33"/>
      <c r="Q897" s="33"/>
      <c r="R897" s="33"/>
      <c r="S897" s="33"/>
      <c r="T897" s="33"/>
      <c r="U897" s="33"/>
      <c r="V897" s="33"/>
      <c r="W897" s="33"/>
      <c r="X897" s="33"/>
      <c r="Y897" s="33"/>
      <c r="Z897" s="33"/>
      <c r="AA897" s="33"/>
      <c r="AB897" s="33"/>
    </row>
    <row r="898">
      <c r="A898" s="33"/>
      <c r="B898" s="33"/>
      <c r="C898" s="33"/>
      <c r="D898" s="43"/>
      <c r="E898" s="33"/>
      <c r="F898" s="33"/>
      <c r="G898" s="33"/>
      <c r="H898" s="33"/>
      <c r="I898" s="33"/>
      <c r="J898" s="33"/>
      <c r="K898" s="33"/>
      <c r="L898" s="33"/>
      <c r="M898" s="43"/>
      <c r="N898" s="43"/>
      <c r="O898" s="33"/>
      <c r="P898" s="33"/>
      <c r="Q898" s="33"/>
      <c r="R898" s="33"/>
      <c r="S898" s="33"/>
      <c r="T898" s="33"/>
      <c r="U898" s="33"/>
      <c r="V898" s="33"/>
      <c r="W898" s="33"/>
      <c r="X898" s="33"/>
      <c r="Y898" s="33"/>
      <c r="Z898" s="33"/>
      <c r="AA898" s="33"/>
      <c r="AB898" s="33"/>
    </row>
    <row r="899">
      <c r="A899" s="33"/>
      <c r="B899" s="33"/>
      <c r="C899" s="33"/>
      <c r="D899" s="43"/>
      <c r="E899" s="33"/>
      <c r="F899" s="33"/>
      <c r="G899" s="33"/>
      <c r="H899" s="33"/>
      <c r="I899" s="33"/>
      <c r="J899" s="33"/>
      <c r="K899" s="33"/>
      <c r="L899" s="33"/>
      <c r="M899" s="43"/>
      <c r="N899" s="43"/>
      <c r="O899" s="33"/>
      <c r="P899" s="33"/>
      <c r="Q899" s="33"/>
      <c r="R899" s="33"/>
      <c r="S899" s="33"/>
      <c r="T899" s="33"/>
      <c r="U899" s="33"/>
      <c r="V899" s="33"/>
      <c r="W899" s="33"/>
      <c r="X899" s="33"/>
      <c r="Y899" s="33"/>
      <c r="Z899" s="33"/>
      <c r="AA899" s="33"/>
      <c r="AB899" s="33"/>
    </row>
    <row r="900">
      <c r="A900" s="33"/>
      <c r="B900" s="33"/>
      <c r="C900" s="33"/>
      <c r="D900" s="43"/>
      <c r="E900" s="33"/>
      <c r="F900" s="33"/>
      <c r="G900" s="33"/>
      <c r="H900" s="33"/>
      <c r="I900" s="33"/>
      <c r="J900" s="33"/>
      <c r="K900" s="33"/>
      <c r="L900" s="33"/>
      <c r="M900" s="43"/>
      <c r="N900" s="43"/>
      <c r="O900" s="33"/>
      <c r="P900" s="33"/>
      <c r="Q900" s="33"/>
      <c r="R900" s="33"/>
      <c r="S900" s="33"/>
      <c r="T900" s="33"/>
      <c r="U900" s="33"/>
      <c r="V900" s="33"/>
      <c r="W900" s="33"/>
      <c r="X900" s="33"/>
      <c r="Y900" s="33"/>
      <c r="Z900" s="33"/>
      <c r="AA900" s="33"/>
      <c r="AB900" s="33"/>
    </row>
    <row r="901">
      <c r="A901" s="33"/>
      <c r="B901" s="33"/>
      <c r="C901" s="33"/>
      <c r="D901" s="43"/>
      <c r="E901" s="33"/>
      <c r="F901" s="33"/>
      <c r="G901" s="33"/>
      <c r="H901" s="33"/>
      <c r="I901" s="33"/>
      <c r="J901" s="33"/>
      <c r="K901" s="33"/>
      <c r="L901" s="33"/>
      <c r="M901" s="43"/>
      <c r="N901" s="43"/>
      <c r="O901" s="33"/>
      <c r="P901" s="33"/>
      <c r="Q901" s="33"/>
      <c r="R901" s="33"/>
      <c r="S901" s="33"/>
      <c r="T901" s="33"/>
      <c r="U901" s="33"/>
      <c r="V901" s="33"/>
      <c r="W901" s="33"/>
      <c r="X901" s="33"/>
      <c r="Y901" s="33"/>
      <c r="Z901" s="33"/>
      <c r="AA901" s="33"/>
      <c r="AB901" s="33"/>
    </row>
    <row r="902">
      <c r="A902" s="33"/>
      <c r="B902" s="33"/>
      <c r="C902" s="33"/>
      <c r="D902" s="43"/>
      <c r="E902" s="33"/>
      <c r="F902" s="33"/>
      <c r="G902" s="33"/>
      <c r="H902" s="33"/>
      <c r="I902" s="33"/>
      <c r="J902" s="33"/>
      <c r="K902" s="33"/>
      <c r="L902" s="33"/>
      <c r="M902" s="43"/>
      <c r="N902" s="43"/>
      <c r="O902" s="33"/>
      <c r="P902" s="33"/>
      <c r="Q902" s="33"/>
      <c r="R902" s="33"/>
      <c r="S902" s="33"/>
      <c r="T902" s="33"/>
      <c r="U902" s="33"/>
      <c r="V902" s="33"/>
      <c r="W902" s="33"/>
      <c r="X902" s="33"/>
      <c r="Y902" s="33"/>
      <c r="Z902" s="33"/>
      <c r="AA902" s="33"/>
      <c r="AB902" s="33"/>
    </row>
    <row r="903">
      <c r="A903" s="33"/>
      <c r="B903" s="33"/>
      <c r="C903" s="33"/>
      <c r="D903" s="43"/>
      <c r="E903" s="33"/>
      <c r="F903" s="33"/>
      <c r="G903" s="33"/>
      <c r="H903" s="33"/>
      <c r="I903" s="33"/>
      <c r="J903" s="33"/>
      <c r="K903" s="33"/>
      <c r="L903" s="33"/>
      <c r="M903" s="43"/>
      <c r="N903" s="43"/>
      <c r="O903" s="33"/>
      <c r="P903" s="33"/>
      <c r="Q903" s="33"/>
      <c r="R903" s="33"/>
      <c r="S903" s="33"/>
      <c r="T903" s="33"/>
      <c r="U903" s="33"/>
      <c r="V903" s="33"/>
      <c r="W903" s="33"/>
      <c r="X903" s="33"/>
      <c r="Y903" s="33"/>
      <c r="Z903" s="33"/>
      <c r="AA903" s="33"/>
      <c r="AB903" s="33"/>
    </row>
    <row r="904">
      <c r="A904" s="33"/>
      <c r="B904" s="33"/>
      <c r="C904" s="33"/>
      <c r="D904" s="43"/>
      <c r="E904" s="33"/>
      <c r="F904" s="33"/>
      <c r="G904" s="33"/>
      <c r="H904" s="33"/>
      <c r="I904" s="33"/>
      <c r="J904" s="33"/>
      <c r="K904" s="33"/>
      <c r="L904" s="33"/>
      <c r="M904" s="43"/>
      <c r="N904" s="43"/>
      <c r="O904" s="33"/>
      <c r="P904" s="33"/>
      <c r="Q904" s="33"/>
      <c r="R904" s="33"/>
      <c r="S904" s="33"/>
      <c r="T904" s="33"/>
      <c r="U904" s="33"/>
      <c r="V904" s="33"/>
      <c r="W904" s="33"/>
      <c r="X904" s="33"/>
      <c r="Y904" s="33"/>
      <c r="Z904" s="33"/>
      <c r="AA904" s="33"/>
      <c r="AB904" s="33"/>
    </row>
    <row r="905">
      <c r="A905" s="33"/>
      <c r="B905" s="33"/>
      <c r="C905" s="33"/>
      <c r="D905" s="43"/>
      <c r="E905" s="33"/>
      <c r="F905" s="33"/>
      <c r="G905" s="33"/>
      <c r="H905" s="33"/>
      <c r="I905" s="33"/>
      <c r="J905" s="33"/>
      <c r="K905" s="33"/>
      <c r="L905" s="33"/>
      <c r="M905" s="43"/>
      <c r="N905" s="43"/>
      <c r="O905" s="33"/>
      <c r="P905" s="33"/>
      <c r="Q905" s="33"/>
      <c r="R905" s="33"/>
      <c r="S905" s="33"/>
      <c r="T905" s="33"/>
      <c r="U905" s="33"/>
      <c r="V905" s="33"/>
      <c r="W905" s="33"/>
      <c r="X905" s="33"/>
      <c r="Y905" s="33"/>
      <c r="Z905" s="33"/>
      <c r="AA905" s="33"/>
      <c r="AB905" s="33"/>
    </row>
    <row r="906">
      <c r="A906" s="33"/>
      <c r="B906" s="33"/>
      <c r="C906" s="33"/>
      <c r="D906" s="43"/>
      <c r="E906" s="33"/>
      <c r="F906" s="33"/>
      <c r="G906" s="33"/>
      <c r="H906" s="33"/>
      <c r="I906" s="33"/>
      <c r="J906" s="33"/>
      <c r="K906" s="33"/>
      <c r="L906" s="33"/>
      <c r="M906" s="43"/>
      <c r="N906" s="43"/>
      <c r="O906" s="33"/>
      <c r="P906" s="33"/>
      <c r="Q906" s="33"/>
      <c r="R906" s="33"/>
      <c r="S906" s="33"/>
      <c r="T906" s="33"/>
      <c r="U906" s="33"/>
      <c r="V906" s="33"/>
      <c r="W906" s="33"/>
      <c r="X906" s="33"/>
      <c r="Y906" s="33"/>
      <c r="Z906" s="33"/>
      <c r="AA906" s="33"/>
      <c r="AB906" s="33"/>
    </row>
    <row r="907">
      <c r="A907" s="33"/>
      <c r="B907" s="33"/>
      <c r="C907" s="33"/>
      <c r="D907" s="43"/>
      <c r="E907" s="33"/>
      <c r="F907" s="33"/>
      <c r="G907" s="33"/>
      <c r="H907" s="33"/>
      <c r="I907" s="33"/>
      <c r="J907" s="33"/>
      <c r="K907" s="33"/>
      <c r="L907" s="33"/>
      <c r="M907" s="43"/>
      <c r="N907" s="43"/>
      <c r="O907" s="33"/>
      <c r="P907" s="33"/>
      <c r="Q907" s="33"/>
      <c r="R907" s="33"/>
      <c r="S907" s="33"/>
      <c r="T907" s="33"/>
      <c r="U907" s="33"/>
      <c r="V907" s="33"/>
      <c r="W907" s="33"/>
      <c r="X907" s="33"/>
      <c r="Y907" s="33"/>
      <c r="Z907" s="33"/>
      <c r="AA907" s="33"/>
      <c r="AB907" s="33"/>
    </row>
    <row r="908">
      <c r="A908" s="33"/>
      <c r="B908" s="33"/>
      <c r="C908" s="33"/>
      <c r="D908" s="43"/>
      <c r="E908" s="33"/>
      <c r="F908" s="33"/>
      <c r="G908" s="33"/>
      <c r="H908" s="33"/>
      <c r="I908" s="33"/>
      <c r="J908" s="33"/>
      <c r="K908" s="33"/>
      <c r="L908" s="33"/>
      <c r="M908" s="43"/>
      <c r="N908" s="43"/>
      <c r="O908" s="33"/>
      <c r="P908" s="33"/>
      <c r="Q908" s="33"/>
      <c r="R908" s="33"/>
      <c r="S908" s="33"/>
      <c r="T908" s="33"/>
      <c r="U908" s="33"/>
      <c r="V908" s="33"/>
      <c r="W908" s="33"/>
      <c r="X908" s="33"/>
      <c r="Y908" s="33"/>
      <c r="Z908" s="33"/>
      <c r="AA908" s="33"/>
      <c r="AB908" s="33"/>
    </row>
    <row r="909">
      <c r="A909" s="33"/>
      <c r="B909" s="33"/>
      <c r="C909" s="33"/>
      <c r="D909" s="43"/>
      <c r="E909" s="33"/>
      <c r="F909" s="33"/>
      <c r="G909" s="33"/>
      <c r="H909" s="33"/>
      <c r="I909" s="33"/>
      <c r="J909" s="33"/>
      <c r="K909" s="33"/>
      <c r="L909" s="33"/>
      <c r="M909" s="43"/>
      <c r="N909" s="43"/>
      <c r="O909" s="33"/>
      <c r="P909" s="33"/>
      <c r="Q909" s="33"/>
      <c r="R909" s="33"/>
      <c r="S909" s="33"/>
      <c r="T909" s="33"/>
      <c r="U909" s="33"/>
      <c r="V909" s="33"/>
      <c r="W909" s="33"/>
      <c r="X909" s="33"/>
      <c r="Y909" s="33"/>
      <c r="Z909" s="33"/>
      <c r="AA909" s="33"/>
      <c r="AB909" s="33"/>
    </row>
    <row r="910">
      <c r="A910" s="33"/>
      <c r="B910" s="33"/>
      <c r="C910" s="33"/>
      <c r="D910" s="43"/>
      <c r="E910" s="33"/>
      <c r="F910" s="33"/>
      <c r="G910" s="33"/>
      <c r="H910" s="33"/>
      <c r="I910" s="33"/>
      <c r="J910" s="33"/>
      <c r="K910" s="33"/>
      <c r="L910" s="33"/>
      <c r="M910" s="43"/>
      <c r="N910" s="43"/>
      <c r="O910" s="33"/>
      <c r="P910" s="33"/>
      <c r="Q910" s="33"/>
      <c r="R910" s="33"/>
      <c r="S910" s="33"/>
      <c r="T910" s="33"/>
      <c r="U910" s="33"/>
      <c r="V910" s="33"/>
      <c r="W910" s="33"/>
      <c r="X910" s="33"/>
      <c r="Y910" s="33"/>
      <c r="Z910" s="33"/>
      <c r="AA910" s="33"/>
      <c r="AB910" s="33"/>
    </row>
    <row r="911">
      <c r="A911" s="33"/>
      <c r="B911" s="33"/>
      <c r="C911" s="33"/>
      <c r="D911" s="43"/>
      <c r="E911" s="33"/>
      <c r="F911" s="33"/>
      <c r="G911" s="33"/>
      <c r="H911" s="33"/>
      <c r="I911" s="33"/>
      <c r="J911" s="33"/>
      <c r="K911" s="33"/>
      <c r="L911" s="33"/>
      <c r="M911" s="43"/>
      <c r="N911" s="43"/>
      <c r="O911" s="33"/>
      <c r="P911" s="33"/>
      <c r="Q911" s="33"/>
      <c r="R911" s="33"/>
      <c r="S911" s="33"/>
      <c r="T911" s="33"/>
      <c r="U911" s="33"/>
      <c r="V911" s="33"/>
      <c r="W911" s="33"/>
      <c r="X911" s="33"/>
      <c r="Y911" s="33"/>
      <c r="Z911" s="33"/>
      <c r="AA911" s="33"/>
      <c r="AB911" s="33"/>
    </row>
    <row r="912">
      <c r="A912" s="33"/>
      <c r="B912" s="33"/>
      <c r="C912" s="33"/>
      <c r="D912" s="43"/>
      <c r="E912" s="33"/>
      <c r="F912" s="33"/>
      <c r="G912" s="33"/>
      <c r="H912" s="33"/>
      <c r="I912" s="33"/>
      <c r="J912" s="33"/>
      <c r="K912" s="33"/>
      <c r="L912" s="33"/>
      <c r="M912" s="43"/>
      <c r="N912" s="43"/>
      <c r="O912" s="33"/>
      <c r="P912" s="33"/>
      <c r="Q912" s="33"/>
      <c r="R912" s="33"/>
      <c r="S912" s="33"/>
      <c r="T912" s="33"/>
      <c r="U912" s="33"/>
      <c r="V912" s="33"/>
      <c r="W912" s="33"/>
      <c r="X912" s="33"/>
      <c r="Y912" s="33"/>
      <c r="Z912" s="33"/>
      <c r="AA912" s="33"/>
      <c r="AB912" s="33"/>
    </row>
    <row r="913">
      <c r="A913" s="33"/>
      <c r="B913" s="33"/>
      <c r="C913" s="33"/>
      <c r="D913" s="43"/>
      <c r="E913" s="33"/>
      <c r="F913" s="33"/>
      <c r="G913" s="33"/>
      <c r="H913" s="33"/>
      <c r="I913" s="33"/>
      <c r="J913" s="33"/>
      <c r="K913" s="33"/>
      <c r="L913" s="33"/>
      <c r="M913" s="43"/>
      <c r="N913" s="43"/>
      <c r="O913" s="33"/>
      <c r="P913" s="33"/>
      <c r="Q913" s="33"/>
      <c r="R913" s="33"/>
      <c r="S913" s="33"/>
      <c r="T913" s="33"/>
      <c r="U913" s="33"/>
      <c r="V913" s="33"/>
      <c r="W913" s="33"/>
      <c r="X913" s="33"/>
      <c r="Y913" s="33"/>
      <c r="Z913" s="33"/>
      <c r="AA913" s="33"/>
      <c r="AB913" s="33"/>
    </row>
    <row r="914">
      <c r="A914" s="33"/>
      <c r="B914" s="33"/>
      <c r="C914" s="33"/>
      <c r="D914" s="43"/>
      <c r="E914" s="33"/>
      <c r="F914" s="33"/>
      <c r="G914" s="33"/>
      <c r="H914" s="33"/>
      <c r="I914" s="33"/>
      <c r="J914" s="33"/>
      <c r="K914" s="33"/>
      <c r="L914" s="33"/>
      <c r="M914" s="43"/>
      <c r="N914" s="43"/>
      <c r="O914" s="33"/>
      <c r="P914" s="33"/>
      <c r="Q914" s="33"/>
      <c r="R914" s="33"/>
      <c r="S914" s="33"/>
      <c r="T914" s="33"/>
      <c r="U914" s="33"/>
      <c r="V914" s="33"/>
      <c r="W914" s="33"/>
      <c r="X914" s="33"/>
      <c r="Y914" s="33"/>
      <c r="Z914" s="33"/>
      <c r="AA914" s="33"/>
      <c r="AB914" s="33"/>
    </row>
    <row r="915">
      <c r="A915" s="33"/>
      <c r="B915" s="33"/>
      <c r="C915" s="33"/>
      <c r="D915" s="43"/>
      <c r="E915" s="33"/>
      <c r="F915" s="33"/>
      <c r="G915" s="33"/>
      <c r="H915" s="33"/>
      <c r="I915" s="33"/>
      <c r="J915" s="33"/>
      <c r="K915" s="33"/>
      <c r="L915" s="33"/>
      <c r="M915" s="43"/>
      <c r="N915" s="43"/>
      <c r="O915" s="33"/>
      <c r="P915" s="33"/>
      <c r="Q915" s="33"/>
      <c r="R915" s="33"/>
      <c r="S915" s="33"/>
      <c r="T915" s="33"/>
      <c r="U915" s="33"/>
      <c r="V915" s="33"/>
      <c r="W915" s="33"/>
      <c r="X915" s="33"/>
      <c r="Y915" s="33"/>
      <c r="Z915" s="33"/>
      <c r="AA915" s="33"/>
      <c r="AB915" s="33"/>
    </row>
    <row r="916">
      <c r="A916" s="33"/>
      <c r="B916" s="33"/>
      <c r="C916" s="33"/>
      <c r="D916" s="43"/>
      <c r="E916" s="33"/>
      <c r="F916" s="33"/>
      <c r="G916" s="33"/>
      <c r="H916" s="33"/>
      <c r="I916" s="33"/>
      <c r="J916" s="33"/>
      <c r="K916" s="33"/>
      <c r="L916" s="33"/>
      <c r="M916" s="43"/>
      <c r="N916" s="43"/>
      <c r="O916" s="33"/>
      <c r="P916" s="33"/>
      <c r="Q916" s="33"/>
      <c r="R916" s="33"/>
      <c r="S916" s="33"/>
      <c r="T916" s="33"/>
      <c r="U916" s="33"/>
      <c r="V916" s="33"/>
      <c r="W916" s="33"/>
      <c r="X916" s="33"/>
      <c r="Y916" s="33"/>
      <c r="Z916" s="33"/>
      <c r="AA916" s="33"/>
      <c r="AB916" s="33"/>
    </row>
    <row r="917">
      <c r="A917" s="33"/>
      <c r="B917" s="33"/>
      <c r="C917" s="33"/>
      <c r="D917" s="43"/>
      <c r="E917" s="33"/>
      <c r="F917" s="33"/>
      <c r="G917" s="33"/>
      <c r="H917" s="33"/>
      <c r="I917" s="33"/>
      <c r="J917" s="33"/>
      <c r="K917" s="33"/>
      <c r="L917" s="33"/>
      <c r="M917" s="43"/>
      <c r="N917" s="43"/>
      <c r="O917" s="33"/>
      <c r="P917" s="33"/>
      <c r="Q917" s="33"/>
      <c r="R917" s="33"/>
      <c r="S917" s="33"/>
      <c r="T917" s="33"/>
      <c r="U917" s="33"/>
      <c r="V917" s="33"/>
      <c r="W917" s="33"/>
      <c r="X917" s="33"/>
      <c r="Y917" s="33"/>
      <c r="Z917" s="33"/>
      <c r="AA917" s="33"/>
      <c r="AB917" s="33"/>
    </row>
    <row r="918">
      <c r="A918" s="33"/>
      <c r="B918" s="33"/>
      <c r="C918" s="33"/>
      <c r="D918" s="43"/>
      <c r="E918" s="33"/>
      <c r="F918" s="33"/>
      <c r="G918" s="33"/>
      <c r="H918" s="33"/>
      <c r="I918" s="33"/>
      <c r="J918" s="33"/>
      <c r="K918" s="33"/>
      <c r="L918" s="33"/>
      <c r="M918" s="43"/>
      <c r="N918" s="43"/>
      <c r="O918" s="33"/>
      <c r="P918" s="33"/>
      <c r="Q918" s="33"/>
      <c r="R918" s="33"/>
      <c r="S918" s="33"/>
      <c r="T918" s="33"/>
      <c r="U918" s="33"/>
      <c r="V918" s="33"/>
      <c r="W918" s="33"/>
      <c r="X918" s="33"/>
      <c r="Y918" s="33"/>
      <c r="Z918" s="33"/>
      <c r="AA918" s="33"/>
      <c r="AB918" s="33"/>
    </row>
    <row r="919">
      <c r="A919" s="33"/>
      <c r="B919" s="33"/>
      <c r="C919" s="33"/>
      <c r="D919" s="43"/>
      <c r="E919" s="33"/>
      <c r="F919" s="33"/>
      <c r="G919" s="33"/>
      <c r="H919" s="33"/>
      <c r="I919" s="33"/>
      <c r="J919" s="33"/>
      <c r="K919" s="33"/>
      <c r="L919" s="33"/>
      <c r="M919" s="43"/>
      <c r="N919" s="43"/>
      <c r="O919" s="33"/>
      <c r="P919" s="33"/>
      <c r="Q919" s="33"/>
      <c r="R919" s="33"/>
      <c r="S919" s="33"/>
      <c r="T919" s="33"/>
      <c r="U919" s="33"/>
      <c r="V919" s="33"/>
      <c r="W919" s="33"/>
      <c r="X919" s="33"/>
      <c r="Y919" s="33"/>
      <c r="Z919" s="33"/>
      <c r="AA919" s="33"/>
      <c r="AB919" s="33"/>
    </row>
    <row r="920">
      <c r="A920" s="33"/>
      <c r="B920" s="33"/>
      <c r="C920" s="33"/>
      <c r="D920" s="43"/>
      <c r="E920" s="33"/>
      <c r="F920" s="33"/>
      <c r="G920" s="33"/>
      <c r="H920" s="33"/>
      <c r="I920" s="33"/>
      <c r="J920" s="33"/>
      <c r="K920" s="33"/>
      <c r="L920" s="33"/>
      <c r="M920" s="43"/>
      <c r="N920" s="43"/>
      <c r="O920" s="33"/>
      <c r="P920" s="33"/>
      <c r="Q920" s="33"/>
      <c r="R920" s="33"/>
      <c r="S920" s="33"/>
      <c r="T920" s="33"/>
      <c r="U920" s="33"/>
      <c r="V920" s="33"/>
      <c r="W920" s="33"/>
      <c r="X920" s="33"/>
      <c r="Y920" s="33"/>
      <c r="Z920" s="33"/>
      <c r="AA920" s="33"/>
      <c r="AB920" s="33"/>
    </row>
    <row r="921">
      <c r="A921" s="33"/>
      <c r="B921" s="33"/>
      <c r="C921" s="33"/>
      <c r="D921" s="43"/>
      <c r="E921" s="33"/>
      <c r="F921" s="33"/>
      <c r="G921" s="33"/>
      <c r="H921" s="33"/>
      <c r="I921" s="33"/>
      <c r="J921" s="33"/>
      <c r="K921" s="33"/>
      <c r="L921" s="33"/>
      <c r="M921" s="43"/>
      <c r="N921" s="43"/>
      <c r="O921" s="33"/>
      <c r="P921" s="33"/>
      <c r="Q921" s="33"/>
      <c r="R921" s="33"/>
      <c r="S921" s="33"/>
      <c r="T921" s="33"/>
      <c r="U921" s="33"/>
      <c r="V921" s="33"/>
      <c r="W921" s="33"/>
      <c r="X921" s="33"/>
      <c r="Y921" s="33"/>
      <c r="Z921" s="33"/>
      <c r="AA921" s="33"/>
      <c r="AB921" s="33"/>
    </row>
    <row r="922">
      <c r="A922" s="33"/>
      <c r="B922" s="33"/>
      <c r="C922" s="33"/>
      <c r="D922" s="43"/>
      <c r="E922" s="33"/>
      <c r="F922" s="33"/>
      <c r="G922" s="33"/>
      <c r="H922" s="33"/>
      <c r="I922" s="33"/>
      <c r="J922" s="33"/>
      <c r="K922" s="33"/>
      <c r="L922" s="33"/>
      <c r="M922" s="43"/>
      <c r="N922" s="43"/>
      <c r="O922" s="33"/>
      <c r="P922" s="33"/>
      <c r="Q922" s="33"/>
      <c r="R922" s="33"/>
      <c r="S922" s="33"/>
      <c r="T922" s="33"/>
      <c r="U922" s="33"/>
      <c r="V922" s="33"/>
      <c r="W922" s="33"/>
      <c r="X922" s="33"/>
      <c r="Y922" s="33"/>
      <c r="Z922" s="33"/>
      <c r="AA922" s="33"/>
      <c r="AB922" s="33"/>
    </row>
    <row r="923">
      <c r="A923" s="33"/>
      <c r="B923" s="33"/>
      <c r="C923" s="33"/>
      <c r="D923" s="43"/>
      <c r="E923" s="33"/>
      <c r="F923" s="33"/>
      <c r="G923" s="33"/>
      <c r="H923" s="33"/>
      <c r="I923" s="33"/>
      <c r="J923" s="33"/>
      <c r="K923" s="33"/>
      <c r="L923" s="33"/>
      <c r="M923" s="43"/>
      <c r="N923" s="43"/>
      <c r="O923" s="33"/>
      <c r="P923" s="33"/>
      <c r="Q923" s="33"/>
      <c r="R923" s="33"/>
      <c r="S923" s="33"/>
      <c r="T923" s="33"/>
      <c r="U923" s="33"/>
      <c r="V923" s="33"/>
      <c r="W923" s="33"/>
      <c r="X923" s="33"/>
      <c r="Y923" s="33"/>
      <c r="Z923" s="33"/>
      <c r="AA923" s="33"/>
      <c r="AB923" s="33"/>
    </row>
    <row r="924">
      <c r="A924" s="33"/>
      <c r="B924" s="33"/>
      <c r="C924" s="33"/>
      <c r="D924" s="43"/>
      <c r="E924" s="33"/>
      <c r="F924" s="33"/>
      <c r="G924" s="33"/>
      <c r="H924" s="33"/>
      <c r="I924" s="33"/>
      <c r="J924" s="33"/>
      <c r="K924" s="33"/>
      <c r="L924" s="33"/>
      <c r="M924" s="43"/>
      <c r="N924" s="43"/>
      <c r="O924" s="33"/>
      <c r="P924" s="33"/>
      <c r="Q924" s="33"/>
      <c r="R924" s="33"/>
      <c r="S924" s="33"/>
      <c r="T924" s="33"/>
      <c r="U924" s="33"/>
      <c r="V924" s="33"/>
      <c r="W924" s="33"/>
      <c r="X924" s="33"/>
      <c r="Y924" s="33"/>
      <c r="Z924" s="33"/>
      <c r="AA924" s="33"/>
      <c r="AB924" s="33"/>
    </row>
    <row r="925">
      <c r="A925" s="33"/>
      <c r="B925" s="33"/>
      <c r="C925" s="33"/>
      <c r="D925" s="43"/>
      <c r="E925" s="33"/>
      <c r="F925" s="33"/>
      <c r="G925" s="33"/>
      <c r="H925" s="33"/>
      <c r="I925" s="33"/>
      <c r="J925" s="33"/>
      <c r="K925" s="33"/>
      <c r="L925" s="33"/>
      <c r="M925" s="43"/>
      <c r="N925" s="43"/>
      <c r="O925" s="33"/>
      <c r="P925" s="33"/>
      <c r="Q925" s="33"/>
      <c r="R925" s="33"/>
      <c r="S925" s="33"/>
      <c r="T925" s="33"/>
      <c r="U925" s="33"/>
      <c r="V925" s="33"/>
      <c r="W925" s="33"/>
      <c r="X925" s="33"/>
      <c r="Y925" s="33"/>
      <c r="Z925" s="33"/>
      <c r="AA925" s="33"/>
      <c r="AB925" s="33"/>
    </row>
    <row r="926">
      <c r="A926" s="33"/>
      <c r="B926" s="33"/>
      <c r="C926" s="33"/>
      <c r="D926" s="43"/>
      <c r="E926" s="33"/>
      <c r="F926" s="33"/>
      <c r="G926" s="33"/>
      <c r="H926" s="33"/>
      <c r="I926" s="33"/>
      <c r="J926" s="33"/>
      <c r="K926" s="33"/>
      <c r="L926" s="33"/>
      <c r="M926" s="43"/>
      <c r="N926" s="43"/>
      <c r="O926" s="33"/>
      <c r="P926" s="33"/>
      <c r="Q926" s="33"/>
      <c r="R926" s="33"/>
      <c r="S926" s="33"/>
      <c r="T926" s="33"/>
      <c r="U926" s="33"/>
      <c r="V926" s="33"/>
      <c r="W926" s="33"/>
      <c r="X926" s="33"/>
      <c r="Y926" s="33"/>
      <c r="Z926" s="33"/>
      <c r="AA926" s="33"/>
      <c r="AB926" s="33"/>
    </row>
    <row r="927">
      <c r="A927" s="33"/>
      <c r="B927" s="33"/>
      <c r="C927" s="33"/>
      <c r="D927" s="43"/>
      <c r="E927" s="33"/>
      <c r="F927" s="33"/>
      <c r="G927" s="33"/>
      <c r="H927" s="33"/>
      <c r="I927" s="33"/>
      <c r="J927" s="33"/>
      <c r="K927" s="33"/>
      <c r="L927" s="33"/>
      <c r="M927" s="43"/>
      <c r="N927" s="43"/>
      <c r="O927" s="33"/>
      <c r="P927" s="33"/>
      <c r="Q927" s="33"/>
      <c r="R927" s="33"/>
      <c r="S927" s="33"/>
      <c r="T927" s="33"/>
      <c r="U927" s="33"/>
      <c r="V927" s="33"/>
      <c r="W927" s="33"/>
      <c r="X927" s="33"/>
      <c r="Y927" s="33"/>
      <c r="Z927" s="33"/>
      <c r="AA927" s="33"/>
      <c r="AB927" s="33"/>
    </row>
    <row r="928">
      <c r="A928" s="33"/>
      <c r="B928" s="33"/>
      <c r="C928" s="33"/>
      <c r="D928" s="43"/>
      <c r="E928" s="33"/>
      <c r="F928" s="33"/>
      <c r="G928" s="33"/>
      <c r="H928" s="33"/>
      <c r="I928" s="33"/>
      <c r="J928" s="33"/>
      <c r="K928" s="33"/>
      <c r="L928" s="33"/>
      <c r="M928" s="43"/>
      <c r="N928" s="43"/>
      <c r="O928" s="33"/>
      <c r="P928" s="33"/>
      <c r="Q928" s="33"/>
      <c r="R928" s="33"/>
      <c r="S928" s="33"/>
      <c r="T928" s="33"/>
      <c r="U928" s="33"/>
      <c r="V928" s="33"/>
      <c r="W928" s="33"/>
      <c r="X928" s="33"/>
      <c r="Y928" s="33"/>
      <c r="Z928" s="33"/>
      <c r="AA928" s="33"/>
      <c r="AB928" s="33"/>
    </row>
    <row r="929">
      <c r="A929" s="33"/>
      <c r="B929" s="33"/>
      <c r="C929" s="33"/>
      <c r="D929" s="43"/>
      <c r="E929" s="33"/>
      <c r="F929" s="33"/>
      <c r="G929" s="33"/>
      <c r="H929" s="33"/>
      <c r="I929" s="33"/>
      <c r="J929" s="33"/>
      <c r="K929" s="33"/>
      <c r="L929" s="33"/>
      <c r="M929" s="43"/>
      <c r="N929" s="43"/>
      <c r="O929" s="33"/>
      <c r="P929" s="33"/>
      <c r="Q929" s="33"/>
      <c r="R929" s="33"/>
      <c r="S929" s="33"/>
      <c r="T929" s="33"/>
      <c r="U929" s="33"/>
      <c r="V929" s="33"/>
      <c r="W929" s="33"/>
      <c r="X929" s="33"/>
      <c r="Y929" s="33"/>
      <c r="Z929" s="33"/>
      <c r="AA929" s="33"/>
      <c r="AB929" s="33"/>
    </row>
    <row r="930">
      <c r="A930" s="33"/>
      <c r="B930" s="33"/>
      <c r="C930" s="33"/>
      <c r="D930" s="43"/>
      <c r="E930" s="33"/>
      <c r="F930" s="33"/>
      <c r="G930" s="33"/>
      <c r="H930" s="33"/>
      <c r="I930" s="33"/>
      <c r="J930" s="33"/>
      <c r="K930" s="33"/>
      <c r="L930" s="33"/>
      <c r="M930" s="43"/>
      <c r="N930" s="43"/>
      <c r="O930" s="33"/>
      <c r="P930" s="33"/>
      <c r="Q930" s="33"/>
      <c r="R930" s="33"/>
      <c r="S930" s="33"/>
      <c r="T930" s="33"/>
      <c r="U930" s="33"/>
      <c r="V930" s="33"/>
      <c r="W930" s="33"/>
      <c r="X930" s="33"/>
      <c r="Y930" s="33"/>
      <c r="Z930" s="33"/>
      <c r="AA930" s="33"/>
      <c r="AB930" s="33"/>
    </row>
    <row r="931">
      <c r="A931" s="33"/>
      <c r="B931" s="33"/>
      <c r="C931" s="33"/>
      <c r="D931" s="43"/>
      <c r="E931" s="33"/>
      <c r="F931" s="33"/>
      <c r="G931" s="33"/>
      <c r="H931" s="33"/>
      <c r="I931" s="33"/>
      <c r="J931" s="33"/>
      <c r="K931" s="33"/>
      <c r="L931" s="33"/>
      <c r="M931" s="43"/>
      <c r="N931" s="43"/>
      <c r="O931" s="33"/>
      <c r="P931" s="33"/>
      <c r="Q931" s="33"/>
      <c r="R931" s="33"/>
      <c r="S931" s="33"/>
      <c r="T931" s="33"/>
      <c r="U931" s="33"/>
      <c r="V931" s="33"/>
      <c r="W931" s="33"/>
      <c r="X931" s="33"/>
      <c r="Y931" s="33"/>
      <c r="Z931" s="33"/>
      <c r="AA931" s="33"/>
      <c r="AB931" s="33"/>
    </row>
    <row r="932">
      <c r="A932" s="33"/>
      <c r="B932" s="33"/>
      <c r="C932" s="33"/>
      <c r="D932" s="43"/>
      <c r="E932" s="33"/>
      <c r="F932" s="33"/>
      <c r="G932" s="33"/>
      <c r="H932" s="33"/>
      <c r="I932" s="33"/>
      <c r="J932" s="33"/>
      <c r="K932" s="33"/>
      <c r="L932" s="33"/>
      <c r="M932" s="43"/>
      <c r="N932" s="43"/>
      <c r="O932" s="33"/>
      <c r="P932" s="33"/>
      <c r="Q932" s="33"/>
      <c r="R932" s="33"/>
      <c r="S932" s="33"/>
      <c r="T932" s="33"/>
      <c r="U932" s="33"/>
      <c r="V932" s="33"/>
      <c r="W932" s="33"/>
      <c r="X932" s="33"/>
      <c r="Y932" s="33"/>
      <c r="Z932" s="33"/>
      <c r="AA932" s="33"/>
      <c r="AB932" s="33"/>
    </row>
    <row r="933">
      <c r="A933" s="33"/>
      <c r="B933" s="33"/>
      <c r="C933" s="33"/>
      <c r="D933" s="43"/>
      <c r="E933" s="33"/>
      <c r="F933" s="33"/>
      <c r="G933" s="33"/>
      <c r="H933" s="33"/>
      <c r="I933" s="33"/>
      <c r="J933" s="33"/>
      <c r="K933" s="33"/>
      <c r="L933" s="33"/>
      <c r="M933" s="43"/>
      <c r="N933" s="43"/>
      <c r="O933" s="33"/>
      <c r="P933" s="33"/>
      <c r="Q933" s="33"/>
      <c r="R933" s="33"/>
      <c r="S933" s="33"/>
      <c r="T933" s="33"/>
      <c r="U933" s="33"/>
      <c r="V933" s="33"/>
      <c r="W933" s="33"/>
      <c r="X933" s="33"/>
      <c r="Y933" s="33"/>
      <c r="Z933" s="33"/>
      <c r="AA933" s="33"/>
      <c r="AB933" s="33"/>
    </row>
    <row r="934">
      <c r="A934" s="33"/>
      <c r="B934" s="33"/>
      <c r="C934" s="33"/>
      <c r="D934" s="43"/>
      <c r="E934" s="33"/>
      <c r="F934" s="33"/>
      <c r="G934" s="33"/>
      <c r="H934" s="33"/>
      <c r="I934" s="33"/>
      <c r="J934" s="33"/>
      <c r="K934" s="33"/>
      <c r="L934" s="33"/>
      <c r="M934" s="43"/>
      <c r="N934" s="43"/>
      <c r="O934" s="33"/>
      <c r="P934" s="33"/>
      <c r="Q934" s="33"/>
      <c r="R934" s="33"/>
      <c r="S934" s="33"/>
      <c r="T934" s="33"/>
      <c r="U934" s="33"/>
      <c r="V934" s="33"/>
      <c r="W934" s="33"/>
      <c r="X934" s="33"/>
      <c r="Y934" s="33"/>
      <c r="Z934" s="33"/>
      <c r="AA934" s="33"/>
      <c r="AB934" s="33"/>
    </row>
    <row r="935">
      <c r="A935" s="33"/>
      <c r="B935" s="33"/>
      <c r="C935" s="33"/>
      <c r="D935" s="43"/>
      <c r="E935" s="33"/>
      <c r="F935" s="33"/>
      <c r="G935" s="33"/>
      <c r="H935" s="33"/>
      <c r="I935" s="33"/>
      <c r="J935" s="33"/>
      <c r="K935" s="33"/>
      <c r="L935" s="33"/>
      <c r="M935" s="43"/>
      <c r="N935" s="43"/>
      <c r="O935" s="33"/>
      <c r="P935" s="33"/>
      <c r="Q935" s="33"/>
      <c r="R935" s="33"/>
      <c r="S935" s="33"/>
      <c r="T935" s="33"/>
      <c r="U935" s="33"/>
      <c r="V935" s="33"/>
      <c r="W935" s="33"/>
      <c r="X935" s="33"/>
      <c r="Y935" s="33"/>
      <c r="Z935" s="33"/>
      <c r="AA935" s="33"/>
      <c r="AB935" s="33"/>
    </row>
    <row r="936">
      <c r="A936" s="33"/>
      <c r="B936" s="33"/>
      <c r="C936" s="33"/>
      <c r="D936" s="43"/>
      <c r="E936" s="33"/>
      <c r="F936" s="33"/>
      <c r="G936" s="33"/>
      <c r="H936" s="33"/>
      <c r="I936" s="33"/>
      <c r="J936" s="33"/>
      <c r="K936" s="33"/>
      <c r="L936" s="33"/>
      <c r="M936" s="43"/>
      <c r="N936" s="43"/>
      <c r="O936" s="33"/>
      <c r="P936" s="33"/>
      <c r="Q936" s="33"/>
      <c r="R936" s="33"/>
      <c r="S936" s="33"/>
      <c r="T936" s="33"/>
      <c r="U936" s="33"/>
      <c r="V936" s="33"/>
      <c r="W936" s="33"/>
      <c r="X936" s="33"/>
      <c r="Y936" s="33"/>
      <c r="Z936" s="33"/>
      <c r="AA936" s="33"/>
      <c r="AB936" s="33"/>
    </row>
    <row r="937">
      <c r="A937" s="33"/>
      <c r="B937" s="33"/>
      <c r="C937" s="33"/>
      <c r="D937" s="43"/>
      <c r="E937" s="33"/>
      <c r="F937" s="33"/>
      <c r="G937" s="33"/>
      <c r="H937" s="33"/>
      <c r="I937" s="33"/>
      <c r="J937" s="33"/>
      <c r="K937" s="33"/>
      <c r="L937" s="33"/>
      <c r="M937" s="43"/>
      <c r="N937" s="43"/>
      <c r="O937" s="33"/>
      <c r="P937" s="33"/>
      <c r="Q937" s="33"/>
      <c r="R937" s="33"/>
      <c r="S937" s="33"/>
      <c r="T937" s="33"/>
      <c r="U937" s="33"/>
      <c r="V937" s="33"/>
      <c r="W937" s="33"/>
      <c r="X937" s="33"/>
      <c r="Y937" s="33"/>
      <c r="Z937" s="33"/>
      <c r="AA937" s="33"/>
      <c r="AB937" s="33"/>
    </row>
    <row r="938">
      <c r="A938" s="33"/>
      <c r="B938" s="33"/>
      <c r="C938" s="33"/>
      <c r="D938" s="43"/>
      <c r="E938" s="33"/>
      <c r="F938" s="33"/>
      <c r="G938" s="33"/>
      <c r="H938" s="33"/>
      <c r="I938" s="33"/>
      <c r="J938" s="33"/>
      <c r="K938" s="33"/>
      <c r="L938" s="33"/>
      <c r="M938" s="43"/>
      <c r="N938" s="43"/>
      <c r="O938" s="33"/>
      <c r="P938" s="33"/>
      <c r="Q938" s="33"/>
      <c r="R938" s="33"/>
      <c r="S938" s="33"/>
      <c r="T938" s="33"/>
      <c r="U938" s="33"/>
      <c r="V938" s="33"/>
      <c r="W938" s="33"/>
      <c r="X938" s="33"/>
      <c r="Y938" s="33"/>
      <c r="Z938" s="33"/>
      <c r="AA938" s="33"/>
      <c r="AB938" s="33"/>
    </row>
    <row r="939">
      <c r="A939" s="33"/>
      <c r="B939" s="33"/>
      <c r="C939" s="33"/>
      <c r="D939" s="43"/>
      <c r="E939" s="33"/>
      <c r="F939" s="33"/>
      <c r="G939" s="33"/>
      <c r="H939" s="33"/>
      <c r="I939" s="33"/>
      <c r="J939" s="33"/>
      <c r="K939" s="33"/>
      <c r="L939" s="33"/>
      <c r="M939" s="43"/>
      <c r="N939" s="43"/>
      <c r="O939" s="33"/>
      <c r="P939" s="33"/>
      <c r="Q939" s="33"/>
      <c r="R939" s="33"/>
      <c r="S939" s="33"/>
      <c r="T939" s="33"/>
      <c r="U939" s="33"/>
      <c r="V939" s="33"/>
      <c r="W939" s="33"/>
      <c r="X939" s="33"/>
      <c r="Y939" s="33"/>
      <c r="Z939" s="33"/>
      <c r="AA939" s="33"/>
      <c r="AB939" s="33"/>
    </row>
    <row r="940">
      <c r="A940" s="33"/>
      <c r="B940" s="33"/>
      <c r="C940" s="33"/>
      <c r="D940" s="43"/>
      <c r="E940" s="33"/>
      <c r="F940" s="33"/>
      <c r="G940" s="33"/>
      <c r="H940" s="33"/>
      <c r="I940" s="33"/>
      <c r="J940" s="33"/>
      <c r="K940" s="33"/>
      <c r="L940" s="33"/>
      <c r="M940" s="43"/>
      <c r="N940" s="43"/>
      <c r="O940" s="33"/>
      <c r="P940" s="33"/>
      <c r="Q940" s="33"/>
      <c r="R940" s="33"/>
      <c r="S940" s="33"/>
      <c r="T940" s="33"/>
      <c r="U940" s="33"/>
      <c r="V940" s="33"/>
      <c r="W940" s="33"/>
      <c r="X940" s="33"/>
      <c r="Y940" s="33"/>
      <c r="Z940" s="33"/>
      <c r="AA940" s="33"/>
      <c r="AB940" s="33"/>
    </row>
    <row r="941">
      <c r="A941" s="33"/>
      <c r="B941" s="33"/>
      <c r="C941" s="33"/>
      <c r="D941" s="43"/>
      <c r="E941" s="33"/>
      <c r="F941" s="33"/>
      <c r="G941" s="33"/>
      <c r="H941" s="33"/>
      <c r="I941" s="33"/>
      <c r="J941" s="33"/>
      <c r="K941" s="33"/>
      <c r="L941" s="33"/>
      <c r="M941" s="43"/>
      <c r="N941" s="43"/>
      <c r="O941" s="33"/>
      <c r="P941" s="33"/>
      <c r="Q941" s="33"/>
      <c r="R941" s="33"/>
      <c r="S941" s="33"/>
      <c r="T941" s="33"/>
      <c r="U941" s="33"/>
      <c r="V941" s="33"/>
      <c r="W941" s="33"/>
      <c r="X941" s="33"/>
      <c r="Y941" s="33"/>
      <c r="Z941" s="33"/>
      <c r="AA941" s="33"/>
      <c r="AB941" s="33"/>
    </row>
    <row r="942">
      <c r="A942" s="33"/>
      <c r="B942" s="33"/>
      <c r="C942" s="33"/>
      <c r="D942" s="43"/>
      <c r="E942" s="33"/>
      <c r="F942" s="33"/>
      <c r="G942" s="33"/>
      <c r="H942" s="33"/>
      <c r="I942" s="33"/>
      <c r="J942" s="33"/>
      <c r="K942" s="33"/>
      <c r="L942" s="33"/>
      <c r="M942" s="43"/>
      <c r="N942" s="43"/>
      <c r="O942" s="33"/>
      <c r="P942" s="33"/>
      <c r="Q942" s="33"/>
      <c r="R942" s="33"/>
      <c r="S942" s="33"/>
      <c r="T942" s="33"/>
      <c r="U942" s="33"/>
      <c r="V942" s="33"/>
      <c r="W942" s="33"/>
      <c r="X942" s="33"/>
      <c r="Y942" s="33"/>
      <c r="Z942" s="33"/>
      <c r="AA942" s="33"/>
      <c r="AB942" s="33"/>
    </row>
    <row r="943">
      <c r="A943" s="33"/>
      <c r="B943" s="33"/>
      <c r="C943" s="33"/>
      <c r="D943" s="43"/>
      <c r="E943" s="33"/>
      <c r="F943" s="33"/>
      <c r="G943" s="33"/>
      <c r="H943" s="33"/>
      <c r="I943" s="33"/>
      <c r="J943" s="33"/>
      <c r="K943" s="33"/>
      <c r="L943" s="33"/>
      <c r="M943" s="43"/>
      <c r="N943" s="43"/>
      <c r="O943" s="33"/>
      <c r="P943" s="33"/>
      <c r="Q943" s="33"/>
      <c r="R943" s="33"/>
      <c r="S943" s="33"/>
      <c r="T943" s="33"/>
      <c r="U943" s="33"/>
      <c r="V943" s="33"/>
      <c r="W943" s="33"/>
      <c r="X943" s="33"/>
      <c r="Y943" s="33"/>
      <c r="Z943" s="33"/>
      <c r="AA943" s="33"/>
      <c r="AB943" s="33"/>
    </row>
    <row r="944">
      <c r="A944" s="33"/>
      <c r="B944" s="33"/>
      <c r="C944" s="33"/>
      <c r="D944" s="43"/>
      <c r="E944" s="33"/>
      <c r="F944" s="33"/>
      <c r="G944" s="33"/>
      <c r="H944" s="33"/>
      <c r="I944" s="33"/>
      <c r="J944" s="33"/>
      <c r="K944" s="33"/>
      <c r="L944" s="33"/>
      <c r="M944" s="43"/>
      <c r="N944" s="43"/>
      <c r="O944" s="33"/>
      <c r="P944" s="33"/>
      <c r="Q944" s="33"/>
      <c r="R944" s="33"/>
      <c r="S944" s="33"/>
      <c r="T944" s="33"/>
      <c r="U944" s="33"/>
      <c r="V944" s="33"/>
      <c r="W944" s="33"/>
      <c r="X944" s="33"/>
      <c r="Y944" s="33"/>
      <c r="Z944" s="33"/>
      <c r="AA944" s="33"/>
      <c r="AB944" s="33"/>
    </row>
    <row r="945">
      <c r="A945" s="33"/>
      <c r="B945" s="33"/>
      <c r="C945" s="33"/>
      <c r="D945" s="43"/>
      <c r="E945" s="33"/>
      <c r="F945" s="33"/>
      <c r="G945" s="33"/>
      <c r="H945" s="33"/>
      <c r="I945" s="33"/>
      <c r="J945" s="33"/>
      <c r="K945" s="33"/>
      <c r="L945" s="33"/>
      <c r="M945" s="43"/>
      <c r="N945" s="43"/>
      <c r="O945" s="33"/>
      <c r="P945" s="33"/>
      <c r="Q945" s="33"/>
      <c r="R945" s="33"/>
      <c r="S945" s="33"/>
      <c r="T945" s="33"/>
      <c r="U945" s="33"/>
      <c r="V945" s="33"/>
      <c r="W945" s="33"/>
      <c r="X945" s="33"/>
      <c r="Y945" s="33"/>
      <c r="Z945" s="33"/>
      <c r="AA945" s="33"/>
      <c r="AB945" s="33"/>
    </row>
    <row r="946">
      <c r="A946" s="33"/>
      <c r="B946" s="33"/>
      <c r="C946" s="33"/>
      <c r="D946" s="43"/>
      <c r="E946" s="33"/>
      <c r="F946" s="33"/>
      <c r="G946" s="33"/>
      <c r="H946" s="33"/>
      <c r="I946" s="33"/>
      <c r="J946" s="33"/>
      <c r="K946" s="33"/>
      <c r="L946" s="33"/>
      <c r="M946" s="43"/>
      <c r="N946" s="43"/>
      <c r="O946" s="33"/>
      <c r="P946" s="33"/>
      <c r="Q946" s="33"/>
      <c r="R946" s="33"/>
      <c r="S946" s="33"/>
      <c r="T946" s="33"/>
      <c r="U946" s="33"/>
      <c r="V946" s="33"/>
      <c r="W946" s="33"/>
      <c r="X946" s="33"/>
      <c r="Y946" s="33"/>
      <c r="Z946" s="33"/>
      <c r="AA946" s="33"/>
      <c r="AB946" s="33"/>
    </row>
    <row r="947">
      <c r="A947" s="33"/>
      <c r="B947" s="33"/>
      <c r="C947" s="33"/>
      <c r="D947" s="43"/>
      <c r="E947" s="33"/>
      <c r="F947" s="33"/>
      <c r="G947" s="33"/>
      <c r="H947" s="33"/>
      <c r="I947" s="33"/>
      <c r="J947" s="33"/>
      <c r="K947" s="33"/>
      <c r="L947" s="33"/>
      <c r="M947" s="43"/>
      <c r="N947" s="43"/>
      <c r="O947" s="33"/>
      <c r="P947" s="33"/>
      <c r="Q947" s="33"/>
      <c r="R947" s="33"/>
      <c r="S947" s="33"/>
      <c r="T947" s="33"/>
      <c r="U947" s="33"/>
      <c r="V947" s="33"/>
      <c r="W947" s="33"/>
      <c r="X947" s="33"/>
      <c r="Y947" s="33"/>
      <c r="Z947" s="33"/>
      <c r="AA947" s="33"/>
      <c r="AB947" s="33"/>
    </row>
    <row r="948">
      <c r="A948" s="33"/>
      <c r="B948" s="33"/>
      <c r="C948" s="33"/>
      <c r="D948" s="43"/>
      <c r="E948" s="33"/>
      <c r="F948" s="33"/>
      <c r="G948" s="33"/>
      <c r="H948" s="33"/>
      <c r="I948" s="33"/>
      <c r="J948" s="33"/>
      <c r="K948" s="33"/>
      <c r="L948" s="33"/>
      <c r="M948" s="43"/>
      <c r="N948" s="43"/>
      <c r="O948" s="33"/>
      <c r="P948" s="33"/>
      <c r="Q948" s="33"/>
      <c r="R948" s="33"/>
      <c r="S948" s="33"/>
      <c r="T948" s="33"/>
      <c r="U948" s="33"/>
      <c r="V948" s="33"/>
      <c r="W948" s="33"/>
      <c r="X948" s="33"/>
      <c r="Y948" s="33"/>
      <c r="Z948" s="33"/>
      <c r="AA948" s="33"/>
      <c r="AB948" s="33"/>
    </row>
    <row r="949">
      <c r="A949" s="33"/>
      <c r="B949" s="33"/>
      <c r="C949" s="33"/>
      <c r="D949" s="43"/>
      <c r="E949" s="33"/>
      <c r="F949" s="33"/>
      <c r="G949" s="33"/>
      <c r="H949" s="33"/>
      <c r="I949" s="33"/>
      <c r="J949" s="33"/>
      <c r="K949" s="33"/>
      <c r="L949" s="33"/>
      <c r="M949" s="43"/>
      <c r="N949" s="43"/>
      <c r="O949" s="33"/>
      <c r="P949" s="33"/>
      <c r="Q949" s="33"/>
      <c r="R949" s="33"/>
      <c r="S949" s="33"/>
      <c r="T949" s="33"/>
      <c r="U949" s="33"/>
      <c r="V949" s="33"/>
      <c r="W949" s="33"/>
      <c r="X949" s="33"/>
      <c r="Y949" s="33"/>
      <c r="Z949" s="33"/>
      <c r="AA949" s="33"/>
      <c r="AB949" s="33"/>
    </row>
    <row r="950">
      <c r="A950" s="33"/>
      <c r="B950" s="33"/>
      <c r="C950" s="33"/>
      <c r="D950" s="43"/>
      <c r="E950" s="33"/>
      <c r="F950" s="33"/>
      <c r="G950" s="33"/>
      <c r="H950" s="33"/>
      <c r="I950" s="33"/>
      <c r="J950" s="33"/>
      <c r="K950" s="33"/>
      <c r="L950" s="33"/>
      <c r="M950" s="43"/>
      <c r="N950" s="43"/>
      <c r="O950" s="33"/>
      <c r="P950" s="33"/>
      <c r="Q950" s="33"/>
      <c r="R950" s="33"/>
      <c r="S950" s="33"/>
      <c r="T950" s="33"/>
      <c r="U950" s="33"/>
      <c r="V950" s="33"/>
      <c r="W950" s="33"/>
      <c r="X950" s="33"/>
      <c r="Y950" s="33"/>
      <c r="Z950" s="33"/>
      <c r="AA950" s="33"/>
      <c r="AB950" s="33"/>
    </row>
    <row r="951">
      <c r="A951" s="33"/>
      <c r="B951" s="33"/>
      <c r="C951" s="33"/>
      <c r="D951" s="43"/>
      <c r="E951" s="33"/>
      <c r="F951" s="33"/>
      <c r="G951" s="33"/>
      <c r="H951" s="33"/>
      <c r="I951" s="33"/>
      <c r="J951" s="33"/>
      <c r="K951" s="33"/>
      <c r="L951" s="33"/>
      <c r="M951" s="43"/>
      <c r="N951" s="43"/>
      <c r="O951" s="33"/>
      <c r="P951" s="33"/>
      <c r="Q951" s="33"/>
      <c r="R951" s="33"/>
      <c r="S951" s="33"/>
      <c r="T951" s="33"/>
      <c r="U951" s="33"/>
      <c r="V951" s="33"/>
      <c r="W951" s="33"/>
      <c r="X951" s="33"/>
      <c r="Y951" s="33"/>
      <c r="Z951" s="33"/>
      <c r="AA951" s="33"/>
      <c r="AB951" s="33"/>
    </row>
    <row r="952">
      <c r="A952" s="33"/>
      <c r="B952" s="33"/>
      <c r="C952" s="33"/>
      <c r="D952" s="43"/>
      <c r="E952" s="33"/>
      <c r="F952" s="33"/>
      <c r="G952" s="33"/>
      <c r="H952" s="33"/>
      <c r="I952" s="33"/>
      <c r="J952" s="33"/>
      <c r="K952" s="33"/>
      <c r="L952" s="33"/>
      <c r="M952" s="43"/>
      <c r="N952" s="43"/>
      <c r="O952" s="33"/>
      <c r="P952" s="33"/>
      <c r="Q952" s="33"/>
      <c r="R952" s="33"/>
      <c r="S952" s="33"/>
      <c r="T952" s="33"/>
      <c r="U952" s="33"/>
      <c r="V952" s="33"/>
      <c r="W952" s="33"/>
      <c r="X952" s="33"/>
      <c r="Y952" s="33"/>
      <c r="Z952" s="33"/>
      <c r="AA952" s="33"/>
      <c r="AB952" s="33"/>
    </row>
    <row r="953">
      <c r="A953" s="33"/>
      <c r="B953" s="33"/>
      <c r="C953" s="33"/>
      <c r="D953" s="43"/>
      <c r="E953" s="33"/>
      <c r="F953" s="33"/>
      <c r="G953" s="33"/>
      <c r="H953" s="33"/>
      <c r="I953" s="33"/>
      <c r="J953" s="33"/>
      <c r="K953" s="33"/>
      <c r="L953" s="33"/>
      <c r="M953" s="43"/>
      <c r="N953" s="43"/>
      <c r="O953" s="33"/>
      <c r="P953" s="33"/>
      <c r="Q953" s="33"/>
      <c r="R953" s="33"/>
      <c r="S953" s="33"/>
      <c r="T953" s="33"/>
      <c r="U953" s="33"/>
      <c r="V953" s="33"/>
      <c r="W953" s="33"/>
      <c r="X953" s="33"/>
      <c r="Y953" s="33"/>
      <c r="Z953" s="33"/>
      <c r="AA953" s="33"/>
      <c r="AB953" s="33"/>
    </row>
    <row r="954">
      <c r="A954" s="33"/>
      <c r="B954" s="33"/>
      <c r="C954" s="33"/>
      <c r="D954" s="43"/>
      <c r="E954" s="33"/>
      <c r="F954" s="33"/>
      <c r="G954" s="33"/>
      <c r="H954" s="33"/>
      <c r="I954" s="33"/>
      <c r="J954" s="33"/>
      <c r="K954" s="33"/>
      <c r="L954" s="33"/>
      <c r="M954" s="43"/>
      <c r="N954" s="43"/>
      <c r="O954" s="33"/>
      <c r="P954" s="33"/>
      <c r="Q954" s="33"/>
      <c r="R954" s="33"/>
      <c r="S954" s="33"/>
      <c r="T954" s="33"/>
      <c r="U954" s="33"/>
      <c r="V954" s="33"/>
      <c r="W954" s="33"/>
      <c r="X954" s="33"/>
      <c r="Y954" s="33"/>
      <c r="Z954" s="33"/>
      <c r="AA954" s="33"/>
      <c r="AB954" s="33"/>
    </row>
    <row r="955">
      <c r="A955" s="33"/>
      <c r="B955" s="33"/>
      <c r="C955" s="33"/>
      <c r="D955" s="43"/>
      <c r="E955" s="33"/>
      <c r="F955" s="33"/>
      <c r="G955" s="33"/>
      <c r="H955" s="33"/>
      <c r="I955" s="33"/>
      <c r="J955" s="33"/>
      <c r="K955" s="33"/>
      <c r="L955" s="33"/>
      <c r="M955" s="43"/>
      <c r="N955" s="43"/>
      <c r="O955" s="33"/>
      <c r="P955" s="33"/>
      <c r="Q955" s="33"/>
      <c r="R955" s="33"/>
      <c r="S955" s="33"/>
      <c r="T955" s="33"/>
      <c r="U955" s="33"/>
      <c r="V955" s="33"/>
      <c r="W955" s="33"/>
      <c r="X955" s="33"/>
      <c r="Y955" s="33"/>
      <c r="Z955" s="33"/>
      <c r="AA955" s="33"/>
      <c r="AB955" s="33"/>
    </row>
    <row r="956">
      <c r="A956" s="33"/>
      <c r="B956" s="33"/>
      <c r="C956" s="33"/>
      <c r="D956" s="43"/>
      <c r="E956" s="33"/>
      <c r="F956" s="33"/>
      <c r="G956" s="33"/>
      <c r="H956" s="33"/>
      <c r="I956" s="33"/>
      <c r="J956" s="33"/>
      <c r="K956" s="33"/>
      <c r="L956" s="33"/>
      <c r="M956" s="43"/>
      <c r="N956" s="43"/>
      <c r="O956" s="33"/>
      <c r="P956" s="33"/>
      <c r="Q956" s="33"/>
      <c r="R956" s="33"/>
      <c r="S956" s="33"/>
      <c r="T956" s="33"/>
      <c r="U956" s="33"/>
      <c r="V956" s="33"/>
      <c r="W956" s="33"/>
      <c r="X956" s="33"/>
      <c r="Y956" s="33"/>
      <c r="Z956" s="33"/>
      <c r="AA956" s="33"/>
      <c r="AB956" s="33"/>
    </row>
    <row r="957">
      <c r="A957" s="33"/>
      <c r="B957" s="33"/>
      <c r="C957" s="33"/>
      <c r="D957" s="43"/>
      <c r="E957" s="33"/>
      <c r="F957" s="33"/>
      <c r="G957" s="33"/>
      <c r="H957" s="33"/>
      <c r="I957" s="33"/>
      <c r="J957" s="33"/>
      <c r="K957" s="33"/>
      <c r="L957" s="33"/>
      <c r="M957" s="43"/>
      <c r="N957" s="43"/>
      <c r="O957" s="33"/>
      <c r="P957" s="33"/>
      <c r="Q957" s="33"/>
      <c r="R957" s="33"/>
      <c r="S957" s="33"/>
      <c r="T957" s="33"/>
      <c r="U957" s="33"/>
      <c r="V957" s="33"/>
      <c r="W957" s="33"/>
      <c r="X957" s="33"/>
      <c r="Y957" s="33"/>
      <c r="Z957" s="33"/>
      <c r="AA957" s="33"/>
      <c r="AB957" s="33"/>
    </row>
    <row r="958">
      <c r="A958" s="33"/>
      <c r="B958" s="33"/>
      <c r="C958" s="33"/>
      <c r="D958" s="43"/>
      <c r="E958" s="33"/>
      <c r="F958" s="33"/>
      <c r="G958" s="33"/>
      <c r="H958" s="33"/>
      <c r="I958" s="33"/>
      <c r="J958" s="33"/>
      <c r="K958" s="33"/>
      <c r="L958" s="33"/>
      <c r="M958" s="43"/>
      <c r="N958" s="43"/>
      <c r="O958" s="33"/>
      <c r="P958" s="33"/>
      <c r="Q958" s="33"/>
      <c r="R958" s="33"/>
      <c r="S958" s="33"/>
      <c r="T958" s="33"/>
      <c r="U958" s="33"/>
      <c r="V958" s="33"/>
      <c r="W958" s="33"/>
      <c r="X958" s="33"/>
      <c r="Y958" s="33"/>
      <c r="Z958" s="33"/>
      <c r="AA958" s="33"/>
      <c r="AB958" s="33"/>
    </row>
    <row r="959">
      <c r="A959" s="33"/>
      <c r="B959" s="33"/>
      <c r="C959" s="33"/>
      <c r="D959" s="43"/>
      <c r="E959" s="33"/>
      <c r="F959" s="33"/>
      <c r="G959" s="33"/>
      <c r="H959" s="33"/>
      <c r="I959" s="33"/>
      <c r="J959" s="33"/>
      <c r="K959" s="33"/>
      <c r="L959" s="33"/>
      <c r="M959" s="43"/>
      <c r="N959" s="43"/>
      <c r="O959" s="33"/>
      <c r="P959" s="33"/>
      <c r="Q959" s="33"/>
      <c r="R959" s="33"/>
      <c r="S959" s="33"/>
      <c r="T959" s="33"/>
      <c r="U959" s="33"/>
      <c r="V959" s="33"/>
      <c r="W959" s="33"/>
      <c r="X959" s="33"/>
      <c r="Y959" s="33"/>
      <c r="Z959" s="33"/>
      <c r="AA959" s="33"/>
      <c r="AB959" s="33"/>
    </row>
    <row r="960">
      <c r="A960" s="33"/>
      <c r="B960" s="33"/>
      <c r="C960" s="33"/>
      <c r="D960" s="43"/>
      <c r="E960" s="33"/>
      <c r="F960" s="33"/>
      <c r="G960" s="33"/>
      <c r="H960" s="33"/>
      <c r="I960" s="33"/>
      <c r="J960" s="33"/>
      <c r="K960" s="33"/>
      <c r="L960" s="33"/>
      <c r="M960" s="43"/>
      <c r="N960" s="43"/>
      <c r="O960" s="33"/>
      <c r="P960" s="33"/>
      <c r="Q960" s="33"/>
      <c r="R960" s="33"/>
      <c r="S960" s="33"/>
      <c r="T960" s="33"/>
      <c r="U960" s="33"/>
      <c r="V960" s="33"/>
      <c r="W960" s="33"/>
      <c r="X960" s="33"/>
      <c r="Y960" s="33"/>
      <c r="Z960" s="33"/>
      <c r="AA960" s="33"/>
      <c r="AB960" s="33"/>
    </row>
    <row r="961">
      <c r="A961" s="33"/>
      <c r="B961" s="33"/>
      <c r="C961" s="33"/>
      <c r="D961" s="43"/>
      <c r="E961" s="33"/>
      <c r="F961" s="33"/>
      <c r="G961" s="33"/>
      <c r="H961" s="33"/>
      <c r="I961" s="33"/>
      <c r="J961" s="33"/>
      <c r="K961" s="33"/>
      <c r="L961" s="33"/>
      <c r="M961" s="43"/>
      <c r="N961" s="43"/>
      <c r="O961" s="33"/>
      <c r="P961" s="33"/>
      <c r="Q961" s="33"/>
      <c r="R961" s="33"/>
      <c r="S961" s="33"/>
      <c r="T961" s="33"/>
      <c r="U961" s="33"/>
      <c r="V961" s="33"/>
      <c r="W961" s="33"/>
      <c r="X961" s="33"/>
      <c r="Y961" s="33"/>
      <c r="Z961" s="33"/>
      <c r="AA961" s="33"/>
      <c r="AB961" s="33"/>
    </row>
    <row r="962">
      <c r="A962" s="33"/>
      <c r="B962" s="33"/>
      <c r="C962" s="33"/>
      <c r="D962" s="43"/>
      <c r="E962" s="33"/>
      <c r="F962" s="33"/>
      <c r="G962" s="33"/>
      <c r="H962" s="33"/>
      <c r="I962" s="33"/>
      <c r="J962" s="33"/>
      <c r="K962" s="33"/>
      <c r="L962" s="33"/>
      <c r="M962" s="43"/>
      <c r="N962" s="43"/>
      <c r="O962" s="33"/>
      <c r="P962" s="33"/>
      <c r="Q962" s="33"/>
      <c r="R962" s="33"/>
      <c r="S962" s="33"/>
      <c r="T962" s="33"/>
      <c r="U962" s="33"/>
      <c r="V962" s="33"/>
      <c r="W962" s="33"/>
      <c r="X962" s="33"/>
      <c r="Y962" s="33"/>
      <c r="Z962" s="33"/>
      <c r="AA962" s="33"/>
      <c r="AB962" s="33"/>
    </row>
    <row r="963">
      <c r="A963" s="33"/>
      <c r="B963" s="33"/>
      <c r="C963" s="33"/>
      <c r="D963" s="43"/>
      <c r="E963" s="33"/>
      <c r="F963" s="33"/>
      <c r="G963" s="33"/>
      <c r="H963" s="33"/>
      <c r="I963" s="33"/>
      <c r="J963" s="33"/>
      <c r="K963" s="33"/>
      <c r="L963" s="33"/>
      <c r="M963" s="43"/>
      <c r="N963" s="43"/>
      <c r="O963" s="33"/>
      <c r="P963" s="33"/>
      <c r="Q963" s="33"/>
      <c r="R963" s="33"/>
      <c r="S963" s="33"/>
      <c r="T963" s="33"/>
      <c r="U963" s="33"/>
      <c r="V963" s="33"/>
      <c r="W963" s="33"/>
      <c r="X963" s="33"/>
      <c r="Y963" s="33"/>
      <c r="Z963" s="33"/>
      <c r="AA963" s="33"/>
      <c r="AB963" s="33"/>
    </row>
    <row r="964">
      <c r="A964" s="33"/>
      <c r="B964" s="33"/>
      <c r="C964" s="33"/>
      <c r="D964" s="43"/>
      <c r="E964" s="33"/>
      <c r="F964" s="33"/>
      <c r="G964" s="33"/>
      <c r="H964" s="33"/>
      <c r="I964" s="33"/>
      <c r="J964" s="33"/>
      <c r="K964" s="33"/>
      <c r="L964" s="33"/>
      <c r="M964" s="43"/>
      <c r="N964" s="43"/>
      <c r="O964" s="33"/>
      <c r="P964" s="33"/>
      <c r="Q964" s="33"/>
      <c r="R964" s="33"/>
      <c r="S964" s="33"/>
      <c r="T964" s="33"/>
      <c r="U964" s="33"/>
      <c r="V964" s="33"/>
      <c r="W964" s="33"/>
      <c r="X964" s="33"/>
      <c r="Y964" s="33"/>
      <c r="Z964" s="33"/>
      <c r="AA964" s="33"/>
      <c r="AB964" s="33"/>
    </row>
    <row r="965">
      <c r="A965" s="33"/>
      <c r="B965" s="33"/>
      <c r="C965" s="33"/>
      <c r="D965" s="43"/>
      <c r="E965" s="33"/>
      <c r="F965" s="33"/>
      <c r="G965" s="33"/>
      <c r="H965" s="33"/>
      <c r="I965" s="33"/>
      <c r="J965" s="33"/>
      <c r="K965" s="33"/>
      <c r="L965" s="33"/>
      <c r="M965" s="43"/>
      <c r="N965" s="43"/>
      <c r="O965" s="33"/>
      <c r="P965" s="33"/>
      <c r="Q965" s="33"/>
      <c r="R965" s="33"/>
      <c r="S965" s="33"/>
      <c r="T965" s="33"/>
      <c r="U965" s="33"/>
      <c r="V965" s="33"/>
      <c r="W965" s="33"/>
      <c r="X965" s="33"/>
      <c r="Y965" s="33"/>
      <c r="Z965" s="33"/>
      <c r="AA965" s="33"/>
      <c r="AB965" s="33"/>
    </row>
    <row r="966">
      <c r="A966" s="33"/>
      <c r="B966" s="33"/>
      <c r="C966" s="33"/>
      <c r="D966" s="43"/>
      <c r="E966" s="33"/>
      <c r="F966" s="33"/>
      <c r="G966" s="33"/>
      <c r="H966" s="33"/>
      <c r="I966" s="33"/>
      <c r="J966" s="33"/>
      <c r="K966" s="33"/>
      <c r="L966" s="33"/>
      <c r="M966" s="43"/>
      <c r="N966" s="43"/>
      <c r="O966" s="33"/>
      <c r="P966" s="33"/>
      <c r="Q966" s="33"/>
      <c r="R966" s="33"/>
      <c r="S966" s="33"/>
      <c r="T966" s="33"/>
      <c r="U966" s="33"/>
      <c r="V966" s="33"/>
      <c r="W966" s="33"/>
      <c r="X966" s="33"/>
      <c r="Y966" s="33"/>
      <c r="Z966" s="33"/>
      <c r="AA966" s="33"/>
      <c r="AB966" s="33"/>
    </row>
    <row r="967">
      <c r="A967" s="33"/>
      <c r="B967" s="33"/>
      <c r="C967" s="33"/>
      <c r="D967" s="43"/>
      <c r="E967" s="33"/>
      <c r="F967" s="33"/>
      <c r="G967" s="33"/>
      <c r="H967" s="33"/>
      <c r="I967" s="33"/>
      <c r="J967" s="33"/>
      <c r="K967" s="33"/>
      <c r="L967" s="33"/>
      <c r="M967" s="43"/>
      <c r="N967" s="43"/>
      <c r="O967" s="33"/>
      <c r="P967" s="33"/>
      <c r="Q967" s="33"/>
      <c r="R967" s="33"/>
      <c r="S967" s="33"/>
      <c r="T967" s="33"/>
      <c r="U967" s="33"/>
      <c r="V967" s="33"/>
      <c r="W967" s="33"/>
      <c r="X967" s="33"/>
      <c r="Y967" s="33"/>
      <c r="Z967" s="33"/>
      <c r="AA967" s="33"/>
      <c r="AB967" s="33"/>
    </row>
    <row r="968">
      <c r="A968" s="33"/>
      <c r="B968" s="33"/>
      <c r="C968" s="33"/>
      <c r="D968" s="43"/>
      <c r="E968" s="33"/>
      <c r="F968" s="33"/>
      <c r="G968" s="33"/>
      <c r="H968" s="33"/>
      <c r="I968" s="33"/>
      <c r="J968" s="33"/>
      <c r="K968" s="33"/>
      <c r="L968" s="33"/>
      <c r="M968" s="43"/>
      <c r="N968" s="43"/>
      <c r="O968" s="33"/>
      <c r="P968" s="33"/>
      <c r="Q968" s="33"/>
      <c r="R968" s="33"/>
      <c r="S968" s="33"/>
      <c r="T968" s="33"/>
      <c r="U968" s="33"/>
      <c r="V968" s="33"/>
      <c r="W968" s="33"/>
      <c r="X968" s="33"/>
      <c r="Y968" s="33"/>
      <c r="Z968" s="33"/>
      <c r="AA968" s="33"/>
      <c r="AB968" s="33"/>
    </row>
    <row r="969">
      <c r="A969" s="33"/>
      <c r="B969" s="33"/>
      <c r="C969" s="33"/>
      <c r="D969" s="43"/>
      <c r="E969" s="33"/>
      <c r="F969" s="33"/>
      <c r="G969" s="33"/>
      <c r="H969" s="33"/>
      <c r="I969" s="33"/>
      <c r="J969" s="33"/>
      <c r="K969" s="33"/>
      <c r="L969" s="33"/>
      <c r="M969" s="43"/>
      <c r="N969" s="43"/>
      <c r="O969" s="33"/>
      <c r="P969" s="33"/>
      <c r="Q969" s="33"/>
      <c r="R969" s="33"/>
      <c r="S969" s="33"/>
      <c r="T969" s="33"/>
      <c r="U969" s="33"/>
      <c r="V969" s="33"/>
      <c r="W969" s="33"/>
      <c r="X969" s="33"/>
      <c r="Y969" s="33"/>
      <c r="Z969" s="33"/>
      <c r="AA969" s="33"/>
      <c r="AB969" s="33"/>
    </row>
    <row r="970">
      <c r="A970" s="33"/>
      <c r="B970" s="33"/>
      <c r="C970" s="33"/>
      <c r="D970" s="43"/>
      <c r="E970" s="33"/>
      <c r="F970" s="33"/>
      <c r="G970" s="33"/>
      <c r="H970" s="33"/>
      <c r="I970" s="33"/>
      <c r="J970" s="33"/>
      <c r="K970" s="33"/>
      <c r="L970" s="33"/>
      <c r="M970" s="43"/>
      <c r="N970" s="43"/>
      <c r="O970" s="33"/>
      <c r="P970" s="33"/>
      <c r="Q970" s="33"/>
      <c r="R970" s="33"/>
      <c r="S970" s="33"/>
      <c r="T970" s="33"/>
      <c r="U970" s="33"/>
      <c r="V970" s="33"/>
      <c r="W970" s="33"/>
      <c r="X970" s="33"/>
      <c r="Y970" s="33"/>
      <c r="Z970" s="33"/>
      <c r="AA970" s="33"/>
      <c r="AB970" s="33"/>
    </row>
    <row r="971">
      <c r="A971" s="33"/>
      <c r="B971" s="33"/>
      <c r="C971" s="33"/>
      <c r="D971" s="43"/>
      <c r="E971" s="33"/>
      <c r="F971" s="33"/>
      <c r="G971" s="33"/>
      <c r="H971" s="33"/>
      <c r="I971" s="33"/>
      <c r="J971" s="33"/>
      <c r="K971" s="33"/>
      <c r="L971" s="33"/>
      <c r="M971" s="43"/>
      <c r="N971" s="43"/>
      <c r="O971" s="33"/>
      <c r="P971" s="33"/>
      <c r="Q971" s="33"/>
      <c r="R971" s="33"/>
      <c r="S971" s="33"/>
      <c r="T971" s="33"/>
      <c r="U971" s="33"/>
      <c r="V971" s="33"/>
      <c r="W971" s="33"/>
      <c r="X971" s="33"/>
      <c r="Y971" s="33"/>
      <c r="Z971" s="33"/>
      <c r="AA971" s="33"/>
      <c r="AB971" s="33"/>
    </row>
    <row r="972">
      <c r="A972" s="33"/>
      <c r="B972" s="33"/>
      <c r="C972" s="33"/>
      <c r="D972" s="43"/>
      <c r="E972" s="33"/>
      <c r="F972" s="33"/>
      <c r="G972" s="33"/>
      <c r="H972" s="33"/>
      <c r="I972" s="33"/>
      <c r="J972" s="33"/>
      <c r="K972" s="33"/>
      <c r="L972" s="33"/>
      <c r="M972" s="43"/>
      <c r="N972" s="43"/>
      <c r="O972" s="33"/>
      <c r="P972" s="33"/>
      <c r="Q972" s="33"/>
      <c r="R972" s="33"/>
      <c r="S972" s="33"/>
      <c r="T972" s="33"/>
      <c r="U972" s="33"/>
      <c r="V972" s="33"/>
      <c r="W972" s="33"/>
      <c r="X972" s="33"/>
      <c r="Y972" s="33"/>
      <c r="Z972" s="33"/>
      <c r="AA972" s="33"/>
      <c r="AB972" s="33"/>
    </row>
    <row r="973">
      <c r="A973" s="33"/>
      <c r="B973" s="33"/>
      <c r="C973" s="33"/>
      <c r="D973" s="43"/>
      <c r="E973" s="33"/>
      <c r="F973" s="33"/>
      <c r="G973" s="33"/>
      <c r="H973" s="33"/>
      <c r="I973" s="33"/>
      <c r="J973" s="33"/>
      <c r="K973" s="33"/>
      <c r="L973" s="33"/>
      <c r="M973" s="43"/>
      <c r="N973" s="43"/>
      <c r="O973" s="33"/>
      <c r="P973" s="33"/>
      <c r="Q973" s="33"/>
      <c r="R973" s="33"/>
      <c r="S973" s="33"/>
      <c r="T973" s="33"/>
      <c r="U973" s="33"/>
      <c r="V973" s="33"/>
      <c r="W973" s="33"/>
      <c r="X973" s="33"/>
      <c r="Y973" s="33"/>
      <c r="Z973" s="33"/>
      <c r="AA973" s="33"/>
      <c r="AB973" s="33"/>
    </row>
    <row r="974">
      <c r="A974" s="33"/>
      <c r="B974" s="33"/>
      <c r="C974" s="33"/>
      <c r="D974" s="43"/>
      <c r="E974" s="33"/>
      <c r="F974" s="33"/>
      <c r="G974" s="33"/>
      <c r="H974" s="33"/>
      <c r="I974" s="33"/>
      <c r="J974" s="33"/>
      <c r="K974" s="33"/>
      <c r="L974" s="33"/>
      <c r="M974" s="43"/>
      <c r="N974" s="43"/>
      <c r="O974" s="33"/>
      <c r="P974" s="33"/>
      <c r="Q974" s="33"/>
      <c r="R974" s="33"/>
      <c r="S974" s="33"/>
      <c r="T974" s="33"/>
      <c r="U974" s="33"/>
      <c r="V974" s="33"/>
      <c r="W974" s="33"/>
      <c r="X974" s="33"/>
      <c r="Y974" s="33"/>
      <c r="Z974" s="33"/>
      <c r="AA974" s="33"/>
      <c r="AB974" s="33"/>
    </row>
    <row r="975">
      <c r="A975" s="33"/>
      <c r="B975" s="33"/>
      <c r="C975" s="33"/>
      <c r="D975" s="43"/>
      <c r="E975" s="33"/>
      <c r="F975" s="33"/>
      <c r="G975" s="33"/>
      <c r="H975" s="33"/>
      <c r="I975" s="33"/>
      <c r="J975" s="33"/>
      <c r="K975" s="33"/>
      <c r="L975" s="33"/>
      <c r="M975" s="43"/>
      <c r="N975" s="43"/>
      <c r="O975" s="33"/>
      <c r="P975" s="33"/>
      <c r="Q975" s="33"/>
      <c r="R975" s="33"/>
      <c r="S975" s="33"/>
      <c r="T975" s="33"/>
      <c r="U975" s="33"/>
      <c r="V975" s="33"/>
      <c r="W975" s="33"/>
      <c r="X975" s="33"/>
      <c r="Y975" s="33"/>
      <c r="Z975" s="33"/>
      <c r="AA975" s="33"/>
      <c r="AB975" s="33"/>
    </row>
    <row r="976">
      <c r="A976" s="33"/>
      <c r="B976" s="33"/>
      <c r="C976" s="33"/>
      <c r="D976" s="43"/>
      <c r="E976" s="33"/>
      <c r="F976" s="33"/>
      <c r="G976" s="33"/>
      <c r="H976" s="33"/>
      <c r="I976" s="33"/>
      <c r="J976" s="33"/>
      <c r="K976" s="33"/>
      <c r="L976" s="33"/>
      <c r="M976" s="43"/>
      <c r="N976" s="43"/>
      <c r="O976" s="33"/>
      <c r="P976" s="33"/>
      <c r="Q976" s="33"/>
      <c r="R976" s="33"/>
      <c r="S976" s="33"/>
      <c r="T976" s="33"/>
      <c r="U976" s="33"/>
      <c r="V976" s="33"/>
      <c r="W976" s="33"/>
      <c r="X976" s="33"/>
      <c r="Y976" s="33"/>
      <c r="Z976" s="33"/>
      <c r="AA976" s="33"/>
      <c r="AB976" s="33"/>
    </row>
    <row r="977">
      <c r="A977" s="33"/>
      <c r="B977" s="33"/>
      <c r="C977" s="33"/>
      <c r="D977" s="43"/>
      <c r="E977" s="33"/>
      <c r="F977" s="33"/>
      <c r="G977" s="33"/>
      <c r="H977" s="33"/>
      <c r="I977" s="33"/>
      <c r="J977" s="33"/>
      <c r="K977" s="33"/>
      <c r="L977" s="33"/>
      <c r="M977" s="43"/>
      <c r="N977" s="43"/>
      <c r="O977" s="33"/>
      <c r="P977" s="33"/>
      <c r="Q977" s="33"/>
      <c r="R977" s="33"/>
      <c r="S977" s="33"/>
      <c r="T977" s="33"/>
      <c r="U977" s="33"/>
      <c r="V977" s="33"/>
      <c r="W977" s="33"/>
      <c r="X977" s="33"/>
      <c r="Y977" s="33"/>
      <c r="Z977" s="33"/>
      <c r="AA977" s="33"/>
      <c r="AB977" s="33"/>
    </row>
    <row r="978">
      <c r="A978" s="33"/>
      <c r="B978" s="33"/>
      <c r="C978" s="33"/>
      <c r="D978" s="43"/>
      <c r="E978" s="33"/>
      <c r="F978" s="33"/>
      <c r="G978" s="33"/>
      <c r="H978" s="33"/>
      <c r="I978" s="33"/>
      <c r="J978" s="33"/>
      <c r="K978" s="33"/>
      <c r="L978" s="33"/>
      <c r="M978" s="43"/>
      <c r="N978" s="43"/>
      <c r="O978" s="33"/>
      <c r="P978" s="33"/>
      <c r="Q978" s="33"/>
      <c r="R978" s="33"/>
      <c r="S978" s="33"/>
      <c r="T978" s="33"/>
      <c r="U978" s="33"/>
      <c r="V978" s="33"/>
      <c r="W978" s="33"/>
      <c r="X978" s="33"/>
      <c r="Y978" s="33"/>
      <c r="Z978" s="33"/>
      <c r="AA978" s="33"/>
      <c r="AB978" s="33"/>
    </row>
    <row r="979">
      <c r="A979" s="33"/>
      <c r="B979" s="33"/>
      <c r="C979" s="33"/>
      <c r="D979" s="43"/>
      <c r="E979" s="33"/>
      <c r="F979" s="33"/>
      <c r="G979" s="33"/>
      <c r="H979" s="33"/>
      <c r="I979" s="33"/>
      <c r="J979" s="33"/>
      <c r="K979" s="33"/>
      <c r="L979" s="33"/>
      <c r="M979" s="43"/>
      <c r="N979" s="43"/>
      <c r="O979" s="33"/>
      <c r="P979" s="33"/>
      <c r="Q979" s="33"/>
      <c r="R979" s="33"/>
      <c r="S979" s="33"/>
      <c r="T979" s="33"/>
      <c r="U979" s="33"/>
      <c r="V979" s="33"/>
      <c r="W979" s="33"/>
      <c r="X979" s="33"/>
      <c r="Y979" s="33"/>
      <c r="Z979" s="33"/>
      <c r="AA979" s="33"/>
      <c r="AB979" s="33"/>
    </row>
    <row r="980">
      <c r="A980" s="33"/>
      <c r="B980" s="33"/>
      <c r="C980" s="33"/>
      <c r="D980" s="43"/>
      <c r="E980" s="33"/>
      <c r="F980" s="33"/>
      <c r="G980" s="33"/>
      <c r="H980" s="33"/>
      <c r="I980" s="33"/>
      <c r="J980" s="33"/>
      <c r="K980" s="33"/>
      <c r="L980" s="33"/>
      <c r="M980" s="43"/>
      <c r="N980" s="43"/>
      <c r="O980" s="33"/>
      <c r="P980" s="33"/>
      <c r="Q980" s="33"/>
      <c r="R980" s="33"/>
      <c r="S980" s="33"/>
      <c r="T980" s="33"/>
      <c r="U980" s="33"/>
      <c r="V980" s="33"/>
      <c r="W980" s="33"/>
      <c r="X980" s="33"/>
      <c r="Y980" s="33"/>
      <c r="Z980" s="33"/>
      <c r="AA980" s="33"/>
      <c r="AB980" s="33"/>
    </row>
    <row r="981">
      <c r="A981" s="33"/>
      <c r="B981" s="33"/>
      <c r="C981" s="33"/>
      <c r="D981" s="43"/>
      <c r="E981" s="33"/>
      <c r="F981" s="33"/>
      <c r="G981" s="33"/>
      <c r="H981" s="33"/>
      <c r="I981" s="33"/>
      <c r="J981" s="33"/>
      <c r="K981" s="33"/>
      <c r="L981" s="33"/>
      <c r="M981" s="43"/>
      <c r="N981" s="43"/>
      <c r="O981" s="33"/>
      <c r="P981" s="33"/>
      <c r="Q981" s="33"/>
      <c r="R981" s="33"/>
      <c r="S981" s="33"/>
      <c r="T981" s="33"/>
      <c r="U981" s="33"/>
      <c r="V981" s="33"/>
      <c r="W981" s="33"/>
      <c r="X981" s="33"/>
      <c r="Y981" s="33"/>
      <c r="Z981" s="33"/>
      <c r="AA981" s="33"/>
      <c r="AB981" s="33"/>
    </row>
    <row r="982">
      <c r="A982" s="33"/>
      <c r="B982" s="33"/>
      <c r="C982" s="33"/>
      <c r="D982" s="43"/>
      <c r="E982" s="33"/>
      <c r="F982" s="33"/>
      <c r="G982" s="33"/>
      <c r="H982" s="33"/>
      <c r="I982" s="33"/>
      <c r="J982" s="33"/>
      <c r="K982" s="33"/>
      <c r="L982" s="33"/>
      <c r="M982" s="43"/>
      <c r="N982" s="43"/>
      <c r="O982" s="33"/>
      <c r="P982" s="33"/>
      <c r="Q982" s="33"/>
      <c r="R982" s="33"/>
      <c r="S982" s="33"/>
      <c r="T982" s="33"/>
      <c r="U982" s="33"/>
      <c r="V982" s="33"/>
      <c r="W982" s="33"/>
      <c r="X982" s="33"/>
      <c r="Y982" s="33"/>
      <c r="Z982" s="33"/>
      <c r="AA982" s="33"/>
      <c r="AB982" s="33"/>
    </row>
    <row r="983">
      <c r="A983" s="33"/>
      <c r="B983" s="33"/>
      <c r="C983" s="33"/>
      <c r="D983" s="43"/>
      <c r="E983" s="33"/>
      <c r="F983" s="33"/>
      <c r="G983" s="33"/>
      <c r="H983" s="33"/>
      <c r="I983" s="33"/>
      <c r="J983" s="33"/>
      <c r="K983" s="33"/>
      <c r="L983" s="33"/>
      <c r="M983" s="43"/>
      <c r="N983" s="43"/>
      <c r="O983" s="33"/>
      <c r="P983" s="33"/>
      <c r="Q983" s="33"/>
      <c r="R983" s="33"/>
      <c r="S983" s="33"/>
      <c r="T983" s="33"/>
      <c r="U983" s="33"/>
      <c r="V983" s="33"/>
      <c r="W983" s="33"/>
      <c r="X983" s="33"/>
      <c r="Y983" s="33"/>
      <c r="Z983" s="33"/>
      <c r="AA983" s="33"/>
      <c r="AB983" s="33"/>
    </row>
    <row r="984">
      <c r="A984" s="33"/>
      <c r="B984" s="33"/>
      <c r="C984" s="33"/>
      <c r="D984" s="43"/>
      <c r="E984" s="33"/>
      <c r="F984" s="33"/>
      <c r="G984" s="33"/>
      <c r="H984" s="33"/>
      <c r="I984" s="33"/>
      <c r="J984" s="33"/>
      <c r="K984" s="33"/>
      <c r="L984" s="33"/>
      <c r="M984" s="43"/>
      <c r="N984" s="43"/>
      <c r="O984" s="33"/>
      <c r="P984" s="33"/>
      <c r="Q984" s="33"/>
      <c r="R984" s="33"/>
      <c r="S984" s="33"/>
      <c r="T984" s="33"/>
      <c r="U984" s="33"/>
      <c r="V984" s="33"/>
      <c r="W984" s="33"/>
      <c r="X984" s="33"/>
      <c r="Y984" s="33"/>
      <c r="Z984" s="33"/>
      <c r="AA984" s="33"/>
      <c r="AB984" s="33"/>
    </row>
    <row r="985">
      <c r="A985" s="33"/>
      <c r="B985" s="33"/>
      <c r="C985" s="33"/>
      <c r="D985" s="43"/>
      <c r="E985" s="33"/>
      <c r="F985" s="33"/>
      <c r="G985" s="33"/>
      <c r="H985" s="33"/>
      <c r="I985" s="33"/>
      <c r="J985" s="33"/>
      <c r="K985" s="33"/>
      <c r="L985" s="33"/>
      <c r="M985" s="43"/>
      <c r="N985" s="43"/>
      <c r="O985" s="33"/>
      <c r="P985" s="33"/>
      <c r="Q985" s="33"/>
      <c r="R985" s="33"/>
      <c r="S985" s="33"/>
      <c r="T985" s="33"/>
      <c r="U985" s="33"/>
      <c r="V985" s="33"/>
      <c r="W985" s="33"/>
      <c r="X985" s="33"/>
      <c r="Y985" s="33"/>
      <c r="Z985" s="33"/>
      <c r="AA985" s="33"/>
      <c r="AB985" s="33"/>
    </row>
    <row r="986">
      <c r="A986" s="33"/>
      <c r="B986" s="33"/>
      <c r="C986" s="33"/>
      <c r="D986" s="43"/>
      <c r="E986" s="33"/>
      <c r="F986" s="33"/>
      <c r="G986" s="33"/>
      <c r="H986" s="33"/>
      <c r="I986" s="33"/>
      <c r="J986" s="33"/>
      <c r="K986" s="33"/>
      <c r="L986" s="33"/>
      <c r="M986" s="43"/>
      <c r="N986" s="43"/>
      <c r="O986" s="33"/>
      <c r="P986" s="33"/>
      <c r="Q986" s="33"/>
      <c r="R986" s="33"/>
      <c r="S986" s="33"/>
      <c r="T986" s="33"/>
      <c r="U986" s="33"/>
      <c r="V986" s="33"/>
      <c r="W986" s="33"/>
      <c r="X986" s="33"/>
      <c r="Y986" s="33"/>
      <c r="Z986" s="33"/>
      <c r="AA986" s="33"/>
      <c r="AB986" s="33"/>
    </row>
    <row r="987">
      <c r="A987" s="33"/>
      <c r="B987" s="33"/>
      <c r="C987" s="33"/>
      <c r="D987" s="43"/>
      <c r="E987" s="33"/>
      <c r="F987" s="33"/>
      <c r="G987" s="33"/>
      <c r="H987" s="33"/>
      <c r="I987" s="33"/>
      <c r="J987" s="33"/>
      <c r="K987" s="33"/>
      <c r="L987" s="33"/>
      <c r="M987" s="43"/>
      <c r="N987" s="43"/>
      <c r="O987" s="33"/>
      <c r="P987" s="33"/>
      <c r="Q987" s="33"/>
      <c r="R987" s="33"/>
      <c r="S987" s="33"/>
      <c r="T987" s="33"/>
      <c r="U987" s="33"/>
      <c r="V987" s="33"/>
      <c r="W987" s="33"/>
      <c r="X987" s="33"/>
      <c r="Y987" s="33"/>
      <c r="Z987" s="33"/>
      <c r="AA987" s="33"/>
      <c r="AB987" s="33"/>
    </row>
    <row r="988">
      <c r="A988" s="33"/>
      <c r="B988" s="33"/>
      <c r="C988" s="33"/>
      <c r="D988" s="43"/>
      <c r="E988" s="33"/>
      <c r="F988" s="33"/>
      <c r="G988" s="33"/>
      <c r="H988" s="33"/>
      <c r="I988" s="33"/>
      <c r="J988" s="33"/>
      <c r="K988" s="33"/>
      <c r="L988" s="33"/>
      <c r="M988" s="43"/>
      <c r="N988" s="43"/>
      <c r="O988" s="33"/>
      <c r="P988" s="33"/>
      <c r="Q988" s="33"/>
      <c r="R988" s="33"/>
      <c r="S988" s="33"/>
      <c r="T988" s="33"/>
      <c r="U988" s="33"/>
      <c r="V988" s="33"/>
      <c r="W988" s="33"/>
      <c r="X988" s="33"/>
      <c r="Y988" s="33"/>
      <c r="Z988" s="33"/>
      <c r="AA988" s="33"/>
      <c r="AB988" s="33"/>
    </row>
    <row r="989">
      <c r="A989" s="33"/>
      <c r="B989" s="33"/>
      <c r="C989" s="33"/>
      <c r="D989" s="43"/>
      <c r="E989" s="33"/>
      <c r="F989" s="33"/>
      <c r="G989" s="33"/>
      <c r="H989" s="33"/>
      <c r="I989" s="33"/>
      <c r="J989" s="33"/>
      <c r="K989" s="33"/>
      <c r="L989" s="33"/>
      <c r="M989" s="43"/>
      <c r="N989" s="43"/>
      <c r="O989" s="33"/>
      <c r="P989" s="33"/>
      <c r="Q989" s="33"/>
      <c r="R989" s="33"/>
      <c r="S989" s="33"/>
      <c r="T989" s="33"/>
      <c r="U989" s="33"/>
      <c r="V989" s="33"/>
      <c r="W989" s="33"/>
      <c r="X989" s="33"/>
      <c r="Y989" s="33"/>
      <c r="Z989" s="33"/>
      <c r="AA989" s="33"/>
      <c r="AB989" s="33"/>
    </row>
    <row r="990">
      <c r="A990" s="33"/>
      <c r="B990" s="33"/>
      <c r="C990" s="33"/>
      <c r="D990" s="43"/>
      <c r="E990" s="33"/>
      <c r="F990" s="33"/>
      <c r="G990" s="33"/>
      <c r="H990" s="33"/>
      <c r="I990" s="33"/>
      <c r="J990" s="33"/>
      <c r="K990" s="33"/>
      <c r="L990" s="33"/>
      <c r="M990" s="43"/>
      <c r="N990" s="43"/>
      <c r="O990" s="33"/>
      <c r="P990" s="33"/>
      <c r="Q990" s="33"/>
      <c r="R990" s="33"/>
      <c r="S990" s="33"/>
      <c r="T990" s="33"/>
      <c r="U990" s="33"/>
      <c r="V990" s="33"/>
      <c r="W990" s="33"/>
      <c r="X990" s="33"/>
      <c r="Y990" s="33"/>
      <c r="Z990" s="33"/>
      <c r="AA990" s="33"/>
      <c r="AB990" s="33"/>
    </row>
    <row r="991">
      <c r="A991" s="33"/>
      <c r="B991" s="33"/>
      <c r="C991" s="33"/>
      <c r="D991" s="43"/>
      <c r="E991" s="33"/>
      <c r="F991" s="33"/>
      <c r="G991" s="33"/>
      <c r="H991" s="33"/>
      <c r="I991" s="33"/>
      <c r="J991" s="33"/>
      <c r="K991" s="33"/>
      <c r="L991" s="33"/>
      <c r="M991" s="43"/>
      <c r="N991" s="43"/>
      <c r="O991" s="33"/>
      <c r="P991" s="33"/>
      <c r="Q991" s="33"/>
      <c r="R991" s="33"/>
      <c r="S991" s="33"/>
      <c r="T991" s="33"/>
      <c r="U991" s="33"/>
      <c r="V991" s="33"/>
      <c r="W991" s="33"/>
      <c r="X991" s="33"/>
      <c r="Y991" s="33"/>
      <c r="Z991" s="33"/>
      <c r="AA991" s="33"/>
      <c r="AB991" s="33"/>
    </row>
    <row r="992">
      <c r="A992" s="33"/>
      <c r="B992" s="33"/>
      <c r="C992" s="33"/>
      <c r="D992" s="43"/>
      <c r="E992" s="33"/>
      <c r="F992" s="33"/>
      <c r="G992" s="33"/>
      <c r="H992" s="33"/>
      <c r="I992" s="33"/>
      <c r="J992" s="33"/>
      <c r="K992" s="33"/>
      <c r="L992" s="33"/>
      <c r="M992" s="43"/>
      <c r="N992" s="43"/>
      <c r="O992" s="33"/>
      <c r="P992" s="33"/>
      <c r="Q992" s="33"/>
      <c r="R992" s="33"/>
      <c r="S992" s="33"/>
      <c r="T992" s="33"/>
      <c r="U992" s="33"/>
      <c r="V992" s="33"/>
      <c r="W992" s="33"/>
      <c r="X992" s="33"/>
      <c r="Y992" s="33"/>
      <c r="Z992" s="33"/>
      <c r="AA992" s="33"/>
      <c r="AB992" s="33"/>
    </row>
    <row r="993">
      <c r="A993" s="33"/>
      <c r="B993" s="33"/>
      <c r="C993" s="33"/>
      <c r="D993" s="43"/>
      <c r="E993" s="33"/>
      <c r="F993" s="33"/>
      <c r="G993" s="33"/>
      <c r="H993" s="33"/>
      <c r="I993" s="33"/>
      <c r="J993" s="33"/>
      <c r="K993" s="33"/>
      <c r="L993" s="33"/>
      <c r="M993" s="43"/>
      <c r="N993" s="43"/>
      <c r="O993" s="33"/>
      <c r="P993" s="33"/>
      <c r="Q993" s="33"/>
      <c r="R993" s="33"/>
      <c r="S993" s="33"/>
      <c r="T993" s="33"/>
      <c r="U993" s="33"/>
      <c r="V993" s="33"/>
      <c r="W993" s="33"/>
      <c r="X993" s="33"/>
      <c r="Y993" s="33"/>
      <c r="Z993" s="33"/>
      <c r="AA993" s="33"/>
      <c r="AB993" s="33"/>
    </row>
    <row r="994">
      <c r="A994" s="33"/>
      <c r="B994" s="33"/>
      <c r="C994" s="33"/>
      <c r="D994" s="43"/>
      <c r="E994" s="33"/>
      <c r="F994" s="33"/>
      <c r="G994" s="33"/>
      <c r="H994" s="33"/>
      <c r="I994" s="33"/>
      <c r="J994" s="33"/>
      <c r="K994" s="33"/>
      <c r="L994" s="33"/>
      <c r="M994" s="43"/>
      <c r="N994" s="43"/>
      <c r="O994" s="33"/>
      <c r="P994" s="33"/>
      <c r="Q994" s="33"/>
      <c r="R994" s="33"/>
      <c r="S994" s="33"/>
      <c r="T994" s="33"/>
      <c r="U994" s="33"/>
      <c r="V994" s="33"/>
      <c r="W994" s="33"/>
      <c r="X994" s="33"/>
      <c r="Y994" s="33"/>
      <c r="Z994" s="33"/>
      <c r="AA994" s="33"/>
      <c r="AB994" s="33"/>
    </row>
    <row r="995">
      <c r="A995" s="33"/>
      <c r="B995" s="33"/>
      <c r="C995" s="33"/>
      <c r="D995" s="43"/>
      <c r="E995" s="33"/>
      <c r="F995" s="33"/>
      <c r="G995" s="33"/>
      <c r="H995" s="33"/>
      <c r="I995" s="33"/>
      <c r="J995" s="33"/>
      <c r="K995" s="33"/>
      <c r="L995" s="33"/>
      <c r="M995" s="43"/>
      <c r="N995" s="43"/>
      <c r="O995" s="33"/>
      <c r="P995" s="33"/>
      <c r="Q995" s="33"/>
      <c r="R995" s="33"/>
      <c r="S995" s="33"/>
      <c r="T995" s="33"/>
      <c r="U995" s="33"/>
      <c r="V995" s="33"/>
      <c r="W995" s="33"/>
      <c r="X995" s="33"/>
      <c r="Y995" s="33"/>
      <c r="Z995" s="33"/>
      <c r="AA995" s="33"/>
      <c r="AB995" s="33"/>
    </row>
    <row r="996">
      <c r="A996" s="33"/>
      <c r="B996" s="33"/>
      <c r="C996" s="33"/>
      <c r="D996" s="43"/>
      <c r="E996" s="33"/>
      <c r="F996" s="33"/>
      <c r="G996" s="33"/>
      <c r="H996" s="33"/>
      <c r="I996" s="33"/>
      <c r="J996" s="33"/>
      <c r="K996" s="33"/>
      <c r="L996" s="33"/>
      <c r="M996" s="43"/>
      <c r="N996" s="43"/>
      <c r="O996" s="33"/>
      <c r="P996" s="33"/>
      <c r="Q996" s="33"/>
      <c r="R996" s="33"/>
      <c r="S996" s="33"/>
      <c r="T996" s="33"/>
      <c r="U996" s="33"/>
      <c r="V996" s="33"/>
      <c r="W996" s="33"/>
      <c r="X996" s="33"/>
      <c r="Y996" s="33"/>
      <c r="Z996" s="33"/>
      <c r="AA996" s="33"/>
      <c r="AB996" s="33"/>
    </row>
    <row r="997">
      <c r="A997" s="33"/>
      <c r="B997" s="33"/>
      <c r="C997" s="33"/>
      <c r="D997" s="43"/>
      <c r="E997" s="33"/>
      <c r="F997" s="33"/>
      <c r="G997" s="33"/>
      <c r="H997" s="33"/>
      <c r="I997" s="33"/>
      <c r="J997" s="33"/>
      <c r="K997" s="33"/>
      <c r="L997" s="33"/>
      <c r="M997" s="43"/>
      <c r="N997" s="43"/>
      <c r="O997" s="33"/>
      <c r="P997" s="33"/>
      <c r="Q997" s="33"/>
      <c r="R997" s="33"/>
      <c r="S997" s="33"/>
      <c r="T997" s="33"/>
      <c r="U997" s="33"/>
      <c r="V997" s="33"/>
      <c r="W997" s="33"/>
      <c r="X997" s="33"/>
      <c r="Y997" s="33"/>
      <c r="Z997" s="33"/>
      <c r="AA997" s="33"/>
      <c r="AB997" s="33"/>
    </row>
    <row r="998">
      <c r="A998" s="33"/>
      <c r="B998" s="33"/>
      <c r="C998" s="33"/>
      <c r="D998" s="43"/>
      <c r="E998" s="33"/>
      <c r="F998" s="33"/>
      <c r="G998" s="33"/>
      <c r="H998" s="33"/>
      <c r="I998" s="33"/>
      <c r="J998" s="33"/>
      <c r="K998" s="33"/>
      <c r="L998" s="33"/>
      <c r="M998" s="43"/>
      <c r="N998" s="43"/>
      <c r="O998" s="33"/>
      <c r="P998" s="33"/>
      <c r="Q998" s="33"/>
      <c r="R998" s="33"/>
      <c r="S998" s="33"/>
      <c r="T998" s="33"/>
      <c r="U998" s="33"/>
      <c r="V998" s="33"/>
      <c r="W998" s="33"/>
      <c r="X998" s="33"/>
      <c r="Y998" s="33"/>
      <c r="Z998" s="33"/>
      <c r="AA998" s="33"/>
      <c r="AB998" s="33"/>
    </row>
    <row r="999">
      <c r="A999" s="33"/>
      <c r="B999" s="33"/>
      <c r="C999" s="33"/>
      <c r="D999" s="43"/>
      <c r="E999" s="33"/>
      <c r="F999" s="33"/>
      <c r="G999" s="33"/>
      <c r="H999" s="33"/>
      <c r="I999" s="33"/>
      <c r="J999" s="33"/>
      <c r="K999" s="33"/>
      <c r="L999" s="33"/>
      <c r="M999" s="43"/>
      <c r="N999" s="43"/>
      <c r="O999" s="33"/>
      <c r="P999" s="33"/>
      <c r="Q999" s="33"/>
      <c r="R999" s="33"/>
      <c r="S999" s="33"/>
      <c r="T999" s="33"/>
      <c r="U999" s="33"/>
      <c r="V999" s="33"/>
      <c r="W999" s="33"/>
      <c r="X999" s="33"/>
      <c r="Y999" s="33"/>
      <c r="Z999" s="33"/>
      <c r="AA999" s="33"/>
      <c r="AB999" s="33"/>
    </row>
    <row r="1000">
      <c r="A1000" s="33"/>
      <c r="B1000" s="33"/>
      <c r="C1000" s="33"/>
      <c r="D1000" s="43"/>
      <c r="E1000" s="33"/>
      <c r="F1000" s="33"/>
      <c r="G1000" s="33"/>
      <c r="H1000" s="33"/>
      <c r="I1000" s="33"/>
      <c r="J1000" s="33"/>
      <c r="K1000" s="33"/>
      <c r="L1000" s="33"/>
      <c r="M1000" s="43"/>
      <c r="N1000" s="43"/>
      <c r="O1000" s="33"/>
      <c r="P1000" s="33"/>
      <c r="Q1000" s="33"/>
      <c r="R1000" s="33"/>
      <c r="S1000" s="33"/>
      <c r="T1000" s="33"/>
      <c r="U1000" s="33"/>
      <c r="V1000" s="33"/>
      <c r="W1000" s="33"/>
      <c r="X1000" s="33"/>
      <c r="Y1000" s="33"/>
      <c r="Z1000" s="33"/>
      <c r="AA1000" s="33"/>
      <c r="AB1000" s="33"/>
    </row>
    <row r="1001">
      <c r="A1001" s="33"/>
      <c r="B1001" s="33"/>
      <c r="C1001" s="33"/>
      <c r="D1001" s="43"/>
      <c r="E1001" s="33"/>
      <c r="F1001" s="33"/>
      <c r="G1001" s="33"/>
      <c r="H1001" s="33"/>
      <c r="I1001" s="33"/>
      <c r="J1001" s="33"/>
      <c r="K1001" s="33"/>
      <c r="L1001" s="33"/>
      <c r="M1001" s="43"/>
      <c r="N1001" s="43"/>
      <c r="O1001" s="33"/>
      <c r="P1001" s="33"/>
      <c r="Q1001" s="33"/>
      <c r="R1001" s="33"/>
      <c r="S1001" s="33"/>
      <c r="T1001" s="33"/>
      <c r="U1001" s="33"/>
      <c r="V1001" s="33"/>
      <c r="W1001" s="33"/>
      <c r="X1001" s="33"/>
      <c r="Y1001" s="33"/>
      <c r="Z1001" s="33"/>
      <c r="AA1001" s="33"/>
      <c r="AB1001" s="33"/>
    </row>
    <row r="1002">
      <c r="A1002" s="33"/>
      <c r="B1002" s="33"/>
      <c r="C1002" s="33"/>
      <c r="D1002" s="43"/>
      <c r="E1002" s="33"/>
      <c r="F1002" s="33"/>
      <c r="G1002" s="33"/>
      <c r="H1002" s="33"/>
      <c r="I1002" s="33"/>
      <c r="J1002" s="33"/>
      <c r="K1002" s="33"/>
      <c r="L1002" s="33"/>
      <c r="M1002" s="43"/>
      <c r="N1002" s="43"/>
      <c r="O1002" s="33"/>
      <c r="P1002" s="33"/>
      <c r="Q1002" s="33"/>
      <c r="R1002" s="33"/>
      <c r="S1002" s="33"/>
      <c r="T1002" s="33"/>
      <c r="U1002" s="33"/>
      <c r="V1002" s="33"/>
      <c r="W1002" s="33"/>
      <c r="X1002" s="33"/>
      <c r="Y1002" s="33"/>
      <c r="Z1002" s="33"/>
      <c r="AA1002" s="33"/>
      <c r="AB1002" s="33"/>
    </row>
    <row r="1003">
      <c r="A1003" s="33"/>
      <c r="B1003" s="33"/>
      <c r="C1003" s="33"/>
      <c r="D1003" s="43"/>
      <c r="E1003" s="33"/>
      <c r="F1003" s="33"/>
      <c r="G1003" s="33"/>
      <c r="H1003" s="33"/>
      <c r="I1003" s="33"/>
      <c r="J1003" s="33"/>
      <c r="K1003" s="33"/>
      <c r="L1003" s="33"/>
      <c r="M1003" s="43"/>
      <c r="N1003" s="43"/>
      <c r="O1003" s="33"/>
      <c r="P1003" s="33"/>
      <c r="Q1003" s="33"/>
      <c r="R1003" s="33"/>
      <c r="S1003" s="33"/>
      <c r="T1003" s="33"/>
      <c r="U1003" s="33"/>
      <c r="V1003" s="33"/>
      <c r="W1003" s="33"/>
      <c r="X1003" s="33"/>
      <c r="Y1003" s="33"/>
      <c r="Z1003" s="33"/>
      <c r="AA1003" s="33"/>
      <c r="AB1003" s="33"/>
    </row>
    <row r="1004">
      <c r="A1004" s="33"/>
      <c r="B1004" s="33"/>
      <c r="C1004" s="33"/>
      <c r="D1004" s="43"/>
      <c r="E1004" s="33"/>
      <c r="F1004" s="33"/>
      <c r="G1004" s="33"/>
      <c r="H1004" s="33"/>
      <c r="I1004" s="33"/>
      <c r="J1004" s="33"/>
      <c r="K1004" s="33"/>
      <c r="L1004" s="33"/>
      <c r="M1004" s="43"/>
      <c r="N1004" s="43"/>
      <c r="O1004" s="33"/>
      <c r="P1004" s="33"/>
      <c r="Q1004" s="33"/>
      <c r="R1004" s="33"/>
      <c r="S1004" s="33"/>
      <c r="T1004" s="33"/>
      <c r="U1004" s="33"/>
      <c r="V1004" s="33"/>
      <c r="W1004" s="33"/>
      <c r="X1004" s="33"/>
      <c r="Y1004" s="33"/>
      <c r="Z1004" s="33"/>
      <c r="AA1004" s="33"/>
      <c r="AB1004" s="33"/>
    </row>
    <row r="1005">
      <c r="A1005" s="33"/>
      <c r="B1005" s="33"/>
      <c r="C1005" s="33"/>
      <c r="D1005" s="43"/>
      <c r="E1005" s="33"/>
      <c r="F1005" s="33"/>
      <c r="G1005" s="33"/>
      <c r="H1005" s="33"/>
      <c r="I1005" s="33"/>
      <c r="J1005" s="33"/>
      <c r="K1005" s="33"/>
      <c r="L1005" s="33"/>
      <c r="M1005" s="43"/>
      <c r="N1005" s="43"/>
      <c r="O1005" s="33"/>
      <c r="P1005" s="33"/>
      <c r="Q1005" s="33"/>
      <c r="R1005" s="33"/>
      <c r="S1005" s="33"/>
      <c r="T1005" s="33"/>
      <c r="U1005" s="33"/>
      <c r="V1005" s="33"/>
      <c r="W1005" s="33"/>
      <c r="X1005" s="33"/>
      <c r="Y1005" s="33"/>
      <c r="Z1005" s="33"/>
      <c r="AA1005" s="33"/>
      <c r="AB1005" s="33"/>
    </row>
    <row r="1006">
      <c r="A1006" s="33"/>
      <c r="B1006" s="33"/>
      <c r="C1006" s="33"/>
      <c r="D1006" s="43"/>
      <c r="E1006" s="33"/>
      <c r="F1006" s="33"/>
      <c r="G1006" s="33"/>
      <c r="H1006" s="33"/>
      <c r="I1006" s="33"/>
      <c r="J1006" s="33"/>
      <c r="K1006" s="33"/>
      <c r="L1006" s="33"/>
      <c r="M1006" s="43"/>
      <c r="N1006" s="43"/>
      <c r="O1006" s="33"/>
      <c r="P1006" s="33"/>
      <c r="Q1006" s="33"/>
      <c r="R1006" s="33"/>
      <c r="S1006" s="33"/>
      <c r="T1006" s="33"/>
      <c r="U1006" s="33"/>
      <c r="V1006" s="33"/>
      <c r="W1006" s="33"/>
      <c r="X1006" s="33"/>
      <c r="Y1006" s="33"/>
      <c r="Z1006" s="33"/>
      <c r="AA1006" s="33"/>
      <c r="AB1006" s="33"/>
    </row>
  </sheetData>
  <autoFilter ref="$D$2:$N$27"/>
  <conditionalFormatting sqref="D1:D1006">
    <cfRule type="colorScale" priority="1">
      <colorScale>
        <cfvo type="min"/>
        <cfvo type="max"/>
        <color rgb="FFFFFFFF"/>
        <color rgb="FF57BB8A"/>
      </colorScale>
    </cfRule>
  </conditionalFormatting>
  <conditionalFormatting sqref="E1:E1006">
    <cfRule type="colorScale" priority="2">
      <colorScale>
        <cfvo type="min"/>
        <cfvo type="max"/>
        <color rgb="FFFFFFFF"/>
        <color rgb="FF57BB8A"/>
      </colorScale>
    </cfRule>
  </conditionalFormatting>
  <conditionalFormatting sqref="F1:F1006">
    <cfRule type="colorScale" priority="3">
      <colorScale>
        <cfvo type="min"/>
        <cfvo type="max"/>
        <color rgb="FFFFFFFF"/>
        <color rgb="FF57BB8A"/>
      </colorScale>
    </cfRule>
  </conditionalFormatting>
  <conditionalFormatting sqref="G1:G1006">
    <cfRule type="colorScale" priority="4">
      <colorScale>
        <cfvo type="min"/>
        <cfvo type="max"/>
        <color rgb="FFFFFFFF"/>
        <color rgb="FF57BB8A"/>
      </colorScale>
    </cfRule>
  </conditionalFormatting>
  <conditionalFormatting sqref="H1:H1006">
    <cfRule type="colorScale" priority="5">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showGridLines="0" workbookViewId="0"/>
  </sheetViews>
  <sheetFormatPr customHeight="1" defaultColWidth="12.63" defaultRowHeight="15.75"/>
  <cols>
    <col customWidth="1" min="1" max="1" width="6.13"/>
    <col customWidth="1" min="3" max="3" width="15.25"/>
    <col customWidth="1" min="4" max="4" width="11.0"/>
    <col customWidth="1" min="5" max="5" width="14.75"/>
    <col customWidth="1" min="6" max="6" width="10.75"/>
    <col customWidth="1" min="7" max="7" width="12.88"/>
    <col customWidth="1" min="8" max="8" width="11.75"/>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row>
    <row r="2">
      <c r="A2" s="33"/>
      <c r="B2" s="44" t="s">
        <v>76</v>
      </c>
      <c r="S2" s="33"/>
      <c r="T2" s="33"/>
      <c r="U2" s="33"/>
      <c r="V2" s="33"/>
      <c r="W2" s="33"/>
      <c r="X2" s="33"/>
      <c r="Y2" s="33"/>
      <c r="Z2" s="33"/>
    </row>
    <row r="3">
      <c r="A3" s="33"/>
      <c r="B3" s="45" t="s">
        <v>77</v>
      </c>
      <c r="S3" s="33"/>
      <c r="T3" s="33"/>
      <c r="U3" s="33"/>
      <c r="V3" s="33"/>
      <c r="W3" s="33"/>
      <c r="X3" s="33"/>
      <c r="Y3" s="33"/>
      <c r="Z3" s="33"/>
    </row>
    <row r="4">
      <c r="A4" s="33"/>
      <c r="B4" s="33"/>
      <c r="C4" s="33"/>
      <c r="D4" s="33"/>
      <c r="E4" s="33"/>
      <c r="F4" s="33"/>
      <c r="G4" s="33"/>
      <c r="H4" s="33"/>
      <c r="I4" s="33"/>
      <c r="J4" s="33"/>
      <c r="K4" s="33"/>
      <c r="L4" s="33"/>
      <c r="M4" s="33"/>
      <c r="N4" s="33"/>
      <c r="O4" s="33"/>
      <c r="P4" s="33"/>
      <c r="Q4" s="33"/>
      <c r="R4" s="33"/>
      <c r="S4" s="33"/>
      <c r="T4" s="33"/>
      <c r="U4" s="33"/>
      <c r="V4" s="33"/>
      <c r="W4" s="33"/>
      <c r="X4" s="33"/>
      <c r="Y4" s="33"/>
      <c r="Z4" s="33"/>
    </row>
    <row r="5">
      <c r="A5" s="33"/>
      <c r="B5" s="46" t="s">
        <v>78</v>
      </c>
      <c r="C5" s="47"/>
      <c r="D5" s="48"/>
      <c r="F5" s="49"/>
      <c r="G5" s="49"/>
      <c r="H5" s="49"/>
      <c r="I5" s="33"/>
      <c r="J5" s="33"/>
      <c r="K5" s="33"/>
      <c r="L5" s="33"/>
      <c r="M5" s="33"/>
      <c r="N5" s="33"/>
      <c r="O5" s="33"/>
      <c r="P5" s="33"/>
      <c r="Q5" s="33"/>
      <c r="R5" s="33"/>
      <c r="S5" s="33"/>
      <c r="T5" s="33"/>
      <c r="U5" s="33"/>
      <c r="V5" s="33"/>
      <c r="W5" s="33"/>
      <c r="X5" s="33"/>
      <c r="Y5" s="33"/>
      <c r="Z5" s="33"/>
    </row>
    <row r="6" ht="21.0" customHeight="1">
      <c r="A6" s="33"/>
      <c r="B6" s="50" t="s">
        <v>51</v>
      </c>
      <c r="D6" s="51"/>
      <c r="F6" s="52"/>
      <c r="G6" s="52"/>
      <c r="H6" s="52"/>
      <c r="I6" s="33"/>
      <c r="J6" s="33"/>
      <c r="K6" s="33"/>
      <c r="L6" s="33"/>
      <c r="M6" s="33"/>
      <c r="N6" s="33"/>
      <c r="O6" s="33"/>
      <c r="P6" s="33"/>
      <c r="Q6" s="33"/>
      <c r="R6" s="33"/>
      <c r="S6" s="33"/>
      <c r="T6" s="33"/>
      <c r="U6" s="33"/>
      <c r="V6" s="33"/>
      <c r="W6" s="33"/>
      <c r="X6" s="33"/>
      <c r="Y6" s="33"/>
      <c r="Z6" s="33"/>
    </row>
    <row r="7">
      <c r="A7" s="33"/>
      <c r="B7" s="53"/>
      <c r="C7" s="54" t="s">
        <v>79</v>
      </c>
      <c r="D7" s="55" t="s">
        <v>80</v>
      </c>
      <c r="F7" s="56" t="s">
        <v>81</v>
      </c>
      <c r="G7" s="57" t="s">
        <v>82</v>
      </c>
      <c r="H7" s="57"/>
      <c r="I7" s="33"/>
      <c r="J7" s="33"/>
      <c r="K7" s="33"/>
      <c r="L7" s="33"/>
      <c r="M7" s="33"/>
      <c r="N7" s="33"/>
      <c r="O7" s="33"/>
      <c r="P7" s="33"/>
      <c r="Q7" s="33"/>
      <c r="R7" s="49"/>
      <c r="T7" s="33"/>
      <c r="U7" s="33"/>
      <c r="V7" s="33"/>
      <c r="W7" s="33"/>
      <c r="X7" s="33"/>
      <c r="Y7" s="33"/>
      <c r="Z7" s="33"/>
    </row>
    <row r="8">
      <c r="A8" s="33"/>
      <c r="B8" s="58" t="s">
        <v>83</v>
      </c>
      <c r="C8" s="59">
        <f t="array" ref="C8">xlookup(B6,FINAL_GOAT_RANKINGS!C:C,FINAL_GOAT_RANKINGS!D:D,0)</f>
        <v>76.1206076</v>
      </c>
      <c r="D8" s="60">
        <f t="array" ref="D8">xlookup(B6,FINAL_GOAT_RANKINGS!C:C,FINAL_GOAT_RANKINGS!B:B,0)</f>
        <v>1</v>
      </c>
      <c r="F8" s="61" t="s">
        <v>84</v>
      </c>
      <c r="G8" s="31">
        <f t="shared" ref="G8:G11" si="1">C9</f>
        <v>81.94388872</v>
      </c>
      <c r="H8" s="62"/>
      <c r="I8" s="33"/>
      <c r="J8" s="33"/>
      <c r="K8" s="33"/>
      <c r="L8" s="33"/>
      <c r="M8" s="33"/>
      <c r="N8" s="33"/>
      <c r="O8" s="33"/>
      <c r="P8" s="33"/>
      <c r="Q8" s="33"/>
      <c r="R8" s="63"/>
      <c r="S8" s="64"/>
      <c r="T8" s="33"/>
      <c r="U8" s="33"/>
      <c r="V8" s="33"/>
      <c r="W8" s="33"/>
      <c r="X8" s="33"/>
      <c r="Y8" s="33"/>
      <c r="Z8" s="33"/>
    </row>
    <row r="9">
      <c r="A9" s="33"/>
      <c r="B9" s="65" t="s">
        <v>84</v>
      </c>
      <c r="C9" s="66">
        <f t="array" ref="C9">xlookup(B6,FINAL_GOAT_RANKINGS!C:C,FINAL_GOAT_RANKINGS!E:E,0)</f>
        <v>81.94388872</v>
      </c>
      <c r="D9" s="67">
        <f t="array" ref="D9">xlookup(B6,FINAL_GOAT_RANKINGS!C:C,FINAL_GOAT_RANKINGS!I:I,0)</f>
        <v>1</v>
      </c>
      <c r="F9" s="61" t="s">
        <v>85</v>
      </c>
      <c r="G9" s="31">
        <f t="shared" si="1"/>
        <v>71.46486124</v>
      </c>
      <c r="H9" s="62"/>
      <c r="I9" s="33"/>
      <c r="J9" s="33"/>
      <c r="K9" s="33"/>
      <c r="L9" s="33"/>
      <c r="M9" s="33"/>
      <c r="N9" s="33"/>
      <c r="O9" s="33"/>
      <c r="P9" s="33"/>
      <c r="Q9" s="33"/>
      <c r="R9" s="63"/>
      <c r="S9" s="64"/>
      <c r="T9" s="33"/>
      <c r="U9" s="33"/>
      <c r="V9" s="33"/>
      <c r="W9" s="33"/>
      <c r="X9" s="33"/>
      <c r="Y9" s="33"/>
      <c r="Z9" s="33"/>
    </row>
    <row r="10">
      <c r="A10" s="33"/>
      <c r="B10" s="65" t="s">
        <v>85</v>
      </c>
      <c r="C10" s="66">
        <f t="array" ref="C10">xlookup(B6,FINAL_GOAT_RANKINGS!C:C,FINAL_GOAT_RANKINGS!F:F,0)</f>
        <v>71.46486124</v>
      </c>
      <c r="D10" s="67">
        <f t="array" ref="D10">xlookup(B6,FINAL_GOAT_RANKINGS!C:C,FINAL_GOAT_RANKINGS!J:J,0)</f>
        <v>2</v>
      </c>
      <c r="F10" s="61" t="s">
        <v>86</v>
      </c>
      <c r="G10" s="31">
        <f t="shared" si="1"/>
        <v>74.866639</v>
      </c>
      <c r="H10" s="62"/>
      <c r="I10" s="33"/>
      <c r="J10" s="33"/>
      <c r="K10" s="33"/>
      <c r="L10" s="33"/>
      <c r="M10" s="33"/>
      <c r="N10" s="33"/>
      <c r="O10" s="33"/>
      <c r="P10" s="33"/>
      <c r="Q10" s="33"/>
      <c r="R10" s="63"/>
      <c r="S10" s="64"/>
      <c r="T10" s="33"/>
      <c r="U10" s="33"/>
      <c r="V10" s="33"/>
      <c r="W10" s="33"/>
      <c r="X10" s="33"/>
      <c r="Y10" s="33"/>
      <c r="Z10" s="33"/>
    </row>
    <row r="11">
      <c r="A11" s="33"/>
      <c r="B11" s="65" t="s">
        <v>86</v>
      </c>
      <c r="C11" s="66">
        <f t="array" ref="C11">xlookup(B6,FINAL_GOAT_RANKINGS!C:C,FINAL_GOAT_RANKINGS!G:G,0)</f>
        <v>74.866639</v>
      </c>
      <c r="D11" s="67">
        <f t="array" ref="D11">xlookup(B6,FINAL_GOAT_RANKINGS!C:C,FINAL_GOAT_RANKINGS!K:K,0)</f>
        <v>2</v>
      </c>
      <c r="F11" s="61" t="s">
        <v>87</v>
      </c>
      <c r="G11" s="31">
        <f t="shared" si="1"/>
        <v>69.30265933</v>
      </c>
      <c r="H11" s="62"/>
      <c r="I11" s="33"/>
      <c r="J11" s="33"/>
      <c r="K11" s="33"/>
      <c r="L11" s="33"/>
      <c r="M11" s="33"/>
      <c r="N11" s="33"/>
      <c r="O11" s="33"/>
      <c r="P11" s="33"/>
      <c r="Q11" s="33"/>
      <c r="R11" s="33"/>
      <c r="S11" s="33"/>
      <c r="T11" s="33"/>
      <c r="U11" s="33"/>
      <c r="V11" s="33"/>
      <c r="W11" s="33"/>
      <c r="X11" s="33"/>
      <c r="Y11" s="33"/>
      <c r="Z11" s="33"/>
    </row>
    <row r="12">
      <c r="A12" s="33"/>
      <c r="B12" s="68" t="s">
        <v>87</v>
      </c>
      <c r="C12" s="69">
        <f t="array" ref="C12">xlookup(B6,FINAL_GOAT_RANKINGS!C:C,FINAL_GOAT_RANKINGS!H:H,0)</f>
        <v>69.30265933</v>
      </c>
      <c r="D12" s="70">
        <f t="array" ref="D12">xlookup(B6,FINAL_GOAT_RANKINGS!C:C,FINAL_GOAT_RANKINGS!L:L,0)</f>
        <v>1</v>
      </c>
      <c r="I12" s="33"/>
      <c r="J12" s="33"/>
      <c r="K12" s="33"/>
      <c r="L12" s="33"/>
      <c r="M12" s="33"/>
      <c r="N12" s="33"/>
      <c r="O12" s="33"/>
      <c r="P12" s="33"/>
      <c r="Q12" s="33"/>
      <c r="R12" s="33"/>
      <c r="S12" s="33"/>
      <c r="T12" s="33"/>
      <c r="U12" s="33"/>
      <c r="V12" s="33"/>
      <c r="W12" s="33"/>
      <c r="X12" s="33"/>
      <c r="Y12" s="33"/>
      <c r="Z12" s="33"/>
    </row>
    <row r="13">
      <c r="A13" s="33"/>
      <c r="I13" s="33"/>
      <c r="J13" s="33"/>
      <c r="K13" s="33"/>
      <c r="L13" s="33"/>
      <c r="M13" s="33"/>
      <c r="N13" s="33"/>
      <c r="O13" s="33"/>
      <c r="P13" s="33"/>
      <c r="Q13" s="33"/>
      <c r="R13" s="33"/>
      <c r="S13" s="33"/>
      <c r="T13" s="33"/>
      <c r="U13" s="33"/>
      <c r="V13" s="33"/>
      <c r="W13" s="33"/>
      <c r="X13" s="33"/>
      <c r="Y13" s="33"/>
      <c r="Z13" s="33"/>
    </row>
    <row r="14" ht="29.25" customHeight="1">
      <c r="A14" s="33"/>
      <c r="I14" s="33"/>
      <c r="J14" s="33"/>
      <c r="K14" s="33"/>
      <c r="L14" s="33"/>
      <c r="M14" s="33"/>
      <c r="N14" s="33"/>
      <c r="O14" s="33"/>
      <c r="P14" s="33"/>
      <c r="Q14" s="33"/>
      <c r="R14" s="33"/>
      <c r="S14" s="33"/>
      <c r="T14" s="33"/>
      <c r="U14" s="33"/>
      <c r="V14" s="33"/>
      <c r="W14" s="33"/>
      <c r="X14" s="33"/>
      <c r="Y14" s="33"/>
      <c r="Z14" s="33"/>
    </row>
    <row r="15">
      <c r="A15" s="33"/>
      <c r="B15" s="71" t="s">
        <v>88</v>
      </c>
      <c r="E15" s="33"/>
      <c r="F15" s="33"/>
      <c r="G15" s="33"/>
      <c r="H15" s="33"/>
      <c r="I15" s="33"/>
      <c r="J15" s="33"/>
      <c r="K15" s="33"/>
      <c r="L15" s="33"/>
      <c r="M15" s="33"/>
      <c r="N15" s="33"/>
      <c r="O15" s="33"/>
      <c r="P15" s="33"/>
      <c r="Q15" s="33"/>
      <c r="R15" s="33"/>
      <c r="S15" s="33"/>
      <c r="T15" s="33"/>
      <c r="U15" s="33"/>
      <c r="V15" s="33"/>
      <c r="W15" s="33"/>
      <c r="X15" s="33"/>
      <c r="Y15" s="33"/>
      <c r="Z15" s="33"/>
    </row>
    <row r="16">
      <c r="A16" s="33"/>
      <c r="B16" s="72"/>
      <c r="C16" s="73"/>
      <c r="D16" s="74"/>
      <c r="E16" s="74"/>
      <c r="F16" s="74"/>
      <c r="G16" s="74"/>
      <c r="H16" s="74"/>
      <c r="I16" s="33"/>
      <c r="J16" s="33"/>
      <c r="K16" s="33"/>
      <c r="L16" s="33"/>
      <c r="M16" s="33"/>
      <c r="N16" s="33"/>
      <c r="O16" s="33"/>
      <c r="P16" s="33"/>
      <c r="Q16" s="33"/>
      <c r="R16" s="33"/>
      <c r="S16" s="33"/>
      <c r="T16" s="33"/>
      <c r="U16" s="33"/>
      <c r="V16" s="33"/>
      <c r="W16" s="33"/>
      <c r="X16" s="33"/>
      <c r="Y16" s="33"/>
      <c r="Z16" s="33"/>
    </row>
    <row r="17" ht="22.5" customHeight="1">
      <c r="A17" s="33"/>
      <c r="B17" s="75" t="s">
        <v>89</v>
      </c>
      <c r="C17" s="76" t="s">
        <v>90</v>
      </c>
      <c r="D17" s="77" t="s">
        <v>91</v>
      </c>
      <c r="E17" s="77" t="s">
        <v>84</v>
      </c>
      <c r="F17" s="77" t="s">
        <v>85</v>
      </c>
      <c r="G17" s="77" t="s">
        <v>86</v>
      </c>
      <c r="H17" s="77" t="s">
        <v>87</v>
      </c>
      <c r="I17" s="33"/>
      <c r="J17" s="33"/>
      <c r="K17" s="33"/>
      <c r="L17" s="33"/>
      <c r="M17" s="33"/>
      <c r="N17" s="33"/>
      <c r="O17" s="33"/>
      <c r="P17" s="33"/>
      <c r="Q17" s="33"/>
      <c r="R17" s="33"/>
      <c r="S17" s="33"/>
      <c r="T17" s="33"/>
      <c r="U17" s="33"/>
      <c r="V17" s="33"/>
      <c r="W17" s="33"/>
      <c r="X17" s="33"/>
      <c r="Y17" s="33"/>
      <c r="Z17" s="33"/>
    </row>
    <row r="18" ht="22.5" customHeight="1">
      <c r="A18" s="33"/>
      <c r="B18" s="78">
        <f>FINAL_GOAT_RANKINGS!B3</f>
        <v>1</v>
      </c>
      <c r="C18" s="79" t="str">
        <f>FINAL_GOAT_RANKINGS!C3</f>
        <v>Tom Brady</v>
      </c>
      <c r="D18" s="80">
        <f>FINAL_GOAT_RANKINGS!D3</f>
        <v>76.1206076</v>
      </c>
      <c r="E18" s="81">
        <f>FINAL_GOAT_RANKINGS!E3</f>
        <v>81.94388872</v>
      </c>
      <c r="F18" s="81">
        <f>FINAL_GOAT_RANKINGS!F3</f>
        <v>71.46486124</v>
      </c>
      <c r="G18" s="81">
        <f>FINAL_GOAT_RANKINGS!G3</f>
        <v>74.866639</v>
      </c>
      <c r="H18" s="81">
        <f>FINAL_GOAT_RANKINGS!H3</f>
        <v>69.30265933</v>
      </c>
      <c r="I18" s="33"/>
      <c r="J18" s="33"/>
      <c r="K18" s="33"/>
      <c r="L18" s="33"/>
      <c r="M18" s="33"/>
      <c r="N18" s="33"/>
      <c r="O18" s="33"/>
      <c r="P18" s="33"/>
      <c r="Q18" s="33"/>
      <c r="R18" s="33"/>
      <c r="S18" s="33"/>
      <c r="T18" s="33"/>
      <c r="U18" s="33"/>
      <c r="V18" s="33"/>
      <c r="W18" s="33"/>
      <c r="X18" s="33"/>
      <c r="Y18" s="33"/>
      <c r="Z18" s="33"/>
    </row>
    <row r="19" ht="22.5" customHeight="1">
      <c r="A19" s="33"/>
      <c r="B19" s="78">
        <f>FINAL_GOAT_RANKINGS!B4</f>
        <v>2</v>
      </c>
      <c r="C19" s="79" t="str">
        <f>FINAL_GOAT_RANKINGS!C4</f>
        <v>Peyton Manning</v>
      </c>
      <c r="D19" s="80">
        <f>FINAL_GOAT_RANKINGS!D4</f>
        <v>70.05183451</v>
      </c>
      <c r="E19" s="81">
        <f>FINAL_GOAT_RANKINGS!E4</f>
        <v>66.81797588</v>
      </c>
      <c r="F19" s="81">
        <f>FINAL_GOAT_RANKINGS!F4</f>
        <v>77.25289343</v>
      </c>
      <c r="G19" s="81">
        <f>FINAL_GOAT_RANKINGS!G4</f>
        <v>75.57096919</v>
      </c>
      <c r="H19" s="81">
        <f>FINAL_GOAT_RANKINGS!H4</f>
        <v>50.34582294</v>
      </c>
      <c r="I19" s="33"/>
      <c r="J19" s="33"/>
      <c r="K19" s="33"/>
      <c r="L19" s="33"/>
      <c r="M19" s="33"/>
      <c r="N19" s="33"/>
      <c r="O19" s="33"/>
      <c r="P19" s="33"/>
      <c r="Q19" s="33"/>
      <c r="R19" s="33"/>
      <c r="S19" s="33"/>
      <c r="T19" s="33"/>
      <c r="U19" s="33"/>
      <c r="V19" s="33"/>
      <c r="W19" s="33"/>
      <c r="X19" s="33"/>
      <c r="Y19" s="33"/>
      <c r="Z19" s="33"/>
    </row>
    <row r="20" ht="22.5" customHeight="1">
      <c r="A20" s="33"/>
      <c r="B20" s="78">
        <f>FINAL_GOAT_RANKINGS!B5</f>
        <v>3</v>
      </c>
      <c r="C20" s="79" t="str">
        <f>FINAL_GOAT_RANKINGS!C5</f>
        <v>Otto Graham</v>
      </c>
      <c r="D20" s="80">
        <f>FINAL_GOAT_RANKINGS!D5</f>
        <v>56.89387206</v>
      </c>
      <c r="E20" s="81">
        <f>FINAL_GOAT_RANKINGS!E5</f>
        <v>49.75789899</v>
      </c>
      <c r="F20" s="81">
        <f>FINAL_GOAT_RANKINGS!F5</f>
        <v>63.69730143</v>
      </c>
      <c r="G20" s="81">
        <f>FINAL_GOAT_RANKINGS!G5</f>
        <v>66.95320773</v>
      </c>
      <c r="H20" s="81">
        <f>FINAL_GOAT_RANKINGS!H5</f>
        <v>44.90880487</v>
      </c>
      <c r="I20" s="33"/>
      <c r="J20" s="33"/>
      <c r="K20" s="33"/>
      <c r="L20" s="33"/>
      <c r="M20" s="33"/>
      <c r="N20" s="33"/>
      <c r="O20" s="33"/>
      <c r="P20" s="33"/>
      <c r="Q20" s="33"/>
      <c r="R20" s="33"/>
      <c r="S20" s="33"/>
      <c r="T20" s="33"/>
      <c r="U20" s="33"/>
      <c r="V20" s="33"/>
      <c r="W20" s="33"/>
      <c r="X20" s="33"/>
      <c r="Y20" s="33"/>
      <c r="Z20" s="33"/>
    </row>
    <row r="21" ht="22.5" customHeight="1">
      <c r="A21" s="33"/>
      <c r="B21" s="78">
        <f>FINAL_GOAT_RANKINGS!B6</f>
        <v>4</v>
      </c>
      <c r="C21" s="79" t="str">
        <f>FINAL_GOAT_RANKINGS!C6</f>
        <v>Aaron Rodgers</v>
      </c>
      <c r="D21" s="80">
        <f>FINAL_GOAT_RANKINGS!D6</f>
        <v>55.07358874</v>
      </c>
      <c r="E21" s="81">
        <f>FINAL_GOAT_RANKINGS!E6</f>
        <v>52.88205602</v>
      </c>
      <c r="F21" s="81">
        <f>FINAL_GOAT_RANKINGS!F6</f>
        <v>61.60943166</v>
      </c>
      <c r="G21" s="81">
        <f>FINAL_GOAT_RANKINGS!G6</f>
        <v>55.6376746</v>
      </c>
      <c r="H21" s="81">
        <f>FINAL_GOAT_RANKINGS!H6</f>
        <v>43.10401915</v>
      </c>
      <c r="I21" s="33"/>
      <c r="J21" s="33"/>
      <c r="K21" s="33"/>
      <c r="L21" s="33"/>
      <c r="M21" s="33"/>
      <c r="N21" s="33"/>
      <c r="O21" s="33"/>
      <c r="P21" s="33"/>
      <c r="Q21" s="33"/>
      <c r="R21" s="33"/>
      <c r="S21" s="33"/>
      <c r="T21" s="33"/>
      <c r="U21" s="33"/>
      <c r="V21" s="33"/>
      <c r="W21" s="33"/>
      <c r="X21" s="33"/>
      <c r="Y21" s="33"/>
      <c r="Z21" s="33"/>
    </row>
    <row r="22" ht="22.5" customHeight="1">
      <c r="A22" s="33"/>
      <c r="B22" s="78">
        <f>FINAL_GOAT_RANKINGS!B7</f>
        <v>5</v>
      </c>
      <c r="C22" s="79" t="str">
        <f>FINAL_GOAT_RANKINGS!C7</f>
        <v>Patrick Mahomes</v>
      </c>
      <c r="D22" s="80">
        <f>FINAL_GOAT_RANKINGS!D7</f>
        <v>52.05357654</v>
      </c>
      <c r="E22" s="81">
        <f>FINAL_GOAT_RANKINGS!E7</f>
        <v>44.49219585</v>
      </c>
      <c r="F22" s="81">
        <f>FINAL_GOAT_RANKINGS!F7</f>
        <v>59.08067262</v>
      </c>
      <c r="G22" s="81">
        <f>FINAL_GOAT_RANKINGS!G7</f>
        <v>58.38249184</v>
      </c>
      <c r="H22" s="81">
        <f>FINAL_GOAT_RANKINGS!H7</f>
        <v>48.55998046</v>
      </c>
      <c r="I22" s="33"/>
      <c r="J22" s="33"/>
      <c r="K22" s="33"/>
      <c r="L22" s="33"/>
      <c r="M22" s="33"/>
      <c r="N22" s="33"/>
      <c r="O22" s="33"/>
      <c r="P22" s="33"/>
      <c r="Q22" s="33"/>
      <c r="R22" s="33"/>
      <c r="S22" s="33"/>
      <c r="T22" s="33"/>
      <c r="U22" s="33"/>
      <c r="V22" s="33"/>
      <c r="W22" s="33"/>
      <c r="X22" s="33"/>
      <c r="Y22" s="33"/>
      <c r="Z22" s="33"/>
    </row>
    <row r="23" ht="22.5" customHeight="1">
      <c r="A23" s="33"/>
      <c r="B23" s="78">
        <f>FINAL_GOAT_RANKINGS!B8</f>
        <v>6</v>
      </c>
      <c r="C23" s="79" t="str">
        <f>FINAL_GOAT_RANKINGS!C8</f>
        <v>Joe Montana</v>
      </c>
      <c r="D23" s="80">
        <f>FINAL_GOAT_RANKINGS!D8</f>
        <v>50.22948626</v>
      </c>
      <c r="E23" s="81">
        <f>FINAL_GOAT_RANKINGS!E8</f>
        <v>46.85312174</v>
      </c>
      <c r="F23" s="81">
        <f>FINAL_GOAT_RANKINGS!F8</f>
        <v>51.89313865</v>
      </c>
      <c r="G23" s="81">
        <f>FINAL_GOAT_RANKINGS!G8</f>
        <v>51.36607618</v>
      </c>
      <c r="H23" s="81">
        <f>FINAL_GOAT_RANKINGS!H8</f>
        <v>56.47080738</v>
      </c>
      <c r="I23" s="33"/>
      <c r="J23" s="33"/>
      <c r="K23" s="33"/>
      <c r="L23" s="33"/>
      <c r="M23" s="33"/>
      <c r="N23" s="33"/>
      <c r="O23" s="33"/>
      <c r="P23" s="33"/>
      <c r="Q23" s="33"/>
      <c r="R23" s="33"/>
      <c r="S23" s="33"/>
      <c r="T23" s="33"/>
      <c r="U23" s="33"/>
      <c r="V23" s="33"/>
      <c r="W23" s="33"/>
      <c r="X23" s="33"/>
      <c r="Y23" s="33"/>
      <c r="Z23" s="33"/>
    </row>
    <row r="24" ht="22.5" customHeight="1">
      <c r="A24" s="33"/>
      <c r="B24" s="78">
        <f>FINAL_GOAT_RANKINGS!B9</f>
        <v>7</v>
      </c>
      <c r="C24" s="79" t="str">
        <f>FINAL_GOAT_RANKINGS!C9</f>
        <v>Steve Young</v>
      </c>
      <c r="D24" s="80">
        <f>FINAL_GOAT_RANKINGS!D9</f>
        <v>49.72394989</v>
      </c>
      <c r="E24" s="81">
        <f>FINAL_GOAT_RANKINGS!E9</f>
        <v>42.20458406</v>
      </c>
      <c r="F24" s="81">
        <f>FINAL_GOAT_RANKINGS!F9</f>
        <v>58.26405123</v>
      </c>
      <c r="G24" s="81">
        <f>FINAL_GOAT_RANKINGS!G9</f>
        <v>53.81456078</v>
      </c>
      <c r="H24" s="81">
        <f>FINAL_GOAT_RANKINGS!H9</f>
        <v>45.99988741</v>
      </c>
      <c r="I24" s="33"/>
      <c r="J24" s="33"/>
      <c r="K24" s="33"/>
      <c r="L24" s="33"/>
      <c r="M24" s="33"/>
      <c r="N24" s="33"/>
      <c r="O24" s="33"/>
      <c r="P24" s="33"/>
      <c r="Q24" s="33"/>
      <c r="R24" s="33"/>
      <c r="S24" s="33"/>
      <c r="T24" s="33"/>
      <c r="U24" s="33"/>
      <c r="V24" s="33"/>
      <c r="W24" s="33"/>
      <c r="X24" s="33"/>
      <c r="Y24" s="33"/>
      <c r="Z24" s="33"/>
    </row>
    <row r="25" ht="22.5" customHeight="1">
      <c r="A25" s="33"/>
      <c r="B25" s="78">
        <f>FINAL_GOAT_RANKINGS!B10</f>
        <v>8</v>
      </c>
      <c r="C25" s="79" t="str">
        <f>FINAL_GOAT_RANKINGS!C10</f>
        <v>Drew Brees</v>
      </c>
      <c r="D25" s="80">
        <f>FINAL_GOAT_RANKINGS!D10</f>
        <v>48.94322339</v>
      </c>
      <c r="E25" s="81">
        <f>FINAL_GOAT_RANKINGS!E10</f>
        <v>46.63025401</v>
      </c>
      <c r="F25" s="81">
        <f>FINAL_GOAT_RANKINGS!F10</f>
        <v>52.38018873</v>
      </c>
      <c r="G25" s="81">
        <f>FINAL_GOAT_RANKINGS!G10</f>
        <v>53.1797286</v>
      </c>
      <c r="H25" s="81">
        <f>FINAL_GOAT_RANKINGS!H10</f>
        <v>39.41119445</v>
      </c>
      <c r="I25" s="33"/>
      <c r="J25" s="33"/>
      <c r="K25" s="33"/>
      <c r="L25" s="33"/>
      <c r="M25" s="33"/>
      <c r="N25" s="33"/>
      <c r="O25" s="33"/>
      <c r="P25" s="33"/>
      <c r="Q25" s="33"/>
      <c r="R25" s="33"/>
      <c r="S25" s="33"/>
      <c r="T25" s="33"/>
      <c r="U25" s="33"/>
      <c r="V25" s="33"/>
      <c r="W25" s="33"/>
      <c r="X25" s="33"/>
      <c r="Y25" s="33"/>
      <c r="Z25" s="33"/>
    </row>
    <row r="26" ht="22.5" customHeight="1">
      <c r="A26" s="33"/>
      <c r="B26" s="78">
        <f>FINAL_GOAT_RANKINGS!B11</f>
        <v>9</v>
      </c>
      <c r="C26" s="79" t="str">
        <f>FINAL_GOAT_RANKINGS!C11</f>
        <v>Dan Marino</v>
      </c>
      <c r="D26" s="80">
        <f>FINAL_GOAT_RANKINGS!D11</f>
        <v>47.33267277</v>
      </c>
      <c r="E26" s="81">
        <f>FINAL_GOAT_RANKINGS!E11</f>
        <v>41.47068999</v>
      </c>
      <c r="F26" s="81">
        <f>FINAL_GOAT_RANKINGS!F11</f>
        <v>55.53180577</v>
      </c>
      <c r="G26" s="81">
        <f>FINAL_GOAT_RANKINGS!G11</f>
        <v>52.65347706</v>
      </c>
      <c r="H26" s="81">
        <f>FINAL_GOAT_RANKINGS!H11</f>
        <v>35.54159633</v>
      </c>
      <c r="I26" s="33"/>
      <c r="J26" s="33"/>
      <c r="K26" s="33"/>
      <c r="L26" s="33"/>
      <c r="M26" s="33"/>
      <c r="N26" s="33"/>
      <c r="O26" s="33"/>
      <c r="P26" s="33"/>
      <c r="Q26" s="33"/>
      <c r="R26" s="33"/>
      <c r="S26" s="33"/>
      <c r="T26" s="33"/>
      <c r="U26" s="33"/>
      <c r="V26" s="33"/>
      <c r="W26" s="33"/>
      <c r="X26" s="33"/>
      <c r="Y26" s="33"/>
      <c r="Z26" s="33"/>
    </row>
    <row r="27" ht="22.5" customHeight="1">
      <c r="A27" s="33"/>
      <c r="B27" s="78">
        <f>FINAL_GOAT_RANKINGS!B12</f>
        <v>10</v>
      </c>
      <c r="C27" s="79" t="str">
        <f>FINAL_GOAT_RANKINGS!C12</f>
        <v>Sammy Baugh</v>
      </c>
      <c r="D27" s="80">
        <f>FINAL_GOAT_RANKINGS!D12</f>
        <v>43.42774148</v>
      </c>
      <c r="E27" s="81">
        <f>FINAL_GOAT_RANKINGS!E12</f>
        <v>35.33223031</v>
      </c>
      <c r="F27" s="81">
        <f>FINAL_GOAT_RANKINGS!F12</f>
        <v>48.51187627</v>
      </c>
      <c r="G27" s="81">
        <f>FINAL_GOAT_RANKINGS!G12</f>
        <v>52.3087475</v>
      </c>
      <c r="H27" s="81">
        <f>FINAL_GOAT_RANKINGS!H12</f>
        <v>42.79536974</v>
      </c>
      <c r="I27" s="33"/>
      <c r="J27" s="33"/>
      <c r="K27" s="33"/>
      <c r="L27" s="33"/>
      <c r="M27" s="33"/>
      <c r="N27" s="33"/>
      <c r="O27" s="33"/>
      <c r="P27" s="33"/>
      <c r="Q27" s="33"/>
      <c r="R27" s="33"/>
      <c r="S27" s="33"/>
      <c r="T27" s="33"/>
      <c r="U27" s="33"/>
      <c r="V27" s="33"/>
      <c r="W27" s="33"/>
      <c r="X27" s="33"/>
      <c r="Y27" s="33"/>
      <c r="Z27" s="33"/>
    </row>
    <row r="28" ht="22.5" customHeight="1">
      <c r="A28" s="33"/>
      <c r="B28" s="78">
        <f>FINAL_GOAT_RANKINGS!B13</f>
        <v>11</v>
      </c>
      <c r="C28" s="82" t="str">
        <f>FINAL_GOAT_RANKINGS!C13</f>
        <v>Brett Favre</v>
      </c>
      <c r="D28" s="83">
        <f>FINAL_GOAT_RANKINGS!D13</f>
        <v>42.60007084</v>
      </c>
      <c r="E28" s="84">
        <f>FINAL_GOAT_RANKINGS!E13</f>
        <v>42.7729173</v>
      </c>
      <c r="F28" s="84">
        <f>FINAL_GOAT_RANKINGS!F13</f>
        <v>42.51622104</v>
      </c>
      <c r="G28" s="84">
        <f>FINAL_GOAT_RANKINGS!G13</f>
        <v>45.75680417</v>
      </c>
      <c r="H28" s="84">
        <f>FINAL_GOAT_RANKINGS!H13</f>
        <v>35.84676778</v>
      </c>
      <c r="I28" s="33"/>
      <c r="J28" s="33"/>
      <c r="K28" s="33"/>
      <c r="L28" s="33"/>
      <c r="M28" s="33"/>
      <c r="N28" s="33"/>
      <c r="O28" s="33"/>
      <c r="P28" s="33"/>
      <c r="Q28" s="33"/>
      <c r="R28" s="33"/>
      <c r="S28" s="33"/>
      <c r="T28" s="33"/>
      <c r="U28" s="33"/>
      <c r="V28" s="33"/>
      <c r="W28" s="33"/>
      <c r="X28" s="33"/>
      <c r="Y28" s="33"/>
      <c r="Z28" s="33"/>
    </row>
    <row r="29" ht="22.5" customHeight="1">
      <c r="A29" s="33"/>
      <c r="B29" s="78">
        <f>FINAL_GOAT_RANKINGS!B14</f>
        <v>12</v>
      </c>
      <c r="C29" s="82" t="str">
        <f>FINAL_GOAT_RANKINGS!C14</f>
        <v>Johnny Unitas</v>
      </c>
      <c r="D29" s="83">
        <f>FINAL_GOAT_RANKINGS!D14</f>
        <v>39.87884451</v>
      </c>
      <c r="E29" s="84">
        <f>FINAL_GOAT_RANKINGS!E14</f>
        <v>37.79677394</v>
      </c>
      <c r="F29" s="84">
        <f>FINAL_GOAT_RANKINGS!F14</f>
        <v>41.71390859</v>
      </c>
      <c r="G29" s="84">
        <f>FINAL_GOAT_RANKINGS!G14</f>
        <v>45.9880358</v>
      </c>
      <c r="H29" s="84">
        <f>FINAL_GOAT_RANKINGS!H14</f>
        <v>30.48355195</v>
      </c>
      <c r="I29" s="33"/>
      <c r="J29" s="33"/>
      <c r="K29" s="33"/>
      <c r="L29" s="33"/>
      <c r="M29" s="33"/>
      <c r="N29" s="33"/>
      <c r="O29" s="33"/>
      <c r="P29" s="33"/>
      <c r="Q29" s="33"/>
      <c r="R29" s="33"/>
      <c r="S29" s="33"/>
      <c r="T29" s="33"/>
      <c r="U29" s="33"/>
      <c r="V29" s="33"/>
      <c r="W29" s="33"/>
      <c r="X29" s="33"/>
      <c r="Y29" s="33"/>
      <c r="Z29" s="33"/>
    </row>
    <row r="30" ht="22.5" customHeight="1">
      <c r="A30" s="33"/>
      <c r="B30" s="78">
        <f>FINAL_GOAT_RANKINGS!B15</f>
        <v>13</v>
      </c>
      <c r="C30" s="82" t="str">
        <f>FINAL_GOAT_RANKINGS!C15</f>
        <v>Dan Fouts</v>
      </c>
      <c r="D30" s="83">
        <f>FINAL_GOAT_RANKINGS!D15</f>
        <v>39.64483419</v>
      </c>
      <c r="E30" s="84">
        <f>FINAL_GOAT_RANKINGS!E15</f>
        <v>31.57056827</v>
      </c>
      <c r="F30" s="84">
        <f>FINAL_GOAT_RANKINGS!F15</f>
        <v>47.91025429</v>
      </c>
      <c r="G30" s="84">
        <f>FINAL_GOAT_RANKINGS!G15</f>
        <v>44.15296352</v>
      </c>
      <c r="H30" s="84">
        <f>FINAL_GOAT_RANKINGS!H15</f>
        <v>38.1293789</v>
      </c>
      <c r="I30" s="33"/>
      <c r="J30" s="33"/>
      <c r="K30" s="33"/>
      <c r="L30" s="33"/>
      <c r="M30" s="33"/>
      <c r="N30" s="33"/>
      <c r="O30" s="33"/>
      <c r="P30" s="33"/>
      <c r="Q30" s="33"/>
      <c r="R30" s="33"/>
      <c r="S30" s="33"/>
      <c r="T30" s="33"/>
      <c r="U30" s="33"/>
      <c r="V30" s="33"/>
      <c r="W30" s="33"/>
      <c r="X30" s="33"/>
      <c r="Y30" s="33"/>
      <c r="Z30" s="33"/>
    </row>
    <row r="31" ht="22.5" customHeight="1">
      <c r="A31" s="33"/>
      <c r="B31" s="78">
        <f>FINAL_GOAT_RANKINGS!B16</f>
        <v>14</v>
      </c>
      <c r="C31" s="82" t="str">
        <f>FINAL_GOAT_RANKINGS!C16</f>
        <v>Roger Staubach</v>
      </c>
      <c r="D31" s="83">
        <f>FINAL_GOAT_RANKINGS!D16</f>
        <v>33.89494975</v>
      </c>
      <c r="E31" s="84">
        <f>FINAL_GOAT_RANKINGS!E16</f>
        <v>26.49674844</v>
      </c>
      <c r="F31" s="84">
        <f>FINAL_GOAT_RANKINGS!F16</f>
        <v>36.58447176</v>
      </c>
      <c r="G31" s="84">
        <f>FINAL_GOAT_RANKINGS!G16</f>
        <v>46.07552212</v>
      </c>
      <c r="H31" s="84">
        <f>FINAL_GOAT_RANKINGS!H16</f>
        <v>31.05804424</v>
      </c>
      <c r="I31" s="33"/>
      <c r="J31" s="33"/>
      <c r="K31" s="33"/>
      <c r="L31" s="33"/>
      <c r="M31" s="33"/>
      <c r="N31" s="33"/>
      <c r="O31" s="33"/>
      <c r="P31" s="33"/>
      <c r="Q31" s="33"/>
      <c r="R31" s="33"/>
      <c r="S31" s="33"/>
      <c r="T31" s="33"/>
      <c r="U31" s="33"/>
      <c r="V31" s="33"/>
      <c r="W31" s="33"/>
      <c r="X31" s="33"/>
      <c r="Y31" s="33"/>
      <c r="Z31" s="33"/>
    </row>
    <row r="32" ht="22.5" customHeight="1">
      <c r="A32" s="33"/>
      <c r="B32" s="78">
        <f>FINAL_GOAT_RANKINGS!B17</f>
        <v>15</v>
      </c>
      <c r="C32" s="82" t="str">
        <f>FINAL_GOAT_RANKINGS!C17</f>
        <v>Terry Bradshaw</v>
      </c>
      <c r="D32" s="83">
        <f>FINAL_GOAT_RANKINGS!D17</f>
        <v>32.79562274</v>
      </c>
      <c r="E32" s="84">
        <f>FINAL_GOAT_RANKINGS!E17</f>
        <v>31.50307395</v>
      </c>
      <c r="F32" s="84">
        <f>FINAL_GOAT_RANKINGS!F17</f>
        <v>29.00912202</v>
      </c>
      <c r="G32" s="84">
        <f>FINAL_GOAT_RANKINGS!G17</f>
        <v>34.12998077</v>
      </c>
      <c r="H32" s="84">
        <f>FINAL_GOAT_RANKINGS!H17</f>
        <v>46.65660401</v>
      </c>
      <c r="I32" s="33"/>
      <c r="J32" s="33"/>
      <c r="K32" s="33"/>
      <c r="L32" s="33"/>
      <c r="M32" s="33"/>
      <c r="N32" s="33"/>
      <c r="O32" s="33"/>
      <c r="P32" s="33"/>
      <c r="Q32" s="33"/>
      <c r="R32" s="33"/>
      <c r="S32" s="33"/>
      <c r="T32" s="33"/>
      <c r="U32" s="33"/>
      <c r="V32" s="33"/>
      <c r="W32" s="33"/>
      <c r="X32" s="33"/>
      <c r="Y32" s="33"/>
      <c r="Z32" s="33"/>
    </row>
    <row r="33" ht="22.5" customHeight="1">
      <c r="A33" s="33"/>
      <c r="B33" s="78">
        <f>FINAL_GOAT_RANKINGS!B18</f>
        <v>16</v>
      </c>
      <c r="C33" s="82" t="str">
        <f>FINAL_GOAT_RANKINGS!C18</f>
        <v>Bart Starr</v>
      </c>
      <c r="D33" s="83">
        <f>FINAL_GOAT_RANKINGS!D18</f>
        <v>32.12182295</v>
      </c>
      <c r="E33" s="84">
        <f>FINAL_GOAT_RANKINGS!E18</f>
        <v>31.83405798</v>
      </c>
      <c r="F33" s="84">
        <f>FINAL_GOAT_RANKINGS!F18</f>
        <v>27.36863203</v>
      </c>
      <c r="G33" s="84">
        <f>FINAL_GOAT_RANKINGS!G18</f>
        <v>28.37808335</v>
      </c>
      <c r="H33" s="84">
        <f>FINAL_GOAT_RANKINGS!H18</f>
        <v>55.01993475</v>
      </c>
      <c r="I33" s="33"/>
      <c r="J33" s="33"/>
      <c r="K33" s="33"/>
      <c r="L33" s="33"/>
      <c r="M33" s="33"/>
      <c r="N33" s="33"/>
      <c r="O33" s="33"/>
      <c r="P33" s="33"/>
      <c r="Q33" s="33"/>
      <c r="R33" s="33"/>
      <c r="S33" s="33"/>
      <c r="T33" s="33"/>
      <c r="U33" s="33"/>
      <c r="V33" s="33"/>
      <c r="W33" s="33"/>
      <c r="X33" s="33"/>
      <c r="Y33" s="33"/>
      <c r="Z33" s="33"/>
    </row>
    <row r="34" ht="22.5" customHeight="1">
      <c r="A34" s="33"/>
      <c r="B34" s="78">
        <f>FINAL_GOAT_RANKINGS!B19</f>
        <v>17</v>
      </c>
      <c r="C34" s="82" t="str">
        <f>FINAL_GOAT_RANKINGS!C19</f>
        <v>Kurt Warner</v>
      </c>
      <c r="D34" s="83">
        <f>FINAL_GOAT_RANKINGS!D19</f>
        <v>31.04605018</v>
      </c>
      <c r="E34" s="84">
        <f>FINAL_GOAT_RANKINGS!E19</f>
        <v>23.55619804</v>
      </c>
      <c r="F34" s="84">
        <f>FINAL_GOAT_RANKINGS!F19</f>
        <v>34.5575094</v>
      </c>
      <c r="G34" s="84">
        <f>FINAL_GOAT_RANKINGS!G19</f>
        <v>37.35695103</v>
      </c>
      <c r="H34" s="84">
        <f>FINAL_GOAT_RANKINGS!H19</f>
        <v>37.84927934</v>
      </c>
      <c r="I34" s="33"/>
      <c r="J34" s="33"/>
      <c r="K34" s="33"/>
      <c r="L34" s="33"/>
      <c r="M34" s="33"/>
      <c r="N34" s="33"/>
      <c r="O34" s="33"/>
      <c r="P34" s="33"/>
      <c r="Q34" s="33"/>
      <c r="R34" s="33"/>
      <c r="S34" s="33"/>
      <c r="T34" s="33"/>
      <c r="U34" s="33"/>
      <c r="V34" s="33"/>
      <c r="W34" s="33"/>
      <c r="X34" s="33"/>
      <c r="Y34" s="33"/>
      <c r="Z34" s="33"/>
    </row>
    <row r="35" ht="22.5" customHeight="1">
      <c r="A35" s="33"/>
      <c r="B35" s="78">
        <f>FINAL_GOAT_RANKINGS!B20</f>
        <v>18</v>
      </c>
      <c r="C35" s="82" t="str">
        <f>FINAL_GOAT_RANKINGS!C20</f>
        <v>John Elway</v>
      </c>
      <c r="D35" s="83">
        <f>FINAL_GOAT_RANKINGS!D20</f>
        <v>28.99577619</v>
      </c>
      <c r="E35" s="84">
        <f>FINAL_GOAT_RANKINGS!E20</f>
        <v>30.02030911</v>
      </c>
      <c r="F35" s="84">
        <f>FINAL_GOAT_RANKINGS!F20</f>
        <v>27.62343743</v>
      </c>
      <c r="G35" s="84">
        <f>FINAL_GOAT_RANKINGS!G20</f>
        <v>26.87478169</v>
      </c>
      <c r="H35" s="84">
        <f>FINAL_GOAT_RANKINGS!H20</f>
        <v>33.25664982</v>
      </c>
      <c r="I35" s="33"/>
      <c r="J35" s="33"/>
      <c r="K35" s="33"/>
      <c r="L35" s="33"/>
      <c r="M35" s="33"/>
      <c r="N35" s="33"/>
      <c r="O35" s="33"/>
      <c r="P35" s="33"/>
      <c r="Q35" s="33"/>
      <c r="R35" s="33"/>
      <c r="S35" s="33"/>
      <c r="T35" s="33"/>
      <c r="U35" s="33"/>
      <c r="V35" s="33"/>
      <c r="W35" s="33"/>
      <c r="X35" s="33"/>
      <c r="Y35" s="33"/>
      <c r="Z35" s="33"/>
    </row>
    <row r="36" ht="22.5" customHeight="1">
      <c r="A36" s="33"/>
      <c r="B36" s="78">
        <f>FINAL_GOAT_RANKINGS!B21</f>
        <v>19</v>
      </c>
      <c r="C36" s="82" t="str">
        <f>FINAL_GOAT_RANKINGS!C21</f>
        <v>Lamar Jackson</v>
      </c>
      <c r="D36" s="83">
        <f>FINAL_GOAT_RANKINGS!D21</f>
        <v>27.71306788</v>
      </c>
      <c r="E36" s="84">
        <f>FINAL_GOAT_RANKINGS!E21</f>
        <v>21.21149376</v>
      </c>
      <c r="F36" s="84">
        <f>FINAL_GOAT_RANKINGS!F21</f>
        <v>37.21953064</v>
      </c>
      <c r="G36" s="84">
        <f>FINAL_GOAT_RANKINGS!G21</f>
        <v>27.7454775</v>
      </c>
      <c r="H36" s="84">
        <f>FINAL_GOAT_RANKINGS!H21</f>
        <v>25.13515684</v>
      </c>
      <c r="I36" s="33"/>
      <c r="J36" s="33"/>
      <c r="K36" s="33"/>
      <c r="L36" s="33"/>
      <c r="M36" s="33"/>
      <c r="N36" s="33"/>
      <c r="O36" s="33"/>
      <c r="P36" s="33"/>
      <c r="Q36" s="33"/>
      <c r="R36" s="33"/>
      <c r="S36" s="33"/>
      <c r="T36" s="33"/>
      <c r="U36" s="33"/>
      <c r="V36" s="33"/>
      <c r="W36" s="33"/>
      <c r="X36" s="33"/>
      <c r="Y36" s="33"/>
      <c r="Z36" s="33"/>
    </row>
    <row r="37" ht="22.5" customHeight="1">
      <c r="A37" s="33"/>
      <c r="B37" s="78">
        <f>FINAL_GOAT_RANKINGS!B22</f>
        <v>20</v>
      </c>
      <c r="C37" s="82" t="str">
        <f>FINAL_GOAT_RANKINGS!C22</f>
        <v>Fran Tarkenton</v>
      </c>
      <c r="D37" s="83">
        <f>FINAL_GOAT_RANKINGS!D22</f>
        <v>27.43771008</v>
      </c>
      <c r="E37" s="84">
        <f>FINAL_GOAT_RANKINGS!E22</f>
        <v>24.35209316</v>
      </c>
      <c r="F37" s="84">
        <f>FINAL_GOAT_RANKINGS!F22</f>
        <v>30.63192682</v>
      </c>
      <c r="G37" s="84">
        <f>FINAL_GOAT_RANKINGS!G22</f>
        <v>32.67055959</v>
      </c>
      <c r="H37" s="84">
        <f>FINAL_GOAT_RANKINGS!H22</f>
        <v>19.73182856</v>
      </c>
      <c r="I37" s="33"/>
      <c r="J37" s="33"/>
      <c r="K37" s="33"/>
      <c r="L37" s="33"/>
      <c r="M37" s="33"/>
      <c r="N37" s="33"/>
      <c r="O37" s="33"/>
      <c r="P37" s="33"/>
      <c r="Q37" s="33"/>
      <c r="R37" s="33"/>
      <c r="S37" s="33"/>
      <c r="T37" s="33"/>
      <c r="U37" s="33"/>
      <c r="V37" s="33"/>
      <c r="W37" s="33"/>
      <c r="X37" s="33"/>
      <c r="Y37" s="33"/>
      <c r="Z37" s="33"/>
    </row>
    <row r="38" ht="22.5" customHeight="1">
      <c r="A38" s="33"/>
      <c r="B38" s="78">
        <f>FINAL_GOAT_RANKINGS!B23</f>
        <v>21</v>
      </c>
      <c r="C38" s="82" t="str">
        <f>FINAL_GOAT_RANKINGS!C23</f>
        <v>Ben Roethlisberger</v>
      </c>
      <c r="D38" s="83">
        <f>FINAL_GOAT_RANKINGS!D23</f>
        <v>27.02643765</v>
      </c>
      <c r="E38" s="84">
        <f>FINAL_GOAT_RANKINGS!E23</f>
        <v>27.81916356</v>
      </c>
      <c r="F38" s="84">
        <f>FINAL_GOAT_RANKINGS!F23</f>
        <v>26.84641144</v>
      </c>
      <c r="G38" s="84">
        <f>FINAL_GOAT_RANKINGS!G23</f>
        <v>26.71833192</v>
      </c>
      <c r="H38" s="84">
        <f>FINAL_GOAT_RANKINGS!H23</f>
        <v>25.0118241</v>
      </c>
      <c r="I38" s="33"/>
      <c r="J38" s="33"/>
      <c r="K38" s="33"/>
      <c r="L38" s="33"/>
      <c r="M38" s="33"/>
      <c r="N38" s="33"/>
      <c r="O38" s="33"/>
      <c r="P38" s="33"/>
      <c r="Q38" s="33"/>
      <c r="R38" s="33"/>
      <c r="S38" s="33"/>
      <c r="T38" s="33"/>
      <c r="U38" s="33"/>
      <c r="V38" s="33"/>
      <c r="W38" s="33"/>
      <c r="X38" s="33"/>
      <c r="Y38" s="33"/>
      <c r="Z38" s="33"/>
    </row>
    <row r="39" ht="22.5" customHeight="1">
      <c r="A39" s="33"/>
      <c r="B39" s="78">
        <f>FINAL_GOAT_RANKINGS!B24</f>
        <v>22</v>
      </c>
      <c r="C39" s="82" t="str">
        <f>FINAL_GOAT_RANKINGS!C24</f>
        <v>Warren Moon</v>
      </c>
      <c r="D39" s="83">
        <f>FINAL_GOAT_RANKINGS!D24</f>
        <v>24.57976338</v>
      </c>
      <c r="E39" s="84">
        <f>FINAL_GOAT_RANKINGS!E24</f>
        <v>20.90485699</v>
      </c>
      <c r="F39" s="84">
        <f>FINAL_GOAT_RANKINGS!F24</f>
        <v>26.89780421</v>
      </c>
      <c r="G39" s="84">
        <f>FINAL_GOAT_RANKINGS!G24</f>
        <v>26.82449807</v>
      </c>
      <c r="H39" s="84">
        <f>FINAL_GOAT_RANKINGS!H24</f>
        <v>27.83579702</v>
      </c>
      <c r="I39" s="33"/>
      <c r="J39" s="33"/>
      <c r="K39" s="33"/>
      <c r="L39" s="33"/>
      <c r="M39" s="33"/>
      <c r="N39" s="33"/>
      <c r="O39" s="33"/>
      <c r="P39" s="33"/>
      <c r="Q39" s="33"/>
      <c r="R39" s="33"/>
      <c r="S39" s="33"/>
      <c r="T39" s="33"/>
      <c r="U39" s="33"/>
      <c r="V39" s="33"/>
      <c r="W39" s="33"/>
      <c r="X39" s="33"/>
      <c r="Y39" s="33"/>
      <c r="Z39" s="33"/>
    </row>
    <row r="40" ht="22.5" customHeight="1">
      <c r="A40" s="33"/>
      <c r="B40" s="78">
        <f>FINAL_GOAT_RANKINGS!B25</f>
        <v>23</v>
      </c>
      <c r="C40" s="82" t="str">
        <f>FINAL_GOAT_RANKINGS!C25</f>
        <v>Jim Kelly</v>
      </c>
      <c r="D40" s="83">
        <f>FINAL_GOAT_RANKINGS!D25</f>
        <v>22.47771722</v>
      </c>
      <c r="E40" s="84">
        <f>FINAL_GOAT_RANKINGS!E25</f>
        <v>18.09950504</v>
      </c>
      <c r="F40" s="84">
        <f>FINAL_GOAT_RANKINGS!F25</f>
        <v>25.85674424</v>
      </c>
      <c r="G40" s="84">
        <f>FINAL_GOAT_RANKINGS!G25</f>
        <v>26.0491026</v>
      </c>
      <c r="H40" s="84">
        <f>FINAL_GOAT_RANKINGS!H25</f>
        <v>22.71071413</v>
      </c>
      <c r="I40" s="33"/>
      <c r="J40" s="33"/>
      <c r="K40" s="33"/>
      <c r="L40" s="33"/>
      <c r="M40" s="33"/>
      <c r="N40" s="33"/>
      <c r="O40" s="33"/>
      <c r="P40" s="33"/>
      <c r="Q40" s="33"/>
      <c r="R40" s="33"/>
      <c r="S40" s="33"/>
      <c r="T40" s="33"/>
      <c r="U40" s="33"/>
      <c r="V40" s="33"/>
      <c r="W40" s="33"/>
      <c r="X40" s="33"/>
      <c r="Y40" s="33"/>
      <c r="Z40" s="33"/>
    </row>
    <row r="41" ht="22.5" customHeight="1">
      <c r="A41" s="33"/>
      <c r="B41" s="78">
        <f>FINAL_GOAT_RANKINGS!B26</f>
        <v>24</v>
      </c>
      <c r="C41" s="82" t="str">
        <f>FINAL_GOAT_RANKINGS!C26</f>
        <v>Ken Stabler</v>
      </c>
      <c r="D41" s="83">
        <f>FINAL_GOAT_RANKINGS!D26</f>
        <v>21.27175407</v>
      </c>
      <c r="E41" s="84">
        <f>FINAL_GOAT_RANKINGS!E26</f>
        <v>18.59320999</v>
      </c>
      <c r="F41" s="84">
        <f>FINAL_GOAT_RANKINGS!F26</f>
        <v>18.40069277</v>
      </c>
      <c r="G41" s="84">
        <f>FINAL_GOAT_RANKINGS!G26</f>
        <v>24.19007022</v>
      </c>
      <c r="H41" s="84">
        <f>FINAL_GOAT_RANKINGS!H26</f>
        <v>34.76248196</v>
      </c>
      <c r="I41" s="33"/>
      <c r="J41" s="33"/>
      <c r="K41" s="33"/>
      <c r="L41" s="33"/>
      <c r="M41" s="33"/>
      <c r="N41" s="33"/>
      <c r="O41" s="33"/>
      <c r="P41" s="33"/>
      <c r="Q41" s="33"/>
      <c r="R41" s="33"/>
      <c r="S41" s="33"/>
      <c r="T41" s="33"/>
      <c r="U41" s="33"/>
      <c r="V41" s="33"/>
      <c r="W41" s="33"/>
      <c r="X41" s="33"/>
      <c r="Y41" s="33"/>
      <c r="Z41" s="33"/>
    </row>
    <row r="42" ht="22.5" customHeight="1">
      <c r="A42" s="33"/>
      <c r="B42" s="78">
        <f>FINAL_GOAT_RANKINGS!B27</f>
        <v>25</v>
      </c>
      <c r="C42" s="82" t="str">
        <f>FINAL_GOAT_RANKINGS!C27</f>
        <v>YA Tittle</v>
      </c>
      <c r="D42" s="83">
        <f>FINAL_GOAT_RANKINGS!D27</f>
        <v>20.46032803</v>
      </c>
      <c r="E42" s="84">
        <f>FINAL_GOAT_RANKINGS!E27</f>
        <v>16.27893516</v>
      </c>
      <c r="F42" s="84">
        <f>FINAL_GOAT_RANKINGS!F27</f>
        <v>23.47047476</v>
      </c>
      <c r="G42" s="84">
        <f>FINAL_GOAT_RANKINGS!G27</f>
        <v>26.68009874</v>
      </c>
      <c r="H42" s="84">
        <f>FINAL_GOAT_RANKINGS!H27</f>
        <v>15.71591791</v>
      </c>
      <c r="I42" s="33"/>
      <c r="J42" s="33"/>
      <c r="K42" s="33"/>
      <c r="L42" s="33"/>
      <c r="M42" s="33"/>
      <c r="N42" s="33"/>
      <c r="O42" s="33"/>
      <c r="P42" s="33"/>
      <c r="Q42" s="33"/>
      <c r="R42" s="33"/>
      <c r="S42" s="33"/>
      <c r="T42" s="33"/>
      <c r="U42" s="33"/>
      <c r="V42" s="33"/>
      <c r="W42" s="33"/>
      <c r="X42" s="33"/>
      <c r="Y42" s="33"/>
      <c r="Z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row r="100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row>
    <row r="1002">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row>
  </sheetData>
  <mergeCells count="6">
    <mergeCell ref="B2:R2"/>
    <mergeCell ref="B3:R3"/>
    <mergeCell ref="B5:D5"/>
    <mergeCell ref="B6:D6"/>
    <mergeCell ref="R7:S7"/>
    <mergeCell ref="B15:D15"/>
  </mergeCells>
  <dataValidations>
    <dataValidation type="list" allowBlank="1" showErrorMessage="1" sqref="B6">
      <formula1>FINAL_GOAT_RANKINGS!$C$3:$C$27</formula1>
    </dataValidation>
    <dataValidation type="custom" allowBlank="1" showDropDown="1" sqref="D18:H42">
      <formula1>AND(ISNUMBER(D18),(NOT(OR(NOT(ISERROR(DATEVALUE(D18))), AND(ISNUMBER(D18), LEFT(CELL("format", D18))="D")))))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0"/>
    <col customWidth="1" min="2" max="2" width="5.63"/>
    <col customWidth="1" min="3" max="3" width="14.63"/>
    <col customWidth="1" min="5" max="5" width="16.25"/>
  </cols>
  <sheetData>
    <row r="1" ht="10.5" customHeight="1">
      <c r="A1" s="85"/>
      <c r="B1" s="85"/>
      <c r="C1" s="86"/>
      <c r="D1" s="85"/>
      <c r="E1" s="85"/>
      <c r="F1" s="85"/>
      <c r="G1" s="85"/>
      <c r="H1" s="85"/>
      <c r="I1" s="85"/>
      <c r="J1" s="85"/>
      <c r="K1" s="87"/>
      <c r="L1" s="87"/>
      <c r="M1" s="87"/>
      <c r="N1" s="87"/>
      <c r="O1" s="87"/>
      <c r="P1" s="87"/>
      <c r="Q1" s="87"/>
      <c r="R1" s="87"/>
      <c r="S1" s="87"/>
      <c r="T1" s="87"/>
      <c r="U1" s="87"/>
      <c r="V1" s="87"/>
      <c r="W1" s="87"/>
      <c r="X1" s="87"/>
      <c r="Y1" s="87"/>
      <c r="Z1" s="87"/>
      <c r="AA1" s="87"/>
      <c r="AB1" s="87"/>
    </row>
    <row r="2" ht="33.0" customHeight="1">
      <c r="A2" s="21"/>
      <c r="B2" s="27" t="s">
        <v>38</v>
      </c>
      <c r="C2" s="21" t="s">
        <v>92</v>
      </c>
      <c r="D2" s="88" t="s">
        <v>93</v>
      </c>
      <c r="E2" s="21" t="s">
        <v>94</v>
      </c>
      <c r="F2" s="21" t="s">
        <v>95</v>
      </c>
      <c r="G2" s="21" t="s">
        <v>96</v>
      </c>
      <c r="H2" s="21" t="s">
        <v>97</v>
      </c>
      <c r="I2" s="23" t="s">
        <v>98</v>
      </c>
      <c r="J2" s="21" t="s">
        <v>99</v>
      </c>
      <c r="K2" s="21"/>
      <c r="L2" s="21"/>
      <c r="M2" s="24"/>
      <c r="N2" s="25"/>
      <c r="O2" s="26"/>
      <c r="P2" s="26"/>
      <c r="Q2" s="26"/>
      <c r="R2" s="26"/>
      <c r="S2" s="26"/>
      <c r="T2" s="26"/>
      <c r="U2" s="26"/>
      <c r="V2" s="26"/>
      <c r="W2" s="26"/>
      <c r="X2" s="26"/>
      <c r="Y2" s="26"/>
      <c r="Z2" s="26"/>
      <c r="AA2" s="26"/>
      <c r="AB2" s="26"/>
    </row>
    <row r="3">
      <c r="A3" s="56"/>
      <c r="B3" s="56">
        <v>33.0</v>
      </c>
      <c r="C3" s="89" t="s">
        <v>60</v>
      </c>
      <c r="D3" s="90">
        <v>5190.0</v>
      </c>
      <c r="E3" s="56" t="s">
        <v>100</v>
      </c>
      <c r="F3" s="56" t="s">
        <v>101</v>
      </c>
      <c r="G3" s="91">
        <v>46028.0</v>
      </c>
      <c r="H3" s="56">
        <v>1937.0</v>
      </c>
      <c r="I3" s="56">
        <v>1952.0</v>
      </c>
      <c r="J3" s="56" t="s">
        <v>102</v>
      </c>
      <c r="K3" s="33"/>
      <c r="L3" s="33"/>
      <c r="M3" s="33"/>
      <c r="N3" s="33"/>
      <c r="O3" s="33"/>
      <c r="P3" s="33"/>
      <c r="Q3" s="33"/>
      <c r="R3" s="33"/>
      <c r="S3" s="33"/>
      <c r="T3" s="33"/>
      <c r="U3" s="33"/>
      <c r="V3" s="33"/>
      <c r="W3" s="33"/>
      <c r="X3" s="33"/>
      <c r="Y3" s="33"/>
      <c r="Z3" s="33"/>
      <c r="AA3" s="33"/>
      <c r="AB3" s="33"/>
    </row>
    <row r="4">
      <c r="A4" s="56"/>
      <c r="B4" s="56">
        <v>12.0</v>
      </c>
      <c r="C4" s="89" t="s">
        <v>65</v>
      </c>
      <c r="D4" s="90">
        <v>17778.0</v>
      </c>
      <c r="E4" s="56" t="s">
        <v>103</v>
      </c>
      <c r="F4" s="56" t="s">
        <v>104</v>
      </c>
      <c r="G4" s="91">
        <v>46023.0</v>
      </c>
      <c r="H4" s="56">
        <v>1970.0</v>
      </c>
      <c r="I4" s="56">
        <v>1983.0</v>
      </c>
      <c r="J4" s="56" t="s">
        <v>105</v>
      </c>
      <c r="K4" s="33"/>
      <c r="L4" s="33"/>
      <c r="M4" s="33"/>
      <c r="N4" s="33"/>
      <c r="O4" s="33"/>
      <c r="P4" s="33"/>
      <c r="Q4" s="33"/>
      <c r="R4" s="33"/>
      <c r="S4" s="33"/>
      <c r="T4" s="33"/>
      <c r="U4" s="33"/>
      <c r="V4" s="33"/>
      <c r="W4" s="33"/>
      <c r="X4" s="33"/>
      <c r="Y4" s="33"/>
      <c r="Z4" s="33"/>
      <c r="AA4" s="33"/>
      <c r="AB4" s="33"/>
    </row>
    <row r="5">
      <c r="A5" s="56"/>
      <c r="B5" s="56">
        <v>12.0</v>
      </c>
      <c r="C5" s="89" t="s">
        <v>51</v>
      </c>
      <c r="D5" s="90">
        <v>28340.0</v>
      </c>
      <c r="E5" s="56" t="s">
        <v>106</v>
      </c>
      <c r="F5" s="56" t="s">
        <v>107</v>
      </c>
      <c r="G5" s="89" t="s">
        <v>108</v>
      </c>
      <c r="H5" s="56">
        <v>2000.0</v>
      </c>
      <c r="I5" s="56">
        <v>2022.0</v>
      </c>
      <c r="J5" s="56" t="s">
        <v>109</v>
      </c>
      <c r="K5" s="33"/>
      <c r="L5" s="33"/>
      <c r="M5" s="33"/>
      <c r="N5" s="33"/>
      <c r="O5" s="33"/>
      <c r="P5" s="33"/>
      <c r="Q5" s="33"/>
      <c r="R5" s="33"/>
      <c r="S5" s="33"/>
      <c r="T5" s="33"/>
      <c r="U5" s="33"/>
      <c r="V5" s="33"/>
      <c r="W5" s="33"/>
      <c r="X5" s="33"/>
      <c r="Y5" s="33"/>
      <c r="Z5" s="33"/>
      <c r="AA5" s="33"/>
      <c r="AB5" s="33"/>
    </row>
    <row r="6">
      <c r="A6" s="56"/>
      <c r="B6" s="56">
        <v>9.0</v>
      </c>
      <c r="C6" s="89" t="s">
        <v>58</v>
      </c>
      <c r="D6" s="90">
        <v>28870.0</v>
      </c>
      <c r="E6" s="56" t="s">
        <v>110</v>
      </c>
      <c r="F6" s="56" t="s">
        <v>111</v>
      </c>
      <c r="G6" s="89" t="s">
        <v>112</v>
      </c>
      <c r="H6" s="56">
        <v>2001.0</v>
      </c>
      <c r="I6" s="56">
        <v>2020.0</v>
      </c>
      <c r="J6" s="56" t="s">
        <v>113</v>
      </c>
      <c r="K6" s="33"/>
      <c r="L6" s="33"/>
      <c r="M6" s="33"/>
      <c r="N6" s="33"/>
      <c r="O6" s="33"/>
      <c r="P6" s="33"/>
      <c r="Q6" s="33"/>
      <c r="R6" s="33"/>
      <c r="S6" s="33"/>
      <c r="T6" s="33"/>
      <c r="U6" s="33"/>
      <c r="V6" s="33"/>
      <c r="W6" s="33"/>
      <c r="X6" s="33"/>
      <c r="Y6" s="33"/>
      <c r="Z6" s="33"/>
      <c r="AA6" s="33"/>
      <c r="AB6" s="33"/>
    </row>
    <row r="7">
      <c r="A7" s="56"/>
      <c r="B7" s="56">
        <v>7.0</v>
      </c>
      <c r="C7" s="89" t="s">
        <v>68</v>
      </c>
      <c r="D7" s="90">
        <v>22095.0</v>
      </c>
      <c r="E7" s="56" t="s">
        <v>114</v>
      </c>
      <c r="F7" s="56" t="s">
        <v>115</v>
      </c>
      <c r="G7" s="91">
        <v>46023.0</v>
      </c>
      <c r="H7" s="56">
        <v>1983.0</v>
      </c>
      <c r="I7" s="56">
        <v>1998.0</v>
      </c>
      <c r="J7" s="56" t="s">
        <v>116</v>
      </c>
      <c r="K7" s="33"/>
      <c r="L7" s="33"/>
      <c r="M7" s="33"/>
      <c r="N7" s="33"/>
      <c r="O7" s="33"/>
      <c r="P7" s="33"/>
      <c r="Q7" s="33"/>
      <c r="R7" s="33"/>
      <c r="S7" s="33"/>
      <c r="T7" s="33"/>
      <c r="U7" s="33"/>
      <c r="V7" s="33"/>
      <c r="W7" s="33"/>
      <c r="X7" s="33"/>
      <c r="Y7" s="33"/>
      <c r="Z7" s="33"/>
      <c r="AA7" s="33"/>
      <c r="AB7" s="33"/>
    </row>
    <row r="8">
      <c r="A8" s="56"/>
      <c r="B8" s="56">
        <v>4.0</v>
      </c>
      <c r="C8" s="89" t="s">
        <v>61</v>
      </c>
      <c r="D8" s="90">
        <v>25486.0</v>
      </c>
      <c r="E8" s="56" t="s">
        <v>117</v>
      </c>
      <c r="F8" s="56" t="s">
        <v>118</v>
      </c>
      <c r="G8" s="89" t="s">
        <v>119</v>
      </c>
      <c r="H8" s="56">
        <v>1991.0</v>
      </c>
      <c r="I8" s="56">
        <v>2010.0</v>
      </c>
      <c r="J8" s="56" t="s">
        <v>120</v>
      </c>
      <c r="K8" s="33"/>
      <c r="L8" s="33"/>
      <c r="M8" s="33"/>
      <c r="N8" s="33"/>
      <c r="O8" s="33"/>
      <c r="P8" s="33"/>
      <c r="Q8" s="33"/>
      <c r="R8" s="33"/>
      <c r="S8" s="33"/>
      <c r="T8" s="33"/>
      <c r="U8" s="33"/>
      <c r="V8" s="33"/>
      <c r="W8" s="33"/>
      <c r="X8" s="33"/>
      <c r="Y8" s="33"/>
      <c r="Z8" s="33"/>
      <c r="AA8" s="33"/>
      <c r="AB8" s="33"/>
    </row>
    <row r="9">
      <c r="A9" s="56"/>
      <c r="B9" s="56">
        <v>14.0</v>
      </c>
      <c r="C9" s="89" t="s">
        <v>63</v>
      </c>
      <c r="D9" s="90">
        <v>18789.0</v>
      </c>
      <c r="E9" s="56" t="s">
        <v>121</v>
      </c>
      <c r="F9" s="56" t="s">
        <v>122</v>
      </c>
      <c r="G9" s="89" t="s">
        <v>123</v>
      </c>
      <c r="H9" s="56">
        <v>1973.0</v>
      </c>
      <c r="I9" s="56">
        <v>1987.0</v>
      </c>
      <c r="J9" s="56" t="s">
        <v>124</v>
      </c>
      <c r="K9" s="33"/>
      <c r="L9" s="33"/>
      <c r="M9" s="33"/>
      <c r="N9" s="33"/>
      <c r="O9" s="33"/>
      <c r="P9" s="33"/>
      <c r="Q9" s="33"/>
      <c r="R9" s="33"/>
      <c r="S9" s="33"/>
      <c r="T9" s="33"/>
      <c r="U9" s="33"/>
      <c r="V9" s="33"/>
      <c r="W9" s="33"/>
      <c r="X9" s="33"/>
      <c r="Y9" s="33"/>
      <c r="Z9" s="33"/>
      <c r="AA9" s="33"/>
      <c r="AB9" s="33"/>
    </row>
    <row r="10">
      <c r="A10" s="56"/>
      <c r="B10" s="56">
        <v>14.0</v>
      </c>
      <c r="C10" s="89" t="s">
        <v>53</v>
      </c>
      <c r="D10" s="90">
        <v>8011.0</v>
      </c>
      <c r="E10" s="56" t="s">
        <v>125</v>
      </c>
      <c r="F10" s="56" t="s">
        <v>126</v>
      </c>
      <c r="G10" s="91">
        <v>46026.0</v>
      </c>
      <c r="H10" s="56">
        <v>1946.0</v>
      </c>
      <c r="I10" s="56">
        <v>1955.0</v>
      </c>
      <c r="J10" s="56" t="s">
        <v>127</v>
      </c>
      <c r="K10" s="33"/>
      <c r="L10" s="33"/>
      <c r="M10" s="33"/>
      <c r="N10" s="33"/>
      <c r="O10" s="33"/>
      <c r="P10" s="33"/>
      <c r="Q10" s="33"/>
      <c r="R10" s="33"/>
      <c r="S10" s="33"/>
      <c r="T10" s="33"/>
      <c r="U10" s="33"/>
      <c r="V10" s="33"/>
      <c r="W10" s="33"/>
      <c r="X10" s="33"/>
      <c r="Y10" s="33"/>
      <c r="Z10" s="33"/>
      <c r="AA10" s="33"/>
      <c r="AB10" s="33"/>
    </row>
    <row r="11">
      <c r="A11" s="56"/>
      <c r="B11" s="56">
        <v>8.0</v>
      </c>
      <c r="C11" s="89" t="s">
        <v>69</v>
      </c>
      <c r="D11" s="90">
        <v>35437.0</v>
      </c>
      <c r="E11" s="56" t="s">
        <v>128</v>
      </c>
      <c r="F11" s="56" t="s">
        <v>129</v>
      </c>
      <c r="G11" s="89" t="s">
        <v>130</v>
      </c>
      <c r="H11" s="56">
        <v>2018.0</v>
      </c>
      <c r="I11" s="92" t="s">
        <v>131</v>
      </c>
      <c r="J11" s="56" t="s">
        <v>132</v>
      </c>
      <c r="K11" s="33"/>
      <c r="L11" s="33"/>
      <c r="M11" s="33"/>
      <c r="N11" s="33"/>
      <c r="O11" s="33"/>
      <c r="P11" s="33"/>
      <c r="Q11" s="33"/>
      <c r="R11" s="33"/>
      <c r="S11" s="33"/>
      <c r="T11" s="33"/>
      <c r="U11" s="33"/>
      <c r="V11" s="33"/>
      <c r="W11" s="33"/>
      <c r="X11" s="33"/>
      <c r="Y11" s="33"/>
      <c r="Z11" s="33"/>
      <c r="AA11" s="33"/>
      <c r="AB11" s="33"/>
    </row>
    <row r="12">
      <c r="A12" s="56"/>
      <c r="B12" s="56">
        <v>12.0</v>
      </c>
      <c r="C12" s="89" t="s">
        <v>73</v>
      </c>
      <c r="D12" s="90">
        <v>21960.0</v>
      </c>
      <c r="E12" s="56" t="s">
        <v>133</v>
      </c>
      <c r="F12" s="56" t="s">
        <v>134</v>
      </c>
      <c r="G12" s="91">
        <v>46036.0</v>
      </c>
      <c r="H12" s="56">
        <v>1986.0</v>
      </c>
      <c r="I12" s="93">
        <v>1996.0</v>
      </c>
      <c r="J12" s="56" t="s">
        <v>135</v>
      </c>
      <c r="K12" s="33"/>
      <c r="L12" s="33"/>
      <c r="M12" s="33"/>
      <c r="N12" s="33"/>
      <c r="O12" s="33"/>
      <c r="P12" s="33"/>
      <c r="Q12" s="33"/>
      <c r="R12" s="33"/>
      <c r="S12" s="33"/>
      <c r="T12" s="33"/>
      <c r="U12" s="33"/>
      <c r="V12" s="33"/>
      <c r="W12" s="33"/>
      <c r="X12" s="33"/>
      <c r="Y12" s="33"/>
      <c r="Z12" s="33"/>
      <c r="AA12" s="33"/>
      <c r="AB12" s="33"/>
    </row>
    <row r="13">
      <c r="A13" s="56"/>
      <c r="B13" s="56">
        <v>15.0</v>
      </c>
      <c r="C13" s="89" t="s">
        <v>55</v>
      </c>
      <c r="D13" s="90">
        <v>34959.0</v>
      </c>
      <c r="E13" s="56" t="s">
        <v>136</v>
      </c>
      <c r="F13" s="56" t="s">
        <v>137</v>
      </c>
      <c r="G13" s="91">
        <v>46032.0</v>
      </c>
      <c r="H13" s="56">
        <v>2017.0</v>
      </c>
      <c r="I13" s="92" t="s">
        <v>131</v>
      </c>
      <c r="J13" s="56" t="s">
        <v>138</v>
      </c>
      <c r="K13" s="33"/>
      <c r="L13" s="33"/>
      <c r="M13" s="33"/>
      <c r="N13" s="33"/>
      <c r="O13" s="33"/>
      <c r="P13" s="33"/>
      <c r="Q13" s="33"/>
      <c r="R13" s="33"/>
      <c r="S13" s="33"/>
      <c r="T13" s="33"/>
      <c r="U13" s="33"/>
      <c r="V13" s="33"/>
      <c r="W13" s="33"/>
      <c r="X13" s="33"/>
      <c r="Y13" s="33"/>
      <c r="Z13" s="33"/>
      <c r="AA13" s="33"/>
      <c r="AB13" s="33"/>
    </row>
    <row r="14">
      <c r="A14" s="56"/>
      <c r="B14" s="56">
        <v>18.0</v>
      </c>
      <c r="C14" s="89" t="s">
        <v>52</v>
      </c>
      <c r="D14" s="90">
        <v>27843.0</v>
      </c>
      <c r="E14" s="56" t="s">
        <v>139</v>
      </c>
      <c r="F14" s="56" t="s">
        <v>140</v>
      </c>
      <c r="G14" s="91">
        <v>46023.0</v>
      </c>
      <c r="H14" s="56">
        <v>1998.0</v>
      </c>
      <c r="I14" s="93">
        <v>2015.0</v>
      </c>
      <c r="J14" s="56" t="s">
        <v>141</v>
      </c>
      <c r="K14" s="33"/>
      <c r="L14" s="33"/>
      <c r="M14" s="33"/>
      <c r="N14" s="33"/>
      <c r="O14" s="33"/>
      <c r="P14" s="33"/>
      <c r="Q14" s="33"/>
      <c r="R14" s="33"/>
      <c r="S14" s="33"/>
      <c r="T14" s="33"/>
      <c r="U14" s="33"/>
      <c r="V14" s="33"/>
      <c r="W14" s="33"/>
      <c r="X14" s="33"/>
      <c r="Y14" s="33"/>
      <c r="Z14" s="33"/>
      <c r="AA14" s="33"/>
      <c r="AB14" s="33"/>
    </row>
    <row r="15">
      <c r="A15" s="56"/>
      <c r="B15" s="56">
        <v>13.0</v>
      </c>
      <c r="C15" s="89" t="s">
        <v>59</v>
      </c>
      <c r="D15" s="90">
        <v>22539.0</v>
      </c>
      <c r="E15" s="56" t="s">
        <v>133</v>
      </c>
      <c r="F15" s="56" t="s">
        <v>142</v>
      </c>
      <c r="G15" s="91">
        <v>46049.0</v>
      </c>
      <c r="H15" s="56">
        <v>1983.0</v>
      </c>
      <c r="I15" s="93">
        <v>1999.0</v>
      </c>
      <c r="J15" s="56" t="s">
        <v>143</v>
      </c>
      <c r="K15" s="33"/>
      <c r="L15" s="33"/>
      <c r="M15" s="33"/>
      <c r="N15" s="33"/>
      <c r="O15" s="33"/>
      <c r="P15" s="33"/>
      <c r="Q15" s="33"/>
      <c r="R15" s="33"/>
      <c r="S15" s="33"/>
      <c r="T15" s="33"/>
      <c r="U15" s="33"/>
      <c r="V15" s="33"/>
      <c r="W15" s="33"/>
      <c r="X15" s="33"/>
      <c r="Y15" s="33"/>
      <c r="Z15" s="33"/>
      <c r="AA15" s="33"/>
      <c r="AB15" s="33"/>
    </row>
    <row r="16">
      <c r="A16" s="56"/>
      <c r="B16" s="56">
        <v>16.0</v>
      </c>
      <c r="C16" s="89" t="s">
        <v>56</v>
      </c>
      <c r="D16" s="90">
        <v>20617.0</v>
      </c>
      <c r="E16" s="56" t="s">
        <v>144</v>
      </c>
      <c r="F16" s="56" t="s">
        <v>145</v>
      </c>
      <c r="G16" s="89" t="s">
        <v>146</v>
      </c>
      <c r="H16" s="56">
        <v>1979.0</v>
      </c>
      <c r="I16" s="93">
        <v>1994.0</v>
      </c>
      <c r="J16" s="56" t="s">
        <v>147</v>
      </c>
      <c r="K16" s="33"/>
      <c r="L16" s="33"/>
      <c r="M16" s="33"/>
      <c r="N16" s="33"/>
      <c r="O16" s="33"/>
      <c r="P16" s="33"/>
      <c r="Q16" s="33"/>
      <c r="R16" s="33"/>
      <c r="S16" s="33"/>
      <c r="T16" s="33"/>
      <c r="U16" s="33"/>
      <c r="V16" s="33"/>
      <c r="W16" s="33"/>
      <c r="X16" s="33"/>
      <c r="Y16" s="33"/>
      <c r="Z16" s="33"/>
      <c r="AA16" s="33"/>
      <c r="AB16" s="33"/>
    </row>
    <row r="17">
      <c r="A17" s="56"/>
      <c r="B17" s="56">
        <v>1.0</v>
      </c>
      <c r="C17" s="89" t="s">
        <v>72</v>
      </c>
      <c r="D17" s="90">
        <v>20777.0</v>
      </c>
      <c r="E17" s="56" t="s">
        <v>148</v>
      </c>
      <c r="F17" s="56" t="s">
        <v>149</v>
      </c>
      <c r="G17" s="89" t="s">
        <v>150</v>
      </c>
      <c r="H17" s="56">
        <v>1984.0</v>
      </c>
      <c r="I17" s="93">
        <v>2000.0</v>
      </c>
      <c r="J17" s="56" t="s">
        <v>151</v>
      </c>
      <c r="K17" s="33"/>
      <c r="L17" s="33"/>
      <c r="M17" s="33"/>
      <c r="N17" s="33"/>
      <c r="O17" s="33"/>
      <c r="P17" s="33"/>
      <c r="Q17" s="33"/>
      <c r="R17" s="33"/>
      <c r="S17" s="33"/>
      <c r="T17" s="33"/>
      <c r="U17" s="33"/>
      <c r="V17" s="33"/>
      <c r="W17" s="33"/>
      <c r="X17" s="33"/>
      <c r="Y17" s="33"/>
      <c r="Z17" s="33"/>
      <c r="AA17" s="33"/>
      <c r="AB17" s="33"/>
    </row>
    <row r="18">
      <c r="A18" s="56"/>
      <c r="B18" s="56">
        <v>12.0</v>
      </c>
      <c r="C18" s="89" t="s">
        <v>54</v>
      </c>
      <c r="D18" s="90">
        <v>30349.0</v>
      </c>
      <c r="E18" s="56" t="s">
        <v>152</v>
      </c>
      <c r="F18" s="56" t="s">
        <v>153</v>
      </c>
      <c r="G18" s="91">
        <v>46046.0</v>
      </c>
      <c r="H18" s="56">
        <v>2005.0</v>
      </c>
      <c r="I18" s="92" t="s">
        <v>131</v>
      </c>
      <c r="J18" s="56" t="s">
        <v>154</v>
      </c>
      <c r="K18" s="33"/>
      <c r="L18" s="33"/>
      <c r="M18" s="33"/>
      <c r="N18" s="33"/>
      <c r="O18" s="33"/>
      <c r="P18" s="33"/>
      <c r="Q18" s="33"/>
      <c r="R18" s="33"/>
      <c r="S18" s="33"/>
      <c r="T18" s="33"/>
      <c r="U18" s="33"/>
      <c r="V18" s="33"/>
      <c r="W18" s="33"/>
      <c r="X18" s="33"/>
      <c r="Y18" s="33"/>
      <c r="Z18" s="33"/>
      <c r="AA18" s="33"/>
      <c r="AB18" s="33"/>
    </row>
    <row r="19">
      <c r="A19" s="56"/>
      <c r="B19" s="56">
        <v>7.0</v>
      </c>
      <c r="C19" s="89" t="s">
        <v>71</v>
      </c>
      <c r="D19" s="90">
        <v>30012.0</v>
      </c>
      <c r="E19" s="56" t="s">
        <v>155</v>
      </c>
      <c r="F19" s="56" t="s">
        <v>156</v>
      </c>
      <c r="G19" s="91">
        <v>46033.0</v>
      </c>
      <c r="H19" s="56">
        <v>2004.0</v>
      </c>
      <c r="I19" s="56">
        <v>2021.0</v>
      </c>
      <c r="J19" s="56" t="s">
        <v>105</v>
      </c>
      <c r="K19" s="33"/>
      <c r="L19" s="33"/>
      <c r="M19" s="33"/>
      <c r="N19" s="33"/>
      <c r="O19" s="33"/>
      <c r="P19" s="33"/>
      <c r="Q19" s="33"/>
      <c r="R19" s="33"/>
      <c r="S19" s="33"/>
      <c r="T19" s="33"/>
      <c r="U19" s="33"/>
      <c r="V19" s="33"/>
      <c r="W19" s="33"/>
      <c r="X19" s="33"/>
      <c r="Y19" s="33"/>
      <c r="Z19" s="33"/>
      <c r="AA19" s="33"/>
      <c r="AB19" s="33"/>
    </row>
    <row r="20">
      <c r="A20" s="56"/>
      <c r="B20" s="56">
        <v>12.0</v>
      </c>
      <c r="C20" s="89" t="s">
        <v>74</v>
      </c>
      <c r="D20" s="90">
        <v>16796.0</v>
      </c>
      <c r="E20" s="56" t="s">
        <v>157</v>
      </c>
      <c r="F20" s="56" t="s">
        <v>158</v>
      </c>
      <c r="G20" s="89" t="s">
        <v>159</v>
      </c>
      <c r="H20" s="56">
        <v>1970.0</v>
      </c>
      <c r="I20" s="56">
        <v>1984.0</v>
      </c>
      <c r="J20" s="56" t="s">
        <v>160</v>
      </c>
      <c r="K20" s="33"/>
      <c r="L20" s="33"/>
      <c r="M20" s="33"/>
      <c r="N20" s="33"/>
      <c r="O20" s="33"/>
      <c r="P20" s="33"/>
      <c r="Q20" s="33"/>
      <c r="R20" s="33"/>
      <c r="S20" s="33"/>
      <c r="T20" s="33"/>
      <c r="U20" s="33"/>
      <c r="V20" s="33"/>
      <c r="W20" s="33"/>
      <c r="X20" s="33"/>
      <c r="Y20" s="33"/>
      <c r="Z20" s="33"/>
      <c r="AA20" s="33"/>
      <c r="AB20" s="33"/>
    </row>
    <row r="21">
      <c r="A21" s="56"/>
      <c r="B21" s="56">
        <v>15.0</v>
      </c>
      <c r="C21" s="89" t="s">
        <v>66</v>
      </c>
      <c r="D21" s="90">
        <v>12428.0</v>
      </c>
      <c r="E21" s="56" t="s">
        <v>161</v>
      </c>
      <c r="F21" s="56" t="s">
        <v>158</v>
      </c>
      <c r="G21" s="89" t="s">
        <v>162</v>
      </c>
      <c r="H21" s="56">
        <v>1956.0</v>
      </c>
      <c r="I21" s="56">
        <v>1971.0</v>
      </c>
      <c r="J21" s="56" t="s">
        <v>163</v>
      </c>
      <c r="K21" s="33"/>
      <c r="L21" s="33"/>
      <c r="M21" s="33"/>
      <c r="N21" s="33"/>
      <c r="O21" s="33"/>
      <c r="P21" s="33"/>
      <c r="Q21" s="33"/>
      <c r="R21" s="33"/>
      <c r="S21" s="33"/>
      <c r="T21" s="33"/>
      <c r="U21" s="33"/>
      <c r="V21" s="33"/>
      <c r="W21" s="33"/>
      <c r="X21" s="33"/>
      <c r="Y21" s="33"/>
      <c r="Z21" s="33"/>
      <c r="AA21" s="33"/>
      <c r="AB21" s="33"/>
    </row>
    <row r="22">
      <c r="A22" s="56"/>
      <c r="B22" s="56">
        <v>12.0</v>
      </c>
      <c r="C22" s="89" t="s">
        <v>64</v>
      </c>
      <c r="D22" s="90">
        <v>15377.0</v>
      </c>
      <c r="E22" s="56" t="s">
        <v>164</v>
      </c>
      <c r="F22" s="56" t="s">
        <v>165</v>
      </c>
      <c r="G22" s="89" t="s">
        <v>166</v>
      </c>
      <c r="H22" s="56">
        <v>1969.0</v>
      </c>
      <c r="I22" s="56">
        <v>1979.0</v>
      </c>
      <c r="J22" s="56" t="s">
        <v>167</v>
      </c>
      <c r="K22" s="33"/>
      <c r="L22" s="33"/>
      <c r="M22" s="33"/>
      <c r="N22" s="33"/>
      <c r="O22" s="33"/>
      <c r="P22" s="33"/>
      <c r="Q22" s="33"/>
      <c r="R22" s="33"/>
      <c r="S22" s="33"/>
      <c r="T22" s="33"/>
      <c r="U22" s="33"/>
      <c r="V22" s="33"/>
      <c r="W22" s="33"/>
      <c r="X22" s="33"/>
      <c r="Y22" s="33"/>
      <c r="Z22" s="33"/>
      <c r="AA22" s="33"/>
      <c r="AB22" s="33"/>
    </row>
    <row r="23">
      <c r="A23" s="56"/>
      <c r="B23" s="56">
        <v>10.0</v>
      </c>
      <c r="C23" s="89" t="s">
        <v>70</v>
      </c>
      <c r="D23" s="90">
        <v>14644.0</v>
      </c>
      <c r="E23" s="56" t="s">
        <v>168</v>
      </c>
      <c r="F23" s="56" t="s">
        <v>169</v>
      </c>
      <c r="G23" s="91">
        <v>46110.0</v>
      </c>
      <c r="H23" s="56">
        <v>1961.0</v>
      </c>
      <c r="I23" s="56">
        <v>1978.0</v>
      </c>
      <c r="J23" s="56" t="s">
        <v>170</v>
      </c>
      <c r="K23" s="33"/>
      <c r="L23" s="33"/>
      <c r="M23" s="33"/>
      <c r="N23" s="33"/>
      <c r="O23" s="33"/>
      <c r="P23" s="33"/>
      <c r="Q23" s="33"/>
      <c r="R23" s="33"/>
      <c r="S23" s="33"/>
      <c r="T23" s="33"/>
      <c r="U23" s="33"/>
      <c r="V23" s="33"/>
      <c r="W23" s="33"/>
      <c r="X23" s="33"/>
      <c r="Y23" s="33"/>
      <c r="Z23" s="33"/>
      <c r="AA23" s="33"/>
      <c r="AB23" s="33"/>
    </row>
    <row r="24">
      <c r="A24" s="56"/>
      <c r="B24" s="56">
        <v>14.0</v>
      </c>
      <c r="C24" s="89" t="s">
        <v>171</v>
      </c>
      <c r="D24" s="90">
        <v>9794.0</v>
      </c>
      <c r="E24" s="56" t="s">
        <v>172</v>
      </c>
      <c r="F24" s="56" t="s">
        <v>173</v>
      </c>
      <c r="G24" s="91">
        <v>46028.0</v>
      </c>
      <c r="H24" s="56">
        <v>1948.0</v>
      </c>
      <c r="I24" s="56">
        <v>1964.0</v>
      </c>
      <c r="J24" s="56" t="s">
        <v>174</v>
      </c>
      <c r="K24" s="33"/>
      <c r="L24" s="33"/>
      <c r="M24" s="33"/>
      <c r="N24" s="33"/>
      <c r="O24" s="33"/>
      <c r="P24" s="33"/>
      <c r="Q24" s="33"/>
      <c r="R24" s="33"/>
      <c r="S24" s="33"/>
      <c r="T24" s="33"/>
      <c r="U24" s="33"/>
      <c r="V24" s="33"/>
      <c r="W24" s="33"/>
      <c r="X24" s="33"/>
      <c r="Y24" s="33"/>
      <c r="Z24" s="33"/>
      <c r="AA24" s="33"/>
      <c r="AB24" s="33"/>
    </row>
    <row r="25">
      <c r="A25" s="56"/>
      <c r="B25" s="56">
        <v>19.0</v>
      </c>
      <c r="C25" s="89" t="s">
        <v>62</v>
      </c>
      <c r="D25" s="90">
        <v>12181.0</v>
      </c>
      <c r="E25" s="56" t="s">
        <v>133</v>
      </c>
      <c r="F25" s="56" t="s">
        <v>129</v>
      </c>
      <c r="G25" s="89" t="s">
        <v>175</v>
      </c>
      <c r="H25" s="56">
        <v>1956.0</v>
      </c>
      <c r="I25" s="56">
        <v>1973.0</v>
      </c>
      <c r="J25" s="56" t="s">
        <v>176</v>
      </c>
      <c r="K25" s="33"/>
      <c r="L25" s="33"/>
      <c r="M25" s="33"/>
      <c r="N25" s="33"/>
      <c r="O25" s="33"/>
      <c r="P25" s="33"/>
      <c r="Q25" s="33"/>
      <c r="R25" s="33"/>
      <c r="S25" s="33"/>
      <c r="T25" s="33"/>
      <c r="U25" s="33"/>
      <c r="V25" s="33"/>
      <c r="W25" s="33"/>
      <c r="X25" s="33"/>
      <c r="Y25" s="33"/>
      <c r="Z25" s="33"/>
      <c r="AA25" s="33"/>
      <c r="AB25" s="33"/>
    </row>
    <row r="26">
      <c r="A26" s="56"/>
      <c r="B26" s="56">
        <v>13.0</v>
      </c>
      <c r="C26" s="89" t="s">
        <v>67</v>
      </c>
      <c r="D26" s="90">
        <v>26106.0</v>
      </c>
      <c r="E26" s="56" t="s">
        <v>177</v>
      </c>
      <c r="F26" s="56" t="s">
        <v>178</v>
      </c>
      <c r="G26" s="89" t="s">
        <v>150</v>
      </c>
      <c r="H26" s="56">
        <v>1998.0</v>
      </c>
      <c r="I26" s="56">
        <v>2009.0</v>
      </c>
      <c r="J26" s="56" t="s">
        <v>179</v>
      </c>
      <c r="K26" s="33"/>
      <c r="L26" s="33"/>
      <c r="M26" s="33"/>
      <c r="N26" s="33"/>
      <c r="O26" s="33"/>
      <c r="P26" s="33"/>
      <c r="Q26" s="33"/>
      <c r="R26" s="33"/>
      <c r="S26" s="33"/>
      <c r="T26" s="33"/>
      <c r="U26" s="33"/>
      <c r="V26" s="33"/>
      <c r="W26" s="33"/>
      <c r="X26" s="33"/>
      <c r="Y26" s="33"/>
      <c r="Z26" s="33"/>
      <c r="AA26" s="33"/>
      <c r="AB26" s="33"/>
    </row>
    <row r="27">
      <c r="A27" s="56"/>
      <c r="B27" s="56">
        <v>8.0</v>
      </c>
      <c r="C27" s="89" t="s">
        <v>57</v>
      </c>
      <c r="D27" s="90">
        <v>22565.0</v>
      </c>
      <c r="E27" s="56" t="s">
        <v>180</v>
      </c>
      <c r="F27" s="56" t="s">
        <v>181</v>
      </c>
      <c r="G27" s="91">
        <v>46023.0</v>
      </c>
      <c r="H27" s="56">
        <v>1985.0</v>
      </c>
      <c r="I27" s="56">
        <v>1999.0</v>
      </c>
      <c r="J27" s="56" t="s">
        <v>182</v>
      </c>
      <c r="K27" s="33"/>
      <c r="L27" s="33"/>
      <c r="M27" s="33"/>
      <c r="N27" s="33"/>
      <c r="O27" s="33"/>
      <c r="P27" s="33"/>
      <c r="Q27" s="33"/>
      <c r="R27" s="33"/>
      <c r="S27" s="33"/>
      <c r="T27" s="33"/>
      <c r="U27" s="33"/>
      <c r="V27" s="33"/>
      <c r="W27" s="33"/>
      <c r="X27" s="33"/>
      <c r="Y27" s="33"/>
      <c r="Z27" s="33"/>
      <c r="AA27" s="33"/>
      <c r="AB27" s="33"/>
    </row>
    <row r="28">
      <c r="A28" s="33"/>
      <c r="B28" s="33"/>
      <c r="C28" s="94"/>
      <c r="D28" s="33"/>
      <c r="E28" s="33"/>
      <c r="F28" s="33"/>
      <c r="G28" s="94"/>
      <c r="H28" s="33"/>
      <c r="I28" s="33"/>
      <c r="J28" s="33"/>
      <c r="K28" s="33"/>
      <c r="L28" s="33"/>
      <c r="M28" s="33"/>
      <c r="N28" s="33"/>
      <c r="O28" s="33"/>
      <c r="P28" s="33"/>
      <c r="Q28" s="33"/>
      <c r="R28" s="33"/>
      <c r="S28" s="33"/>
      <c r="T28" s="33"/>
      <c r="U28" s="33"/>
      <c r="V28" s="33"/>
      <c r="W28" s="33"/>
      <c r="X28" s="33"/>
      <c r="Y28" s="33"/>
      <c r="Z28" s="33"/>
      <c r="AA28" s="33"/>
      <c r="AB28" s="33"/>
    </row>
    <row r="29">
      <c r="A29" s="95"/>
      <c r="B29" s="95" t="s">
        <v>183</v>
      </c>
      <c r="C29" s="94"/>
      <c r="D29" s="33"/>
      <c r="E29" s="33"/>
      <c r="F29" s="33"/>
      <c r="G29" s="94"/>
      <c r="H29" s="33"/>
      <c r="I29" s="33"/>
      <c r="J29" s="33"/>
      <c r="K29" s="33"/>
      <c r="L29" s="33"/>
      <c r="M29" s="33"/>
      <c r="N29" s="33"/>
      <c r="O29" s="33"/>
      <c r="P29" s="33"/>
      <c r="Q29" s="33"/>
      <c r="R29" s="33"/>
      <c r="S29" s="33"/>
      <c r="T29" s="33"/>
      <c r="U29" s="33"/>
      <c r="V29" s="33"/>
      <c r="W29" s="33"/>
      <c r="X29" s="33"/>
      <c r="Y29" s="33"/>
      <c r="Z29" s="33"/>
      <c r="AA29" s="33"/>
      <c r="AB29" s="33"/>
    </row>
    <row r="30">
      <c r="A30" s="96"/>
      <c r="B30" s="96" t="s">
        <v>184</v>
      </c>
      <c r="C30" s="94"/>
      <c r="D30" s="33"/>
      <c r="E30" s="33"/>
      <c r="F30" s="33"/>
      <c r="G30" s="94"/>
      <c r="H30" s="33"/>
      <c r="I30" s="33"/>
      <c r="J30" s="33"/>
      <c r="K30" s="33"/>
      <c r="L30" s="33"/>
      <c r="M30" s="33"/>
      <c r="N30" s="33"/>
      <c r="O30" s="33"/>
      <c r="P30" s="33"/>
      <c r="Q30" s="33"/>
      <c r="R30" s="33"/>
      <c r="S30" s="33"/>
      <c r="T30" s="33"/>
      <c r="U30" s="33"/>
      <c r="V30" s="33"/>
      <c r="W30" s="33"/>
      <c r="X30" s="33"/>
      <c r="Y30" s="33"/>
      <c r="Z30" s="33"/>
      <c r="AA30" s="33"/>
      <c r="AB30" s="33"/>
    </row>
    <row r="31">
      <c r="A31" s="56"/>
      <c r="B31" s="56" t="s">
        <v>185</v>
      </c>
      <c r="C31" s="94"/>
      <c r="D31" s="33"/>
      <c r="E31" s="33"/>
      <c r="F31" s="33"/>
      <c r="G31" s="94"/>
      <c r="H31" s="33"/>
      <c r="I31" s="33"/>
      <c r="J31" s="33"/>
      <c r="K31" s="33"/>
      <c r="L31" s="33"/>
      <c r="M31" s="33"/>
      <c r="N31" s="33"/>
      <c r="O31" s="33"/>
      <c r="P31" s="33"/>
      <c r="Q31" s="33"/>
      <c r="R31" s="33"/>
      <c r="S31" s="33"/>
      <c r="T31" s="33"/>
      <c r="U31" s="33"/>
      <c r="V31" s="33"/>
      <c r="W31" s="33"/>
      <c r="X31" s="33"/>
      <c r="Y31" s="33"/>
      <c r="Z31" s="33"/>
      <c r="AA31" s="33"/>
      <c r="AB31" s="33"/>
    </row>
    <row r="32">
      <c r="A32" s="56"/>
      <c r="B32" s="56" t="s">
        <v>186</v>
      </c>
      <c r="C32" s="94"/>
      <c r="D32" s="33"/>
      <c r="E32" s="33"/>
      <c r="F32" s="33"/>
      <c r="G32" s="94"/>
      <c r="H32" s="33"/>
      <c r="I32" s="33"/>
      <c r="J32" s="33"/>
      <c r="K32" s="33"/>
      <c r="L32" s="33"/>
      <c r="M32" s="33"/>
      <c r="N32" s="33"/>
      <c r="O32" s="33"/>
      <c r="P32" s="33"/>
      <c r="Q32" s="33"/>
      <c r="R32" s="33"/>
      <c r="S32" s="33"/>
      <c r="T32" s="33"/>
      <c r="U32" s="33"/>
      <c r="V32" s="33"/>
      <c r="W32" s="33"/>
      <c r="X32" s="33"/>
      <c r="Y32" s="33"/>
      <c r="Z32" s="33"/>
      <c r="AA32" s="33"/>
      <c r="AB32" s="33"/>
    </row>
    <row r="33">
      <c r="A33" s="56"/>
      <c r="B33" s="56" t="s">
        <v>187</v>
      </c>
      <c r="C33" s="94"/>
      <c r="D33" s="33"/>
      <c r="E33" s="33"/>
      <c r="F33" s="33"/>
      <c r="G33" s="94"/>
      <c r="H33" s="33"/>
      <c r="I33" s="33"/>
      <c r="J33" s="33"/>
      <c r="K33" s="33"/>
      <c r="L33" s="33"/>
      <c r="M33" s="33"/>
      <c r="N33" s="33"/>
      <c r="O33" s="33"/>
      <c r="P33" s="33"/>
      <c r="Q33" s="33"/>
      <c r="R33" s="33"/>
      <c r="S33" s="33"/>
      <c r="T33" s="33"/>
      <c r="U33" s="33"/>
      <c r="V33" s="33"/>
      <c r="W33" s="33"/>
      <c r="X33" s="33"/>
      <c r="Y33" s="33"/>
      <c r="Z33" s="33"/>
      <c r="AA33" s="33"/>
      <c r="AB33" s="33"/>
    </row>
    <row r="34">
      <c r="A34" s="56"/>
      <c r="B34" s="56" t="s">
        <v>188</v>
      </c>
      <c r="C34" s="94"/>
      <c r="D34" s="33"/>
      <c r="E34" s="33"/>
      <c r="F34" s="33"/>
      <c r="G34" s="94"/>
      <c r="H34" s="33"/>
      <c r="I34" s="33"/>
      <c r="J34" s="33"/>
      <c r="K34" s="33"/>
      <c r="L34" s="33"/>
      <c r="M34" s="33"/>
      <c r="N34" s="33"/>
      <c r="O34" s="33"/>
      <c r="P34" s="33"/>
      <c r="Q34" s="33"/>
      <c r="R34" s="33"/>
      <c r="S34" s="33"/>
      <c r="T34" s="33"/>
      <c r="U34" s="33"/>
      <c r="V34" s="33"/>
      <c r="W34" s="33"/>
      <c r="X34" s="33"/>
      <c r="Y34" s="33"/>
      <c r="Z34" s="33"/>
      <c r="AA34" s="33"/>
      <c r="AB34" s="33"/>
    </row>
    <row r="35">
      <c r="A35" s="56"/>
      <c r="B35" s="56" t="s">
        <v>189</v>
      </c>
      <c r="C35" s="94"/>
      <c r="D35" s="33"/>
      <c r="E35" s="33"/>
      <c r="F35" s="33"/>
      <c r="G35" s="94"/>
      <c r="H35" s="33"/>
      <c r="I35" s="33"/>
      <c r="J35" s="33"/>
      <c r="K35" s="33"/>
      <c r="L35" s="33"/>
      <c r="M35" s="33"/>
      <c r="N35" s="33"/>
      <c r="O35" s="33"/>
      <c r="P35" s="33"/>
      <c r="Q35" s="33"/>
      <c r="R35" s="33"/>
      <c r="S35" s="33"/>
      <c r="T35" s="33"/>
      <c r="U35" s="33"/>
      <c r="V35" s="33"/>
      <c r="W35" s="33"/>
      <c r="X35" s="33"/>
      <c r="Y35" s="33"/>
      <c r="Z35" s="33"/>
      <c r="AA35" s="33"/>
      <c r="AB35" s="33"/>
    </row>
    <row r="36">
      <c r="A36" s="96"/>
      <c r="B36" s="96" t="s">
        <v>190</v>
      </c>
      <c r="C36" s="94"/>
      <c r="D36" s="33"/>
      <c r="E36" s="33"/>
      <c r="F36" s="33"/>
      <c r="G36" s="94"/>
      <c r="H36" s="33"/>
      <c r="I36" s="33"/>
      <c r="J36" s="33"/>
      <c r="K36" s="33"/>
      <c r="L36" s="33"/>
      <c r="M36" s="33"/>
      <c r="N36" s="33"/>
      <c r="O36" s="33"/>
      <c r="P36" s="33"/>
      <c r="Q36" s="33"/>
      <c r="R36" s="33"/>
      <c r="S36" s="33"/>
      <c r="T36" s="33"/>
      <c r="U36" s="33"/>
      <c r="V36" s="33"/>
      <c r="W36" s="33"/>
      <c r="X36" s="33"/>
      <c r="Y36" s="33"/>
      <c r="Z36" s="33"/>
      <c r="AA36" s="33"/>
      <c r="AB36" s="33"/>
    </row>
    <row r="37">
      <c r="A37" s="56"/>
      <c r="B37" s="56" t="s">
        <v>191</v>
      </c>
      <c r="C37" s="94"/>
      <c r="D37" s="33"/>
      <c r="E37" s="33"/>
      <c r="F37" s="33"/>
      <c r="G37" s="94"/>
      <c r="H37" s="33"/>
      <c r="I37" s="33"/>
      <c r="J37" s="33"/>
      <c r="K37" s="33"/>
      <c r="L37" s="33"/>
      <c r="M37" s="33"/>
      <c r="N37" s="33"/>
      <c r="O37" s="33"/>
      <c r="P37" s="33"/>
      <c r="Q37" s="33"/>
      <c r="R37" s="33"/>
      <c r="S37" s="33"/>
      <c r="T37" s="33"/>
      <c r="U37" s="33"/>
      <c r="V37" s="33"/>
      <c r="W37" s="33"/>
      <c r="X37" s="33"/>
      <c r="Y37" s="33"/>
      <c r="Z37" s="33"/>
      <c r="AA37" s="33"/>
      <c r="AB37" s="33"/>
    </row>
    <row r="38">
      <c r="A38" s="56"/>
      <c r="B38" s="56" t="s">
        <v>192</v>
      </c>
      <c r="C38" s="94"/>
      <c r="D38" s="33"/>
      <c r="E38" s="33"/>
      <c r="F38" s="33"/>
      <c r="G38" s="94"/>
      <c r="H38" s="33"/>
      <c r="I38" s="33"/>
      <c r="J38" s="33"/>
      <c r="K38" s="33"/>
      <c r="L38" s="33"/>
      <c r="M38" s="33"/>
      <c r="N38" s="33"/>
      <c r="O38" s="33"/>
      <c r="P38" s="33"/>
      <c r="Q38" s="33"/>
      <c r="R38" s="33"/>
      <c r="S38" s="33"/>
      <c r="T38" s="33"/>
      <c r="U38" s="33"/>
      <c r="V38" s="33"/>
      <c r="W38" s="33"/>
      <c r="X38" s="33"/>
      <c r="Y38" s="33"/>
      <c r="Z38" s="33"/>
      <c r="AA38" s="33"/>
      <c r="AB38" s="33"/>
    </row>
    <row r="39">
      <c r="A39" s="56"/>
      <c r="B39" s="56" t="s">
        <v>193</v>
      </c>
      <c r="C39" s="94"/>
      <c r="D39" s="33"/>
      <c r="E39" s="33"/>
      <c r="F39" s="33"/>
      <c r="G39" s="94"/>
      <c r="H39" s="33"/>
      <c r="I39" s="33"/>
      <c r="J39" s="33"/>
      <c r="K39" s="33"/>
      <c r="L39" s="33"/>
      <c r="M39" s="33"/>
      <c r="N39" s="33"/>
      <c r="O39" s="33"/>
      <c r="P39" s="33"/>
      <c r="Q39" s="33"/>
      <c r="R39" s="33"/>
      <c r="S39" s="33"/>
      <c r="T39" s="33"/>
      <c r="U39" s="33"/>
      <c r="V39" s="33"/>
      <c r="W39" s="33"/>
      <c r="X39" s="33"/>
      <c r="Y39" s="33"/>
      <c r="Z39" s="33"/>
      <c r="AA39" s="33"/>
      <c r="AB39" s="33"/>
    </row>
    <row r="40">
      <c r="A40" s="56"/>
      <c r="B40" s="56" t="s">
        <v>194</v>
      </c>
      <c r="C40" s="94"/>
      <c r="D40" s="33"/>
      <c r="E40" s="33"/>
      <c r="F40" s="33"/>
      <c r="G40" s="94"/>
      <c r="H40" s="33"/>
      <c r="I40" s="33"/>
      <c r="J40" s="33"/>
      <c r="K40" s="33"/>
      <c r="L40" s="33"/>
      <c r="M40" s="33"/>
      <c r="N40" s="33"/>
      <c r="O40" s="33"/>
      <c r="P40" s="33"/>
      <c r="Q40" s="33"/>
      <c r="R40" s="33"/>
      <c r="S40" s="33"/>
      <c r="T40" s="33"/>
      <c r="U40" s="33"/>
      <c r="V40" s="33"/>
      <c r="W40" s="33"/>
      <c r="X40" s="33"/>
      <c r="Y40" s="33"/>
      <c r="Z40" s="33"/>
      <c r="AA40" s="33"/>
      <c r="AB40" s="33"/>
    </row>
    <row r="41">
      <c r="A41" s="56"/>
      <c r="B41" s="56" t="s">
        <v>195</v>
      </c>
      <c r="C41" s="94"/>
      <c r="D41" s="33"/>
      <c r="E41" s="33"/>
      <c r="F41" s="33"/>
      <c r="G41" s="94"/>
      <c r="H41" s="33"/>
      <c r="I41" s="33"/>
      <c r="J41" s="33"/>
      <c r="K41" s="33"/>
      <c r="L41" s="33"/>
      <c r="M41" s="33"/>
      <c r="N41" s="33"/>
      <c r="O41" s="33"/>
      <c r="P41" s="33"/>
      <c r="Q41" s="33"/>
      <c r="R41" s="33"/>
      <c r="S41" s="33"/>
      <c r="T41" s="33"/>
      <c r="U41" s="33"/>
      <c r="V41" s="33"/>
      <c r="W41" s="33"/>
      <c r="X41" s="33"/>
      <c r="Y41" s="33"/>
      <c r="Z41" s="33"/>
      <c r="AA41" s="33"/>
      <c r="AB41" s="33"/>
    </row>
    <row r="42">
      <c r="A42" s="96"/>
      <c r="B42" s="96" t="s">
        <v>196</v>
      </c>
      <c r="C42" s="94"/>
      <c r="D42" s="33"/>
      <c r="E42" s="33"/>
      <c r="F42" s="33"/>
      <c r="G42" s="94"/>
      <c r="H42" s="33"/>
      <c r="I42" s="33"/>
      <c r="J42" s="33"/>
      <c r="K42" s="33"/>
      <c r="L42" s="33"/>
      <c r="M42" s="33"/>
      <c r="N42" s="33"/>
      <c r="O42" s="33"/>
      <c r="P42" s="33"/>
      <c r="Q42" s="33"/>
      <c r="R42" s="33"/>
      <c r="S42" s="33"/>
      <c r="T42" s="33"/>
      <c r="U42" s="33"/>
      <c r="V42" s="33"/>
      <c r="W42" s="33"/>
      <c r="X42" s="33"/>
      <c r="Y42" s="33"/>
      <c r="Z42" s="33"/>
      <c r="AA42" s="33"/>
      <c r="AB42" s="33"/>
    </row>
    <row r="43">
      <c r="A43" s="56"/>
      <c r="B43" s="56" t="s">
        <v>197</v>
      </c>
      <c r="C43" s="94"/>
      <c r="D43" s="33"/>
      <c r="E43" s="33"/>
      <c r="F43" s="33"/>
      <c r="G43" s="94"/>
      <c r="H43" s="33"/>
      <c r="I43" s="33"/>
      <c r="J43" s="33"/>
      <c r="K43" s="33"/>
      <c r="L43" s="33"/>
      <c r="M43" s="33"/>
      <c r="N43" s="33"/>
      <c r="O43" s="33"/>
      <c r="P43" s="33"/>
      <c r="Q43" s="33"/>
      <c r="R43" s="33"/>
      <c r="S43" s="33"/>
      <c r="T43" s="33"/>
      <c r="U43" s="33"/>
      <c r="V43" s="33"/>
      <c r="W43" s="33"/>
      <c r="X43" s="33"/>
      <c r="Y43" s="33"/>
      <c r="Z43" s="33"/>
      <c r="AA43" s="33"/>
      <c r="AB43" s="33"/>
    </row>
    <row r="44">
      <c r="A44" s="56"/>
      <c r="B44" s="56" t="s">
        <v>198</v>
      </c>
      <c r="C44" s="94"/>
      <c r="D44" s="33"/>
      <c r="E44" s="33"/>
      <c r="F44" s="33"/>
      <c r="G44" s="94"/>
      <c r="H44" s="33"/>
      <c r="I44" s="33"/>
      <c r="J44" s="33"/>
      <c r="K44" s="33"/>
      <c r="L44" s="33"/>
      <c r="M44" s="33"/>
      <c r="N44" s="33"/>
      <c r="O44" s="33"/>
      <c r="P44" s="33"/>
      <c r="Q44" s="33"/>
      <c r="R44" s="33"/>
      <c r="S44" s="33"/>
      <c r="T44" s="33"/>
      <c r="U44" s="33"/>
      <c r="V44" s="33"/>
      <c r="W44" s="33"/>
      <c r="X44" s="33"/>
      <c r="Y44" s="33"/>
      <c r="Z44" s="33"/>
      <c r="AA44" s="33"/>
      <c r="AB44" s="33"/>
    </row>
    <row r="45">
      <c r="A45" s="56"/>
      <c r="B45" s="56" t="s">
        <v>199</v>
      </c>
      <c r="C45" s="94"/>
      <c r="D45" s="33"/>
      <c r="E45" s="33"/>
      <c r="F45" s="33"/>
      <c r="G45" s="94"/>
      <c r="H45" s="33"/>
      <c r="I45" s="33"/>
      <c r="J45" s="33"/>
      <c r="K45" s="33"/>
      <c r="L45" s="33"/>
      <c r="M45" s="33"/>
      <c r="N45" s="33"/>
      <c r="O45" s="33"/>
      <c r="P45" s="33"/>
      <c r="Q45" s="33"/>
      <c r="R45" s="33"/>
      <c r="S45" s="33"/>
      <c r="T45" s="33"/>
      <c r="U45" s="33"/>
      <c r="V45" s="33"/>
      <c r="W45" s="33"/>
      <c r="X45" s="33"/>
      <c r="Y45" s="33"/>
      <c r="Z45" s="33"/>
      <c r="AA45" s="33"/>
      <c r="AB45" s="33"/>
    </row>
    <row r="46">
      <c r="A46" s="56"/>
      <c r="B46" s="56" t="s">
        <v>200</v>
      </c>
      <c r="C46" s="94"/>
      <c r="D46" s="33"/>
      <c r="E46" s="33"/>
      <c r="F46" s="33"/>
      <c r="G46" s="94"/>
      <c r="H46" s="33"/>
      <c r="I46" s="33"/>
      <c r="J46" s="33"/>
      <c r="K46" s="33"/>
      <c r="L46" s="33"/>
      <c r="M46" s="33"/>
      <c r="N46" s="33"/>
      <c r="O46" s="33"/>
      <c r="P46" s="33"/>
      <c r="Q46" s="33"/>
      <c r="R46" s="33"/>
      <c r="S46" s="33"/>
      <c r="T46" s="33"/>
      <c r="U46" s="33"/>
      <c r="V46" s="33"/>
      <c r="W46" s="33"/>
      <c r="X46" s="33"/>
      <c r="Y46" s="33"/>
      <c r="Z46" s="33"/>
      <c r="AA46" s="33"/>
      <c r="AB46" s="33"/>
    </row>
    <row r="47">
      <c r="A47" s="56"/>
      <c r="B47" s="56" t="s">
        <v>201</v>
      </c>
      <c r="C47" s="94"/>
      <c r="D47" s="33"/>
      <c r="E47" s="33"/>
      <c r="F47" s="33"/>
      <c r="G47" s="94"/>
      <c r="H47" s="33"/>
      <c r="I47" s="33"/>
      <c r="J47" s="33"/>
      <c r="K47" s="33"/>
      <c r="L47" s="33"/>
      <c r="M47" s="33"/>
      <c r="N47" s="33"/>
      <c r="O47" s="33"/>
      <c r="P47" s="33"/>
      <c r="Q47" s="33"/>
      <c r="R47" s="33"/>
      <c r="S47" s="33"/>
      <c r="T47" s="33"/>
      <c r="U47" s="33"/>
      <c r="V47" s="33"/>
      <c r="W47" s="33"/>
      <c r="X47" s="33"/>
      <c r="Y47" s="33"/>
      <c r="Z47" s="33"/>
      <c r="AA47" s="33"/>
      <c r="AB47" s="33"/>
    </row>
    <row r="48">
      <c r="A48" s="33"/>
      <c r="B48" s="33"/>
      <c r="C48" s="94"/>
      <c r="D48" s="33"/>
      <c r="E48" s="33"/>
      <c r="F48" s="33"/>
      <c r="G48" s="94"/>
      <c r="H48" s="33"/>
      <c r="I48" s="33"/>
      <c r="J48" s="33"/>
      <c r="K48" s="33"/>
      <c r="L48" s="33"/>
      <c r="M48" s="33"/>
      <c r="N48" s="33"/>
      <c r="O48" s="33"/>
      <c r="P48" s="33"/>
      <c r="Q48" s="33"/>
      <c r="R48" s="33"/>
      <c r="S48" s="33"/>
      <c r="T48" s="33"/>
      <c r="U48" s="33"/>
      <c r="V48" s="33"/>
      <c r="W48" s="33"/>
      <c r="X48" s="33"/>
      <c r="Y48" s="33"/>
      <c r="Z48" s="33"/>
      <c r="AA48" s="33"/>
      <c r="AB48" s="33"/>
    </row>
    <row r="49">
      <c r="A49" s="33"/>
      <c r="B49" s="33"/>
      <c r="C49" s="94"/>
      <c r="D49" s="33"/>
      <c r="E49" s="33"/>
      <c r="F49" s="33"/>
      <c r="G49" s="94"/>
      <c r="H49" s="33"/>
      <c r="I49" s="33"/>
      <c r="J49" s="33"/>
      <c r="K49" s="33"/>
      <c r="L49" s="33"/>
      <c r="M49" s="33"/>
      <c r="N49" s="33"/>
      <c r="O49" s="33"/>
      <c r="P49" s="33"/>
      <c r="Q49" s="33"/>
      <c r="R49" s="33"/>
      <c r="S49" s="33"/>
      <c r="T49" s="33"/>
      <c r="U49" s="33"/>
      <c r="V49" s="33"/>
      <c r="W49" s="33"/>
      <c r="X49" s="33"/>
      <c r="Y49" s="33"/>
      <c r="Z49" s="33"/>
      <c r="AA49" s="33"/>
      <c r="AB49" s="33"/>
    </row>
    <row r="50">
      <c r="A50" s="33"/>
      <c r="B50" s="33"/>
      <c r="C50" s="94"/>
      <c r="D50" s="33"/>
      <c r="E50" s="33"/>
      <c r="F50" s="33"/>
      <c r="G50" s="94"/>
      <c r="H50" s="33"/>
      <c r="I50" s="33"/>
      <c r="J50" s="33"/>
      <c r="K50" s="33"/>
      <c r="L50" s="33"/>
      <c r="M50" s="33"/>
      <c r="N50" s="33"/>
      <c r="O50" s="33"/>
      <c r="P50" s="33"/>
      <c r="Q50" s="33"/>
      <c r="R50" s="33"/>
      <c r="S50" s="33"/>
      <c r="T50" s="33"/>
      <c r="U50" s="33"/>
      <c r="V50" s="33"/>
      <c r="W50" s="33"/>
      <c r="X50" s="33"/>
      <c r="Y50" s="33"/>
      <c r="Z50" s="33"/>
      <c r="AA50" s="33"/>
      <c r="AB50" s="33"/>
    </row>
    <row r="51">
      <c r="A51" s="33"/>
      <c r="B51" s="33"/>
      <c r="C51" s="94"/>
      <c r="D51" s="33"/>
      <c r="E51" s="33"/>
      <c r="F51" s="33"/>
      <c r="G51" s="94"/>
      <c r="H51" s="33"/>
      <c r="I51" s="33"/>
      <c r="J51" s="33"/>
      <c r="K51" s="33"/>
      <c r="L51" s="33"/>
      <c r="M51" s="33"/>
      <c r="N51" s="33"/>
      <c r="O51" s="33"/>
      <c r="P51" s="33"/>
      <c r="Q51" s="33"/>
      <c r="R51" s="33"/>
      <c r="S51" s="33"/>
      <c r="T51" s="33"/>
      <c r="U51" s="33"/>
      <c r="V51" s="33"/>
      <c r="W51" s="33"/>
      <c r="X51" s="33"/>
      <c r="Y51" s="33"/>
      <c r="Z51" s="33"/>
      <c r="AA51" s="33"/>
      <c r="AB51" s="33"/>
    </row>
    <row r="52">
      <c r="A52" s="33"/>
      <c r="B52" s="33"/>
      <c r="C52" s="94"/>
      <c r="D52" s="33"/>
      <c r="E52" s="33"/>
      <c r="F52" s="33"/>
      <c r="G52" s="94"/>
      <c r="H52" s="33"/>
      <c r="I52" s="33"/>
      <c r="J52" s="33"/>
      <c r="K52" s="33"/>
      <c r="L52" s="33"/>
      <c r="M52" s="33"/>
      <c r="N52" s="33"/>
      <c r="O52" s="33"/>
      <c r="P52" s="33"/>
      <c r="Q52" s="33"/>
      <c r="R52" s="33"/>
      <c r="S52" s="33"/>
      <c r="T52" s="33"/>
      <c r="U52" s="33"/>
      <c r="V52" s="33"/>
      <c r="W52" s="33"/>
      <c r="X52" s="33"/>
      <c r="Y52" s="33"/>
      <c r="Z52" s="33"/>
      <c r="AA52" s="33"/>
      <c r="AB52" s="33"/>
    </row>
    <row r="53">
      <c r="A53" s="33"/>
      <c r="B53" s="33"/>
      <c r="C53" s="94"/>
      <c r="D53" s="33"/>
      <c r="E53" s="33"/>
      <c r="F53" s="33"/>
      <c r="G53" s="94"/>
      <c r="H53" s="33"/>
      <c r="I53" s="33"/>
      <c r="J53" s="33"/>
      <c r="K53" s="33"/>
      <c r="L53" s="33"/>
      <c r="M53" s="33"/>
      <c r="N53" s="33"/>
      <c r="O53" s="33"/>
      <c r="P53" s="33"/>
      <c r="Q53" s="33"/>
      <c r="R53" s="33"/>
      <c r="S53" s="33"/>
      <c r="T53" s="33"/>
      <c r="U53" s="33"/>
      <c r="V53" s="33"/>
      <c r="W53" s="33"/>
      <c r="X53" s="33"/>
      <c r="Y53" s="33"/>
      <c r="Z53" s="33"/>
      <c r="AA53" s="33"/>
      <c r="AB53" s="33"/>
    </row>
    <row r="54">
      <c r="A54" s="33"/>
      <c r="B54" s="33"/>
      <c r="C54" s="94"/>
      <c r="D54" s="33"/>
      <c r="E54" s="33"/>
      <c r="F54" s="33"/>
      <c r="G54" s="94"/>
      <c r="H54" s="33"/>
      <c r="I54" s="33"/>
      <c r="J54" s="33"/>
      <c r="K54" s="33"/>
      <c r="L54" s="33"/>
      <c r="M54" s="33"/>
      <c r="N54" s="33"/>
      <c r="O54" s="33"/>
      <c r="P54" s="33"/>
      <c r="Q54" s="33"/>
      <c r="R54" s="33"/>
      <c r="S54" s="33"/>
      <c r="T54" s="33"/>
      <c r="U54" s="33"/>
      <c r="V54" s="33"/>
      <c r="W54" s="33"/>
      <c r="X54" s="33"/>
      <c r="Y54" s="33"/>
      <c r="Z54" s="33"/>
      <c r="AA54" s="33"/>
      <c r="AB54" s="33"/>
    </row>
    <row r="55">
      <c r="A55" s="33"/>
      <c r="B55" s="33"/>
      <c r="C55" s="94"/>
      <c r="D55" s="33"/>
      <c r="E55" s="33"/>
      <c r="F55" s="33"/>
      <c r="G55" s="94"/>
      <c r="H55" s="33"/>
      <c r="I55" s="33"/>
      <c r="J55" s="33"/>
      <c r="K55" s="33"/>
      <c r="L55" s="33"/>
      <c r="M55" s="33"/>
      <c r="N55" s="33"/>
      <c r="O55" s="33"/>
      <c r="P55" s="33"/>
      <c r="Q55" s="33"/>
      <c r="R55" s="33"/>
      <c r="S55" s="33"/>
      <c r="T55" s="33"/>
      <c r="U55" s="33"/>
      <c r="V55" s="33"/>
      <c r="W55" s="33"/>
      <c r="X55" s="33"/>
      <c r="Y55" s="33"/>
      <c r="Z55" s="33"/>
      <c r="AA55" s="33"/>
      <c r="AB55" s="33"/>
    </row>
    <row r="56">
      <c r="A56" s="33"/>
      <c r="B56" s="33"/>
      <c r="C56" s="94"/>
      <c r="D56" s="33"/>
      <c r="E56" s="33"/>
      <c r="F56" s="33"/>
      <c r="G56" s="94"/>
      <c r="H56" s="33"/>
      <c r="I56" s="33"/>
      <c r="J56" s="33"/>
      <c r="K56" s="33"/>
      <c r="L56" s="33"/>
      <c r="M56" s="33"/>
      <c r="N56" s="33"/>
      <c r="O56" s="33"/>
      <c r="P56" s="33"/>
      <c r="Q56" s="33"/>
      <c r="R56" s="33"/>
      <c r="S56" s="33"/>
      <c r="T56" s="33"/>
      <c r="U56" s="33"/>
      <c r="V56" s="33"/>
      <c r="W56" s="33"/>
      <c r="X56" s="33"/>
      <c r="Y56" s="33"/>
      <c r="Z56" s="33"/>
      <c r="AA56" s="33"/>
      <c r="AB56" s="33"/>
    </row>
    <row r="57">
      <c r="A57" s="33"/>
      <c r="B57" s="33"/>
      <c r="C57" s="94"/>
      <c r="D57" s="33"/>
      <c r="E57" s="33"/>
      <c r="F57" s="33"/>
      <c r="G57" s="94"/>
      <c r="H57" s="33"/>
      <c r="I57" s="33"/>
      <c r="J57" s="33"/>
      <c r="K57" s="33"/>
      <c r="L57" s="33"/>
      <c r="M57" s="33"/>
      <c r="N57" s="33"/>
      <c r="O57" s="33"/>
      <c r="P57" s="33"/>
      <c r="Q57" s="33"/>
      <c r="R57" s="33"/>
      <c r="S57" s="33"/>
      <c r="T57" s="33"/>
      <c r="U57" s="33"/>
      <c r="V57" s="33"/>
      <c r="W57" s="33"/>
      <c r="X57" s="33"/>
      <c r="Y57" s="33"/>
      <c r="Z57" s="33"/>
      <c r="AA57" s="33"/>
      <c r="AB57" s="33"/>
    </row>
    <row r="58">
      <c r="A58" s="33"/>
      <c r="B58" s="33"/>
      <c r="C58" s="94"/>
      <c r="D58" s="33"/>
      <c r="E58" s="33"/>
      <c r="F58" s="33"/>
      <c r="G58" s="94"/>
      <c r="H58" s="33"/>
      <c r="I58" s="33"/>
      <c r="J58" s="33"/>
      <c r="K58" s="33"/>
      <c r="L58" s="33"/>
      <c r="M58" s="33"/>
      <c r="N58" s="33"/>
      <c r="O58" s="33"/>
      <c r="P58" s="33"/>
      <c r="Q58" s="33"/>
      <c r="R58" s="33"/>
      <c r="S58" s="33"/>
      <c r="T58" s="33"/>
      <c r="U58" s="33"/>
      <c r="V58" s="33"/>
      <c r="W58" s="33"/>
      <c r="X58" s="33"/>
      <c r="Y58" s="33"/>
      <c r="Z58" s="33"/>
      <c r="AA58" s="33"/>
      <c r="AB58" s="33"/>
    </row>
    <row r="59">
      <c r="A59" s="33"/>
      <c r="B59" s="33"/>
      <c r="C59" s="94"/>
      <c r="D59" s="33"/>
      <c r="E59" s="33"/>
      <c r="F59" s="33"/>
      <c r="G59" s="94"/>
      <c r="H59" s="33"/>
      <c r="I59" s="33"/>
      <c r="J59" s="33"/>
      <c r="K59" s="33"/>
      <c r="L59" s="33"/>
      <c r="M59" s="33"/>
      <c r="N59" s="33"/>
      <c r="O59" s="33"/>
      <c r="P59" s="33"/>
      <c r="Q59" s="33"/>
      <c r="R59" s="33"/>
      <c r="S59" s="33"/>
      <c r="T59" s="33"/>
      <c r="U59" s="33"/>
      <c r="V59" s="33"/>
      <c r="W59" s="33"/>
      <c r="X59" s="33"/>
      <c r="Y59" s="33"/>
      <c r="Z59" s="33"/>
      <c r="AA59" s="33"/>
      <c r="AB59" s="33"/>
    </row>
    <row r="60">
      <c r="A60" s="33"/>
      <c r="B60" s="33"/>
      <c r="C60" s="94"/>
      <c r="D60" s="33"/>
      <c r="E60" s="33"/>
      <c r="F60" s="33"/>
      <c r="G60" s="94"/>
      <c r="H60" s="33"/>
      <c r="I60" s="33"/>
      <c r="J60" s="33"/>
      <c r="K60" s="33"/>
      <c r="L60" s="33"/>
      <c r="M60" s="33"/>
      <c r="N60" s="33"/>
      <c r="O60" s="33"/>
      <c r="P60" s="33"/>
      <c r="Q60" s="33"/>
      <c r="R60" s="33"/>
      <c r="S60" s="33"/>
      <c r="T60" s="33"/>
      <c r="U60" s="33"/>
      <c r="V60" s="33"/>
      <c r="W60" s="33"/>
      <c r="X60" s="33"/>
      <c r="Y60" s="33"/>
      <c r="Z60" s="33"/>
      <c r="AA60" s="33"/>
      <c r="AB60" s="33"/>
    </row>
    <row r="61">
      <c r="A61" s="33"/>
      <c r="B61" s="33"/>
      <c r="C61" s="94"/>
      <c r="D61" s="33"/>
      <c r="E61" s="33"/>
      <c r="F61" s="33"/>
      <c r="G61" s="94"/>
      <c r="H61" s="33"/>
      <c r="I61" s="33"/>
      <c r="J61" s="33"/>
      <c r="K61" s="33"/>
      <c r="L61" s="33"/>
      <c r="M61" s="33"/>
      <c r="N61" s="33"/>
      <c r="O61" s="33"/>
      <c r="P61" s="33"/>
      <c r="Q61" s="33"/>
      <c r="R61" s="33"/>
      <c r="S61" s="33"/>
      <c r="T61" s="33"/>
      <c r="U61" s="33"/>
      <c r="V61" s="33"/>
      <c r="W61" s="33"/>
      <c r="X61" s="33"/>
      <c r="Y61" s="33"/>
      <c r="Z61" s="33"/>
      <c r="AA61" s="33"/>
      <c r="AB61" s="33"/>
    </row>
    <row r="62">
      <c r="A62" s="33"/>
      <c r="B62" s="33"/>
      <c r="C62" s="94"/>
      <c r="D62" s="33"/>
      <c r="E62" s="33"/>
      <c r="F62" s="33"/>
      <c r="G62" s="94"/>
      <c r="H62" s="33"/>
      <c r="I62" s="33"/>
      <c r="J62" s="33"/>
      <c r="K62" s="33"/>
      <c r="L62" s="33"/>
      <c r="M62" s="33"/>
      <c r="N62" s="33"/>
      <c r="O62" s="33"/>
      <c r="P62" s="33"/>
      <c r="Q62" s="33"/>
      <c r="R62" s="33"/>
      <c r="S62" s="33"/>
      <c r="T62" s="33"/>
      <c r="U62" s="33"/>
      <c r="V62" s="33"/>
      <c r="W62" s="33"/>
      <c r="X62" s="33"/>
      <c r="Y62" s="33"/>
      <c r="Z62" s="33"/>
      <c r="AA62" s="33"/>
      <c r="AB62" s="33"/>
    </row>
    <row r="63">
      <c r="A63" s="33"/>
      <c r="B63" s="33"/>
      <c r="C63" s="94"/>
      <c r="D63" s="33"/>
      <c r="E63" s="33"/>
      <c r="F63" s="33"/>
      <c r="G63" s="94"/>
      <c r="H63" s="33"/>
      <c r="I63" s="33"/>
      <c r="J63" s="33"/>
      <c r="K63" s="33"/>
      <c r="L63" s="33"/>
      <c r="M63" s="33"/>
      <c r="N63" s="33"/>
      <c r="O63" s="33"/>
      <c r="P63" s="33"/>
      <c r="Q63" s="33"/>
      <c r="R63" s="33"/>
      <c r="S63" s="33"/>
      <c r="T63" s="33"/>
      <c r="U63" s="33"/>
      <c r="V63" s="33"/>
      <c r="W63" s="33"/>
      <c r="X63" s="33"/>
      <c r="Y63" s="33"/>
      <c r="Z63" s="33"/>
      <c r="AA63" s="33"/>
      <c r="AB63" s="33"/>
    </row>
    <row r="64">
      <c r="A64" s="33"/>
      <c r="B64" s="33"/>
      <c r="C64" s="94"/>
      <c r="D64" s="33"/>
      <c r="E64" s="33"/>
      <c r="F64" s="33"/>
      <c r="G64" s="94"/>
      <c r="H64" s="33"/>
      <c r="I64" s="33"/>
      <c r="J64" s="33"/>
      <c r="K64" s="33"/>
      <c r="L64" s="33"/>
      <c r="M64" s="33"/>
      <c r="N64" s="33"/>
      <c r="O64" s="33"/>
      <c r="P64" s="33"/>
      <c r="Q64" s="33"/>
      <c r="R64" s="33"/>
      <c r="S64" s="33"/>
      <c r="T64" s="33"/>
      <c r="U64" s="33"/>
      <c r="V64" s="33"/>
      <c r="W64" s="33"/>
      <c r="X64" s="33"/>
      <c r="Y64" s="33"/>
      <c r="Z64" s="33"/>
      <c r="AA64" s="33"/>
      <c r="AB64" s="33"/>
    </row>
    <row r="65">
      <c r="A65" s="33"/>
      <c r="B65" s="33"/>
      <c r="C65" s="94"/>
      <c r="D65" s="33"/>
      <c r="E65" s="33"/>
      <c r="F65" s="33"/>
      <c r="G65" s="94"/>
      <c r="H65" s="33"/>
      <c r="I65" s="33"/>
      <c r="J65" s="33"/>
      <c r="K65" s="33"/>
      <c r="L65" s="33"/>
      <c r="M65" s="33"/>
      <c r="N65" s="33"/>
      <c r="O65" s="33"/>
      <c r="P65" s="33"/>
      <c r="Q65" s="33"/>
      <c r="R65" s="33"/>
      <c r="S65" s="33"/>
      <c r="T65" s="33"/>
      <c r="U65" s="33"/>
      <c r="V65" s="33"/>
      <c r="W65" s="33"/>
      <c r="X65" s="33"/>
      <c r="Y65" s="33"/>
      <c r="Z65" s="33"/>
      <c r="AA65" s="33"/>
      <c r="AB65" s="33"/>
    </row>
    <row r="66">
      <c r="A66" s="33"/>
      <c r="B66" s="33"/>
      <c r="C66" s="94"/>
      <c r="D66" s="33"/>
      <c r="E66" s="33"/>
      <c r="F66" s="33"/>
      <c r="G66" s="94"/>
      <c r="H66" s="33"/>
      <c r="I66" s="33"/>
      <c r="J66" s="33"/>
      <c r="K66" s="33"/>
      <c r="L66" s="33"/>
      <c r="M66" s="33"/>
      <c r="N66" s="33"/>
      <c r="O66" s="33"/>
      <c r="P66" s="33"/>
      <c r="Q66" s="33"/>
      <c r="R66" s="33"/>
      <c r="S66" s="33"/>
      <c r="T66" s="33"/>
      <c r="U66" s="33"/>
      <c r="V66" s="33"/>
      <c r="W66" s="33"/>
      <c r="X66" s="33"/>
      <c r="Y66" s="33"/>
      <c r="Z66" s="33"/>
      <c r="AA66" s="33"/>
      <c r="AB66" s="33"/>
    </row>
    <row r="67">
      <c r="A67" s="33"/>
      <c r="B67" s="33"/>
      <c r="C67" s="94"/>
      <c r="D67" s="33"/>
      <c r="E67" s="33"/>
      <c r="F67" s="33"/>
      <c r="G67" s="94"/>
      <c r="H67" s="33"/>
      <c r="I67" s="33"/>
      <c r="J67" s="33"/>
      <c r="K67" s="33"/>
      <c r="L67" s="33"/>
      <c r="M67" s="33"/>
      <c r="N67" s="33"/>
      <c r="O67" s="33"/>
      <c r="P67" s="33"/>
      <c r="Q67" s="33"/>
      <c r="R67" s="33"/>
      <c r="S67" s="33"/>
      <c r="T67" s="33"/>
      <c r="U67" s="33"/>
      <c r="V67" s="33"/>
      <c r="W67" s="33"/>
      <c r="X67" s="33"/>
      <c r="Y67" s="33"/>
      <c r="Z67" s="33"/>
      <c r="AA67" s="33"/>
      <c r="AB67" s="33"/>
    </row>
    <row r="68">
      <c r="A68" s="33"/>
      <c r="B68" s="33"/>
      <c r="C68" s="94"/>
      <c r="D68" s="33"/>
      <c r="E68" s="33"/>
      <c r="F68" s="33"/>
      <c r="G68" s="94"/>
      <c r="H68" s="33"/>
      <c r="I68" s="33"/>
      <c r="J68" s="33"/>
      <c r="K68" s="33"/>
      <c r="L68" s="33"/>
      <c r="M68" s="33"/>
      <c r="N68" s="33"/>
      <c r="O68" s="33"/>
      <c r="P68" s="33"/>
      <c r="Q68" s="33"/>
      <c r="R68" s="33"/>
      <c r="S68" s="33"/>
      <c r="T68" s="33"/>
      <c r="U68" s="33"/>
      <c r="V68" s="33"/>
      <c r="W68" s="33"/>
      <c r="X68" s="33"/>
      <c r="Y68" s="33"/>
      <c r="Z68" s="33"/>
      <c r="AA68" s="33"/>
      <c r="AB68" s="33"/>
    </row>
    <row r="69">
      <c r="A69" s="33"/>
      <c r="B69" s="33"/>
      <c r="C69" s="94"/>
      <c r="D69" s="33"/>
      <c r="E69" s="33"/>
      <c r="F69" s="33"/>
      <c r="G69" s="94"/>
      <c r="H69" s="33"/>
      <c r="I69" s="33"/>
      <c r="J69" s="33"/>
      <c r="K69" s="33"/>
      <c r="L69" s="33"/>
      <c r="M69" s="33"/>
      <c r="N69" s="33"/>
      <c r="O69" s="33"/>
      <c r="P69" s="33"/>
      <c r="Q69" s="33"/>
      <c r="R69" s="33"/>
      <c r="S69" s="33"/>
      <c r="T69" s="33"/>
      <c r="U69" s="33"/>
      <c r="V69" s="33"/>
      <c r="W69" s="33"/>
      <c r="X69" s="33"/>
      <c r="Y69" s="33"/>
      <c r="Z69" s="33"/>
      <c r="AA69" s="33"/>
      <c r="AB69" s="33"/>
    </row>
    <row r="70">
      <c r="A70" s="33"/>
      <c r="B70" s="33"/>
      <c r="C70" s="94"/>
      <c r="D70" s="33"/>
      <c r="E70" s="33"/>
      <c r="F70" s="33"/>
      <c r="G70" s="94"/>
      <c r="H70" s="33"/>
      <c r="I70" s="33"/>
      <c r="J70" s="33"/>
      <c r="K70" s="33"/>
      <c r="L70" s="33"/>
      <c r="M70" s="33"/>
      <c r="N70" s="33"/>
      <c r="O70" s="33"/>
      <c r="P70" s="33"/>
      <c r="Q70" s="33"/>
      <c r="R70" s="33"/>
      <c r="S70" s="33"/>
      <c r="T70" s="33"/>
      <c r="U70" s="33"/>
      <c r="V70" s="33"/>
      <c r="W70" s="33"/>
      <c r="X70" s="33"/>
      <c r="Y70" s="33"/>
      <c r="Z70" s="33"/>
      <c r="AA70" s="33"/>
      <c r="AB70" s="33"/>
    </row>
    <row r="71">
      <c r="A71" s="33"/>
      <c r="B71" s="33"/>
      <c r="C71" s="94"/>
      <c r="D71" s="33"/>
      <c r="E71" s="33"/>
      <c r="F71" s="33"/>
      <c r="G71" s="94"/>
      <c r="H71" s="33"/>
      <c r="I71" s="33"/>
      <c r="J71" s="33"/>
      <c r="K71" s="33"/>
      <c r="L71" s="33"/>
      <c r="M71" s="33"/>
      <c r="N71" s="33"/>
      <c r="O71" s="33"/>
      <c r="P71" s="33"/>
      <c r="Q71" s="33"/>
      <c r="R71" s="33"/>
      <c r="S71" s="33"/>
      <c r="T71" s="33"/>
      <c r="U71" s="33"/>
      <c r="V71" s="33"/>
      <c r="W71" s="33"/>
      <c r="X71" s="33"/>
      <c r="Y71" s="33"/>
      <c r="Z71" s="33"/>
      <c r="AA71" s="33"/>
      <c r="AB71" s="33"/>
    </row>
    <row r="72">
      <c r="A72" s="33"/>
      <c r="B72" s="33"/>
      <c r="C72" s="94"/>
      <c r="D72" s="33"/>
      <c r="E72" s="33"/>
      <c r="F72" s="33"/>
      <c r="G72" s="94"/>
      <c r="H72" s="33"/>
      <c r="I72" s="33"/>
      <c r="J72" s="33"/>
      <c r="K72" s="33"/>
      <c r="L72" s="33"/>
      <c r="M72" s="33"/>
      <c r="N72" s="33"/>
      <c r="O72" s="33"/>
      <c r="P72" s="33"/>
      <c r="Q72" s="33"/>
      <c r="R72" s="33"/>
      <c r="S72" s="33"/>
      <c r="T72" s="33"/>
      <c r="U72" s="33"/>
      <c r="V72" s="33"/>
      <c r="W72" s="33"/>
      <c r="X72" s="33"/>
      <c r="Y72" s="33"/>
      <c r="Z72" s="33"/>
      <c r="AA72" s="33"/>
      <c r="AB72" s="33"/>
    </row>
    <row r="73">
      <c r="A73" s="33"/>
      <c r="B73" s="33"/>
      <c r="C73" s="94"/>
      <c r="D73" s="33"/>
      <c r="E73" s="33"/>
      <c r="F73" s="33"/>
      <c r="G73" s="94"/>
      <c r="H73" s="33"/>
      <c r="I73" s="33"/>
      <c r="J73" s="33"/>
      <c r="K73" s="33"/>
      <c r="L73" s="33"/>
      <c r="M73" s="33"/>
      <c r="N73" s="33"/>
      <c r="O73" s="33"/>
      <c r="P73" s="33"/>
      <c r="Q73" s="33"/>
      <c r="R73" s="33"/>
      <c r="S73" s="33"/>
      <c r="T73" s="33"/>
      <c r="U73" s="33"/>
      <c r="V73" s="33"/>
      <c r="W73" s="33"/>
      <c r="X73" s="33"/>
      <c r="Y73" s="33"/>
      <c r="Z73" s="33"/>
      <c r="AA73" s="33"/>
      <c r="AB73" s="33"/>
    </row>
    <row r="74">
      <c r="A74" s="33"/>
      <c r="B74" s="33"/>
      <c r="C74" s="94"/>
      <c r="D74" s="33"/>
      <c r="E74" s="33"/>
      <c r="F74" s="33"/>
      <c r="G74" s="94"/>
      <c r="H74" s="33"/>
      <c r="I74" s="33"/>
      <c r="J74" s="33"/>
      <c r="K74" s="33"/>
      <c r="L74" s="33"/>
      <c r="M74" s="33"/>
      <c r="N74" s="33"/>
      <c r="O74" s="33"/>
      <c r="P74" s="33"/>
      <c r="Q74" s="33"/>
      <c r="R74" s="33"/>
      <c r="S74" s="33"/>
      <c r="T74" s="33"/>
      <c r="U74" s="33"/>
      <c r="V74" s="33"/>
      <c r="W74" s="33"/>
      <c r="X74" s="33"/>
      <c r="Y74" s="33"/>
      <c r="Z74" s="33"/>
      <c r="AA74" s="33"/>
      <c r="AB74" s="33"/>
    </row>
    <row r="75">
      <c r="A75" s="33"/>
      <c r="B75" s="33"/>
      <c r="C75" s="94"/>
      <c r="D75" s="33"/>
      <c r="E75" s="33"/>
      <c r="F75" s="33"/>
      <c r="G75" s="94"/>
      <c r="H75" s="33"/>
      <c r="I75" s="33"/>
      <c r="J75" s="33"/>
      <c r="K75" s="33"/>
      <c r="L75" s="33"/>
      <c r="M75" s="33"/>
      <c r="N75" s="33"/>
      <c r="O75" s="33"/>
      <c r="P75" s="33"/>
      <c r="Q75" s="33"/>
      <c r="R75" s="33"/>
      <c r="S75" s="33"/>
      <c r="T75" s="33"/>
      <c r="U75" s="33"/>
      <c r="V75" s="33"/>
      <c r="W75" s="33"/>
      <c r="X75" s="33"/>
      <c r="Y75" s="33"/>
      <c r="Z75" s="33"/>
      <c r="AA75" s="33"/>
      <c r="AB75" s="33"/>
    </row>
    <row r="76">
      <c r="A76" s="33"/>
      <c r="B76" s="33"/>
      <c r="C76" s="94"/>
      <c r="D76" s="33"/>
      <c r="E76" s="33"/>
      <c r="F76" s="33"/>
      <c r="G76" s="94"/>
      <c r="H76" s="33"/>
      <c r="I76" s="33"/>
      <c r="J76" s="33"/>
      <c r="K76" s="33"/>
      <c r="L76" s="33"/>
      <c r="M76" s="33"/>
      <c r="N76" s="33"/>
      <c r="O76" s="33"/>
      <c r="P76" s="33"/>
      <c r="Q76" s="33"/>
      <c r="R76" s="33"/>
      <c r="S76" s="33"/>
      <c r="T76" s="33"/>
      <c r="U76" s="33"/>
      <c r="V76" s="33"/>
      <c r="W76" s="33"/>
      <c r="X76" s="33"/>
      <c r="Y76" s="33"/>
      <c r="Z76" s="33"/>
      <c r="AA76" s="33"/>
      <c r="AB76" s="33"/>
    </row>
    <row r="77">
      <c r="A77" s="33"/>
      <c r="B77" s="33"/>
      <c r="C77" s="94"/>
      <c r="D77" s="33"/>
      <c r="E77" s="33"/>
      <c r="F77" s="33"/>
      <c r="G77" s="94"/>
      <c r="H77" s="33"/>
      <c r="I77" s="33"/>
      <c r="J77" s="33"/>
      <c r="K77" s="33"/>
      <c r="L77" s="33"/>
      <c r="M77" s="33"/>
      <c r="N77" s="33"/>
      <c r="O77" s="33"/>
      <c r="P77" s="33"/>
      <c r="Q77" s="33"/>
      <c r="R77" s="33"/>
      <c r="S77" s="33"/>
      <c r="T77" s="33"/>
      <c r="U77" s="33"/>
      <c r="V77" s="33"/>
      <c r="W77" s="33"/>
      <c r="X77" s="33"/>
      <c r="Y77" s="33"/>
      <c r="Z77" s="33"/>
      <c r="AA77" s="33"/>
      <c r="AB77" s="33"/>
    </row>
    <row r="78">
      <c r="A78" s="33"/>
      <c r="B78" s="33"/>
      <c r="C78" s="94"/>
      <c r="D78" s="33"/>
      <c r="E78" s="33"/>
      <c r="F78" s="33"/>
      <c r="G78" s="94"/>
      <c r="H78" s="33"/>
      <c r="I78" s="33"/>
      <c r="J78" s="33"/>
      <c r="K78" s="33"/>
      <c r="L78" s="33"/>
      <c r="M78" s="33"/>
      <c r="N78" s="33"/>
      <c r="O78" s="33"/>
      <c r="P78" s="33"/>
      <c r="Q78" s="33"/>
      <c r="R78" s="33"/>
      <c r="S78" s="33"/>
      <c r="T78" s="33"/>
      <c r="U78" s="33"/>
      <c r="V78" s="33"/>
      <c r="W78" s="33"/>
      <c r="X78" s="33"/>
      <c r="Y78" s="33"/>
      <c r="Z78" s="33"/>
      <c r="AA78" s="33"/>
      <c r="AB78" s="33"/>
    </row>
    <row r="79">
      <c r="A79" s="33"/>
      <c r="B79" s="33"/>
      <c r="C79" s="94"/>
      <c r="D79" s="33"/>
      <c r="E79" s="33"/>
      <c r="F79" s="33"/>
      <c r="G79" s="94"/>
      <c r="H79" s="33"/>
      <c r="I79" s="33"/>
      <c r="J79" s="33"/>
      <c r="K79" s="33"/>
      <c r="L79" s="33"/>
      <c r="M79" s="33"/>
      <c r="N79" s="33"/>
      <c r="O79" s="33"/>
      <c r="P79" s="33"/>
      <c r="Q79" s="33"/>
      <c r="R79" s="33"/>
      <c r="S79" s="33"/>
      <c r="T79" s="33"/>
      <c r="U79" s="33"/>
      <c r="V79" s="33"/>
      <c r="W79" s="33"/>
      <c r="X79" s="33"/>
      <c r="Y79" s="33"/>
      <c r="Z79" s="33"/>
      <c r="AA79" s="33"/>
      <c r="AB79" s="33"/>
    </row>
    <row r="80">
      <c r="A80" s="33"/>
      <c r="B80" s="33"/>
      <c r="C80" s="94"/>
      <c r="D80" s="33"/>
      <c r="E80" s="33"/>
      <c r="F80" s="33"/>
      <c r="G80" s="94"/>
      <c r="H80" s="33"/>
      <c r="I80" s="33"/>
      <c r="J80" s="33"/>
      <c r="K80" s="33"/>
      <c r="L80" s="33"/>
      <c r="M80" s="33"/>
      <c r="N80" s="33"/>
      <c r="O80" s="33"/>
      <c r="P80" s="33"/>
      <c r="Q80" s="33"/>
      <c r="R80" s="33"/>
      <c r="S80" s="33"/>
      <c r="T80" s="33"/>
      <c r="U80" s="33"/>
      <c r="V80" s="33"/>
      <c r="W80" s="33"/>
      <c r="X80" s="33"/>
      <c r="Y80" s="33"/>
      <c r="Z80" s="33"/>
      <c r="AA80" s="33"/>
      <c r="AB80" s="33"/>
    </row>
    <row r="81">
      <c r="A81" s="33"/>
      <c r="B81" s="33"/>
      <c r="C81" s="94"/>
      <c r="D81" s="33"/>
      <c r="E81" s="33"/>
      <c r="F81" s="33"/>
      <c r="G81" s="94"/>
      <c r="H81" s="33"/>
      <c r="I81" s="33"/>
      <c r="J81" s="33"/>
      <c r="K81" s="33"/>
      <c r="L81" s="33"/>
      <c r="M81" s="33"/>
      <c r="N81" s="33"/>
      <c r="O81" s="33"/>
      <c r="P81" s="33"/>
      <c r="Q81" s="33"/>
      <c r="R81" s="33"/>
      <c r="S81" s="33"/>
      <c r="T81" s="33"/>
      <c r="U81" s="33"/>
      <c r="V81" s="33"/>
      <c r="W81" s="33"/>
      <c r="X81" s="33"/>
      <c r="Y81" s="33"/>
      <c r="Z81" s="33"/>
      <c r="AA81" s="33"/>
      <c r="AB81" s="33"/>
    </row>
    <row r="82">
      <c r="A82" s="33"/>
      <c r="B82" s="33"/>
      <c r="C82" s="94"/>
      <c r="D82" s="33"/>
      <c r="E82" s="33"/>
      <c r="F82" s="33"/>
      <c r="G82" s="94"/>
      <c r="H82" s="33"/>
      <c r="I82" s="33"/>
      <c r="J82" s="33"/>
      <c r="K82" s="33"/>
      <c r="L82" s="33"/>
      <c r="M82" s="33"/>
      <c r="N82" s="33"/>
      <c r="O82" s="33"/>
      <c r="P82" s="33"/>
      <c r="Q82" s="33"/>
      <c r="R82" s="33"/>
      <c r="S82" s="33"/>
      <c r="T82" s="33"/>
      <c r="U82" s="33"/>
      <c r="V82" s="33"/>
      <c r="W82" s="33"/>
      <c r="X82" s="33"/>
      <c r="Y82" s="33"/>
      <c r="Z82" s="33"/>
      <c r="AA82" s="33"/>
      <c r="AB82" s="33"/>
    </row>
    <row r="83">
      <c r="A83" s="33"/>
      <c r="B83" s="33"/>
      <c r="C83" s="94"/>
      <c r="D83" s="33"/>
      <c r="E83" s="33"/>
      <c r="F83" s="33"/>
      <c r="G83" s="94"/>
      <c r="H83" s="33"/>
      <c r="I83" s="33"/>
      <c r="J83" s="33"/>
      <c r="K83" s="33"/>
      <c r="L83" s="33"/>
      <c r="M83" s="33"/>
      <c r="N83" s="33"/>
      <c r="O83" s="33"/>
      <c r="P83" s="33"/>
      <c r="Q83" s="33"/>
      <c r="R83" s="33"/>
      <c r="S83" s="33"/>
      <c r="T83" s="33"/>
      <c r="U83" s="33"/>
      <c r="V83" s="33"/>
      <c r="W83" s="33"/>
      <c r="X83" s="33"/>
      <c r="Y83" s="33"/>
      <c r="Z83" s="33"/>
      <c r="AA83" s="33"/>
      <c r="AB83" s="33"/>
    </row>
    <row r="84">
      <c r="A84" s="33"/>
      <c r="B84" s="33"/>
      <c r="C84" s="94"/>
      <c r="D84" s="33"/>
      <c r="E84" s="33"/>
      <c r="F84" s="33"/>
      <c r="G84" s="94"/>
      <c r="H84" s="33"/>
      <c r="I84" s="33"/>
      <c r="J84" s="33"/>
      <c r="K84" s="33"/>
      <c r="L84" s="33"/>
      <c r="M84" s="33"/>
      <c r="N84" s="33"/>
      <c r="O84" s="33"/>
      <c r="P84" s="33"/>
      <c r="Q84" s="33"/>
      <c r="R84" s="33"/>
      <c r="S84" s="33"/>
      <c r="T84" s="33"/>
      <c r="U84" s="33"/>
      <c r="V84" s="33"/>
      <c r="W84" s="33"/>
      <c r="X84" s="33"/>
      <c r="Y84" s="33"/>
      <c r="Z84" s="33"/>
      <c r="AA84" s="33"/>
      <c r="AB84" s="33"/>
    </row>
    <row r="85">
      <c r="A85" s="33"/>
      <c r="B85" s="33"/>
      <c r="C85" s="94"/>
      <c r="D85" s="33"/>
      <c r="E85" s="33"/>
      <c r="F85" s="33"/>
      <c r="G85" s="94"/>
      <c r="H85" s="33"/>
      <c r="I85" s="33"/>
      <c r="J85" s="33"/>
      <c r="K85" s="33"/>
      <c r="L85" s="33"/>
      <c r="M85" s="33"/>
      <c r="N85" s="33"/>
      <c r="O85" s="33"/>
      <c r="P85" s="33"/>
      <c r="Q85" s="33"/>
      <c r="R85" s="33"/>
      <c r="S85" s="33"/>
      <c r="T85" s="33"/>
      <c r="U85" s="33"/>
      <c r="V85" s="33"/>
      <c r="W85" s="33"/>
      <c r="X85" s="33"/>
      <c r="Y85" s="33"/>
      <c r="Z85" s="33"/>
      <c r="AA85" s="33"/>
      <c r="AB85" s="33"/>
    </row>
    <row r="86">
      <c r="A86" s="33"/>
      <c r="B86" s="33"/>
      <c r="C86" s="94"/>
      <c r="D86" s="33"/>
      <c r="E86" s="33"/>
      <c r="F86" s="33"/>
      <c r="G86" s="94"/>
      <c r="H86" s="33"/>
      <c r="I86" s="33"/>
      <c r="J86" s="33"/>
      <c r="K86" s="33"/>
      <c r="L86" s="33"/>
      <c r="M86" s="33"/>
      <c r="N86" s="33"/>
      <c r="O86" s="33"/>
      <c r="P86" s="33"/>
      <c r="Q86" s="33"/>
      <c r="R86" s="33"/>
      <c r="S86" s="33"/>
      <c r="T86" s="33"/>
      <c r="U86" s="33"/>
      <c r="V86" s="33"/>
      <c r="W86" s="33"/>
      <c r="X86" s="33"/>
      <c r="Y86" s="33"/>
      <c r="Z86" s="33"/>
      <c r="AA86" s="33"/>
      <c r="AB86" s="33"/>
    </row>
    <row r="87">
      <c r="A87" s="33"/>
      <c r="B87" s="33"/>
      <c r="C87" s="94"/>
      <c r="D87" s="33"/>
      <c r="E87" s="33"/>
      <c r="F87" s="33"/>
      <c r="G87" s="94"/>
      <c r="H87" s="33"/>
      <c r="I87" s="33"/>
      <c r="J87" s="33"/>
      <c r="K87" s="33"/>
      <c r="L87" s="33"/>
      <c r="M87" s="33"/>
      <c r="N87" s="33"/>
      <c r="O87" s="33"/>
      <c r="P87" s="33"/>
      <c r="Q87" s="33"/>
      <c r="R87" s="33"/>
      <c r="S87" s="33"/>
      <c r="T87" s="33"/>
      <c r="U87" s="33"/>
      <c r="V87" s="33"/>
      <c r="W87" s="33"/>
      <c r="X87" s="33"/>
      <c r="Y87" s="33"/>
      <c r="Z87" s="33"/>
      <c r="AA87" s="33"/>
      <c r="AB87" s="33"/>
    </row>
    <row r="88">
      <c r="A88" s="33"/>
      <c r="B88" s="33"/>
      <c r="C88" s="94"/>
      <c r="D88" s="33"/>
      <c r="E88" s="33"/>
      <c r="F88" s="33"/>
      <c r="G88" s="94"/>
      <c r="H88" s="33"/>
      <c r="I88" s="33"/>
      <c r="J88" s="33"/>
      <c r="K88" s="33"/>
      <c r="L88" s="33"/>
      <c r="M88" s="33"/>
      <c r="N88" s="33"/>
      <c r="O88" s="33"/>
      <c r="P88" s="33"/>
      <c r="Q88" s="33"/>
      <c r="R88" s="33"/>
      <c r="S88" s="33"/>
      <c r="T88" s="33"/>
      <c r="U88" s="33"/>
      <c r="V88" s="33"/>
      <c r="W88" s="33"/>
      <c r="X88" s="33"/>
      <c r="Y88" s="33"/>
      <c r="Z88" s="33"/>
      <c r="AA88" s="33"/>
      <c r="AB88" s="33"/>
    </row>
    <row r="89">
      <c r="A89" s="33"/>
      <c r="B89" s="33"/>
      <c r="C89" s="94"/>
      <c r="D89" s="33"/>
      <c r="E89" s="33"/>
      <c r="F89" s="33"/>
      <c r="G89" s="94"/>
      <c r="H89" s="33"/>
      <c r="I89" s="33"/>
      <c r="J89" s="33"/>
      <c r="K89" s="33"/>
      <c r="L89" s="33"/>
      <c r="M89" s="33"/>
      <c r="N89" s="33"/>
      <c r="O89" s="33"/>
      <c r="P89" s="33"/>
      <c r="Q89" s="33"/>
      <c r="R89" s="33"/>
      <c r="S89" s="33"/>
      <c r="T89" s="33"/>
      <c r="U89" s="33"/>
      <c r="V89" s="33"/>
      <c r="W89" s="33"/>
      <c r="X89" s="33"/>
      <c r="Y89" s="33"/>
      <c r="Z89" s="33"/>
      <c r="AA89" s="33"/>
      <c r="AB89" s="33"/>
    </row>
    <row r="90">
      <c r="A90" s="33"/>
      <c r="B90" s="33"/>
      <c r="C90" s="94"/>
      <c r="D90" s="33"/>
      <c r="E90" s="33"/>
      <c r="F90" s="33"/>
      <c r="G90" s="94"/>
      <c r="H90" s="33"/>
      <c r="I90" s="33"/>
      <c r="J90" s="33"/>
      <c r="K90" s="33"/>
      <c r="L90" s="33"/>
      <c r="M90" s="33"/>
      <c r="N90" s="33"/>
      <c r="O90" s="33"/>
      <c r="P90" s="33"/>
      <c r="Q90" s="33"/>
      <c r="R90" s="33"/>
      <c r="S90" s="33"/>
      <c r="T90" s="33"/>
      <c r="U90" s="33"/>
      <c r="V90" s="33"/>
      <c r="W90" s="33"/>
      <c r="X90" s="33"/>
      <c r="Y90" s="33"/>
      <c r="Z90" s="33"/>
      <c r="AA90" s="33"/>
      <c r="AB90" s="33"/>
    </row>
    <row r="91">
      <c r="A91" s="33"/>
      <c r="B91" s="33"/>
      <c r="C91" s="94"/>
      <c r="D91" s="33"/>
      <c r="E91" s="33"/>
      <c r="F91" s="33"/>
      <c r="G91" s="94"/>
      <c r="H91" s="33"/>
      <c r="I91" s="33"/>
      <c r="J91" s="33"/>
      <c r="K91" s="33"/>
      <c r="L91" s="33"/>
      <c r="M91" s="33"/>
      <c r="N91" s="33"/>
      <c r="O91" s="33"/>
      <c r="P91" s="33"/>
      <c r="Q91" s="33"/>
      <c r="R91" s="33"/>
      <c r="S91" s="33"/>
      <c r="T91" s="33"/>
      <c r="U91" s="33"/>
      <c r="V91" s="33"/>
      <c r="W91" s="33"/>
      <c r="X91" s="33"/>
      <c r="Y91" s="33"/>
      <c r="Z91" s="33"/>
      <c r="AA91" s="33"/>
      <c r="AB91" s="33"/>
    </row>
    <row r="92">
      <c r="A92" s="33"/>
      <c r="B92" s="33"/>
      <c r="C92" s="94"/>
      <c r="D92" s="33"/>
      <c r="E92" s="33"/>
      <c r="F92" s="33"/>
      <c r="G92" s="94"/>
      <c r="H92" s="33"/>
      <c r="I92" s="33"/>
      <c r="J92" s="33"/>
      <c r="K92" s="33"/>
      <c r="L92" s="33"/>
      <c r="M92" s="33"/>
      <c r="N92" s="33"/>
      <c r="O92" s="33"/>
      <c r="P92" s="33"/>
      <c r="Q92" s="33"/>
      <c r="R92" s="33"/>
      <c r="S92" s="33"/>
      <c r="T92" s="33"/>
      <c r="U92" s="33"/>
      <c r="V92" s="33"/>
      <c r="W92" s="33"/>
      <c r="X92" s="33"/>
      <c r="Y92" s="33"/>
      <c r="Z92" s="33"/>
      <c r="AA92" s="33"/>
      <c r="AB92" s="33"/>
    </row>
    <row r="93">
      <c r="A93" s="33"/>
      <c r="B93" s="33"/>
      <c r="C93" s="94"/>
      <c r="D93" s="33"/>
      <c r="E93" s="33"/>
      <c r="F93" s="33"/>
      <c r="G93" s="94"/>
      <c r="H93" s="33"/>
      <c r="I93" s="33"/>
      <c r="J93" s="33"/>
      <c r="K93" s="33"/>
      <c r="L93" s="33"/>
      <c r="M93" s="33"/>
      <c r="N93" s="33"/>
      <c r="O93" s="33"/>
      <c r="P93" s="33"/>
      <c r="Q93" s="33"/>
      <c r="R93" s="33"/>
      <c r="S93" s="33"/>
      <c r="T93" s="33"/>
      <c r="U93" s="33"/>
      <c r="V93" s="33"/>
      <c r="W93" s="33"/>
      <c r="X93" s="33"/>
      <c r="Y93" s="33"/>
      <c r="Z93" s="33"/>
      <c r="AA93" s="33"/>
      <c r="AB93" s="33"/>
    </row>
    <row r="94">
      <c r="A94" s="33"/>
      <c r="B94" s="33"/>
      <c r="C94" s="94"/>
      <c r="D94" s="33"/>
      <c r="E94" s="33"/>
      <c r="F94" s="33"/>
      <c r="G94" s="94"/>
      <c r="H94" s="33"/>
      <c r="I94" s="33"/>
      <c r="J94" s="33"/>
      <c r="K94" s="33"/>
      <c r="L94" s="33"/>
      <c r="M94" s="33"/>
      <c r="N94" s="33"/>
      <c r="O94" s="33"/>
      <c r="P94" s="33"/>
      <c r="Q94" s="33"/>
      <c r="R94" s="33"/>
      <c r="S94" s="33"/>
      <c r="T94" s="33"/>
      <c r="U94" s="33"/>
      <c r="V94" s="33"/>
      <c r="W94" s="33"/>
      <c r="X94" s="33"/>
      <c r="Y94" s="33"/>
      <c r="Z94" s="33"/>
      <c r="AA94" s="33"/>
      <c r="AB94" s="33"/>
    </row>
    <row r="95">
      <c r="A95" s="33"/>
      <c r="B95" s="33"/>
      <c r="C95" s="94"/>
      <c r="D95" s="33"/>
      <c r="E95" s="33"/>
      <c r="F95" s="33"/>
      <c r="G95" s="94"/>
      <c r="H95" s="33"/>
      <c r="I95" s="33"/>
      <c r="J95" s="33"/>
      <c r="K95" s="33"/>
      <c r="L95" s="33"/>
      <c r="M95" s="33"/>
      <c r="N95" s="33"/>
      <c r="O95" s="33"/>
      <c r="P95" s="33"/>
      <c r="Q95" s="33"/>
      <c r="R95" s="33"/>
      <c r="S95" s="33"/>
      <c r="T95" s="33"/>
      <c r="U95" s="33"/>
      <c r="V95" s="33"/>
      <c r="W95" s="33"/>
      <c r="X95" s="33"/>
      <c r="Y95" s="33"/>
      <c r="Z95" s="33"/>
      <c r="AA95" s="33"/>
      <c r="AB95" s="33"/>
    </row>
    <row r="96">
      <c r="A96" s="33"/>
      <c r="B96" s="33"/>
      <c r="C96" s="94"/>
      <c r="D96" s="33"/>
      <c r="E96" s="33"/>
      <c r="F96" s="33"/>
      <c r="G96" s="94"/>
      <c r="H96" s="33"/>
      <c r="I96" s="33"/>
      <c r="J96" s="33"/>
      <c r="K96" s="33"/>
      <c r="L96" s="33"/>
      <c r="M96" s="33"/>
      <c r="N96" s="33"/>
      <c r="O96" s="33"/>
      <c r="P96" s="33"/>
      <c r="Q96" s="33"/>
      <c r="R96" s="33"/>
      <c r="S96" s="33"/>
      <c r="T96" s="33"/>
      <c r="U96" s="33"/>
      <c r="V96" s="33"/>
      <c r="W96" s="33"/>
      <c r="X96" s="33"/>
      <c r="Y96" s="33"/>
      <c r="Z96" s="33"/>
      <c r="AA96" s="33"/>
      <c r="AB96" s="33"/>
    </row>
    <row r="97">
      <c r="A97" s="33"/>
      <c r="B97" s="33"/>
      <c r="C97" s="94"/>
      <c r="D97" s="33"/>
      <c r="E97" s="33"/>
      <c r="F97" s="33"/>
      <c r="G97" s="94"/>
      <c r="H97" s="33"/>
      <c r="I97" s="33"/>
      <c r="J97" s="33"/>
      <c r="K97" s="33"/>
      <c r="L97" s="33"/>
      <c r="M97" s="33"/>
      <c r="N97" s="33"/>
      <c r="O97" s="33"/>
      <c r="P97" s="33"/>
      <c r="Q97" s="33"/>
      <c r="R97" s="33"/>
      <c r="S97" s="33"/>
      <c r="T97" s="33"/>
      <c r="U97" s="33"/>
      <c r="V97" s="33"/>
      <c r="W97" s="33"/>
      <c r="X97" s="33"/>
      <c r="Y97" s="33"/>
      <c r="Z97" s="33"/>
      <c r="AA97" s="33"/>
      <c r="AB97" s="33"/>
    </row>
    <row r="98">
      <c r="A98" s="33"/>
      <c r="B98" s="33"/>
      <c r="C98" s="94"/>
      <c r="D98" s="33"/>
      <c r="E98" s="33"/>
      <c r="F98" s="33"/>
      <c r="G98" s="94"/>
      <c r="H98" s="33"/>
      <c r="I98" s="33"/>
      <c r="J98" s="33"/>
      <c r="K98" s="33"/>
      <c r="L98" s="33"/>
      <c r="M98" s="33"/>
      <c r="N98" s="33"/>
      <c r="O98" s="33"/>
      <c r="P98" s="33"/>
      <c r="Q98" s="33"/>
      <c r="R98" s="33"/>
      <c r="S98" s="33"/>
      <c r="T98" s="33"/>
      <c r="U98" s="33"/>
      <c r="V98" s="33"/>
      <c r="W98" s="33"/>
      <c r="X98" s="33"/>
      <c r="Y98" s="33"/>
      <c r="Z98" s="33"/>
      <c r="AA98" s="33"/>
      <c r="AB98" s="33"/>
    </row>
    <row r="99">
      <c r="A99" s="33"/>
      <c r="B99" s="33"/>
      <c r="C99" s="94"/>
      <c r="D99" s="33"/>
      <c r="E99" s="33"/>
      <c r="F99" s="33"/>
      <c r="G99" s="94"/>
      <c r="H99" s="33"/>
      <c r="I99" s="33"/>
      <c r="J99" s="33"/>
      <c r="K99" s="33"/>
      <c r="L99" s="33"/>
      <c r="M99" s="33"/>
      <c r="N99" s="33"/>
      <c r="O99" s="33"/>
      <c r="P99" s="33"/>
      <c r="Q99" s="33"/>
      <c r="R99" s="33"/>
      <c r="S99" s="33"/>
      <c r="T99" s="33"/>
      <c r="U99" s="33"/>
      <c r="V99" s="33"/>
      <c r="W99" s="33"/>
      <c r="X99" s="33"/>
      <c r="Y99" s="33"/>
      <c r="Z99" s="33"/>
      <c r="AA99" s="33"/>
      <c r="AB99" s="33"/>
    </row>
    <row r="100">
      <c r="A100" s="33"/>
      <c r="B100" s="33"/>
      <c r="C100" s="94"/>
      <c r="D100" s="33"/>
      <c r="E100" s="33"/>
      <c r="F100" s="33"/>
      <c r="G100" s="94"/>
      <c r="H100" s="33"/>
      <c r="I100" s="33"/>
      <c r="J100" s="33"/>
      <c r="K100" s="33"/>
      <c r="L100" s="33"/>
      <c r="M100" s="33"/>
      <c r="N100" s="33"/>
      <c r="O100" s="33"/>
      <c r="P100" s="33"/>
      <c r="Q100" s="33"/>
      <c r="R100" s="33"/>
      <c r="S100" s="33"/>
      <c r="T100" s="33"/>
      <c r="U100" s="33"/>
      <c r="V100" s="33"/>
      <c r="W100" s="33"/>
      <c r="X100" s="33"/>
      <c r="Y100" s="33"/>
      <c r="Z100" s="33"/>
      <c r="AA100" s="33"/>
      <c r="AB100" s="33"/>
    </row>
    <row r="101">
      <c r="A101" s="33"/>
      <c r="B101" s="33"/>
      <c r="C101" s="94"/>
      <c r="D101" s="33"/>
      <c r="E101" s="33"/>
      <c r="F101" s="33"/>
      <c r="G101" s="94"/>
      <c r="H101" s="33"/>
      <c r="I101" s="33"/>
      <c r="J101" s="33"/>
      <c r="K101" s="33"/>
      <c r="L101" s="33"/>
      <c r="M101" s="33"/>
      <c r="N101" s="33"/>
      <c r="O101" s="33"/>
      <c r="P101" s="33"/>
      <c r="Q101" s="33"/>
      <c r="R101" s="33"/>
      <c r="S101" s="33"/>
      <c r="T101" s="33"/>
      <c r="U101" s="33"/>
      <c r="V101" s="33"/>
      <c r="W101" s="33"/>
      <c r="X101" s="33"/>
      <c r="Y101" s="33"/>
      <c r="Z101" s="33"/>
      <c r="AA101" s="33"/>
      <c r="AB101" s="33"/>
    </row>
    <row r="102">
      <c r="A102" s="33"/>
      <c r="B102" s="33"/>
      <c r="C102" s="94"/>
      <c r="D102" s="33"/>
      <c r="E102" s="33"/>
      <c r="F102" s="33"/>
      <c r="G102" s="94"/>
      <c r="H102" s="33"/>
      <c r="I102" s="33"/>
      <c r="J102" s="33"/>
      <c r="K102" s="33"/>
      <c r="L102" s="33"/>
      <c r="M102" s="33"/>
      <c r="N102" s="33"/>
      <c r="O102" s="33"/>
      <c r="P102" s="33"/>
      <c r="Q102" s="33"/>
      <c r="R102" s="33"/>
      <c r="S102" s="33"/>
      <c r="T102" s="33"/>
      <c r="U102" s="33"/>
      <c r="V102" s="33"/>
      <c r="W102" s="33"/>
      <c r="X102" s="33"/>
      <c r="Y102" s="33"/>
      <c r="Z102" s="33"/>
      <c r="AA102" s="33"/>
      <c r="AB102" s="33"/>
    </row>
    <row r="103">
      <c r="A103" s="33"/>
      <c r="B103" s="33"/>
      <c r="C103" s="94"/>
      <c r="D103" s="33"/>
      <c r="E103" s="33"/>
      <c r="F103" s="33"/>
      <c r="G103" s="94"/>
      <c r="H103" s="33"/>
      <c r="I103" s="33"/>
      <c r="J103" s="33"/>
      <c r="K103" s="33"/>
      <c r="L103" s="33"/>
      <c r="M103" s="33"/>
      <c r="N103" s="33"/>
      <c r="O103" s="33"/>
      <c r="P103" s="33"/>
      <c r="Q103" s="33"/>
      <c r="R103" s="33"/>
      <c r="S103" s="33"/>
      <c r="T103" s="33"/>
      <c r="U103" s="33"/>
      <c r="V103" s="33"/>
      <c r="W103" s="33"/>
      <c r="X103" s="33"/>
      <c r="Y103" s="33"/>
      <c r="Z103" s="33"/>
      <c r="AA103" s="33"/>
      <c r="AB103" s="33"/>
    </row>
    <row r="104">
      <c r="A104" s="33"/>
      <c r="B104" s="33"/>
      <c r="C104" s="94"/>
      <c r="D104" s="33"/>
      <c r="E104" s="33"/>
      <c r="F104" s="33"/>
      <c r="G104" s="94"/>
      <c r="H104" s="33"/>
      <c r="I104" s="33"/>
      <c r="J104" s="33"/>
      <c r="K104" s="33"/>
      <c r="L104" s="33"/>
      <c r="M104" s="33"/>
      <c r="N104" s="33"/>
      <c r="O104" s="33"/>
      <c r="P104" s="33"/>
      <c r="Q104" s="33"/>
      <c r="R104" s="33"/>
      <c r="S104" s="33"/>
      <c r="T104" s="33"/>
      <c r="U104" s="33"/>
      <c r="V104" s="33"/>
      <c r="W104" s="33"/>
      <c r="X104" s="33"/>
      <c r="Y104" s="33"/>
      <c r="Z104" s="33"/>
      <c r="AA104" s="33"/>
      <c r="AB104" s="33"/>
    </row>
    <row r="105">
      <c r="A105" s="33"/>
      <c r="B105" s="33"/>
      <c r="C105" s="94"/>
      <c r="D105" s="33"/>
      <c r="E105" s="33"/>
      <c r="F105" s="33"/>
      <c r="G105" s="94"/>
      <c r="H105" s="33"/>
      <c r="I105" s="33"/>
      <c r="J105" s="33"/>
      <c r="K105" s="33"/>
      <c r="L105" s="33"/>
      <c r="M105" s="33"/>
      <c r="N105" s="33"/>
      <c r="O105" s="33"/>
      <c r="P105" s="33"/>
      <c r="Q105" s="33"/>
      <c r="R105" s="33"/>
      <c r="S105" s="33"/>
      <c r="T105" s="33"/>
      <c r="U105" s="33"/>
      <c r="V105" s="33"/>
      <c r="W105" s="33"/>
      <c r="X105" s="33"/>
      <c r="Y105" s="33"/>
      <c r="Z105" s="33"/>
      <c r="AA105" s="33"/>
      <c r="AB105" s="33"/>
    </row>
    <row r="106">
      <c r="A106" s="33"/>
      <c r="B106" s="33"/>
      <c r="C106" s="94"/>
      <c r="D106" s="33"/>
      <c r="E106" s="33"/>
      <c r="F106" s="33"/>
      <c r="G106" s="94"/>
      <c r="H106" s="33"/>
      <c r="I106" s="33"/>
      <c r="J106" s="33"/>
      <c r="K106" s="33"/>
      <c r="L106" s="33"/>
      <c r="M106" s="33"/>
      <c r="N106" s="33"/>
      <c r="O106" s="33"/>
      <c r="P106" s="33"/>
      <c r="Q106" s="33"/>
      <c r="R106" s="33"/>
      <c r="S106" s="33"/>
      <c r="T106" s="33"/>
      <c r="U106" s="33"/>
      <c r="V106" s="33"/>
      <c r="W106" s="33"/>
      <c r="X106" s="33"/>
      <c r="Y106" s="33"/>
      <c r="Z106" s="33"/>
      <c r="AA106" s="33"/>
      <c r="AB106" s="33"/>
    </row>
    <row r="107">
      <c r="A107" s="33"/>
      <c r="B107" s="33"/>
      <c r="C107" s="94"/>
      <c r="D107" s="33"/>
      <c r="E107" s="33"/>
      <c r="F107" s="33"/>
      <c r="G107" s="94"/>
      <c r="H107" s="33"/>
      <c r="I107" s="33"/>
      <c r="J107" s="33"/>
      <c r="K107" s="33"/>
      <c r="L107" s="33"/>
      <c r="M107" s="33"/>
      <c r="N107" s="33"/>
      <c r="O107" s="33"/>
      <c r="P107" s="33"/>
      <c r="Q107" s="33"/>
      <c r="R107" s="33"/>
      <c r="S107" s="33"/>
      <c r="T107" s="33"/>
      <c r="U107" s="33"/>
      <c r="V107" s="33"/>
      <c r="W107" s="33"/>
      <c r="X107" s="33"/>
      <c r="Y107" s="33"/>
      <c r="Z107" s="33"/>
      <c r="AA107" s="33"/>
      <c r="AB107" s="33"/>
    </row>
    <row r="108">
      <c r="A108" s="33"/>
      <c r="B108" s="33"/>
      <c r="C108" s="94"/>
      <c r="D108" s="33"/>
      <c r="E108" s="33"/>
      <c r="F108" s="33"/>
      <c r="G108" s="94"/>
      <c r="H108" s="33"/>
      <c r="I108" s="33"/>
      <c r="J108" s="33"/>
      <c r="K108" s="33"/>
      <c r="L108" s="33"/>
      <c r="M108" s="33"/>
      <c r="N108" s="33"/>
      <c r="O108" s="33"/>
      <c r="P108" s="33"/>
      <c r="Q108" s="33"/>
      <c r="R108" s="33"/>
      <c r="S108" s="33"/>
      <c r="T108" s="33"/>
      <c r="U108" s="33"/>
      <c r="V108" s="33"/>
      <c r="W108" s="33"/>
      <c r="X108" s="33"/>
      <c r="Y108" s="33"/>
      <c r="Z108" s="33"/>
      <c r="AA108" s="33"/>
      <c r="AB108" s="33"/>
    </row>
    <row r="109">
      <c r="A109" s="33"/>
      <c r="B109" s="33"/>
      <c r="C109" s="94"/>
      <c r="D109" s="33"/>
      <c r="E109" s="33"/>
      <c r="F109" s="33"/>
      <c r="G109" s="94"/>
      <c r="H109" s="33"/>
      <c r="I109" s="33"/>
      <c r="J109" s="33"/>
      <c r="K109" s="33"/>
      <c r="L109" s="33"/>
      <c r="M109" s="33"/>
      <c r="N109" s="33"/>
      <c r="O109" s="33"/>
      <c r="P109" s="33"/>
      <c r="Q109" s="33"/>
      <c r="R109" s="33"/>
      <c r="S109" s="33"/>
      <c r="T109" s="33"/>
      <c r="U109" s="33"/>
      <c r="V109" s="33"/>
      <c r="W109" s="33"/>
      <c r="X109" s="33"/>
      <c r="Y109" s="33"/>
      <c r="Z109" s="33"/>
      <c r="AA109" s="33"/>
      <c r="AB109" s="33"/>
    </row>
    <row r="110">
      <c r="A110" s="33"/>
      <c r="B110" s="33"/>
      <c r="C110" s="94"/>
      <c r="D110" s="33"/>
      <c r="E110" s="33"/>
      <c r="F110" s="33"/>
      <c r="G110" s="94"/>
      <c r="H110" s="33"/>
      <c r="I110" s="33"/>
      <c r="J110" s="33"/>
      <c r="K110" s="33"/>
      <c r="L110" s="33"/>
      <c r="M110" s="33"/>
      <c r="N110" s="33"/>
      <c r="O110" s="33"/>
      <c r="P110" s="33"/>
      <c r="Q110" s="33"/>
      <c r="R110" s="33"/>
      <c r="S110" s="33"/>
      <c r="T110" s="33"/>
      <c r="U110" s="33"/>
      <c r="V110" s="33"/>
      <c r="W110" s="33"/>
      <c r="X110" s="33"/>
      <c r="Y110" s="33"/>
      <c r="Z110" s="33"/>
      <c r="AA110" s="33"/>
      <c r="AB110" s="33"/>
    </row>
    <row r="111">
      <c r="A111" s="33"/>
      <c r="B111" s="33"/>
      <c r="C111" s="94"/>
      <c r="D111" s="33"/>
      <c r="E111" s="33"/>
      <c r="F111" s="33"/>
      <c r="G111" s="94"/>
      <c r="H111" s="33"/>
      <c r="I111" s="33"/>
      <c r="J111" s="33"/>
      <c r="K111" s="33"/>
      <c r="L111" s="33"/>
      <c r="M111" s="33"/>
      <c r="N111" s="33"/>
      <c r="O111" s="33"/>
      <c r="P111" s="33"/>
      <c r="Q111" s="33"/>
      <c r="R111" s="33"/>
      <c r="S111" s="33"/>
      <c r="T111" s="33"/>
      <c r="U111" s="33"/>
      <c r="V111" s="33"/>
      <c r="W111" s="33"/>
      <c r="X111" s="33"/>
      <c r="Y111" s="33"/>
      <c r="Z111" s="33"/>
      <c r="AA111" s="33"/>
      <c r="AB111" s="33"/>
    </row>
    <row r="112">
      <c r="A112" s="33"/>
      <c r="B112" s="33"/>
      <c r="C112" s="94"/>
      <c r="D112" s="33"/>
      <c r="E112" s="33"/>
      <c r="F112" s="33"/>
      <c r="G112" s="94"/>
      <c r="H112" s="33"/>
      <c r="I112" s="33"/>
      <c r="J112" s="33"/>
      <c r="K112" s="33"/>
      <c r="L112" s="33"/>
      <c r="M112" s="33"/>
      <c r="N112" s="33"/>
      <c r="O112" s="33"/>
      <c r="P112" s="33"/>
      <c r="Q112" s="33"/>
      <c r="R112" s="33"/>
      <c r="S112" s="33"/>
      <c r="T112" s="33"/>
      <c r="U112" s="33"/>
      <c r="V112" s="33"/>
      <c r="W112" s="33"/>
      <c r="X112" s="33"/>
      <c r="Y112" s="33"/>
      <c r="Z112" s="33"/>
      <c r="AA112" s="33"/>
      <c r="AB112" s="33"/>
    </row>
    <row r="113">
      <c r="A113" s="33"/>
      <c r="B113" s="33"/>
      <c r="C113" s="94"/>
      <c r="D113" s="33"/>
      <c r="E113" s="33"/>
      <c r="F113" s="33"/>
      <c r="G113" s="94"/>
      <c r="H113" s="33"/>
      <c r="I113" s="33"/>
      <c r="J113" s="33"/>
      <c r="K113" s="33"/>
      <c r="L113" s="33"/>
      <c r="M113" s="33"/>
      <c r="N113" s="33"/>
      <c r="O113" s="33"/>
      <c r="P113" s="33"/>
      <c r="Q113" s="33"/>
      <c r="R113" s="33"/>
      <c r="S113" s="33"/>
      <c r="T113" s="33"/>
      <c r="U113" s="33"/>
      <c r="V113" s="33"/>
      <c r="W113" s="33"/>
      <c r="X113" s="33"/>
      <c r="Y113" s="33"/>
      <c r="Z113" s="33"/>
      <c r="AA113" s="33"/>
      <c r="AB113" s="33"/>
    </row>
    <row r="114">
      <c r="A114" s="33"/>
      <c r="B114" s="33"/>
      <c r="C114" s="94"/>
      <c r="D114" s="33"/>
      <c r="E114" s="33"/>
      <c r="F114" s="33"/>
      <c r="G114" s="94"/>
      <c r="H114" s="33"/>
      <c r="I114" s="33"/>
      <c r="J114" s="33"/>
      <c r="K114" s="33"/>
      <c r="L114" s="33"/>
      <c r="M114" s="33"/>
      <c r="N114" s="33"/>
      <c r="O114" s="33"/>
      <c r="P114" s="33"/>
      <c r="Q114" s="33"/>
      <c r="R114" s="33"/>
      <c r="S114" s="33"/>
      <c r="T114" s="33"/>
      <c r="U114" s="33"/>
      <c r="V114" s="33"/>
      <c r="W114" s="33"/>
      <c r="X114" s="33"/>
      <c r="Y114" s="33"/>
      <c r="Z114" s="33"/>
      <c r="AA114" s="33"/>
      <c r="AB114" s="33"/>
    </row>
    <row r="115">
      <c r="A115" s="33"/>
      <c r="B115" s="33"/>
      <c r="C115" s="94"/>
      <c r="D115" s="33"/>
      <c r="E115" s="33"/>
      <c r="F115" s="33"/>
      <c r="G115" s="94"/>
      <c r="H115" s="33"/>
      <c r="I115" s="33"/>
      <c r="J115" s="33"/>
      <c r="K115" s="33"/>
      <c r="L115" s="33"/>
      <c r="M115" s="33"/>
      <c r="N115" s="33"/>
      <c r="O115" s="33"/>
      <c r="P115" s="33"/>
      <c r="Q115" s="33"/>
      <c r="R115" s="33"/>
      <c r="S115" s="33"/>
      <c r="T115" s="33"/>
      <c r="U115" s="33"/>
      <c r="V115" s="33"/>
      <c r="W115" s="33"/>
      <c r="X115" s="33"/>
      <c r="Y115" s="33"/>
      <c r="Z115" s="33"/>
      <c r="AA115" s="33"/>
      <c r="AB115" s="33"/>
    </row>
    <row r="116">
      <c r="A116" s="33"/>
      <c r="B116" s="33"/>
      <c r="C116" s="94"/>
      <c r="D116" s="33"/>
      <c r="E116" s="33"/>
      <c r="F116" s="33"/>
      <c r="G116" s="94"/>
      <c r="H116" s="33"/>
      <c r="I116" s="33"/>
      <c r="J116" s="33"/>
      <c r="K116" s="33"/>
      <c r="L116" s="33"/>
      <c r="M116" s="33"/>
      <c r="N116" s="33"/>
      <c r="O116" s="33"/>
      <c r="P116" s="33"/>
      <c r="Q116" s="33"/>
      <c r="R116" s="33"/>
      <c r="S116" s="33"/>
      <c r="T116" s="33"/>
      <c r="U116" s="33"/>
      <c r="V116" s="33"/>
      <c r="W116" s="33"/>
      <c r="X116" s="33"/>
      <c r="Y116" s="33"/>
      <c r="Z116" s="33"/>
      <c r="AA116" s="33"/>
      <c r="AB116" s="33"/>
    </row>
    <row r="117">
      <c r="A117" s="33"/>
      <c r="B117" s="33"/>
      <c r="C117" s="94"/>
      <c r="D117" s="33"/>
      <c r="E117" s="33"/>
      <c r="F117" s="33"/>
      <c r="G117" s="94"/>
      <c r="H117" s="33"/>
      <c r="I117" s="33"/>
      <c r="J117" s="33"/>
      <c r="K117" s="33"/>
      <c r="L117" s="33"/>
      <c r="M117" s="33"/>
      <c r="N117" s="33"/>
      <c r="O117" s="33"/>
      <c r="P117" s="33"/>
      <c r="Q117" s="33"/>
      <c r="R117" s="33"/>
      <c r="S117" s="33"/>
      <c r="T117" s="33"/>
      <c r="U117" s="33"/>
      <c r="V117" s="33"/>
      <c r="W117" s="33"/>
      <c r="X117" s="33"/>
      <c r="Y117" s="33"/>
      <c r="Z117" s="33"/>
      <c r="AA117" s="33"/>
      <c r="AB117" s="33"/>
    </row>
    <row r="118">
      <c r="A118" s="33"/>
      <c r="B118" s="33"/>
      <c r="C118" s="94"/>
      <c r="D118" s="33"/>
      <c r="E118" s="33"/>
      <c r="F118" s="33"/>
      <c r="G118" s="94"/>
      <c r="H118" s="33"/>
      <c r="I118" s="33"/>
      <c r="J118" s="33"/>
      <c r="K118" s="33"/>
      <c r="L118" s="33"/>
      <c r="M118" s="33"/>
      <c r="N118" s="33"/>
      <c r="O118" s="33"/>
      <c r="P118" s="33"/>
      <c r="Q118" s="33"/>
      <c r="R118" s="33"/>
      <c r="S118" s="33"/>
      <c r="T118" s="33"/>
      <c r="U118" s="33"/>
      <c r="V118" s="33"/>
      <c r="W118" s="33"/>
      <c r="X118" s="33"/>
      <c r="Y118" s="33"/>
      <c r="Z118" s="33"/>
      <c r="AA118" s="33"/>
      <c r="AB118" s="33"/>
    </row>
    <row r="119">
      <c r="A119" s="33"/>
      <c r="B119" s="33"/>
      <c r="C119" s="94"/>
      <c r="D119" s="33"/>
      <c r="E119" s="33"/>
      <c r="F119" s="33"/>
      <c r="G119" s="94"/>
      <c r="H119" s="33"/>
      <c r="I119" s="33"/>
      <c r="J119" s="33"/>
      <c r="K119" s="33"/>
      <c r="L119" s="33"/>
      <c r="M119" s="33"/>
      <c r="N119" s="33"/>
      <c r="O119" s="33"/>
      <c r="P119" s="33"/>
      <c r="Q119" s="33"/>
      <c r="R119" s="33"/>
      <c r="S119" s="33"/>
      <c r="T119" s="33"/>
      <c r="U119" s="33"/>
      <c r="V119" s="33"/>
      <c r="W119" s="33"/>
      <c r="X119" s="33"/>
      <c r="Y119" s="33"/>
      <c r="Z119" s="33"/>
      <c r="AA119" s="33"/>
      <c r="AB119" s="33"/>
    </row>
    <row r="120">
      <c r="A120" s="33"/>
      <c r="B120" s="33"/>
      <c r="C120" s="94"/>
      <c r="D120" s="33"/>
      <c r="E120" s="33"/>
      <c r="F120" s="33"/>
      <c r="G120" s="94"/>
      <c r="H120" s="33"/>
      <c r="I120" s="33"/>
      <c r="J120" s="33"/>
      <c r="K120" s="33"/>
      <c r="L120" s="33"/>
      <c r="M120" s="33"/>
      <c r="N120" s="33"/>
      <c r="O120" s="33"/>
      <c r="P120" s="33"/>
      <c r="Q120" s="33"/>
      <c r="R120" s="33"/>
      <c r="S120" s="33"/>
      <c r="T120" s="33"/>
      <c r="U120" s="33"/>
      <c r="V120" s="33"/>
      <c r="W120" s="33"/>
      <c r="X120" s="33"/>
      <c r="Y120" s="33"/>
      <c r="Z120" s="33"/>
      <c r="AA120" s="33"/>
      <c r="AB120" s="33"/>
    </row>
    <row r="121">
      <c r="A121" s="33"/>
      <c r="B121" s="33"/>
      <c r="C121" s="94"/>
      <c r="D121" s="33"/>
      <c r="E121" s="33"/>
      <c r="F121" s="33"/>
      <c r="G121" s="94"/>
      <c r="H121" s="33"/>
      <c r="I121" s="33"/>
      <c r="J121" s="33"/>
      <c r="K121" s="33"/>
      <c r="L121" s="33"/>
      <c r="M121" s="33"/>
      <c r="N121" s="33"/>
      <c r="O121" s="33"/>
      <c r="P121" s="33"/>
      <c r="Q121" s="33"/>
      <c r="R121" s="33"/>
      <c r="S121" s="33"/>
      <c r="T121" s="33"/>
      <c r="U121" s="33"/>
      <c r="V121" s="33"/>
      <c r="W121" s="33"/>
      <c r="X121" s="33"/>
      <c r="Y121" s="33"/>
      <c r="Z121" s="33"/>
      <c r="AA121" s="33"/>
      <c r="AB121" s="33"/>
    </row>
    <row r="122">
      <c r="A122" s="33"/>
      <c r="B122" s="33"/>
      <c r="C122" s="94"/>
      <c r="D122" s="33"/>
      <c r="E122" s="33"/>
      <c r="F122" s="33"/>
      <c r="G122" s="94"/>
      <c r="H122" s="33"/>
      <c r="I122" s="33"/>
      <c r="J122" s="33"/>
      <c r="K122" s="33"/>
      <c r="L122" s="33"/>
      <c r="M122" s="33"/>
      <c r="N122" s="33"/>
      <c r="O122" s="33"/>
      <c r="P122" s="33"/>
      <c r="Q122" s="33"/>
      <c r="R122" s="33"/>
      <c r="S122" s="33"/>
      <c r="T122" s="33"/>
      <c r="U122" s="33"/>
      <c r="V122" s="33"/>
      <c r="W122" s="33"/>
      <c r="X122" s="33"/>
      <c r="Y122" s="33"/>
      <c r="Z122" s="33"/>
      <c r="AA122" s="33"/>
      <c r="AB122" s="33"/>
    </row>
    <row r="123">
      <c r="A123" s="33"/>
      <c r="B123" s="33"/>
      <c r="C123" s="94"/>
      <c r="D123" s="33"/>
      <c r="E123" s="33"/>
      <c r="F123" s="33"/>
      <c r="G123" s="94"/>
      <c r="H123" s="33"/>
      <c r="I123" s="33"/>
      <c r="J123" s="33"/>
      <c r="K123" s="33"/>
      <c r="L123" s="33"/>
      <c r="M123" s="33"/>
      <c r="N123" s="33"/>
      <c r="O123" s="33"/>
      <c r="P123" s="33"/>
      <c r="Q123" s="33"/>
      <c r="R123" s="33"/>
      <c r="S123" s="33"/>
      <c r="T123" s="33"/>
      <c r="U123" s="33"/>
      <c r="V123" s="33"/>
      <c r="W123" s="33"/>
      <c r="X123" s="33"/>
      <c r="Y123" s="33"/>
      <c r="Z123" s="33"/>
      <c r="AA123" s="33"/>
      <c r="AB123" s="33"/>
    </row>
    <row r="124">
      <c r="A124" s="33"/>
      <c r="B124" s="33"/>
      <c r="C124" s="94"/>
      <c r="D124" s="33"/>
      <c r="E124" s="33"/>
      <c r="F124" s="33"/>
      <c r="G124" s="94"/>
      <c r="H124" s="33"/>
      <c r="I124" s="33"/>
      <c r="J124" s="33"/>
      <c r="K124" s="33"/>
      <c r="L124" s="33"/>
      <c r="M124" s="33"/>
      <c r="N124" s="33"/>
      <c r="O124" s="33"/>
      <c r="P124" s="33"/>
      <c r="Q124" s="33"/>
      <c r="R124" s="33"/>
      <c r="S124" s="33"/>
      <c r="T124" s="33"/>
      <c r="U124" s="33"/>
      <c r="V124" s="33"/>
      <c r="W124" s="33"/>
      <c r="X124" s="33"/>
      <c r="Y124" s="33"/>
      <c r="Z124" s="33"/>
      <c r="AA124" s="33"/>
      <c r="AB124" s="33"/>
    </row>
    <row r="125">
      <c r="A125" s="33"/>
      <c r="B125" s="33"/>
      <c r="C125" s="94"/>
      <c r="D125" s="33"/>
      <c r="E125" s="33"/>
      <c r="F125" s="33"/>
      <c r="G125" s="94"/>
      <c r="H125" s="33"/>
      <c r="I125" s="33"/>
      <c r="J125" s="33"/>
      <c r="K125" s="33"/>
      <c r="L125" s="33"/>
      <c r="M125" s="33"/>
      <c r="N125" s="33"/>
      <c r="O125" s="33"/>
      <c r="P125" s="33"/>
      <c r="Q125" s="33"/>
      <c r="R125" s="33"/>
      <c r="S125" s="33"/>
      <c r="T125" s="33"/>
      <c r="U125" s="33"/>
      <c r="V125" s="33"/>
      <c r="W125" s="33"/>
      <c r="X125" s="33"/>
      <c r="Y125" s="33"/>
      <c r="Z125" s="33"/>
      <c r="AA125" s="33"/>
      <c r="AB125" s="33"/>
    </row>
    <row r="126">
      <c r="A126" s="33"/>
      <c r="B126" s="33"/>
      <c r="C126" s="94"/>
      <c r="D126" s="33"/>
      <c r="E126" s="33"/>
      <c r="F126" s="33"/>
      <c r="G126" s="94"/>
      <c r="H126" s="33"/>
      <c r="I126" s="33"/>
      <c r="J126" s="33"/>
      <c r="K126" s="33"/>
      <c r="L126" s="33"/>
      <c r="M126" s="33"/>
      <c r="N126" s="33"/>
      <c r="O126" s="33"/>
      <c r="P126" s="33"/>
      <c r="Q126" s="33"/>
      <c r="R126" s="33"/>
      <c r="S126" s="33"/>
      <c r="T126" s="33"/>
      <c r="U126" s="33"/>
      <c r="V126" s="33"/>
      <c r="W126" s="33"/>
      <c r="X126" s="33"/>
      <c r="Y126" s="33"/>
      <c r="Z126" s="33"/>
      <c r="AA126" s="33"/>
      <c r="AB126" s="33"/>
    </row>
    <row r="127">
      <c r="A127" s="33"/>
      <c r="B127" s="33"/>
      <c r="C127" s="94"/>
      <c r="D127" s="33"/>
      <c r="E127" s="33"/>
      <c r="F127" s="33"/>
      <c r="G127" s="94"/>
      <c r="H127" s="33"/>
      <c r="I127" s="33"/>
      <c r="J127" s="33"/>
      <c r="K127" s="33"/>
      <c r="L127" s="33"/>
      <c r="M127" s="33"/>
      <c r="N127" s="33"/>
      <c r="O127" s="33"/>
      <c r="P127" s="33"/>
      <c r="Q127" s="33"/>
      <c r="R127" s="33"/>
      <c r="S127" s="33"/>
      <c r="T127" s="33"/>
      <c r="U127" s="33"/>
      <c r="V127" s="33"/>
      <c r="W127" s="33"/>
      <c r="X127" s="33"/>
      <c r="Y127" s="33"/>
      <c r="Z127" s="33"/>
      <c r="AA127" s="33"/>
      <c r="AB127" s="33"/>
    </row>
    <row r="128">
      <c r="A128" s="33"/>
      <c r="B128" s="33"/>
      <c r="C128" s="94"/>
      <c r="D128" s="33"/>
      <c r="E128" s="33"/>
      <c r="F128" s="33"/>
      <c r="G128" s="94"/>
      <c r="H128" s="33"/>
      <c r="I128" s="33"/>
      <c r="J128" s="33"/>
      <c r="K128" s="33"/>
      <c r="L128" s="33"/>
      <c r="M128" s="33"/>
      <c r="N128" s="33"/>
      <c r="O128" s="33"/>
      <c r="P128" s="33"/>
      <c r="Q128" s="33"/>
      <c r="R128" s="33"/>
      <c r="S128" s="33"/>
      <c r="T128" s="33"/>
      <c r="U128" s="33"/>
      <c r="V128" s="33"/>
      <c r="W128" s="33"/>
      <c r="X128" s="33"/>
      <c r="Y128" s="33"/>
      <c r="Z128" s="33"/>
      <c r="AA128" s="33"/>
      <c r="AB128" s="33"/>
    </row>
    <row r="129">
      <c r="A129" s="33"/>
      <c r="B129" s="33"/>
      <c r="C129" s="94"/>
      <c r="D129" s="33"/>
      <c r="E129" s="33"/>
      <c r="F129" s="33"/>
      <c r="G129" s="94"/>
      <c r="H129" s="33"/>
      <c r="I129" s="33"/>
      <c r="J129" s="33"/>
      <c r="K129" s="33"/>
      <c r="L129" s="33"/>
      <c r="M129" s="33"/>
      <c r="N129" s="33"/>
      <c r="O129" s="33"/>
      <c r="P129" s="33"/>
      <c r="Q129" s="33"/>
      <c r="R129" s="33"/>
      <c r="S129" s="33"/>
      <c r="T129" s="33"/>
      <c r="U129" s="33"/>
      <c r="V129" s="33"/>
      <c r="W129" s="33"/>
      <c r="X129" s="33"/>
      <c r="Y129" s="33"/>
      <c r="Z129" s="33"/>
      <c r="AA129" s="33"/>
      <c r="AB129" s="33"/>
    </row>
    <row r="130">
      <c r="A130" s="33"/>
      <c r="B130" s="33"/>
      <c r="C130" s="94"/>
      <c r="D130" s="33"/>
      <c r="E130" s="33"/>
      <c r="F130" s="33"/>
      <c r="G130" s="94"/>
      <c r="H130" s="33"/>
      <c r="I130" s="33"/>
      <c r="J130" s="33"/>
      <c r="K130" s="33"/>
      <c r="L130" s="33"/>
      <c r="M130" s="33"/>
      <c r="N130" s="33"/>
      <c r="O130" s="33"/>
      <c r="P130" s="33"/>
      <c r="Q130" s="33"/>
      <c r="R130" s="33"/>
      <c r="S130" s="33"/>
      <c r="T130" s="33"/>
      <c r="U130" s="33"/>
      <c r="V130" s="33"/>
      <c r="W130" s="33"/>
      <c r="X130" s="33"/>
      <c r="Y130" s="33"/>
      <c r="Z130" s="33"/>
      <c r="AA130" s="33"/>
      <c r="AB130" s="33"/>
    </row>
    <row r="131">
      <c r="A131" s="33"/>
      <c r="B131" s="33"/>
      <c r="C131" s="94"/>
      <c r="D131" s="33"/>
      <c r="E131" s="33"/>
      <c r="F131" s="33"/>
      <c r="G131" s="94"/>
      <c r="H131" s="33"/>
      <c r="I131" s="33"/>
      <c r="J131" s="33"/>
      <c r="K131" s="33"/>
      <c r="L131" s="33"/>
      <c r="M131" s="33"/>
      <c r="N131" s="33"/>
      <c r="O131" s="33"/>
      <c r="P131" s="33"/>
      <c r="Q131" s="33"/>
      <c r="R131" s="33"/>
      <c r="S131" s="33"/>
      <c r="T131" s="33"/>
      <c r="U131" s="33"/>
      <c r="V131" s="33"/>
      <c r="W131" s="33"/>
      <c r="X131" s="33"/>
      <c r="Y131" s="33"/>
      <c r="Z131" s="33"/>
      <c r="AA131" s="33"/>
      <c r="AB131" s="33"/>
    </row>
    <row r="132">
      <c r="A132" s="33"/>
      <c r="B132" s="33"/>
      <c r="C132" s="94"/>
      <c r="D132" s="33"/>
      <c r="E132" s="33"/>
      <c r="F132" s="33"/>
      <c r="G132" s="94"/>
      <c r="H132" s="33"/>
      <c r="I132" s="33"/>
      <c r="J132" s="33"/>
      <c r="K132" s="33"/>
      <c r="L132" s="33"/>
      <c r="M132" s="33"/>
      <c r="N132" s="33"/>
      <c r="O132" s="33"/>
      <c r="P132" s="33"/>
      <c r="Q132" s="33"/>
      <c r="R132" s="33"/>
      <c r="S132" s="33"/>
      <c r="T132" s="33"/>
      <c r="U132" s="33"/>
      <c r="V132" s="33"/>
      <c r="W132" s="33"/>
      <c r="X132" s="33"/>
      <c r="Y132" s="33"/>
      <c r="Z132" s="33"/>
      <c r="AA132" s="33"/>
      <c r="AB132" s="33"/>
    </row>
    <row r="133">
      <c r="A133" s="33"/>
      <c r="B133" s="33"/>
      <c r="C133" s="94"/>
      <c r="D133" s="33"/>
      <c r="E133" s="33"/>
      <c r="F133" s="33"/>
      <c r="G133" s="94"/>
      <c r="H133" s="33"/>
      <c r="I133" s="33"/>
      <c r="J133" s="33"/>
      <c r="K133" s="33"/>
      <c r="L133" s="33"/>
      <c r="M133" s="33"/>
      <c r="N133" s="33"/>
      <c r="O133" s="33"/>
      <c r="P133" s="33"/>
      <c r="Q133" s="33"/>
      <c r="R133" s="33"/>
      <c r="S133" s="33"/>
      <c r="T133" s="33"/>
      <c r="U133" s="33"/>
      <c r="V133" s="33"/>
      <c r="W133" s="33"/>
      <c r="X133" s="33"/>
      <c r="Y133" s="33"/>
      <c r="Z133" s="33"/>
      <c r="AA133" s="33"/>
      <c r="AB133" s="33"/>
    </row>
    <row r="134">
      <c r="A134" s="33"/>
      <c r="B134" s="33"/>
      <c r="C134" s="94"/>
      <c r="D134" s="33"/>
      <c r="E134" s="33"/>
      <c r="F134" s="33"/>
      <c r="G134" s="94"/>
      <c r="H134" s="33"/>
      <c r="I134" s="33"/>
      <c r="J134" s="33"/>
      <c r="K134" s="33"/>
      <c r="L134" s="33"/>
      <c r="M134" s="33"/>
      <c r="N134" s="33"/>
      <c r="O134" s="33"/>
      <c r="P134" s="33"/>
      <c r="Q134" s="33"/>
      <c r="R134" s="33"/>
      <c r="S134" s="33"/>
      <c r="T134" s="33"/>
      <c r="U134" s="33"/>
      <c r="V134" s="33"/>
      <c r="W134" s="33"/>
      <c r="X134" s="33"/>
      <c r="Y134" s="33"/>
      <c r="Z134" s="33"/>
      <c r="AA134" s="33"/>
      <c r="AB134" s="33"/>
    </row>
    <row r="135">
      <c r="A135" s="33"/>
      <c r="B135" s="33"/>
      <c r="C135" s="94"/>
      <c r="D135" s="33"/>
      <c r="E135" s="33"/>
      <c r="F135" s="33"/>
      <c r="G135" s="94"/>
      <c r="H135" s="33"/>
      <c r="I135" s="33"/>
      <c r="J135" s="33"/>
      <c r="K135" s="33"/>
      <c r="L135" s="33"/>
      <c r="M135" s="33"/>
      <c r="N135" s="33"/>
      <c r="O135" s="33"/>
      <c r="P135" s="33"/>
      <c r="Q135" s="33"/>
      <c r="R135" s="33"/>
      <c r="S135" s="33"/>
      <c r="T135" s="33"/>
      <c r="U135" s="33"/>
      <c r="V135" s="33"/>
      <c r="W135" s="33"/>
      <c r="X135" s="33"/>
      <c r="Y135" s="33"/>
      <c r="Z135" s="33"/>
      <c r="AA135" s="33"/>
      <c r="AB135" s="33"/>
    </row>
    <row r="136">
      <c r="A136" s="33"/>
      <c r="B136" s="33"/>
      <c r="C136" s="94"/>
      <c r="D136" s="33"/>
      <c r="E136" s="33"/>
      <c r="F136" s="33"/>
      <c r="G136" s="94"/>
      <c r="H136" s="33"/>
      <c r="I136" s="33"/>
      <c r="J136" s="33"/>
      <c r="K136" s="33"/>
      <c r="L136" s="33"/>
      <c r="M136" s="33"/>
      <c r="N136" s="33"/>
      <c r="O136" s="33"/>
      <c r="P136" s="33"/>
      <c r="Q136" s="33"/>
      <c r="R136" s="33"/>
      <c r="S136" s="33"/>
      <c r="T136" s="33"/>
      <c r="U136" s="33"/>
      <c r="V136" s="33"/>
      <c r="W136" s="33"/>
      <c r="X136" s="33"/>
      <c r="Y136" s="33"/>
      <c r="Z136" s="33"/>
      <c r="AA136" s="33"/>
      <c r="AB136" s="33"/>
    </row>
    <row r="137">
      <c r="A137" s="33"/>
      <c r="B137" s="33"/>
      <c r="C137" s="94"/>
      <c r="D137" s="33"/>
      <c r="E137" s="33"/>
      <c r="F137" s="33"/>
      <c r="G137" s="94"/>
      <c r="H137" s="33"/>
      <c r="I137" s="33"/>
      <c r="J137" s="33"/>
      <c r="K137" s="33"/>
      <c r="L137" s="33"/>
      <c r="M137" s="33"/>
      <c r="N137" s="33"/>
      <c r="O137" s="33"/>
      <c r="P137" s="33"/>
      <c r="Q137" s="33"/>
      <c r="R137" s="33"/>
      <c r="S137" s="33"/>
      <c r="T137" s="33"/>
      <c r="U137" s="33"/>
      <c r="V137" s="33"/>
      <c r="W137" s="33"/>
      <c r="X137" s="33"/>
      <c r="Y137" s="33"/>
      <c r="Z137" s="33"/>
      <c r="AA137" s="33"/>
      <c r="AB137" s="33"/>
    </row>
    <row r="138">
      <c r="A138" s="33"/>
      <c r="B138" s="33"/>
      <c r="C138" s="94"/>
      <c r="D138" s="33"/>
      <c r="E138" s="33"/>
      <c r="F138" s="33"/>
      <c r="G138" s="94"/>
      <c r="H138" s="33"/>
      <c r="I138" s="33"/>
      <c r="J138" s="33"/>
      <c r="K138" s="33"/>
      <c r="L138" s="33"/>
      <c r="M138" s="33"/>
      <c r="N138" s="33"/>
      <c r="O138" s="33"/>
      <c r="P138" s="33"/>
      <c r="Q138" s="33"/>
      <c r="R138" s="33"/>
      <c r="S138" s="33"/>
      <c r="T138" s="33"/>
      <c r="U138" s="33"/>
      <c r="V138" s="33"/>
      <c r="W138" s="33"/>
      <c r="X138" s="33"/>
      <c r="Y138" s="33"/>
      <c r="Z138" s="33"/>
      <c r="AA138" s="33"/>
      <c r="AB138" s="33"/>
    </row>
    <row r="139">
      <c r="A139" s="33"/>
      <c r="B139" s="33"/>
      <c r="C139" s="94"/>
      <c r="D139" s="33"/>
      <c r="E139" s="33"/>
      <c r="F139" s="33"/>
      <c r="G139" s="94"/>
      <c r="H139" s="33"/>
      <c r="I139" s="33"/>
      <c r="J139" s="33"/>
      <c r="K139" s="33"/>
      <c r="L139" s="33"/>
      <c r="M139" s="33"/>
      <c r="N139" s="33"/>
      <c r="O139" s="33"/>
      <c r="P139" s="33"/>
      <c r="Q139" s="33"/>
      <c r="R139" s="33"/>
      <c r="S139" s="33"/>
      <c r="T139" s="33"/>
      <c r="U139" s="33"/>
      <c r="V139" s="33"/>
      <c r="W139" s="33"/>
      <c r="X139" s="33"/>
      <c r="Y139" s="33"/>
      <c r="Z139" s="33"/>
      <c r="AA139" s="33"/>
      <c r="AB139" s="33"/>
    </row>
    <row r="140">
      <c r="A140" s="33"/>
      <c r="B140" s="33"/>
      <c r="C140" s="94"/>
      <c r="D140" s="33"/>
      <c r="E140" s="33"/>
      <c r="F140" s="33"/>
      <c r="G140" s="94"/>
      <c r="H140" s="33"/>
      <c r="I140" s="33"/>
      <c r="J140" s="33"/>
      <c r="K140" s="33"/>
      <c r="L140" s="33"/>
      <c r="M140" s="33"/>
      <c r="N140" s="33"/>
      <c r="O140" s="33"/>
      <c r="P140" s="33"/>
      <c r="Q140" s="33"/>
      <c r="R140" s="33"/>
      <c r="S140" s="33"/>
      <c r="T140" s="33"/>
      <c r="U140" s="33"/>
      <c r="V140" s="33"/>
      <c r="W140" s="33"/>
      <c r="X140" s="33"/>
      <c r="Y140" s="33"/>
      <c r="Z140" s="33"/>
      <c r="AA140" s="33"/>
      <c r="AB140" s="33"/>
    </row>
    <row r="141">
      <c r="A141" s="33"/>
      <c r="B141" s="33"/>
      <c r="C141" s="94"/>
      <c r="D141" s="33"/>
      <c r="E141" s="33"/>
      <c r="F141" s="33"/>
      <c r="G141" s="94"/>
      <c r="H141" s="33"/>
      <c r="I141" s="33"/>
      <c r="J141" s="33"/>
      <c r="K141" s="33"/>
      <c r="L141" s="33"/>
      <c r="M141" s="33"/>
      <c r="N141" s="33"/>
      <c r="O141" s="33"/>
      <c r="P141" s="33"/>
      <c r="Q141" s="33"/>
      <c r="R141" s="33"/>
      <c r="S141" s="33"/>
      <c r="T141" s="33"/>
      <c r="U141" s="33"/>
      <c r="V141" s="33"/>
      <c r="W141" s="33"/>
      <c r="X141" s="33"/>
      <c r="Y141" s="33"/>
      <c r="Z141" s="33"/>
      <c r="AA141" s="33"/>
      <c r="AB141" s="33"/>
    </row>
    <row r="142">
      <c r="A142" s="33"/>
      <c r="B142" s="33"/>
      <c r="C142" s="94"/>
      <c r="D142" s="33"/>
      <c r="E142" s="33"/>
      <c r="F142" s="33"/>
      <c r="G142" s="94"/>
      <c r="H142" s="33"/>
      <c r="I142" s="33"/>
      <c r="J142" s="33"/>
      <c r="K142" s="33"/>
      <c r="L142" s="33"/>
      <c r="M142" s="33"/>
      <c r="N142" s="33"/>
      <c r="O142" s="33"/>
      <c r="P142" s="33"/>
      <c r="Q142" s="33"/>
      <c r="R142" s="33"/>
      <c r="S142" s="33"/>
      <c r="T142" s="33"/>
      <c r="U142" s="33"/>
      <c r="V142" s="33"/>
      <c r="W142" s="33"/>
      <c r="X142" s="33"/>
      <c r="Y142" s="33"/>
      <c r="Z142" s="33"/>
      <c r="AA142" s="33"/>
      <c r="AB142" s="33"/>
    </row>
    <row r="143">
      <c r="A143" s="33"/>
      <c r="B143" s="33"/>
      <c r="C143" s="94"/>
      <c r="D143" s="33"/>
      <c r="E143" s="33"/>
      <c r="F143" s="33"/>
      <c r="G143" s="94"/>
      <c r="H143" s="33"/>
      <c r="I143" s="33"/>
      <c r="J143" s="33"/>
      <c r="K143" s="33"/>
      <c r="L143" s="33"/>
      <c r="M143" s="33"/>
      <c r="N143" s="33"/>
      <c r="O143" s="33"/>
      <c r="P143" s="33"/>
      <c r="Q143" s="33"/>
      <c r="R143" s="33"/>
      <c r="S143" s="33"/>
      <c r="T143" s="33"/>
      <c r="U143" s="33"/>
      <c r="V143" s="33"/>
      <c r="W143" s="33"/>
      <c r="X143" s="33"/>
      <c r="Y143" s="33"/>
      <c r="Z143" s="33"/>
      <c r="AA143" s="33"/>
      <c r="AB143" s="33"/>
    </row>
    <row r="144">
      <c r="A144" s="33"/>
      <c r="B144" s="33"/>
      <c r="C144" s="94"/>
      <c r="D144" s="33"/>
      <c r="E144" s="33"/>
      <c r="F144" s="33"/>
      <c r="G144" s="94"/>
      <c r="H144" s="33"/>
      <c r="I144" s="33"/>
      <c r="J144" s="33"/>
      <c r="K144" s="33"/>
      <c r="L144" s="33"/>
      <c r="M144" s="33"/>
      <c r="N144" s="33"/>
      <c r="O144" s="33"/>
      <c r="P144" s="33"/>
      <c r="Q144" s="33"/>
      <c r="R144" s="33"/>
      <c r="S144" s="33"/>
      <c r="T144" s="33"/>
      <c r="U144" s="33"/>
      <c r="V144" s="33"/>
      <c r="W144" s="33"/>
      <c r="X144" s="33"/>
      <c r="Y144" s="33"/>
      <c r="Z144" s="33"/>
      <c r="AA144" s="33"/>
      <c r="AB144" s="33"/>
    </row>
    <row r="145">
      <c r="A145" s="33"/>
      <c r="B145" s="33"/>
      <c r="C145" s="94"/>
      <c r="D145" s="33"/>
      <c r="E145" s="33"/>
      <c r="F145" s="33"/>
      <c r="G145" s="94"/>
      <c r="H145" s="33"/>
      <c r="I145" s="33"/>
      <c r="J145" s="33"/>
      <c r="K145" s="33"/>
      <c r="L145" s="33"/>
      <c r="M145" s="33"/>
      <c r="N145" s="33"/>
      <c r="O145" s="33"/>
      <c r="P145" s="33"/>
      <c r="Q145" s="33"/>
      <c r="R145" s="33"/>
      <c r="S145" s="33"/>
      <c r="T145" s="33"/>
      <c r="U145" s="33"/>
      <c r="V145" s="33"/>
      <c r="W145" s="33"/>
      <c r="X145" s="33"/>
      <c r="Y145" s="33"/>
      <c r="Z145" s="33"/>
      <c r="AA145" s="33"/>
      <c r="AB145" s="33"/>
    </row>
    <row r="146">
      <c r="A146" s="33"/>
      <c r="B146" s="33"/>
      <c r="C146" s="94"/>
      <c r="D146" s="33"/>
      <c r="E146" s="33"/>
      <c r="F146" s="33"/>
      <c r="G146" s="94"/>
      <c r="H146" s="33"/>
      <c r="I146" s="33"/>
      <c r="J146" s="33"/>
      <c r="K146" s="33"/>
      <c r="L146" s="33"/>
      <c r="M146" s="33"/>
      <c r="N146" s="33"/>
      <c r="O146" s="33"/>
      <c r="P146" s="33"/>
      <c r="Q146" s="33"/>
      <c r="R146" s="33"/>
      <c r="S146" s="33"/>
      <c r="T146" s="33"/>
      <c r="U146" s="33"/>
      <c r="V146" s="33"/>
      <c r="W146" s="33"/>
      <c r="X146" s="33"/>
      <c r="Y146" s="33"/>
      <c r="Z146" s="33"/>
      <c r="AA146" s="33"/>
      <c r="AB146" s="33"/>
    </row>
    <row r="147">
      <c r="A147" s="33"/>
      <c r="B147" s="33"/>
      <c r="C147" s="94"/>
      <c r="D147" s="33"/>
      <c r="E147" s="33"/>
      <c r="F147" s="33"/>
      <c r="G147" s="94"/>
      <c r="H147" s="33"/>
      <c r="I147" s="33"/>
      <c r="J147" s="33"/>
      <c r="K147" s="33"/>
      <c r="L147" s="33"/>
      <c r="M147" s="33"/>
      <c r="N147" s="33"/>
      <c r="O147" s="33"/>
      <c r="P147" s="33"/>
      <c r="Q147" s="33"/>
      <c r="R147" s="33"/>
      <c r="S147" s="33"/>
      <c r="T147" s="33"/>
      <c r="U147" s="33"/>
      <c r="V147" s="33"/>
      <c r="W147" s="33"/>
      <c r="X147" s="33"/>
      <c r="Y147" s="33"/>
      <c r="Z147" s="33"/>
      <c r="AA147" s="33"/>
      <c r="AB147" s="33"/>
    </row>
    <row r="148">
      <c r="A148" s="33"/>
      <c r="B148" s="33"/>
      <c r="C148" s="94"/>
      <c r="D148" s="33"/>
      <c r="E148" s="33"/>
      <c r="F148" s="33"/>
      <c r="G148" s="94"/>
      <c r="H148" s="33"/>
      <c r="I148" s="33"/>
      <c r="J148" s="33"/>
      <c r="K148" s="33"/>
      <c r="L148" s="33"/>
      <c r="M148" s="33"/>
      <c r="N148" s="33"/>
      <c r="O148" s="33"/>
      <c r="P148" s="33"/>
      <c r="Q148" s="33"/>
      <c r="R148" s="33"/>
      <c r="S148" s="33"/>
      <c r="T148" s="33"/>
      <c r="U148" s="33"/>
      <c r="V148" s="33"/>
      <c r="W148" s="33"/>
      <c r="X148" s="33"/>
      <c r="Y148" s="33"/>
      <c r="Z148" s="33"/>
      <c r="AA148" s="33"/>
      <c r="AB148" s="33"/>
    </row>
    <row r="149">
      <c r="A149" s="33"/>
      <c r="B149" s="33"/>
      <c r="C149" s="94"/>
      <c r="D149" s="33"/>
      <c r="E149" s="33"/>
      <c r="F149" s="33"/>
      <c r="G149" s="94"/>
      <c r="H149" s="33"/>
      <c r="I149" s="33"/>
      <c r="J149" s="33"/>
      <c r="K149" s="33"/>
      <c r="L149" s="33"/>
      <c r="M149" s="33"/>
      <c r="N149" s="33"/>
      <c r="O149" s="33"/>
      <c r="P149" s="33"/>
      <c r="Q149" s="33"/>
      <c r="R149" s="33"/>
      <c r="S149" s="33"/>
      <c r="T149" s="33"/>
      <c r="U149" s="33"/>
      <c r="V149" s="33"/>
      <c r="W149" s="33"/>
      <c r="X149" s="33"/>
      <c r="Y149" s="33"/>
      <c r="Z149" s="33"/>
      <c r="AA149" s="33"/>
      <c r="AB149" s="33"/>
    </row>
    <row r="150">
      <c r="A150" s="33"/>
      <c r="B150" s="33"/>
      <c r="C150" s="94"/>
      <c r="D150" s="33"/>
      <c r="E150" s="33"/>
      <c r="F150" s="33"/>
      <c r="G150" s="94"/>
      <c r="H150" s="33"/>
      <c r="I150" s="33"/>
      <c r="J150" s="33"/>
      <c r="K150" s="33"/>
      <c r="L150" s="33"/>
      <c r="M150" s="33"/>
      <c r="N150" s="33"/>
      <c r="O150" s="33"/>
      <c r="P150" s="33"/>
      <c r="Q150" s="33"/>
      <c r="R150" s="33"/>
      <c r="S150" s="33"/>
      <c r="T150" s="33"/>
      <c r="U150" s="33"/>
      <c r="V150" s="33"/>
      <c r="W150" s="33"/>
      <c r="X150" s="33"/>
      <c r="Y150" s="33"/>
      <c r="Z150" s="33"/>
      <c r="AA150" s="33"/>
      <c r="AB150" s="33"/>
    </row>
    <row r="151">
      <c r="A151" s="33"/>
      <c r="B151" s="33"/>
      <c r="C151" s="94"/>
      <c r="D151" s="33"/>
      <c r="E151" s="33"/>
      <c r="F151" s="33"/>
      <c r="G151" s="94"/>
      <c r="H151" s="33"/>
      <c r="I151" s="33"/>
      <c r="J151" s="33"/>
      <c r="K151" s="33"/>
      <c r="L151" s="33"/>
      <c r="M151" s="33"/>
      <c r="N151" s="33"/>
      <c r="O151" s="33"/>
      <c r="P151" s="33"/>
      <c r="Q151" s="33"/>
      <c r="R151" s="33"/>
      <c r="S151" s="33"/>
      <c r="T151" s="33"/>
      <c r="U151" s="33"/>
      <c r="V151" s="33"/>
      <c r="W151" s="33"/>
      <c r="X151" s="33"/>
      <c r="Y151" s="33"/>
      <c r="Z151" s="33"/>
      <c r="AA151" s="33"/>
      <c r="AB151" s="33"/>
    </row>
    <row r="152">
      <c r="A152" s="33"/>
      <c r="B152" s="33"/>
      <c r="C152" s="94"/>
      <c r="D152" s="33"/>
      <c r="E152" s="33"/>
      <c r="F152" s="33"/>
      <c r="G152" s="94"/>
      <c r="H152" s="33"/>
      <c r="I152" s="33"/>
      <c r="J152" s="33"/>
      <c r="K152" s="33"/>
      <c r="L152" s="33"/>
      <c r="M152" s="33"/>
      <c r="N152" s="33"/>
      <c r="O152" s="33"/>
      <c r="P152" s="33"/>
      <c r="Q152" s="33"/>
      <c r="R152" s="33"/>
      <c r="S152" s="33"/>
      <c r="T152" s="33"/>
      <c r="U152" s="33"/>
      <c r="V152" s="33"/>
      <c r="W152" s="33"/>
      <c r="X152" s="33"/>
      <c r="Y152" s="33"/>
      <c r="Z152" s="33"/>
      <c r="AA152" s="33"/>
      <c r="AB152" s="33"/>
    </row>
    <row r="153">
      <c r="A153" s="33"/>
      <c r="B153" s="33"/>
      <c r="C153" s="94"/>
      <c r="D153" s="33"/>
      <c r="E153" s="33"/>
      <c r="F153" s="33"/>
      <c r="G153" s="94"/>
      <c r="H153" s="33"/>
      <c r="I153" s="33"/>
      <c r="J153" s="33"/>
      <c r="K153" s="33"/>
      <c r="L153" s="33"/>
      <c r="M153" s="33"/>
      <c r="N153" s="33"/>
      <c r="O153" s="33"/>
      <c r="P153" s="33"/>
      <c r="Q153" s="33"/>
      <c r="R153" s="33"/>
      <c r="S153" s="33"/>
      <c r="T153" s="33"/>
      <c r="U153" s="33"/>
      <c r="V153" s="33"/>
      <c r="W153" s="33"/>
      <c r="X153" s="33"/>
      <c r="Y153" s="33"/>
      <c r="Z153" s="33"/>
      <c r="AA153" s="33"/>
      <c r="AB153" s="33"/>
    </row>
    <row r="154">
      <c r="A154" s="33"/>
      <c r="B154" s="33"/>
      <c r="C154" s="94"/>
      <c r="D154" s="33"/>
      <c r="E154" s="33"/>
      <c r="F154" s="33"/>
      <c r="G154" s="94"/>
      <c r="H154" s="33"/>
      <c r="I154" s="33"/>
      <c r="J154" s="33"/>
      <c r="K154" s="33"/>
      <c r="L154" s="33"/>
      <c r="M154" s="33"/>
      <c r="N154" s="33"/>
      <c r="O154" s="33"/>
      <c r="P154" s="33"/>
      <c r="Q154" s="33"/>
      <c r="R154" s="33"/>
      <c r="S154" s="33"/>
      <c r="T154" s="33"/>
      <c r="U154" s="33"/>
      <c r="V154" s="33"/>
      <c r="W154" s="33"/>
      <c r="X154" s="33"/>
      <c r="Y154" s="33"/>
      <c r="Z154" s="33"/>
      <c r="AA154" s="33"/>
      <c r="AB154" s="33"/>
    </row>
    <row r="155">
      <c r="A155" s="33"/>
      <c r="B155" s="33"/>
      <c r="C155" s="94"/>
      <c r="D155" s="33"/>
      <c r="E155" s="33"/>
      <c r="F155" s="33"/>
      <c r="G155" s="94"/>
      <c r="H155" s="33"/>
      <c r="I155" s="33"/>
      <c r="J155" s="33"/>
      <c r="K155" s="33"/>
      <c r="L155" s="33"/>
      <c r="M155" s="33"/>
      <c r="N155" s="33"/>
      <c r="O155" s="33"/>
      <c r="P155" s="33"/>
      <c r="Q155" s="33"/>
      <c r="R155" s="33"/>
      <c r="S155" s="33"/>
      <c r="T155" s="33"/>
      <c r="U155" s="33"/>
      <c r="V155" s="33"/>
      <c r="W155" s="33"/>
      <c r="X155" s="33"/>
      <c r="Y155" s="33"/>
      <c r="Z155" s="33"/>
      <c r="AA155" s="33"/>
      <c r="AB155" s="33"/>
    </row>
    <row r="156">
      <c r="A156" s="33"/>
      <c r="B156" s="33"/>
      <c r="C156" s="94"/>
      <c r="D156" s="33"/>
      <c r="E156" s="33"/>
      <c r="F156" s="33"/>
      <c r="G156" s="94"/>
      <c r="H156" s="33"/>
      <c r="I156" s="33"/>
      <c r="J156" s="33"/>
      <c r="K156" s="33"/>
      <c r="L156" s="33"/>
      <c r="M156" s="33"/>
      <c r="N156" s="33"/>
      <c r="O156" s="33"/>
      <c r="P156" s="33"/>
      <c r="Q156" s="33"/>
      <c r="R156" s="33"/>
      <c r="S156" s="33"/>
      <c r="T156" s="33"/>
      <c r="U156" s="33"/>
      <c r="V156" s="33"/>
      <c r="W156" s="33"/>
      <c r="X156" s="33"/>
      <c r="Y156" s="33"/>
      <c r="Z156" s="33"/>
      <c r="AA156" s="33"/>
      <c r="AB156" s="33"/>
    </row>
    <row r="157">
      <c r="A157" s="33"/>
      <c r="B157" s="33"/>
      <c r="C157" s="94"/>
      <c r="D157" s="33"/>
      <c r="E157" s="33"/>
      <c r="F157" s="33"/>
      <c r="G157" s="94"/>
      <c r="H157" s="33"/>
      <c r="I157" s="33"/>
      <c r="J157" s="33"/>
      <c r="K157" s="33"/>
      <c r="L157" s="33"/>
      <c r="M157" s="33"/>
      <c r="N157" s="33"/>
      <c r="O157" s="33"/>
      <c r="P157" s="33"/>
      <c r="Q157" s="33"/>
      <c r="R157" s="33"/>
      <c r="S157" s="33"/>
      <c r="T157" s="33"/>
      <c r="U157" s="33"/>
      <c r="V157" s="33"/>
      <c r="W157" s="33"/>
      <c r="X157" s="33"/>
      <c r="Y157" s="33"/>
      <c r="Z157" s="33"/>
      <c r="AA157" s="33"/>
      <c r="AB157" s="33"/>
    </row>
    <row r="158">
      <c r="A158" s="33"/>
      <c r="B158" s="33"/>
      <c r="C158" s="94"/>
      <c r="D158" s="33"/>
      <c r="E158" s="33"/>
      <c r="F158" s="33"/>
      <c r="G158" s="94"/>
      <c r="H158" s="33"/>
      <c r="I158" s="33"/>
      <c r="J158" s="33"/>
      <c r="K158" s="33"/>
      <c r="L158" s="33"/>
      <c r="M158" s="33"/>
      <c r="N158" s="33"/>
      <c r="O158" s="33"/>
      <c r="P158" s="33"/>
      <c r="Q158" s="33"/>
      <c r="R158" s="33"/>
      <c r="S158" s="33"/>
      <c r="T158" s="33"/>
      <c r="U158" s="33"/>
      <c r="V158" s="33"/>
      <c r="W158" s="33"/>
      <c r="X158" s="33"/>
      <c r="Y158" s="33"/>
      <c r="Z158" s="33"/>
      <c r="AA158" s="33"/>
      <c r="AB158" s="33"/>
    </row>
    <row r="159">
      <c r="A159" s="33"/>
      <c r="B159" s="33"/>
      <c r="C159" s="94"/>
      <c r="D159" s="33"/>
      <c r="E159" s="33"/>
      <c r="F159" s="33"/>
      <c r="G159" s="94"/>
      <c r="H159" s="33"/>
      <c r="I159" s="33"/>
      <c r="J159" s="33"/>
      <c r="K159" s="33"/>
      <c r="L159" s="33"/>
      <c r="M159" s="33"/>
      <c r="N159" s="33"/>
      <c r="O159" s="33"/>
      <c r="P159" s="33"/>
      <c r="Q159" s="33"/>
      <c r="R159" s="33"/>
      <c r="S159" s="33"/>
      <c r="T159" s="33"/>
      <c r="U159" s="33"/>
      <c r="V159" s="33"/>
      <c r="W159" s="33"/>
      <c r="X159" s="33"/>
      <c r="Y159" s="33"/>
      <c r="Z159" s="33"/>
      <c r="AA159" s="33"/>
      <c r="AB159" s="33"/>
    </row>
    <row r="160">
      <c r="A160" s="33"/>
      <c r="B160" s="33"/>
      <c r="C160" s="94"/>
      <c r="D160" s="33"/>
      <c r="E160" s="33"/>
      <c r="F160" s="33"/>
      <c r="G160" s="94"/>
      <c r="H160" s="33"/>
      <c r="I160" s="33"/>
      <c r="J160" s="33"/>
      <c r="K160" s="33"/>
      <c r="L160" s="33"/>
      <c r="M160" s="33"/>
      <c r="N160" s="33"/>
      <c r="O160" s="33"/>
      <c r="P160" s="33"/>
      <c r="Q160" s="33"/>
      <c r="R160" s="33"/>
      <c r="S160" s="33"/>
      <c r="T160" s="33"/>
      <c r="U160" s="33"/>
      <c r="V160" s="33"/>
      <c r="W160" s="33"/>
      <c r="X160" s="33"/>
      <c r="Y160" s="33"/>
      <c r="Z160" s="33"/>
      <c r="AA160" s="33"/>
      <c r="AB160" s="33"/>
    </row>
    <row r="161">
      <c r="A161" s="33"/>
      <c r="B161" s="33"/>
      <c r="C161" s="94"/>
      <c r="D161" s="33"/>
      <c r="E161" s="33"/>
      <c r="F161" s="33"/>
      <c r="G161" s="94"/>
      <c r="H161" s="33"/>
      <c r="I161" s="33"/>
      <c r="J161" s="33"/>
      <c r="K161" s="33"/>
      <c r="L161" s="33"/>
      <c r="M161" s="33"/>
      <c r="N161" s="33"/>
      <c r="O161" s="33"/>
      <c r="P161" s="33"/>
      <c r="Q161" s="33"/>
      <c r="R161" s="33"/>
      <c r="S161" s="33"/>
      <c r="T161" s="33"/>
      <c r="U161" s="33"/>
      <c r="V161" s="33"/>
      <c r="W161" s="33"/>
      <c r="X161" s="33"/>
      <c r="Y161" s="33"/>
      <c r="Z161" s="33"/>
      <c r="AA161" s="33"/>
      <c r="AB161" s="33"/>
    </row>
    <row r="162">
      <c r="A162" s="33"/>
      <c r="B162" s="33"/>
      <c r="C162" s="94"/>
      <c r="D162" s="33"/>
      <c r="E162" s="33"/>
      <c r="F162" s="33"/>
      <c r="G162" s="94"/>
      <c r="H162" s="33"/>
      <c r="I162" s="33"/>
      <c r="J162" s="33"/>
      <c r="K162" s="33"/>
      <c r="L162" s="33"/>
      <c r="M162" s="33"/>
      <c r="N162" s="33"/>
      <c r="O162" s="33"/>
      <c r="P162" s="33"/>
      <c r="Q162" s="33"/>
      <c r="R162" s="33"/>
      <c r="S162" s="33"/>
      <c r="T162" s="33"/>
      <c r="U162" s="33"/>
      <c r="V162" s="33"/>
      <c r="W162" s="33"/>
      <c r="X162" s="33"/>
      <c r="Y162" s="33"/>
      <c r="Z162" s="33"/>
      <c r="AA162" s="33"/>
      <c r="AB162" s="33"/>
    </row>
    <row r="163">
      <c r="A163" s="33"/>
      <c r="B163" s="33"/>
      <c r="C163" s="94"/>
      <c r="D163" s="33"/>
      <c r="E163" s="33"/>
      <c r="F163" s="33"/>
      <c r="G163" s="94"/>
      <c r="H163" s="33"/>
      <c r="I163" s="33"/>
      <c r="J163" s="33"/>
      <c r="K163" s="33"/>
      <c r="L163" s="33"/>
      <c r="M163" s="33"/>
      <c r="N163" s="33"/>
      <c r="O163" s="33"/>
      <c r="P163" s="33"/>
      <c r="Q163" s="33"/>
      <c r="R163" s="33"/>
      <c r="S163" s="33"/>
      <c r="T163" s="33"/>
      <c r="U163" s="33"/>
      <c r="V163" s="33"/>
      <c r="W163" s="33"/>
      <c r="X163" s="33"/>
      <c r="Y163" s="33"/>
      <c r="Z163" s="33"/>
      <c r="AA163" s="33"/>
      <c r="AB163" s="33"/>
    </row>
    <row r="164">
      <c r="A164" s="33"/>
      <c r="B164" s="33"/>
      <c r="C164" s="94"/>
      <c r="D164" s="33"/>
      <c r="E164" s="33"/>
      <c r="F164" s="33"/>
      <c r="G164" s="94"/>
      <c r="H164" s="33"/>
      <c r="I164" s="33"/>
      <c r="J164" s="33"/>
      <c r="K164" s="33"/>
      <c r="L164" s="33"/>
      <c r="M164" s="33"/>
      <c r="N164" s="33"/>
      <c r="O164" s="33"/>
      <c r="P164" s="33"/>
      <c r="Q164" s="33"/>
      <c r="R164" s="33"/>
      <c r="S164" s="33"/>
      <c r="T164" s="33"/>
      <c r="U164" s="33"/>
      <c r="V164" s="33"/>
      <c r="W164" s="33"/>
      <c r="X164" s="33"/>
      <c r="Y164" s="33"/>
      <c r="Z164" s="33"/>
      <c r="AA164" s="33"/>
      <c r="AB164" s="33"/>
    </row>
    <row r="165">
      <c r="A165" s="33"/>
      <c r="B165" s="33"/>
      <c r="C165" s="94"/>
      <c r="D165" s="33"/>
      <c r="E165" s="33"/>
      <c r="F165" s="33"/>
      <c r="G165" s="94"/>
      <c r="H165" s="33"/>
      <c r="I165" s="33"/>
      <c r="J165" s="33"/>
      <c r="K165" s="33"/>
      <c r="L165" s="33"/>
      <c r="M165" s="33"/>
      <c r="N165" s="33"/>
      <c r="O165" s="33"/>
      <c r="P165" s="33"/>
      <c r="Q165" s="33"/>
      <c r="R165" s="33"/>
      <c r="S165" s="33"/>
      <c r="T165" s="33"/>
      <c r="U165" s="33"/>
      <c r="V165" s="33"/>
      <c r="W165" s="33"/>
      <c r="X165" s="33"/>
      <c r="Y165" s="33"/>
      <c r="Z165" s="33"/>
      <c r="AA165" s="33"/>
      <c r="AB165" s="33"/>
    </row>
    <row r="166">
      <c r="A166" s="33"/>
      <c r="B166" s="33"/>
      <c r="C166" s="94"/>
      <c r="D166" s="33"/>
      <c r="E166" s="33"/>
      <c r="F166" s="33"/>
      <c r="G166" s="94"/>
      <c r="H166" s="33"/>
      <c r="I166" s="33"/>
      <c r="J166" s="33"/>
      <c r="K166" s="33"/>
      <c r="L166" s="33"/>
      <c r="M166" s="33"/>
      <c r="N166" s="33"/>
      <c r="O166" s="33"/>
      <c r="P166" s="33"/>
      <c r="Q166" s="33"/>
      <c r="R166" s="33"/>
      <c r="S166" s="33"/>
      <c r="T166" s="33"/>
      <c r="U166" s="33"/>
      <c r="V166" s="33"/>
      <c r="W166" s="33"/>
      <c r="X166" s="33"/>
      <c r="Y166" s="33"/>
      <c r="Z166" s="33"/>
      <c r="AA166" s="33"/>
      <c r="AB166" s="33"/>
    </row>
    <row r="167">
      <c r="A167" s="33"/>
      <c r="B167" s="33"/>
      <c r="C167" s="94"/>
      <c r="D167" s="33"/>
      <c r="E167" s="33"/>
      <c r="F167" s="33"/>
      <c r="G167" s="94"/>
      <c r="H167" s="33"/>
      <c r="I167" s="33"/>
      <c r="J167" s="33"/>
      <c r="K167" s="33"/>
      <c r="L167" s="33"/>
      <c r="M167" s="33"/>
      <c r="N167" s="33"/>
      <c r="O167" s="33"/>
      <c r="P167" s="33"/>
      <c r="Q167" s="33"/>
      <c r="R167" s="33"/>
      <c r="S167" s="33"/>
      <c r="T167" s="33"/>
      <c r="U167" s="33"/>
      <c r="V167" s="33"/>
      <c r="W167" s="33"/>
      <c r="X167" s="33"/>
      <c r="Y167" s="33"/>
      <c r="Z167" s="33"/>
      <c r="AA167" s="33"/>
      <c r="AB167" s="33"/>
    </row>
    <row r="168">
      <c r="A168" s="33"/>
      <c r="B168" s="33"/>
      <c r="C168" s="94"/>
      <c r="D168" s="33"/>
      <c r="E168" s="33"/>
      <c r="F168" s="33"/>
      <c r="G168" s="94"/>
      <c r="H168" s="33"/>
      <c r="I168" s="33"/>
      <c r="J168" s="33"/>
      <c r="K168" s="33"/>
      <c r="L168" s="33"/>
      <c r="M168" s="33"/>
      <c r="N168" s="33"/>
      <c r="O168" s="33"/>
      <c r="P168" s="33"/>
      <c r="Q168" s="33"/>
      <c r="R168" s="33"/>
      <c r="S168" s="33"/>
      <c r="T168" s="33"/>
      <c r="U168" s="33"/>
      <c r="V168" s="33"/>
      <c r="W168" s="33"/>
      <c r="X168" s="33"/>
      <c r="Y168" s="33"/>
      <c r="Z168" s="33"/>
      <c r="AA168" s="33"/>
      <c r="AB168" s="33"/>
    </row>
    <row r="169">
      <c r="A169" s="33"/>
      <c r="B169" s="33"/>
      <c r="C169" s="94"/>
      <c r="D169" s="33"/>
      <c r="E169" s="33"/>
      <c r="F169" s="33"/>
      <c r="G169" s="94"/>
      <c r="H169" s="33"/>
      <c r="I169" s="33"/>
      <c r="J169" s="33"/>
      <c r="K169" s="33"/>
      <c r="L169" s="33"/>
      <c r="M169" s="33"/>
      <c r="N169" s="33"/>
      <c r="O169" s="33"/>
      <c r="P169" s="33"/>
      <c r="Q169" s="33"/>
      <c r="R169" s="33"/>
      <c r="S169" s="33"/>
      <c r="T169" s="33"/>
      <c r="U169" s="33"/>
      <c r="V169" s="33"/>
      <c r="W169" s="33"/>
      <c r="X169" s="33"/>
      <c r="Y169" s="33"/>
      <c r="Z169" s="33"/>
      <c r="AA169" s="33"/>
      <c r="AB169" s="33"/>
    </row>
    <row r="170">
      <c r="A170" s="33"/>
      <c r="B170" s="33"/>
      <c r="C170" s="94"/>
      <c r="D170" s="33"/>
      <c r="E170" s="33"/>
      <c r="F170" s="33"/>
      <c r="G170" s="94"/>
      <c r="H170" s="33"/>
      <c r="I170" s="33"/>
      <c r="J170" s="33"/>
      <c r="K170" s="33"/>
      <c r="L170" s="33"/>
      <c r="M170" s="33"/>
      <c r="N170" s="33"/>
      <c r="O170" s="33"/>
      <c r="P170" s="33"/>
      <c r="Q170" s="33"/>
      <c r="R170" s="33"/>
      <c r="S170" s="33"/>
      <c r="T170" s="33"/>
      <c r="U170" s="33"/>
      <c r="V170" s="33"/>
      <c r="W170" s="33"/>
      <c r="X170" s="33"/>
      <c r="Y170" s="33"/>
      <c r="Z170" s="33"/>
      <c r="AA170" s="33"/>
      <c r="AB170" s="33"/>
    </row>
    <row r="171">
      <c r="A171" s="33"/>
      <c r="B171" s="33"/>
      <c r="C171" s="94"/>
      <c r="D171" s="33"/>
      <c r="E171" s="33"/>
      <c r="F171" s="33"/>
      <c r="G171" s="94"/>
      <c r="H171" s="33"/>
      <c r="I171" s="33"/>
      <c r="J171" s="33"/>
      <c r="K171" s="33"/>
      <c r="L171" s="33"/>
      <c r="M171" s="33"/>
      <c r="N171" s="33"/>
      <c r="O171" s="33"/>
      <c r="P171" s="33"/>
      <c r="Q171" s="33"/>
      <c r="R171" s="33"/>
      <c r="S171" s="33"/>
      <c r="T171" s="33"/>
      <c r="U171" s="33"/>
      <c r="V171" s="33"/>
      <c r="W171" s="33"/>
      <c r="X171" s="33"/>
      <c r="Y171" s="33"/>
      <c r="Z171" s="33"/>
      <c r="AA171" s="33"/>
      <c r="AB171" s="33"/>
    </row>
    <row r="172">
      <c r="A172" s="33"/>
      <c r="B172" s="33"/>
      <c r="C172" s="94"/>
      <c r="D172" s="33"/>
      <c r="E172" s="33"/>
      <c r="F172" s="33"/>
      <c r="G172" s="94"/>
      <c r="H172" s="33"/>
      <c r="I172" s="33"/>
      <c r="J172" s="33"/>
      <c r="K172" s="33"/>
      <c r="L172" s="33"/>
      <c r="M172" s="33"/>
      <c r="N172" s="33"/>
      <c r="O172" s="33"/>
      <c r="P172" s="33"/>
      <c r="Q172" s="33"/>
      <c r="R172" s="33"/>
      <c r="S172" s="33"/>
      <c r="T172" s="33"/>
      <c r="U172" s="33"/>
      <c r="V172" s="33"/>
      <c r="W172" s="33"/>
      <c r="X172" s="33"/>
      <c r="Y172" s="33"/>
      <c r="Z172" s="33"/>
      <c r="AA172" s="33"/>
      <c r="AB172" s="33"/>
    </row>
    <row r="173">
      <c r="A173" s="33"/>
      <c r="B173" s="33"/>
      <c r="C173" s="94"/>
      <c r="D173" s="33"/>
      <c r="E173" s="33"/>
      <c r="F173" s="33"/>
      <c r="G173" s="94"/>
      <c r="H173" s="33"/>
      <c r="I173" s="33"/>
      <c r="J173" s="33"/>
      <c r="K173" s="33"/>
      <c r="L173" s="33"/>
      <c r="M173" s="33"/>
      <c r="N173" s="33"/>
      <c r="O173" s="33"/>
      <c r="P173" s="33"/>
      <c r="Q173" s="33"/>
      <c r="R173" s="33"/>
      <c r="S173" s="33"/>
      <c r="T173" s="33"/>
      <c r="U173" s="33"/>
      <c r="V173" s="33"/>
      <c r="W173" s="33"/>
      <c r="X173" s="33"/>
      <c r="Y173" s="33"/>
      <c r="Z173" s="33"/>
      <c r="AA173" s="33"/>
      <c r="AB173" s="33"/>
    </row>
    <row r="174">
      <c r="A174" s="33"/>
      <c r="B174" s="33"/>
      <c r="C174" s="94"/>
      <c r="D174" s="33"/>
      <c r="E174" s="33"/>
      <c r="F174" s="33"/>
      <c r="G174" s="94"/>
      <c r="H174" s="33"/>
      <c r="I174" s="33"/>
      <c r="J174" s="33"/>
      <c r="K174" s="33"/>
      <c r="L174" s="33"/>
      <c r="M174" s="33"/>
      <c r="N174" s="33"/>
      <c r="O174" s="33"/>
      <c r="P174" s="33"/>
      <c r="Q174" s="33"/>
      <c r="R174" s="33"/>
      <c r="S174" s="33"/>
      <c r="T174" s="33"/>
      <c r="U174" s="33"/>
      <c r="V174" s="33"/>
      <c r="W174" s="33"/>
      <c r="X174" s="33"/>
      <c r="Y174" s="33"/>
      <c r="Z174" s="33"/>
      <c r="AA174" s="33"/>
      <c r="AB174" s="33"/>
    </row>
    <row r="175">
      <c r="A175" s="33"/>
      <c r="B175" s="33"/>
      <c r="C175" s="94"/>
      <c r="D175" s="33"/>
      <c r="E175" s="33"/>
      <c r="F175" s="33"/>
      <c r="G175" s="94"/>
      <c r="H175" s="33"/>
      <c r="I175" s="33"/>
      <c r="J175" s="33"/>
      <c r="K175" s="33"/>
      <c r="L175" s="33"/>
      <c r="M175" s="33"/>
      <c r="N175" s="33"/>
      <c r="O175" s="33"/>
      <c r="P175" s="33"/>
      <c r="Q175" s="33"/>
      <c r="R175" s="33"/>
      <c r="S175" s="33"/>
      <c r="T175" s="33"/>
      <c r="U175" s="33"/>
      <c r="V175" s="33"/>
      <c r="W175" s="33"/>
      <c r="X175" s="33"/>
      <c r="Y175" s="33"/>
      <c r="Z175" s="33"/>
      <c r="AA175" s="33"/>
      <c r="AB175" s="33"/>
    </row>
    <row r="176">
      <c r="A176" s="33"/>
      <c r="B176" s="33"/>
      <c r="C176" s="94"/>
      <c r="D176" s="33"/>
      <c r="E176" s="33"/>
      <c r="F176" s="33"/>
      <c r="G176" s="94"/>
      <c r="H176" s="33"/>
      <c r="I176" s="33"/>
      <c r="J176" s="33"/>
      <c r="K176" s="33"/>
      <c r="L176" s="33"/>
      <c r="M176" s="33"/>
      <c r="N176" s="33"/>
      <c r="O176" s="33"/>
      <c r="P176" s="33"/>
      <c r="Q176" s="33"/>
      <c r="R176" s="33"/>
      <c r="S176" s="33"/>
      <c r="T176" s="33"/>
      <c r="U176" s="33"/>
      <c r="V176" s="33"/>
      <c r="W176" s="33"/>
      <c r="X176" s="33"/>
      <c r="Y176" s="33"/>
      <c r="Z176" s="33"/>
      <c r="AA176" s="33"/>
      <c r="AB176" s="33"/>
    </row>
    <row r="177">
      <c r="A177" s="33"/>
      <c r="B177" s="33"/>
      <c r="C177" s="94"/>
      <c r="D177" s="33"/>
      <c r="E177" s="33"/>
      <c r="F177" s="33"/>
      <c r="G177" s="94"/>
      <c r="H177" s="33"/>
      <c r="I177" s="33"/>
      <c r="J177" s="33"/>
      <c r="K177" s="33"/>
      <c r="L177" s="33"/>
      <c r="M177" s="33"/>
      <c r="N177" s="33"/>
      <c r="O177" s="33"/>
      <c r="P177" s="33"/>
      <c r="Q177" s="33"/>
      <c r="R177" s="33"/>
      <c r="S177" s="33"/>
      <c r="T177" s="33"/>
      <c r="U177" s="33"/>
      <c r="V177" s="33"/>
      <c r="W177" s="33"/>
      <c r="X177" s="33"/>
      <c r="Y177" s="33"/>
      <c r="Z177" s="33"/>
      <c r="AA177" s="33"/>
      <c r="AB177" s="33"/>
    </row>
    <row r="178">
      <c r="A178" s="33"/>
      <c r="B178" s="33"/>
      <c r="C178" s="94"/>
      <c r="D178" s="33"/>
      <c r="E178" s="33"/>
      <c r="F178" s="33"/>
      <c r="G178" s="94"/>
      <c r="H178" s="33"/>
      <c r="I178" s="33"/>
      <c r="J178" s="33"/>
      <c r="K178" s="33"/>
      <c r="L178" s="33"/>
      <c r="M178" s="33"/>
      <c r="N178" s="33"/>
      <c r="O178" s="33"/>
      <c r="P178" s="33"/>
      <c r="Q178" s="33"/>
      <c r="R178" s="33"/>
      <c r="S178" s="33"/>
      <c r="T178" s="33"/>
      <c r="U178" s="33"/>
      <c r="V178" s="33"/>
      <c r="W178" s="33"/>
      <c r="X178" s="33"/>
      <c r="Y178" s="33"/>
      <c r="Z178" s="33"/>
      <c r="AA178" s="33"/>
      <c r="AB178" s="33"/>
    </row>
    <row r="179">
      <c r="A179" s="33"/>
      <c r="B179" s="33"/>
      <c r="C179" s="94"/>
      <c r="D179" s="33"/>
      <c r="E179" s="33"/>
      <c r="F179" s="33"/>
      <c r="G179" s="94"/>
      <c r="H179" s="33"/>
      <c r="I179" s="33"/>
      <c r="J179" s="33"/>
      <c r="K179" s="33"/>
      <c r="L179" s="33"/>
      <c r="M179" s="33"/>
      <c r="N179" s="33"/>
      <c r="O179" s="33"/>
      <c r="P179" s="33"/>
      <c r="Q179" s="33"/>
      <c r="R179" s="33"/>
      <c r="S179" s="33"/>
      <c r="T179" s="33"/>
      <c r="U179" s="33"/>
      <c r="V179" s="33"/>
      <c r="W179" s="33"/>
      <c r="X179" s="33"/>
      <c r="Y179" s="33"/>
      <c r="Z179" s="33"/>
      <c r="AA179" s="33"/>
      <c r="AB179" s="33"/>
    </row>
    <row r="180">
      <c r="A180" s="33"/>
      <c r="B180" s="33"/>
      <c r="C180" s="94"/>
      <c r="D180" s="33"/>
      <c r="E180" s="33"/>
      <c r="F180" s="33"/>
      <c r="G180" s="94"/>
      <c r="H180" s="33"/>
      <c r="I180" s="33"/>
      <c r="J180" s="33"/>
      <c r="K180" s="33"/>
      <c r="L180" s="33"/>
      <c r="M180" s="33"/>
      <c r="N180" s="33"/>
      <c r="O180" s="33"/>
      <c r="P180" s="33"/>
      <c r="Q180" s="33"/>
      <c r="R180" s="33"/>
      <c r="S180" s="33"/>
      <c r="T180" s="33"/>
      <c r="U180" s="33"/>
      <c r="V180" s="33"/>
      <c r="W180" s="33"/>
      <c r="X180" s="33"/>
      <c r="Y180" s="33"/>
      <c r="Z180" s="33"/>
      <c r="AA180" s="33"/>
      <c r="AB180" s="33"/>
    </row>
    <row r="181">
      <c r="A181" s="33"/>
      <c r="B181" s="33"/>
      <c r="C181" s="94"/>
      <c r="D181" s="33"/>
      <c r="E181" s="33"/>
      <c r="F181" s="33"/>
      <c r="G181" s="94"/>
      <c r="H181" s="33"/>
      <c r="I181" s="33"/>
      <c r="J181" s="33"/>
      <c r="K181" s="33"/>
      <c r="L181" s="33"/>
      <c r="M181" s="33"/>
      <c r="N181" s="33"/>
      <c r="O181" s="33"/>
      <c r="P181" s="33"/>
      <c r="Q181" s="33"/>
      <c r="R181" s="33"/>
      <c r="S181" s="33"/>
      <c r="T181" s="33"/>
      <c r="U181" s="33"/>
      <c r="V181" s="33"/>
      <c r="W181" s="33"/>
      <c r="X181" s="33"/>
      <c r="Y181" s="33"/>
      <c r="Z181" s="33"/>
      <c r="AA181" s="33"/>
      <c r="AB181" s="33"/>
    </row>
    <row r="182">
      <c r="A182" s="33"/>
      <c r="B182" s="33"/>
      <c r="C182" s="94"/>
      <c r="D182" s="33"/>
      <c r="E182" s="33"/>
      <c r="F182" s="33"/>
      <c r="G182" s="94"/>
      <c r="H182" s="33"/>
      <c r="I182" s="33"/>
      <c r="J182" s="33"/>
      <c r="K182" s="33"/>
      <c r="L182" s="33"/>
      <c r="M182" s="33"/>
      <c r="N182" s="33"/>
      <c r="O182" s="33"/>
      <c r="P182" s="33"/>
      <c r="Q182" s="33"/>
      <c r="R182" s="33"/>
      <c r="S182" s="33"/>
      <c r="T182" s="33"/>
      <c r="U182" s="33"/>
      <c r="V182" s="33"/>
      <c r="W182" s="33"/>
      <c r="X182" s="33"/>
      <c r="Y182" s="33"/>
      <c r="Z182" s="33"/>
      <c r="AA182" s="33"/>
      <c r="AB182" s="33"/>
    </row>
    <row r="183">
      <c r="A183" s="33"/>
      <c r="B183" s="33"/>
      <c r="C183" s="94"/>
      <c r="D183" s="33"/>
      <c r="E183" s="33"/>
      <c r="F183" s="33"/>
      <c r="G183" s="94"/>
      <c r="H183" s="33"/>
      <c r="I183" s="33"/>
      <c r="J183" s="33"/>
      <c r="K183" s="33"/>
      <c r="L183" s="33"/>
      <c r="M183" s="33"/>
      <c r="N183" s="33"/>
      <c r="O183" s="33"/>
      <c r="P183" s="33"/>
      <c r="Q183" s="33"/>
      <c r="R183" s="33"/>
      <c r="S183" s="33"/>
      <c r="T183" s="33"/>
      <c r="U183" s="33"/>
      <c r="V183" s="33"/>
      <c r="W183" s="33"/>
      <c r="X183" s="33"/>
      <c r="Y183" s="33"/>
      <c r="Z183" s="33"/>
      <c r="AA183" s="33"/>
      <c r="AB183" s="33"/>
    </row>
    <row r="184">
      <c r="A184" s="33"/>
      <c r="B184" s="33"/>
      <c r="C184" s="94"/>
      <c r="D184" s="33"/>
      <c r="E184" s="33"/>
      <c r="F184" s="33"/>
      <c r="G184" s="94"/>
      <c r="H184" s="33"/>
      <c r="I184" s="33"/>
      <c r="J184" s="33"/>
      <c r="K184" s="33"/>
      <c r="L184" s="33"/>
      <c r="M184" s="33"/>
      <c r="N184" s="33"/>
      <c r="O184" s="33"/>
      <c r="P184" s="33"/>
      <c r="Q184" s="33"/>
      <c r="R184" s="33"/>
      <c r="S184" s="33"/>
      <c r="T184" s="33"/>
      <c r="U184" s="33"/>
      <c r="V184" s="33"/>
      <c r="W184" s="33"/>
      <c r="X184" s="33"/>
      <c r="Y184" s="33"/>
      <c r="Z184" s="33"/>
      <c r="AA184" s="33"/>
      <c r="AB184" s="33"/>
    </row>
    <row r="185">
      <c r="A185" s="33"/>
      <c r="B185" s="33"/>
      <c r="C185" s="94"/>
      <c r="D185" s="33"/>
      <c r="E185" s="33"/>
      <c r="F185" s="33"/>
      <c r="G185" s="94"/>
      <c r="H185" s="33"/>
      <c r="I185" s="33"/>
      <c r="J185" s="33"/>
      <c r="K185" s="33"/>
      <c r="L185" s="33"/>
      <c r="M185" s="33"/>
      <c r="N185" s="33"/>
      <c r="O185" s="33"/>
      <c r="P185" s="33"/>
      <c r="Q185" s="33"/>
      <c r="R185" s="33"/>
      <c r="S185" s="33"/>
      <c r="T185" s="33"/>
      <c r="U185" s="33"/>
      <c r="V185" s="33"/>
      <c r="W185" s="33"/>
      <c r="X185" s="33"/>
      <c r="Y185" s="33"/>
      <c r="Z185" s="33"/>
      <c r="AA185" s="33"/>
      <c r="AB185" s="33"/>
    </row>
    <row r="186">
      <c r="A186" s="33"/>
      <c r="B186" s="33"/>
      <c r="C186" s="94"/>
      <c r="D186" s="33"/>
      <c r="E186" s="33"/>
      <c r="F186" s="33"/>
      <c r="G186" s="94"/>
      <c r="H186" s="33"/>
      <c r="I186" s="33"/>
      <c r="J186" s="33"/>
      <c r="K186" s="33"/>
      <c r="L186" s="33"/>
      <c r="M186" s="33"/>
      <c r="N186" s="33"/>
      <c r="O186" s="33"/>
      <c r="P186" s="33"/>
      <c r="Q186" s="33"/>
      <c r="R186" s="33"/>
      <c r="S186" s="33"/>
      <c r="T186" s="33"/>
      <c r="U186" s="33"/>
      <c r="V186" s="33"/>
      <c r="W186" s="33"/>
      <c r="X186" s="33"/>
      <c r="Y186" s="33"/>
      <c r="Z186" s="33"/>
      <c r="AA186" s="33"/>
      <c r="AB186" s="33"/>
    </row>
    <row r="187">
      <c r="A187" s="33"/>
      <c r="B187" s="33"/>
      <c r="C187" s="94"/>
      <c r="D187" s="33"/>
      <c r="E187" s="33"/>
      <c r="F187" s="33"/>
      <c r="G187" s="94"/>
      <c r="H187" s="33"/>
      <c r="I187" s="33"/>
      <c r="J187" s="33"/>
      <c r="K187" s="33"/>
      <c r="L187" s="33"/>
      <c r="M187" s="33"/>
      <c r="N187" s="33"/>
      <c r="O187" s="33"/>
      <c r="P187" s="33"/>
      <c r="Q187" s="33"/>
      <c r="R187" s="33"/>
      <c r="S187" s="33"/>
      <c r="T187" s="33"/>
      <c r="U187" s="33"/>
      <c r="V187" s="33"/>
      <c r="W187" s="33"/>
      <c r="X187" s="33"/>
      <c r="Y187" s="33"/>
      <c r="Z187" s="33"/>
      <c r="AA187" s="33"/>
      <c r="AB187" s="33"/>
    </row>
    <row r="188">
      <c r="A188" s="33"/>
      <c r="B188" s="33"/>
      <c r="C188" s="94"/>
      <c r="D188" s="33"/>
      <c r="E188" s="33"/>
      <c r="F188" s="33"/>
      <c r="G188" s="94"/>
      <c r="H188" s="33"/>
      <c r="I188" s="33"/>
      <c r="J188" s="33"/>
      <c r="K188" s="33"/>
      <c r="L188" s="33"/>
      <c r="M188" s="33"/>
      <c r="N188" s="33"/>
      <c r="O188" s="33"/>
      <c r="P188" s="33"/>
      <c r="Q188" s="33"/>
      <c r="R188" s="33"/>
      <c r="S188" s="33"/>
      <c r="T188" s="33"/>
      <c r="U188" s="33"/>
      <c r="V188" s="33"/>
      <c r="W188" s="33"/>
      <c r="X188" s="33"/>
      <c r="Y188" s="33"/>
      <c r="Z188" s="33"/>
      <c r="AA188" s="33"/>
      <c r="AB188" s="33"/>
    </row>
    <row r="189">
      <c r="A189" s="33"/>
      <c r="B189" s="33"/>
      <c r="C189" s="94"/>
      <c r="D189" s="33"/>
      <c r="E189" s="33"/>
      <c r="F189" s="33"/>
      <c r="G189" s="94"/>
      <c r="H189" s="33"/>
      <c r="I189" s="33"/>
      <c r="J189" s="33"/>
      <c r="K189" s="33"/>
      <c r="L189" s="33"/>
      <c r="M189" s="33"/>
      <c r="N189" s="33"/>
      <c r="O189" s="33"/>
      <c r="P189" s="33"/>
      <c r="Q189" s="33"/>
      <c r="R189" s="33"/>
      <c r="S189" s="33"/>
      <c r="T189" s="33"/>
      <c r="U189" s="33"/>
      <c r="V189" s="33"/>
      <c r="W189" s="33"/>
      <c r="X189" s="33"/>
      <c r="Y189" s="33"/>
      <c r="Z189" s="33"/>
      <c r="AA189" s="33"/>
      <c r="AB189" s="33"/>
    </row>
    <row r="190">
      <c r="A190" s="33"/>
      <c r="B190" s="33"/>
      <c r="C190" s="94"/>
      <c r="D190" s="33"/>
      <c r="E190" s="33"/>
      <c r="F190" s="33"/>
      <c r="G190" s="94"/>
      <c r="H190" s="33"/>
      <c r="I190" s="33"/>
      <c r="J190" s="33"/>
      <c r="K190" s="33"/>
      <c r="L190" s="33"/>
      <c r="M190" s="33"/>
      <c r="N190" s="33"/>
      <c r="O190" s="33"/>
      <c r="P190" s="33"/>
      <c r="Q190" s="33"/>
      <c r="R190" s="33"/>
      <c r="S190" s="33"/>
      <c r="T190" s="33"/>
      <c r="U190" s="33"/>
      <c r="V190" s="33"/>
      <c r="W190" s="33"/>
      <c r="X190" s="33"/>
      <c r="Y190" s="33"/>
      <c r="Z190" s="33"/>
      <c r="AA190" s="33"/>
      <c r="AB190" s="33"/>
    </row>
    <row r="191">
      <c r="A191" s="33"/>
      <c r="B191" s="33"/>
      <c r="C191" s="94"/>
      <c r="D191" s="33"/>
      <c r="E191" s="33"/>
      <c r="F191" s="33"/>
      <c r="G191" s="94"/>
      <c r="H191" s="33"/>
      <c r="I191" s="33"/>
      <c r="J191" s="33"/>
      <c r="K191" s="33"/>
      <c r="L191" s="33"/>
      <c r="M191" s="33"/>
      <c r="N191" s="33"/>
      <c r="O191" s="33"/>
      <c r="P191" s="33"/>
      <c r="Q191" s="33"/>
      <c r="R191" s="33"/>
      <c r="S191" s="33"/>
      <c r="T191" s="33"/>
      <c r="U191" s="33"/>
      <c r="V191" s="33"/>
      <c r="W191" s="33"/>
      <c r="X191" s="33"/>
      <c r="Y191" s="33"/>
      <c r="Z191" s="33"/>
      <c r="AA191" s="33"/>
      <c r="AB191" s="33"/>
    </row>
    <row r="192">
      <c r="A192" s="33"/>
      <c r="B192" s="33"/>
      <c r="C192" s="94"/>
      <c r="D192" s="33"/>
      <c r="E192" s="33"/>
      <c r="F192" s="33"/>
      <c r="G192" s="94"/>
      <c r="H192" s="33"/>
      <c r="I192" s="33"/>
      <c r="J192" s="33"/>
      <c r="K192" s="33"/>
      <c r="L192" s="33"/>
      <c r="M192" s="33"/>
      <c r="N192" s="33"/>
      <c r="O192" s="33"/>
      <c r="P192" s="33"/>
      <c r="Q192" s="33"/>
      <c r="R192" s="33"/>
      <c r="S192" s="33"/>
      <c r="T192" s="33"/>
      <c r="U192" s="33"/>
      <c r="V192" s="33"/>
      <c r="W192" s="33"/>
      <c r="X192" s="33"/>
      <c r="Y192" s="33"/>
      <c r="Z192" s="33"/>
      <c r="AA192" s="33"/>
      <c r="AB192" s="33"/>
    </row>
    <row r="193">
      <c r="A193" s="33"/>
      <c r="B193" s="33"/>
      <c r="C193" s="94"/>
      <c r="D193" s="33"/>
      <c r="E193" s="33"/>
      <c r="F193" s="33"/>
      <c r="G193" s="94"/>
      <c r="H193" s="33"/>
      <c r="I193" s="33"/>
      <c r="J193" s="33"/>
      <c r="K193" s="33"/>
      <c r="L193" s="33"/>
      <c r="M193" s="33"/>
      <c r="N193" s="33"/>
      <c r="O193" s="33"/>
      <c r="P193" s="33"/>
      <c r="Q193" s="33"/>
      <c r="R193" s="33"/>
      <c r="S193" s="33"/>
      <c r="T193" s="33"/>
      <c r="U193" s="33"/>
      <c r="V193" s="33"/>
      <c r="W193" s="33"/>
      <c r="X193" s="33"/>
      <c r="Y193" s="33"/>
      <c r="Z193" s="33"/>
      <c r="AA193" s="33"/>
      <c r="AB193" s="33"/>
    </row>
    <row r="194">
      <c r="A194" s="33"/>
      <c r="B194" s="33"/>
      <c r="C194" s="94"/>
      <c r="D194" s="33"/>
      <c r="E194" s="33"/>
      <c r="F194" s="33"/>
      <c r="G194" s="94"/>
      <c r="H194" s="33"/>
      <c r="I194" s="33"/>
      <c r="J194" s="33"/>
      <c r="K194" s="33"/>
      <c r="L194" s="33"/>
      <c r="M194" s="33"/>
      <c r="N194" s="33"/>
      <c r="O194" s="33"/>
      <c r="P194" s="33"/>
      <c r="Q194" s="33"/>
      <c r="R194" s="33"/>
      <c r="S194" s="33"/>
      <c r="T194" s="33"/>
      <c r="U194" s="33"/>
      <c r="V194" s="33"/>
      <c r="W194" s="33"/>
      <c r="X194" s="33"/>
      <c r="Y194" s="33"/>
      <c r="Z194" s="33"/>
      <c r="AA194" s="33"/>
      <c r="AB194" s="33"/>
    </row>
    <row r="195">
      <c r="A195" s="33"/>
      <c r="B195" s="33"/>
      <c r="C195" s="94"/>
      <c r="D195" s="33"/>
      <c r="E195" s="33"/>
      <c r="F195" s="33"/>
      <c r="G195" s="94"/>
      <c r="H195" s="33"/>
      <c r="I195" s="33"/>
      <c r="J195" s="33"/>
      <c r="K195" s="33"/>
      <c r="L195" s="33"/>
      <c r="M195" s="33"/>
      <c r="N195" s="33"/>
      <c r="O195" s="33"/>
      <c r="P195" s="33"/>
      <c r="Q195" s="33"/>
      <c r="R195" s="33"/>
      <c r="S195" s="33"/>
      <c r="T195" s="33"/>
      <c r="U195" s="33"/>
      <c r="V195" s="33"/>
      <c r="W195" s="33"/>
      <c r="X195" s="33"/>
      <c r="Y195" s="33"/>
      <c r="Z195" s="33"/>
      <c r="AA195" s="33"/>
      <c r="AB195" s="33"/>
    </row>
    <row r="196">
      <c r="A196" s="33"/>
      <c r="B196" s="33"/>
      <c r="C196" s="94"/>
      <c r="D196" s="33"/>
      <c r="E196" s="33"/>
      <c r="F196" s="33"/>
      <c r="G196" s="94"/>
      <c r="H196" s="33"/>
      <c r="I196" s="33"/>
      <c r="J196" s="33"/>
      <c r="K196" s="33"/>
      <c r="L196" s="33"/>
      <c r="M196" s="33"/>
      <c r="N196" s="33"/>
      <c r="O196" s="33"/>
      <c r="P196" s="33"/>
      <c r="Q196" s="33"/>
      <c r="R196" s="33"/>
      <c r="S196" s="33"/>
      <c r="T196" s="33"/>
      <c r="U196" s="33"/>
      <c r="V196" s="33"/>
      <c r="W196" s="33"/>
      <c r="X196" s="33"/>
      <c r="Y196" s="33"/>
      <c r="Z196" s="33"/>
      <c r="AA196" s="33"/>
      <c r="AB196" s="33"/>
    </row>
    <row r="197">
      <c r="A197" s="33"/>
      <c r="B197" s="33"/>
      <c r="C197" s="94"/>
      <c r="D197" s="33"/>
      <c r="E197" s="33"/>
      <c r="F197" s="33"/>
      <c r="G197" s="94"/>
      <c r="H197" s="33"/>
      <c r="I197" s="33"/>
      <c r="J197" s="33"/>
      <c r="K197" s="33"/>
      <c r="L197" s="33"/>
      <c r="M197" s="33"/>
      <c r="N197" s="33"/>
      <c r="O197" s="33"/>
      <c r="P197" s="33"/>
      <c r="Q197" s="33"/>
      <c r="R197" s="33"/>
      <c r="S197" s="33"/>
      <c r="T197" s="33"/>
      <c r="U197" s="33"/>
      <c r="V197" s="33"/>
      <c r="W197" s="33"/>
      <c r="X197" s="33"/>
      <c r="Y197" s="33"/>
      <c r="Z197" s="33"/>
      <c r="AA197" s="33"/>
      <c r="AB197" s="33"/>
    </row>
    <row r="198">
      <c r="A198" s="33"/>
      <c r="B198" s="33"/>
      <c r="C198" s="94"/>
      <c r="D198" s="33"/>
      <c r="E198" s="33"/>
      <c r="F198" s="33"/>
      <c r="G198" s="94"/>
      <c r="H198" s="33"/>
      <c r="I198" s="33"/>
      <c r="J198" s="33"/>
      <c r="K198" s="33"/>
      <c r="L198" s="33"/>
      <c r="M198" s="33"/>
      <c r="N198" s="33"/>
      <c r="O198" s="33"/>
      <c r="P198" s="33"/>
      <c r="Q198" s="33"/>
      <c r="R198" s="33"/>
      <c r="S198" s="33"/>
      <c r="T198" s="33"/>
      <c r="U198" s="33"/>
      <c r="V198" s="33"/>
      <c r="W198" s="33"/>
      <c r="X198" s="33"/>
      <c r="Y198" s="33"/>
      <c r="Z198" s="33"/>
      <c r="AA198" s="33"/>
      <c r="AB198" s="33"/>
    </row>
    <row r="199">
      <c r="A199" s="33"/>
      <c r="B199" s="33"/>
      <c r="C199" s="94"/>
      <c r="D199" s="33"/>
      <c r="E199" s="33"/>
      <c r="F199" s="33"/>
      <c r="G199" s="94"/>
      <c r="H199" s="33"/>
      <c r="I199" s="33"/>
      <c r="J199" s="33"/>
      <c r="K199" s="33"/>
      <c r="L199" s="33"/>
      <c r="M199" s="33"/>
      <c r="N199" s="33"/>
      <c r="O199" s="33"/>
      <c r="P199" s="33"/>
      <c r="Q199" s="33"/>
      <c r="R199" s="33"/>
      <c r="S199" s="33"/>
      <c r="T199" s="33"/>
      <c r="U199" s="33"/>
      <c r="V199" s="33"/>
      <c r="W199" s="33"/>
      <c r="X199" s="33"/>
      <c r="Y199" s="33"/>
      <c r="Z199" s="33"/>
      <c r="AA199" s="33"/>
      <c r="AB199" s="33"/>
    </row>
    <row r="200">
      <c r="A200" s="33"/>
      <c r="B200" s="33"/>
      <c r="C200" s="94"/>
      <c r="D200" s="33"/>
      <c r="E200" s="33"/>
      <c r="F200" s="33"/>
      <c r="G200" s="94"/>
      <c r="H200" s="33"/>
      <c r="I200" s="33"/>
      <c r="J200" s="33"/>
      <c r="K200" s="33"/>
      <c r="L200" s="33"/>
      <c r="M200" s="33"/>
      <c r="N200" s="33"/>
      <c r="O200" s="33"/>
      <c r="P200" s="33"/>
      <c r="Q200" s="33"/>
      <c r="R200" s="33"/>
      <c r="S200" s="33"/>
      <c r="T200" s="33"/>
      <c r="U200" s="33"/>
      <c r="V200" s="33"/>
      <c r="W200" s="33"/>
      <c r="X200" s="33"/>
      <c r="Y200" s="33"/>
      <c r="Z200" s="33"/>
      <c r="AA200" s="33"/>
      <c r="AB200" s="33"/>
    </row>
    <row r="201">
      <c r="A201" s="33"/>
      <c r="B201" s="33"/>
      <c r="C201" s="94"/>
      <c r="D201" s="33"/>
      <c r="E201" s="33"/>
      <c r="F201" s="33"/>
      <c r="G201" s="94"/>
      <c r="H201" s="33"/>
      <c r="I201" s="33"/>
      <c r="J201" s="33"/>
      <c r="K201" s="33"/>
      <c r="L201" s="33"/>
      <c r="M201" s="33"/>
      <c r="N201" s="33"/>
      <c r="O201" s="33"/>
      <c r="P201" s="33"/>
      <c r="Q201" s="33"/>
      <c r="R201" s="33"/>
      <c r="S201" s="33"/>
      <c r="T201" s="33"/>
      <c r="U201" s="33"/>
      <c r="V201" s="33"/>
      <c r="W201" s="33"/>
      <c r="X201" s="33"/>
      <c r="Y201" s="33"/>
      <c r="Z201" s="33"/>
      <c r="AA201" s="33"/>
      <c r="AB201" s="33"/>
    </row>
    <row r="202">
      <c r="A202" s="33"/>
      <c r="B202" s="33"/>
      <c r="C202" s="94"/>
      <c r="D202" s="33"/>
      <c r="E202" s="33"/>
      <c r="F202" s="33"/>
      <c r="G202" s="94"/>
      <c r="H202" s="33"/>
      <c r="I202" s="33"/>
      <c r="J202" s="33"/>
      <c r="K202" s="33"/>
      <c r="L202" s="33"/>
      <c r="M202" s="33"/>
      <c r="N202" s="33"/>
      <c r="O202" s="33"/>
      <c r="P202" s="33"/>
      <c r="Q202" s="33"/>
      <c r="R202" s="33"/>
      <c r="S202" s="33"/>
      <c r="T202" s="33"/>
      <c r="U202" s="33"/>
      <c r="V202" s="33"/>
      <c r="W202" s="33"/>
      <c r="X202" s="33"/>
      <c r="Y202" s="33"/>
      <c r="Z202" s="33"/>
      <c r="AA202" s="33"/>
      <c r="AB202" s="33"/>
    </row>
    <row r="203">
      <c r="A203" s="33"/>
      <c r="B203" s="33"/>
      <c r="C203" s="94"/>
      <c r="D203" s="33"/>
      <c r="E203" s="33"/>
      <c r="F203" s="33"/>
      <c r="G203" s="94"/>
      <c r="H203" s="33"/>
      <c r="I203" s="33"/>
      <c r="J203" s="33"/>
      <c r="K203" s="33"/>
      <c r="L203" s="33"/>
      <c r="M203" s="33"/>
      <c r="N203" s="33"/>
      <c r="O203" s="33"/>
      <c r="P203" s="33"/>
      <c r="Q203" s="33"/>
      <c r="R203" s="33"/>
      <c r="S203" s="33"/>
      <c r="T203" s="33"/>
      <c r="U203" s="33"/>
      <c r="V203" s="33"/>
      <c r="W203" s="33"/>
      <c r="X203" s="33"/>
      <c r="Y203" s="33"/>
      <c r="Z203" s="33"/>
      <c r="AA203" s="33"/>
      <c r="AB203" s="33"/>
    </row>
    <row r="204">
      <c r="A204" s="33"/>
      <c r="B204" s="33"/>
      <c r="C204" s="94"/>
      <c r="D204" s="33"/>
      <c r="E204" s="33"/>
      <c r="F204" s="33"/>
      <c r="G204" s="94"/>
      <c r="H204" s="33"/>
      <c r="I204" s="33"/>
      <c r="J204" s="33"/>
      <c r="K204" s="33"/>
      <c r="L204" s="33"/>
      <c r="M204" s="33"/>
      <c r="N204" s="33"/>
      <c r="O204" s="33"/>
      <c r="P204" s="33"/>
      <c r="Q204" s="33"/>
      <c r="R204" s="33"/>
      <c r="S204" s="33"/>
      <c r="T204" s="33"/>
      <c r="U204" s="33"/>
      <c r="V204" s="33"/>
      <c r="W204" s="33"/>
      <c r="X204" s="33"/>
      <c r="Y204" s="33"/>
      <c r="Z204" s="33"/>
      <c r="AA204" s="33"/>
      <c r="AB204" s="33"/>
    </row>
    <row r="205">
      <c r="A205" s="33"/>
      <c r="B205" s="33"/>
      <c r="C205" s="94"/>
      <c r="D205" s="33"/>
      <c r="E205" s="33"/>
      <c r="F205" s="33"/>
      <c r="G205" s="94"/>
      <c r="H205" s="33"/>
      <c r="I205" s="33"/>
      <c r="J205" s="33"/>
      <c r="K205" s="33"/>
      <c r="L205" s="33"/>
      <c r="M205" s="33"/>
      <c r="N205" s="33"/>
      <c r="O205" s="33"/>
      <c r="P205" s="33"/>
      <c r="Q205" s="33"/>
      <c r="R205" s="33"/>
      <c r="S205" s="33"/>
      <c r="T205" s="33"/>
      <c r="U205" s="33"/>
      <c r="V205" s="33"/>
      <c r="W205" s="33"/>
      <c r="X205" s="33"/>
      <c r="Y205" s="33"/>
      <c r="Z205" s="33"/>
      <c r="AA205" s="33"/>
      <c r="AB205" s="33"/>
    </row>
    <row r="206">
      <c r="A206" s="33"/>
      <c r="B206" s="33"/>
      <c r="C206" s="94"/>
      <c r="D206" s="33"/>
      <c r="E206" s="33"/>
      <c r="F206" s="33"/>
      <c r="G206" s="94"/>
      <c r="H206" s="33"/>
      <c r="I206" s="33"/>
      <c r="J206" s="33"/>
      <c r="K206" s="33"/>
      <c r="L206" s="33"/>
      <c r="M206" s="33"/>
      <c r="N206" s="33"/>
      <c r="O206" s="33"/>
      <c r="P206" s="33"/>
      <c r="Q206" s="33"/>
      <c r="R206" s="33"/>
      <c r="S206" s="33"/>
      <c r="T206" s="33"/>
      <c r="U206" s="33"/>
      <c r="V206" s="33"/>
      <c r="W206" s="33"/>
      <c r="X206" s="33"/>
      <c r="Y206" s="33"/>
      <c r="Z206" s="33"/>
      <c r="AA206" s="33"/>
      <c r="AB206" s="33"/>
    </row>
    <row r="207">
      <c r="A207" s="33"/>
      <c r="B207" s="33"/>
      <c r="C207" s="94"/>
      <c r="D207" s="33"/>
      <c r="E207" s="33"/>
      <c r="F207" s="33"/>
      <c r="G207" s="94"/>
      <c r="H207" s="33"/>
      <c r="I207" s="33"/>
      <c r="J207" s="33"/>
      <c r="K207" s="33"/>
      <c r="L207" s="33"/>
      <c r="M207" s="33"/>
      <c r="N207" s="33"/>
      <c r="O207" s="33"/>
      <c r="P207" s="33"/>
      <c r="Q207" s="33"/>
      <c r="R207" s="33"/>
      <c r="S207" s="33"/>
      <c r="T207" s="33"/>
      <c r="U207" s="33"/>
      <c r="V207" s="33"/>
      <c r="W207" s="33"/>
      <c r="X207" s="33"/>
      <c r="Y207" s="33"/>
      <c r="Z207" s="33"/>
      <c r="AA207" s="33"/>
      <c r="AB207" s="33"/>
    </row>
    <row r="208">
      <c r="A208" s="33"/>
      <c r="B208" s="33"/>
      <c r="C208" s="94"/>
      <c r="D208" s="33"/>
      <c r="E208" s="33"/>
      <c r="F208" s="33"/>
      <c r="G208" s="94"/>
      <c r="H208" s="33"/>
      <c r="I208" s="33"/>
      <c r="J208" s="33"/>
      <c r="K208" s="33"/>
      <c r="L208" s="33"/>
      <c r="M208" s="33"/>
      <c r="N208" s="33"/>
      <c r="O208" s="33"/>
      <c r="P208" s="33"/>
      <c r="Q208" s="33"/>
      <c r="R208" s="33"/>
      <c r="S208" s="33"/>
      <c r="T208" s="33"/>
      <c r="U208" s="33"/>
      <c r="V208" s="33"/>
      <c r="W208" s="33"/>
      <c r="X208" s="33"/>
      <c r="Y208" s="33"/>
      <c r="Z208" s="33"/>
      <c r="AA208" s="33"/>
      <c r="AB208" s="33"/>
    </row>
    <row r="209">
      <c r="A209" s="33"/>
      <c r="B209" s="33"/>
      <c r="C209" s="94"/>
      <c r="D209" s="33"/>
      <c r="E209" s="33"/>
      <c r="F209" s="33"/>
      <c r="G209" s="94"/>
      <c r="H209" s="33"/>
      <c r="I209" s="33"/>
      <c r="J209" s="33"/>
      <c r="K209" s="33"/>
      <c r="L209" s="33"/>
      <c r="M209" s="33"/>
      <c r="N209" s="33"/>
      <c r="O209" s="33"/>
      <c r="P209" s="33"/>
      <c r="Q209" s="33"/>
      <c r="R209" s="33"/>
      <c r="S209" s="33"/>
      <c r="T209" s="33"/>
      <c r="U209" s="33"/>
      <c r="V209" s="33"/>
      <c r="W209" s="33"/>
      <c r="X209" s="33"/>
      <c r="Y209" s="33"/>
      <c r="Z209" s="33"/>
      <c r="AA209" s="33"/>
      <c r="AB209" s="33"/>
    </row>
    <row r="210">
      <c r="A210" s="33"/>
      <c r="B210" s="33"/>
      <c r="C210" s="94"/>
      <c r="D210" s="33"/>
      <c r="E210" s="33"/>
      <c r="F210" s="33"/>
      <c r="G210" s="94"/>
      <c r="H210" s="33"/>
      <c r="I210" s="33"/>
      <c r="J210" s="33"/>
      <c r="K210" s="33"/>
      <c r="L210" s="33"/>
      <c r="M210" s="33"/>
      <c r="N210" s="33"/>
      <c r="O210" s="33"/>
      <c r="P210" s="33"/>
      <c r="Q210" s="33"/>
      <c r="R210" s="33"/>
      <c r="S210" s="33"/>
      <c r="T210" s="33"/>
      <c r="U210" s="33"/>
      <c r="V210" s="33"/>
      <c r="W210" s="33"/>
      <c r="X210" s="33"/>
      <c r="Y210" s="33"/>
      <c r="Z210" s="33"/>
      <c r="AA210" s="33"/>
      <c r="AB210" s="33"/>
    </row>
    <row r="211">
      <c r="A211" s="33"/>
      <c r="B211" s="33"/>
      <c r="C211" s="94"/>
      <c r="D211" s="33"/>
      <c r="E211" s="33"/>
      <c r="F211" s="33"/>
      <c r="G211" s="94"/>
      <c r="H211" s="33"/>
      <c r="I211" s="33"/>
      <c r="J211" s="33"/>
      <c r="K211" s="33"/>
      <c r="L211" s="33"/>
      <c r="M211" s="33"/>
      <c r="N211" s="33"/>
      <c r="O211" s="33"/>
      <c r="P211" s="33"/>
      <c r="Q211" s="33"/>
      <c r="R211" s="33"/>
      <c r="S211" s="33"/>
      <c r="T211" s="33"/>
      <c r="U211" s="33"/>
      <c r="V211" s="33"/>
      <c r="W211" s="33"/>
      <c r="X211" s="33"/>
      <c r="Y211" s="33"/>
      <c r="Z211" s="33"/>
      <c r="AA211" s="33"/>
      <c r="AB211" s="33"/>
    </row>
    <row r="212">
      <c r="A212" s="33"/>
      <c r="B212" s="33"/>
      <c r="C212" s="94"/>
      <c r="D212" s="33"/>
      <c r="E212" s="33"/>
      <c r="F212" s="33"/>
      <c r="G212" s="94"/>
      <c r="H212" s="33"/>
      <c r="I212" s="33"/>
      <c r="J212" s="33"/>
      <c r="K212" s="33"/>
      <c r="L212" s="33"/>
      <c r="M212" s="33"/>
      <c r="N212" s="33"/>
      <c r="O212" s="33"/>
      <c r="P212" s="33"/>
      <c r="Q212" s="33"/>
      <c r="R212" s="33"/>
      <c r="S212" s="33"/>
      <c r="T212" s="33"/>
      <c r="U212" s="33"/>
      <c r="V212" s="33"/>
      <c r="W212" s="33"/>
      <c r="X212" s="33"/>
      <c r="Y212" s="33"/>
      <c r="Z212" s="33"/>
      <c r="AA212" s="33"/>
      <c r="AB212" s="33"/>
    </row>
    <row r="213">
      <c r="A213" s="33"/>
      <c r="B213" s="33"/>
      <c r="C213" s="94"/>
      <c r="D213" s="33"/>
      <c r="E213" s="33"/>
      <c r="F213" s="33"/>
      <c r="G213" s="94"/>
      <c r="H213" s="33"/>
      <c r="I213" s="33"/>
      <c r="J213" s="33"/>
      <c r="K213" s="33"/>
      <c r="L213" s="33"/>
      <c r="M213" s="33"/>
      <c r="N213" s="33"/>
      <c r="O213" s="33"/>
      <c r="P213" s="33"/>
      <c r="Q213" s="33"/>
      <c r="R213" s="33"/>
      <c r="S213" s="33"/>
      <c r="T213" s="33"/>
      <c r="U213" s="33"/>
      <c r="V213" s="33"/>
      <c r="W213" s="33"/>
      <c r="X213" s="33"/>
      <c r="Y213" s="33"/>
      <c r="Z213" s="33"/>
      <c r="AA213" s="33"/>
      <c r="AB213" s="33"/>
    </row>
    <row r="214">
      <c r="A214" s="33"/>
      <c r="B214" s="33"/>
      <c r="C214" s="94"/>
      <c r="D214" s="33"/>
      <c r="E214" s="33"/>
      <c r="F214" s="33"/>
      <c r="G214" s="94"/>
      <c r="H214" s="33"/>
      <c r="I214" s="33"/>
      <c r="J214" s="33"/>
      <c r="K214" s="33"/>
      <c r="L214" s="33"/>
      <c r="M214" s="33"/>
      <c r="N214" s="33"/>
      <c r="O214" s="33"/>
      <c r="P214" s="33"/>
      <c r="Q214" s="33"/>
      <c r="R214" s="33"/>
      <c r="S214" s="33"/>
      <c r="T214" s="33"/>
      <c r="U214" s="33"/>
      <c r="V214" s="33"/>
      <c r="W214" s="33"/>
      <c r="X214" s="33"/>
      <c r="Y214" s="33"/>
      <c r="Z214" s="33"/>
      <c r="AA214" s="33"/>
      <c r="AB214" s="33"/>
    </row>
    <row r="215">
      <c r="A215" s="33"/>
      <c r="B215" s="33"/>
      <c r="C215" s="94"/>
      <c r="D215" s="33"/>
      <c r="E215" s="33"/>
      <c r="F215" s="33"/>
      <c r="G215" s="94"/>
      <c r="H215" s="33"/>
      <c r="I215" s="33"/>
      <c r="J215" s="33"/>
      <c r="K215" s="33"/>
      <c r="L215" s="33"/>
      <c r="M215" s="33"/>
      <c r="N215" s="33"/>
      <c r="O215" s="33"/>
      <c r="P215" s="33"/>
      <c r="Q215" s="33"/>
      <c r="R215" s="33"/>
      <c r="S215" s="33"/>
      <c r="T215" s="33"/>
      <c r="U215" s="33"/>
      <c r="V215" s="33"/>
      <c r="W215" s="33"/>
      <c r="X215" s="33"/>
      <c r="Y215" s="33"/>
      <c r="Z215" s="33"/>
      <c r="AA215" s="33"/>
      <c r="AB215" s="33"/>
    </row>
    <row r="216">
      <c r="A216" s="33"/>
      <c r="B216" s="33"/>
      <c r="C216" s="94"/>
      <c r="D216" s="33"/>
      <c r="E216" s="33"/>
      <c r="F216" s="33"/>
      <c r="G216" s="94"/>
      <c r="H216" s="33"/>
      <c r="I216" s="33"/>
      <c r="J216" s="33"/>
      <c r="K216" s="33"/>
      <c r="L216" s="33"/>
      <c r="M216" s="33"/>
      <c r="N216" s="33"/>
      <c r="O216" s="33"/>
      <c r="P216" s="33"/>
      <c r="Q216" s="33"/>
      <c r="R216" s="33"/>
      <c r="S216" s="33"/>
      <c r="T216" s="33"/>
      <c r="U216" s="33"/>
      <c r="V216" s="33"/>
      <c r="W216" s="33"/>
      <c r="X216" s="33"/>
      <c r="Y216" s="33"/>
      <c r="Z216" s="33"/>
      <c r="AA216" s="33"/>
      <c r="AB216" s="33"/>
    </row>
    <row r="217">
      <c r="A217" s="33"/>
      <c r="B217" s="33"/>
      <c r="C217" s="94"/>
      <c r="D217" s="33"/>
      <c r="E217" s="33"/>
      <c r="F217" s="33"/>
      <c r="G217" s="94"/>
      <c r="H217" s="33"/>
      <c r="I217" s="33"/>
      <c r="J217" s="33"/>
      <c r="K217" s="33"/>
      <c r="L217" s="33"/>
      <c r="M217" s="33"/>
      <c r="N217" s="33"/>
      <c r="O217" s="33"/>
      <c r="P217" s="33"/>
      <c r="Q217" s="33"/>
      <c r="R217" s="33"/>
      <c r="S217" s="33"/>
      <c r="T217" s="33"/>
      <c r="U217" s="33"/>
      <c r="V217" s="33"/>
      <c r="W217" s="33"/>
      <c r="X217" s="33"/>
      <c r="Y217" s="33"/>
      <c r="Z217" s="33"/>
      <c r="AA217" s="33"/>
      <c r="AB217" s="33"/>
    </row>
    <row r="218">
      <c r="A218" s="33"/>
      <c r="B218" s="33"/>
      <c r="C218" s="94"/>
      <c r="D218" s="33"/>
      <c r="E218" s="33"/>
      <c r="F218" s="33"/>
      <c r="G218" s="94"/>
      <c r="H218" s="33"/>
      <c r="I218" s="33"/>
      <c r="J218" s="33"/>
      <c r="K218" s="33"/>
      <c r="L218" s="33"/>
      <c r="M218" s="33"/>
      <c r="N218" s="33"/>
      <c r="O218" s="33"/>
      <c r="P218" s="33"/>
      <c r="Q218" s="33"/>
      <c r="R218" s="33"/>
      <c r="S218" s="33"/>
      <c r="T218" s="33"/>
      <c r="U218" s="33"/>
      <c r="V218" s="33"/>
      <c r="W218" s="33"/>
      <c r="X218" s="33"/>
      <c r="Y218" s="33"/>
      <c r="Z218" s="33"/>
      <c r="AA218" s="33"/>
      <c r="AB218" s="33"/>
    </row>
    <row r="219">
      <c r="A219" s="33"/>
      <c r="B219" s="33"/>
      <c r="C219" s="94"/>
      <c r="D219" s="33"/>
      <c r="E219" s="33"/>
      <c r="F219" s="33"/>
      <c r="G219" s="94"/>
      <c r="H219" s="33"/>
      <c r="I219" s="33"/>
      <c r="J219" s="33"/>
      <c r="K219" s="33"/>
      <c r="L219" s="33"/>
      <c r="M219" s="33"/>
      <c r="N219" s="33"/>
      <c r="O219" s="33"/>
      <c r="P219" s="33"/>
      <c r="Q219" s="33"/>
      <c r="R219" s="33"/>
      <c r="S219" s="33"/>
      <c r="T219" s="33"/>
      <c r="U219" s="33"/>
      <c r="V219" s="33"/>
      <c r="W219" s="33"/>
      <c r="X219" s="33"/>
      <c r="Y219" s="33"/>
      <c r="Z219" s="33"/>
      <c r="AA219" s="33"/>
      <c r="AB219" s="33"/>
    </row>
    <row r="220">
      <c r="A220" s="33"/>
      <c r="B220" s="33"/>
      <c r="C220" s="94"/>
      <c r="D220" s="33"/>
      <c r="E220" s="33"/>
      <c r="F220" s="33"/>
      <c r="G220" s="94"/>
      <c r="H220" s="33"/>
      <c r="I220" s="33"/>
      <c r="J220" s="33"/>
      <c r="K220" s="33"/>
      <c r="L220" s="33"/>
      <c r="M220" s="33"/>
      <c r="N220" s="33"/>
      <c r="O220" s="33"/>
      <c r="P220" s="33"/>
      <c r="Q220" s="33"/>
      <c r="R220" s="33"/>
      <c r="S220" s="33"/>
      <c r="T220" s="33"/>
      <c r="U220" s="33"/>
      <c r="V220" s="33"/>
      <c r="W220" s="33"/>
      <c r="X220" s="33"/>
      <c r="Y220" s="33"/>
      <c r="Z220" s="33"/>
      <c r="AA220" s="33"/>
      <c r="AB220" s="33"/>
    </row>
    <row r="221">
      <c r="A221" s="33"/>
      <c r="B221" s="33"/>
      <c r="C221" s="94"/>
      <c r="D221" s="33"/>
      <c r="E221" s="33"/>
      <c r="F221" s="33"/>
      <c r="G221" s="94"/>
      <c r="H221" s="33"/>
      <c r="I221" s="33"/>
      <c r="J221" s="33"/>
      <c r="K221" s="33"/>
      <c r="L221" s="33"/>
      <c r="M221" s="33"/>
      <c r="N221" s="33"/>
      <c r="O221" s="33"/>
      <c r="P221" s="33"/>
      <c r="Q221" s="33"/>
      <c r="R221" s="33"/>
      <c r="S221" s="33"/>
      <c r="T221" s="33"/>
      <c r="U221" s="33"/>
      <c r="V221" s="33"/>
      <c r="W221" s="33"/>
      <c r="X221" s="33"/>
      <c r="Y221" s="33"/>
      <c r="Z221" s="33"/>
      <c r="AA221" s="33"/>
      <c r="AB221" s="33"/>
    </row>
    <row r="222">
      <c r="A222" s="33"/>
      <c r="B222" s="33"/>
      <c r="C222" s="94"/>
      <c r="D222" s="33"/>
      <c r="E222" s="33"/>
      <c r="F222" s="33"/>
      <c r="G222" s="94"/>
      <c r="H222" s="33"/>
      <c r="I222" s="33"/>
      <c r="J222" s="33"/>
      <c r="K222" s="33"/>
      <c r="L222" s="33"/>
      <c r="M222" s="33"/>
      <c r="N222" s="33"/>
      <c r="O222" s="33"/>
      <c r="P222" s="33"/>
      <c r="Q222" s="33"/>
      <c r="R222" s="33"/>
      <c r="S222" s="33"/>
      <c r="T222" s="33"/>
      <c r="U222" s="33"/>
      <c r="V222" s="33"/>
      <c r="W222" s="33"/>
      <c r="X222" s="33"/>
      <c r="Y222" s="33"/>
      <c r="Z222" s="33"/>
      <c r="AA222" s="33"/>
      <c r="AB222" s="33"/>
    </row>
    <row r="223">
      <c r="A223" s="33"/>
      <c r="B223" s="33"/>
      <c r="C223" s="94"/>
      <c r="D223" s="33"/>
      <c r="E223" s="33"/>
      <c r="F223" s="33"/>
      <c r="G223" s="94"/>
      <c r="H223" s="33"/>
      <c r="I223" s="33"/>
      <c r="J223" s="33"/>
      <c r="K223" s="33"/>
      <c r="L223" s="33"/>
      <c r="M223" s="33"/>
      <c r="N223" s="33"/>
      <c r="O223" s="33"/>
      <c r="P223" s="33"/>
      <c r="Q223" s="33"/>
      <c r="R223" s="33"/>
      <c r="S223" s="33"/>
      <c r="T223" s="33"/>
      <c r="U223" s="33"/>
      <c r="V223" s="33"/>
      <c r="W223" s="33"/>
      <c r="X223" s="33"/>
      <c r="Y223" s="33"/>
      <c r="Z223" s="33"/>
      <c r="AA223" s="33"/>
      <c r="AB223" s="33"/>
    </row>
    <row r="224">
      <c r="A224" s="33"/>
      <c r="B224" s="33"/>
      <c r="C224" s="94"/>
      <c r="D224" s="33"/>
      <c r="E224" s="33"/>
      <c r="F224" s="33"/>
      <c r="G224" s="94"/>
      <c r="H224" s="33"/>
      <c r="I224" s="33"/>
      <c r="J224" s="33"/>
      <c r="K224" s="33"/>
      <c r="L224" s="33"/>
      <c r="M224" s="33"/>
      <c r="N224" s="33"/>
      <c r="O224" s="33"/>
      <c r="P224" s="33"/>
      <c r="Q224" s="33"/>
      <c r="R224" s="33"/>
      <c r="S224" s="33"/>
      <c r="T224" s="33"/>
      <c r="U224" s="33"/>
      <c r="V224" s="33"/>
      <c r="W224" s="33"/>
      <c r="X224" s="33"/>
      <c r="Y224" s="33"/>
      <c r="Z224" s="33"/>
      <c r="AA224" s="33"/>
      <c r="AB224" s="33"/>
    </row>
    <row r="225">
      <c r="A225" s="33"/>
      <c r="B225" s="33"/>
      <c r="C225" s="94"/>
      <c r="D225" s="33"/>
      <c r="E225" s="33"/>
      <c r="F225" s="33"/>
      <c r="G225" s="94"/>
      <c r="H225" s="33"/>
      <c r="I225" s="33"/>
      <c r="J225" s="33"/>
      <c r="K225" s="33"/>
      <c r="L225" s="33"/>
      <c r="M225" s="33"/>
      <c r="N225" s="33"/>
      <c r="O225" s="33"/>
      <c r="P225" s="33"/>
      <c r="Q225" s="33"/>
      <c r="R225" s="33"/>
      <c r="S225" s="33"/>
      <c r="T225" s="33"/>
      <c r="U225" s="33"/>
      <c r="V225" s="33"/>
      <c r="W225" s="33"/>
      <c r="X225" s="33"/>
      <c r="Y225" s="33"/>
      <c r="Z225" s="33"/>
      <c r="AA225" s="33"/>
      <c r="AB225" s="33"/>
    </row>
    <row r="226">
      <c r="A226" s="33"/>
      <c r="B226" s="33"/>
      <c r="C226" s="94"/>
      <c r="D226" s="33"/>
      <c r="E226" s="33"/>
      <c r="F226" s="33"/>
      <c r="G226" s="94"/>
      <c r="H226" s="33"/>
      <c r="I226" s="33"/>
      <c r="J226" s="33"/>
      <c r="K226" s="33"/>
      <c r="L226" s="33"/>
      <c r="M226" s="33"/>
      <c r="N226" s="33"/>
      <c r="O226" s="33"/>
      <c r="P226" s="33"/>
      <c r="Q226" s="33"/>
      <c r="R226" s="33"/>
      <c r="S226" s="33"/>
      <c r="T226" s="33"/>
      <c r="U226" s="33"/>
      <c r="V226" s="33"/>
      <c r="W226" s="33"/>
      <c r="X226" s="33"/>
      <c r="Y226" s="33"/>
      <c r="Z226" s="33"/>
      <c r="AA226" s="33"/>
      <c r="AB226" s="33"/>
    </row>
    <row r="227">
      <c r="A227" s="33"/>
      <c r="B227" s="33"/>
      <c r="C227" s="94"/>
      <c r="D227" s="33"/>
      <c r="E227" s="33"/>
      <c r="F227" s="33"/>
      <c r="G227" s="94"/>
      <c r="H227" s="33"/>
      <c r="I227" s="33"/>
      <c r="J227" s="33"/>
      <c r="K227" s="33"/>
      <c r="L227" s="33"/>
      <c r="M227" s="33"/>
      <c r="N227" s="33"/>
      <c r="O227" s="33"/>
      <c r="P227" s="33"/>
      <c r="Q227" s="33"/>
      <c r="R227" s="33"/>
      <c r="S227" s="33"/>
      <c r="T227" s="33"/>
      <c r="U227" s="33"/>
      <c r="V227" s="33"/>
      <c r="W227" s="33"/>
      <c r="X227" s="33"/>
      <c r="Y227" s="33"/>
      <c r="Z227" s="33"/>
      <c r="AA227" s="33"/>
      <c r="AB227" s="33"/>
    </row>
    <row r="228">
      <c r="A228" s="33"/>
      <c r="B228" s="33"/>
      <c r="C228" s="94"/>
      <c r="D228" s="33"/>
      <c r="E228" s="33"/>
      <c r="F228" s="33"/>
      <c r="G228" s="94"/>
      <c r="H228" s="33"/>
      <c r="I228" s="33"/>
      <c r="J228" s="33"/>
      <c r="K228" s="33"/>
      <c r="L228" s="33"/>
      <c r="M228" s="33"/>
      <c r="N228" s="33"/>
      <c r="O228" s="33"/>
      <c r="P228" s="33"/>
      <c r="Q228" s="33"/>
      <c r="R228" s="33"/>
      <c r="S228" s="33"/>
      <c r="T228" s="33"/>
      <c r="U228" s="33"/>
      <c r="V228" s="33"/>
      <c r="W228" s="33"/>
      <c r="X228" s="33"/>
      <c r="Y228" s="33"/>
      <c r="Z228" s="33"/>
      <c r="AA228" s="33"/>
      <c r="AB228" s="33"/>
    </row>
    <row r="229">
      <c r="A229" s="33"/>
      <c r="B229" s="33"/>
      <c r="C229" s="94"/>
      <c r="D229" s="33"/>
      <c r="E229" s="33"/>
      <c r="F229" s="33"/>
      <c r="G229" s="94"/>
      <c r="H229" s="33"/>
      <c r="I229" s="33"/>
      <c r="J229" s="33"/>
      <c r="K229" s="33"/>
      <c r="L229" s="33"/>
      <c r="M229" s="33"/>
      <c r="N229" s="33"/>
      <c r="O229" s="33"/>
      <c r="P229" s="33"/>
      <c r="Q229" s="33"/>
      <c r="R229" s="33"/>
      <c r="S229" s="33"/>
      <c r="T229" s="33"/>
      <c r="U229" s="33"/>
      <c r="V229" s="33"/>
      <c r="W229" s="33"/>
      <c r="X229" s="33"/>
      <c r="Y229" s="33"/>
      <c r="Z229" s="33"/>
      <c r="AA229" s="33"/>
      <c r="AB229" s="33"/>
    </row>
    <row r="230">
      <c r="A230" s="33"/>
      <c r="B230" s="33"/>
      <c r="C230" s="94"/>
      <c r="D230" s="33"/>
      <c r="E230" s="33"/>
      <c r="F230" s="33"/>
      <c r="G230" s="94"/>
      <c r="H230" s="33"/>
      <c r="I230" s="33"/>
      <c r="J230" s="33"/>
      <c r="K230" s="33"/>
      <c r="L230" s="33"/>
      <c r="M230" s="33"/>
      <c r="N230" s="33"/>
      <c r="O230" s="33"/>
      <c r="P230" s="33"/>
      <c r="Q230" s="33"/>
      <c r="R230" s="33"/>
      <c r="S230" s="33"/>
      <c r="T230" s="33"/>
      <c r="U230" s="33"/>
      <c r="V230" s="33"/>
      <c r="W230" s="33"/>
      <c r="X230" s="33"/>
      <c r="Y230" s="33"/>
      <c r="Z230" s="33"/>
      <c r="AA230" s="33"/>
      <c r="AB230" s="33"/>
    </row>
    <row r="231">
      <c r="A231" s="33"/>
      <c r="B231" s="33"/>
      <c r="C231" s="94"/>
      <c r="D231" s="33"/>
      <c r="E231" s="33"/>
      <c r="F231" s="33"/>
      <c r="G231" s="94"/>
      <c r="H231" s="33"/>
      <c r="I231" s="33"/>
      <c r="J231" s="33"/>
      <c r="K231" s="33"/>
      <c r="L231" s="33"/>
      <c r="M231" s="33"/>
      <c r="N231" s="33"/>
      <c r="O231" s="33"/>
      <c r="P231" s="33"/>
      <c r="Q231" s="33"/>
      <c r="R231" s="33"/>
      <c r="S231" s="33"/>
      <c r="T231" s="33"/>
      <c r="U231" s="33"/>
      <c r="V231" s="33"/>
      <c r="W231" s="33"/>
      <c r="X231" s="33"/>
      <c r="Y231" s="33"/>
      <c r="Z231" s="33"/>
      <c r="AA231" s="33"/>
      <c r="AB231" s="33"/>
    </row>
    <row r="232">
      <c r="A232" s="33"/>
      <c r="B232" s="33"/>
      <c r="C232" s="94"/>
      <c r="D232" s="33"/>
      <c r="E232" s="33"/>
      <c r="F232" s="33"/>
      <c r="G232" s="94"/>
      <c r="H232" s="33"/>
      <c r="I232" s="33"/>
      <c r="J232" s="33"/>
      <c r="K232" s="33"/>
      <c r="L232" s="33"/>
      <c r="M232" s="33"/>
      <c r="N232" s="33"/>
      <c r="O232" s="33"/>
      <c r="P232" s="33"/>
      <c r="Q232" s="33"/>
      <c r="R232" s="33"/>
      <c r="S232" s="33"/>
      <c r="T232" s="33"/>
      <c r="U232" s="33"/>
      <c r="V232" s="33"/>
      <c r="W232" s="33"/>
      <c r="X232" s="33"/>
      <c r="Y232" s="33"/>
      <c r="Z232" s="33"/>
      <c r="AA232" s="33"/>
      <c r="AB232" s="33"/>
    </row>
    <row r="233">
      <c r="A233" s="33"/>
      <c r="B233" s="33"/>
      <c r="C233" s="94"/>
      <c r="D233" s="33"/>
      <c r="E233" s="33"/>
      <c r="F233" s="33"/>
      <c r="G233" s="94"/>
      <c r="H233" s="33"/>
      <c r="I233" s="33"/>
      <c r="J233" s="33"/>
      <c r="K233" s="33"/>
      <c r="L233" s="33"/>
      <c r="M233" s="33"/>
      <c r="N233" s="33"/>
      <c r="O233" s="33"/>
      <c r="P233" s="33"/>
      <c r="Q233" s="33"/>
      <c r="R233" s="33"/>
      <c r="S233" s="33"/>
      <c r="T233" s="33"/>
      <c r="U233" s="33"/>
      <c r="V233" s="33"/>
      <c r="W233" s="33"/>
      <c r="X233" s="33"/>
      <c r="Y233" s="33"/>
      <c r="Z233" s="33"/>
      <c r="AA233" s="33"/>
      <c r="AB233" s="33"/>
    </row>
    <row r="234">
      <c r="A234" s="33"/>
      <c r="B234" s="33"/>
      <c r="C234" s="94"/>
      <c r="D234" s="33"/>
      <c r="E234" s="33"/>
      <c r="F234" s="33"/>
      <c r="G234" s="94"/>
      <c r="H234" s="33"/>
      <c r="I234" s="33"/>
      <c r="J234" s="33"/>
      <c r="K234" s="33"/>
      <c r="L234" s="33"/>
      <c r="M234" s="33"/>
      <c r="N234" s="33"/>
      <c r="O234" s="33"/>
      <c r="P234" s="33"/>
      <c r="Q234" s="33"/>
      <c r="R234" s="33"/>
      <c r="S234" s="33"/>
      <c r="T234" s="33"/>
      <c r="U234" s="33"/>
      <c r="V234" s="33"/>
      <c r="W234" s="33"/>
      <c r="X234" s="33"/>
      <c r="Y234" s="33"/>
      <c r="Z234" s="33"/>
      <c r="AA234" s="33"/>
      <c r="AB234" s="33"/>
    </row>
    <row r="235">
      <c r="A235" s="33"/>
      <c r="B235" s="33"/>
      <c r="C235" s="94"/>
      <c r="D235" s="33"/>
      <c r="E235" s="33"/>
      <c r="F235" s="33"/>
      <c r="G235" s="94"/>
      <c r="H235" s="33"/>
      <c r="I235" s="33"/>
      <c r="J235" s="33"/>
      <c r="K235" s="33"/>
      <c r="L235" s="33"/>
      <c r="M235" s="33"/>
      <c r="N235" s="33"/>
      <c r="O235" s="33"/>
      <c r="P235" s="33"/>
      <c r="Q235" s="33"/>
      <c r="R235" s="33"/>
      <c r="S235" s="33"/>
      <c r="T235" s="33"/>
      <c r="U235" s="33"/>
      <c r="V235" s="33"/>
      <c r="W235" s="33"/>
      <c r="X235" s="33"/>
      <c r="Y235" s="33"/>
      <c r="Z235" s="33"/>
      <c r="AA235" s="33"/>
      <c r="AB235" s="33"/>
    </row>
    <row r="236">
      <c r="A236" s="33"/>
      <c r="B236" s="33"/>
      <c r="C236" s="94"/>
      <c r="D236" s="33"/>
      <c r="E236" s="33"/>
      <c r="F236" s="33"/>
      <c r="G236" s="94"/>
      <c r="H236" s="33"/>
      <c r="I236" s="33"/>
      <c r="J236" s="33"/>
      <c r="K236" s="33"/>
      <c r="L236" s="33"/>
      <c r="M236" s="33"/>
      <c r="N236" s="33"/>
      <c r="O236" s="33"/>
      <c r="P236" s="33"/>
      <c r="Q236" s="33"/>
      <c r="R236" s="33"/>
      <c r="S236" s="33"/>
      <c r="T236" s="33"/>
      <c r="U236" s="33"/>
      <c r="V236" s="33"/>
      <c r="W236" s="33"/>
      <c r="X236" s="33"/>
      <c r="Y236" s="33"/>
      <c r="Z236" s="33"/>
      <c r="AA236" s="33"/>
      <c r="AB236" s="33"/>
    </row>
    <row r="237">
      <c r="A237" s="33"/>
      <c r="B237" s="33"/>
      <c r="C237" s="94"/>
      <c r="D237" s="33"/>
      <c r="E237" s="33"/>
      <c r="F237" s="33"/>
      <c r="G237" s="94"/>
      <c r="H237" s="33"/>
      <c r="I237" s="33"/>
      <c r="J237" s="33"/>
      <c r="K237" s="33"/>
      <c r="L237" s="33"/>
      <c r="M237" s="33"/>
      <c r="N237" s="33"/>
      <c r="O237" s="33"/>
      <c r="P237" s="33"/>
      <c r="Q237" s="33"/>
      <c r="R237" s="33"/>
      <c r="S237" s="33"/>
      <c r="T237" s="33"/>
      <c r="U237" s="33"/>
      <c r="V237" s="33"/>
      <c r="W237" s="33"/>
      <c r="X237" s="33"/>
      <c r="Y237" s="33"/>
      <c r="Z237" s="33"/>
      <c r="AA237" s="33"/>
      <c r="AB237" s="33"/>
    </row>
    <row r="238">
      <c r="A238" s="33"/>
      <c r="B238" s="33"/>
      <c r="C238" s="94"/>
      <c r="D238" s="33"/>
      <c r="E238" s="33"/>
      <c r="F238" s="33"/>
      <c r="G238" s="94"/>
      <c r="H238" s="33"/>
      <c r="I238" s="33"/>
      <c r="J238" s="33"/>
      <c r="K238" s="33"/>
      <c r="L238" s="33"/>
      <c r="M238" s="33"/>
      <c r="N238" s="33"/>
      <c r="O238" s="33"/>
      <c r="P238" s="33"/>
      <c r="Q238" s="33"/>
      <c r="R238" s="33"/>
      <c r="S238" s="33"/>
      <c r="T238" s="33"/>
      <c r="U238" s="33"/>
      <c r="V238" s="33"/>
      <c r="W238" s="33"/>
      <c r="X238" s="33"/>
      <c r="Y238" s="33"/>
      <c r="Z238" s="33"/>
      <c r="AA238" s="33"/>
      <c r="AB238" s="33"/>
    </row>
    <row r="239">
      <c r="A239" s="33"/>
      <c r="B239" s="33"/>
      <c r="C239" s="94"/>
      <c r="D239" s="33"/>
      <c r="E239" s="33"/>
      <c r="F239" s="33"/>
      <c r="G239" s="94"/>
      <c r="H239" s="33"/>
      <c r="I239" s="33"/>
      <c r="J239" s="33"/>
      <c r="K239" s="33"/>
      <c r="L239" s="33"/>
      <c r="M239" s="33"/>
      <c r="N239" s="33"/>
      <c r="O239" s="33"/>
      <c r="P239" s="33"/>
      <c r="Q239" s="33"/>
      <c r="R239" s="33"/>
      <c r="S239" s="33"/>
      <c r="T239" s="33"/>
      <c r="U239" s="33"/>
      <c r="V239" s="33"/>
      <c r="W239" s="33"/>
      <c r="X239" s="33"/>
      <c r="Y239" s="33"/>
      <c r="Z239" s="33"/>
      <c r="AA239" s="33"/>
      <c r="AB239" s="33"/>
    </row>
    <row r="240">
      <c r="A240" s="33"/>
      <c r="B240" s="33"/>
      <c r="C240" s="94"/>
      <c r="D240" s="33"/>
      <c r="E240" s="33"/>
      <c r="F240" s="33"/>
      <c r="G240" s="94"/>
      <c r="H240" s="33"/>
      <c r="I240" s="33"/>
      <c r="J240" s="33"/>
      <c r="K240" s="33"/>
      <c r="L240" s="33"/>
      <c r="M240" s="33"/>
      <c r="N240" s="33"/>
      <c r="O240" s="33"/>
      <c r="P240" s="33"/>
      <c r="Q240" s="33"/>
      <c r="R240" s="33"/>
      <c r="S240" s="33"/>
      <c r="T240" s="33"/>
      <c r="U240" s="33"/>
      <c r="V240" s="33"/>
      <c r="W240" s="33"/>
      <c r="X240" s="33"/>
      <c r="Y240" s="33"/>
      <c r="Z240" s="33"/>
      <c r="AA240" s="33"/>
      <c r="AB240" s="33"/>
    </row>
    <row r="241">
      <c r="A241" s="33"/>
      <c r="B241" s="33"/>
      <c r="C241" s="94"/>
      <c r="D241" s="33"/>
      <c r="E241" s="33"/>
      <c r="F241" s="33"/>
      <c r="G241" s="94"/>
      <c r="H241" s="33"/>
      <c r="I241" s="33"/>
      <c r="J241" s="33"/>
      <c r="K241" s="33"/>
      <c r="L241" s="33"/>
      <c r="M241" s="33"/>
      <c r="N241" s="33"/>
      <c r="O241" s="33"/>
      <c r="P241" s="33"/>
      <c r="Q241" s="33"/>
      <c r="R241" s="33"/>
      <c r="S241" s="33"/>
      <c r="T241" s="33"/>
      <c r="U241" s="33"/>
      <c r="V241" s="33"/>
      <c r="W241" s="33"/>
      <c r="X241" s="33"/>
      <c r="Y241" s="33"/>
      <c r="Z241" s="33"/>
      <c r="AA241" s="33"/>
      <c r="AB241" s="33"/>
    </row>
    <row r="242">
      <c r="A242" s="33"/>
      <c r="B242" s="33"/>
      <c r="C242" s="94"/>
      <c r="D242" s="33"/>
      <c r="E242" s="33"/>
      <c r="F242" s="33"/>
      <c r="G242" s="94"/>
      <c r="H242" s="33"/>
      <c r="I242" s="33"/>
      <c r="J242" s="33"/>
      <c r="K242" s="33"/>
      <c r="L242" s="33"/>
      <c r="M242" s="33"/>
      <c r="N242" s="33"/>
      <c r="O242" s="33"/>
      <c r="P242" s="33"/>
      <c r="Q242" s="33"/>
      <c r="R242" s="33"/>
      <c r="S242" s="33"/>
      <c r="T242" s="33"/>
      <c r="U242" s="33"/>
      <c r="V242" s="33"/>
      <c r="W242" s="33"/>
      <c r="X242" s="33"/>
      <c r="Y242" s="33"/>
      <c r="Z242" s="33"/>
      <c r="AA242" s="33"/>
      <c r="AB242" s="33"/>
    </row>
    <row r="243">
      <c r="A243" s="33"/>
      <c r="B243" s="33"/>
      <c r="C243" s="94"/>
      <c r="D243" s="33"/>
      <c r="E243" s="33"/>
      <c r="F243" s="33"/>
      <c r="G243" s="94"/>
      <c r="H243" s="33"/>
      <c r="I243" s="33"/>
      <c r="J243" s="33"/>
      <c r="K243" s="33"/>
      <c r="L243" s="33"/>
      <c r="M243" s="33"/>
      <c r="N243" s="33"/>
      <c r="O243" s="33"/>
      <c r="P243" s="33"/>
      <c r="Q243" s="33"/>
      <c r="R243" s="33"/>
      <c r="S243" s="33"/>
      <c r="T243" s="33"/>
      <c r="U243" s="33"/>
      <c r="V243" s="33"/>
      <c r="W243" s="33"/>
      <c r="X243" s="33"/>
      <c r="Y243" s="33"/>
      <c r="Z243" s="33"/>
      <c r="AA243" s="33"/>
      <c r="AB243" s="33"/>
    </row>
    <row r="244">
      <c r="A244" s="33"/>
      <c r="B244" s="33"/>
      <c r="C244" s="94"/>
      <c r="D244" s="33"/>
      <c r="E244" s="33"/>
      <c r="F244" s="33"/>
      <c r="G244" s="94"/>
      <c r="H244" s="33"/>
      <c r="I244" s="33"/>
      <c r="J244" s="33"/>
      <c r="K244" s="33"/>
      <c r="L244" s="33"/>
      <c r="M244" s="33"/>
      <c r="N244" s="33"/>
      <c r="O244" s="33"/>
      <c r="P244" s="33"/>
      <c r="Q244" s="33"/>
      <c r="R244" s="33"/>
      <c r="S244" s="33"/>
      <c r="T244" s="33"/>
      <c r="U244" s="33"/>
      <c r="V244" s="33"/>
      <c r="W244" s="33"/>
      <c r="X244" s="33"/>
      <c r="Y244" s="33"/>
      <c r="Z244" s="33"/>
      <c r="AA244" s="33"/>
      <c r="AB244" s="33"/>
    </row>
    <row r="245">
      <c r="A245" s="33"/>
      <c r="B245" s="33"/>
      <c r="C245" s="94"/>
      <c r="D245" s="33"/>
      <c r="E245" s="33"/>
      <c r="F245" s="33"/>
      <c r="G245" s="94"/>
      <c r="H245" s="33"/>
      <c r="I245" s="33"/>
      <c r="J245" s="33"/>
      <c r="K245" s="33"/>
      <c r="L245" s="33"/>
      <c r="M245" s="33"/>
      <c r="N245" s="33"/>
      <c r="O245" s="33"/>
      <c r="P245" s="33"/>
      <c r="Q245" s="33"/>
      <c r="R245" s="33"/>
      <c r="S245" s="33"/>
      <c r="T245" s="33"/>
      <c r="U245" s="33"/>
      <c r="V245" s="33"/>
      <c r="W245" s="33"/>
      <c r="X245" s="33"/>
      <c r="Y245" s="33"/>
      <c r="Z245" s="33"/>
      <c r="AA245" s="33"/>
      <c r="AB245" s="33"/>
    </row>
    <row r="246">
      <c r="A246" s="33"/>
      <c r="B246" s="33"/>
      <c r="C246" s="94"/>
      <c r="D246" s="33"/>
      <c r="E246" s="33"/>
      <c r="F246" s="33"/>
      <c r="G246" s="94"/>
      <c r="H246" s="33"/>
      <c r="I246" s="33"/>
      <c r="J246" s="33"/>
      <c r="K246" s="33"/>
      <c r="L246" s="33"/>
      <c r="M246" s="33"/>
      <c r="N246" s="33"/>
      <c r="O246" s="33"/>
      <c r="P246" s="33"/>
      <c r="Q246" s="33"/>
      <c r="R246" s="33"/>
      <c r="S246" s="33"/>
      <c r="T246" s="33"/>
      <c r="U246" s="33"/>
      <c r="V246" s="33"/>
      <c r="W246" s="33"/>
      <c r="X246" s="33"/>
      <c r="Y246" s="33"/>
      <c r="Z246" s="33"/>
      <c r="AA246" s="33"/>
      <c r="AB246" s="33"/>
    </row>
    <row r="247">
      <c r="A247" s="33"/>
      <c r="B247" s="33"/>
      <c r="C247" s="94"/>
      <c r="D247" s="33"/>
      <c r="E247" s="33"/>
      <c r="F247" s="33"/>
      <c r="G247" s="94"/>
      <c r="H247" s="33"/>
      <c r="I247" s="33"/>
      <c r="J247" s="33"/>
      <c r="K247" s="33"/>
      <c r="L247" s="33"/>
      <c r="M247" s="33"/>
      <c r="N247" s="33"/>
      <c r="O247" s="33"/>
      <c r="P247" s="33"/>
      <c r="Q247" s="33"/>
      <c r="R247" s="33"/>
      <c r="S247" s="33"/>
      <c r="T247" s="33"/>
      <c r="U247" s="33"/>
      <c r="V247" s="33"/>
      <c r="W247" s="33"/>
      <c r="X247" s="33"/>
      <c r="Y247" s="33"/>
      <c r="Z247" s="33"/>
      <c r="AA247" s="33"/>
      <c r="AB247" s="33"/>
    </row>
    <row r="248">
      <c r="A248" s="33"/>
      <c r="B248" s="33"/>
      <c r="C248" s="94"/>
      <c r="D248" s="33"/>
      <c r="E248" s="33"/>
      <c r="F248" s="33"/>
      <c r="G248" s="94"/>
      <c r="H248" s="33"/>
      <c r="I248" s="33"/>
      <c r="J248" s="33"/>
      <c r="K248" s="33"/>
      <c r="L248" s="33"/>
      <c r="M248" s="33"/>
      <c r="N248" s="33"/>
      <c r="O248" s="33"/>
      <c r="P248" s="33"/>
      <c r="Q248" s="33"/>
      <c r="R248" s="33"/>
      <c r="S248" s="33"/>
      <c r="T248" s="33"/>
      <c r="U248" s="33"/>
      <c r="V248" s="33"/>
      <c r="W248" s="33"/>
      <c r="X248" s="33"/>
      <c r="Y248" s="33"/>
      <c r="Z248" s="33"/>
      <c r="AA248" s="33"/>
      <c r="AB248" s="33"/>
    </row>
    <row r="249">
      <c r="A249" s="33"/>
      <c r="B249" s="33"/>
      <c r="C249" s="94"/>
      <c r="D249" s="33"/>
      <c r="E249" s="33"/>
      <c r="F249" s="33"/>
      <c r="G249" s="94"/>
      <c r="H249" s="33"/>
      <c r="I249" s="33"/>
      <c r="J249" s="33"/>
      <c r="K249" s="33"/>
      <c r="L249" s="33"/>
      <c r="M249" s="33"/>
      <c r="N249" s="33"/>
      <c r="O249" s="33"/>
      <c r="P249" s="33"/>
      <c r="Q249" s="33"/>
      <c r="R249" s="33"/>
      <c r="S249" s="33"/>
      <c r="T249" s="33"/>
      <c r="U249" s="33"/>
      <c r="V249" s="33"/>
      <c r="W249" s="33"/>
      <c r="X249" s="33"/>
      <c r="Y249" s="33"/>
      <c r="Z249" s="33"/>
      <c r="AA249" s="33"/>
      <c r="AB249" s="33"/>
    </row>
    <row r="250">
      <c r="A250" s="33"/>
      <c r="B250" s="33"/>
      <c r="C250" s="94"/>
      <c r="D250" s="33"/>
      <c r="E250" s="33"/>
      <c r="F250" s="33"/>
      <c r="G250" s="94"/>
      <c r="H250" s="33"/>
      <c r="I250" s="33"/>
      <c r="J250" s="33"/>
      <c r="K250" s="33"/>
      <c r="L250" s="33"/>
      <c r="M250" s="33"/>
      <c r="N250" s="33"/>
      <c r="O250" s="33"/>
      <c r="P250" s="33"/>
      <c r="Q250" s="33"/>
      <c r="R250" s="33"/>
      <c r="S250" s="33"/>
      <c r="T250" s="33"/>
      <c r="U250" s="33"/>
      <c r="V250" s="33"/>
      <c r="W250" s="33"/>
      <c r="X250" s="33"/>
      <c r="Y250" s="33"/>
      <c r="Z250" s="33"/>
      <c r="AA250" s="33"/>
      <c r="AB250" s="33"/>
    </row>
    <row r="251">
      <c r="A251" s="33"/>
      <c r="B251" s="33"/>
      <c r="C251" s="94"/>
      <c r="D251" s="33"/>
      <c r="E251" s="33"/>
      <c r="F251" s="33"/>
      <c r="G251" s="94"/>
      <c r="H251" s="33"/>
      <c r="I251" s="33"/>
      <c r="J251" s="33"/>
      <c r="K251" s="33"/>
      <c r="L251" s="33"/>
      <c r="M251" s="33"/>
      <c r="N251" s="33"/>
      <c r="O251" s="33"/>
      <c r="P251" s="33"/>
      <c r="Q251" s="33"/>
      <c r="R251" s="33"/>
      <c r="S251" s="33"/>
      <c r="T251" s="33"/>
      <c r="U251" s="33"/>
      <c r="V251" s="33"/>
      <c r="W251" s="33"/>
      <c r="X251" s="33"/>
      <c r="Y251" s="33"/>
      <c r="Z251" s="33"/>
      <c r="AA251" s="33"/>
      <c r="AB251" s="33"/>
    </row>
    <row r="252">
      <c r="A252" s="33"/>
      <c r="B252" s="33"/>
      <c r="C252" s="94"/>
      <c r="D252" s="33"/>
      <c r="E252" s="33"/>
      <c r="F252" s="33"/>
      <c r="G252" s="94"/>
      <c r="H252" s="33"/>
      <c r="I252" s="33"/>
      <c r="J252" s="33"/>
      <c r="K252" s="33"/>
      <c r="L252" s="33"/>
      <c r="M252" s="33"/>
      <c r="N252" s="33"/>
      <c r="O252" s="33"/>
      <c r="P252" s="33"/>
      <c r="Q252" s="33"/>
      <c r="R252" s="33"/>
      <c r="S252" s="33"/>
      <c r="T252" s="33"/>
      <c r="U252" s="33"/>
      <c r="V252" s="33"/>
      <c r="W252" s="33"/>
      <c r="X252" s="33"/>
      <c r="Y252" s="33"/>
      <c r="Z252" s="33"/>
      <c r="AA252" s="33"/>
      <c r="AB252" s="33"/>
    </row>
    <row r="253">
      <c r="A253" s="33"/>
      <c r="B253" s="33"/>
      <c r="C253" s="94"/>
      <c r="D253" s="33"/>
      <c r="E253" s="33"/>
      <c r="F253" s="33"/>
      <c r="G253" s="94"/>
      <c r="H253" s="33"/>
      <c r="I253" s="33"/>
      <c r="J253" s="33"/>
      <c r="K253" s="33"/>
      <c r="L253" s="33"/>
      <c r="M253" s="33"/>
      <c r="N253" s="33"/>
      <c r="O253" s="33"/>
      <c r="P253" s="33"/>
      <c r="Q253" s="33"/>
      <c r="R253" s="33"/>
      <c r="S253" s="33"/>
      <c r="T253" s="33"/>
      <c r="U253" s="33"/>
      <c r="V253" s="33"/>
      <c r="W253" s="33"/>
      <c r="X253" s="33"/>
      <c r="Y253" s="33"/>
      <c r="Z253" s="33"/>
      <c r="AA253" s="33"/>
      <c r="AB253" s="33"/>
    </row>
    <row r="254">
      <c r="A254" s="33"/>
      <c r="B254" s="33"/>
      <c r="C254" s="94"/>
      <c r="D254" s="33"/>
      <c r="E254" s="33"/>
      <c r="F254" s="33"/>
      <c r="G254" s="94"/>
      <c r="H254" s="33"/>
      <c r="I254" s="33"/>
      <c r="J254" s="33"/>
      <c r="K254" s="33"/>
      <c r="L254" s="33"/>
      <c r="M254" s="33"/>
      <c r="N254" s="33"/>
      <c r="O254" s="33"/>
      <c r="P254" s="33"/>
      <c r="Q254" s="33"/>
      <c r="R254" s="33"/>
      <c r="S254" s="33"/>
      <c r="T254" s="33"/>
      <c r="U254" s="33"/>
      <c r="V254" s="33"/>
      <c r="W254" s="33"/>
      <c r="X254" s="33"/>
      <c r="Y254" s="33"/>
      <c r="Z254" s="33"/>
      <c r="AA254" s="33"/>
      <c r="AB254" s="33"/>
    </row>
    <row r="255">
      <c r="A255" s="33"/>
      <c r="B255" s="33"/>
      <c r="C255" s="94"/>
      <c r="D255" s="33"/>
      <c r="E255" s="33"/>
      <c r="F255" s="33"/>
      <c r="G255" s="94"/>
      <c r="H255" s="33"/>
      <c r="I255" s="33"/>
      <c r="J255" s="33"/>
      <c r="K255" s="33"/>
      <c r="L255" s="33"/>
      <c r="M255" s="33"/>
      <c r="N255" s="33"/>
      <c r="O255" s="33"/>
      <c r="P255" s="33"/>
      <c r="Q255" s="33"/>
      <c r="R255" s="33"/>
      <c r="S255" s="33"/>
      <c r="T255" s="33"/>
      <c r="U255" s="33"/>
      <c r="V255" s="33"/>
      <c r="W255" s="33"/>
      <c r="X255" s="33"/>
      <c r="Y255" s="33"/>
      <c r="Z255" s="33"/>
      <c r="AA255" s="33"/>
      <c r="AB255" s="33"/>
    </row>
    <row r="256">
      <c r="A256" s="33"/>
      <c r="B256" s="33"/>
      <c r="C256" s="94"/>
      <c r="D256" s="33"/>
      <c r="E256" s="33"/>
      <c r="F256" s="33"/>
      <c r="G256" s="94"/>
      <c r="H256" s="33"/>
      <c r="I256" s="33"/>
      <c r="J256" s="33"/>
      <c r="K256" s="33"/>
      <c r="L256" s="33"/>
      <c r="M256" s="33"/>
      <c r="N256" s="33"/>
      <c r="O256" s="33"/>
      <c r="P256" s="33"/>
      <c r="Q256" s="33"/>
      <c r="R256" s="33"/>
      <c r="S256" s="33"/>
      <c r="T256" s="33"/>
      <c r="U256" s="33"/>
      <c r="V256" s="33"/>
      <c r="W256" s="33"/>
      <c r="X256" s="33"/>
      <c r="Y256" s="33"/>
      <c r="Z256" s="33"/>
      <c r="AA256" s="33"/>
      <c r="AB256" s="33"/>
    </row>
    <row r="257">
      <c r="A257" s="33"/>
      <c r="B257" s="33"/>
      <c r="C257" s="94"/>
      <c r="D257" s="33"/>
      <c r="E257" s="33"/>
      <c r="F257" s="33"/>
      <c r="G257" s="94"/>
      <c r="H257" s="33"/>
      <c r="I257" s="33"/>
      <c r="J257" s="33"/>
      <c r="K257" s="33"/>
      <c r="L257" s="33"/>
      <c r="M257" s="33"/>
      <c r="N257" s="33"/>
      <c r="O257" s="33"/>
      <c r="P257" s="33"/>
      <c r="Q257" s="33"/>
      <c r="R257" s="33"/>
      <c r="S257" s="33"/>
      <c r="T257" s="33"/>
      <c r="U257" s="33"/>
      <c r="V257" s="33"/>
      <c r="W257" s="33"/>
      <c r="X257" s="33"/>
      <c r="Y257" s="33"/>
      <c r="Z257" s="33"/>
      <c r="AA257" s="33"/>
      <c r="AB257" s="33"/>
    </row>
    <row r="258">
      <c r="A258" s="33"/>
      <c r="B258" s="33"/>
      <c r="C258" s="94"/>
      <c r="D258" s="33"/>
      <c r="E258" s="33"/>
      <c r="F258" s="33"/>
      <c r="G258" s="94"/>
      <c r="H258" s="33"/>
      <c r="I258" s="33"/>
      <c r="J258" s="33"/>
      <c r="K258" s="33"/>
      <c r="L258" s="33"/>
      <c r="M258" s="33"/>
      <c r="N258" s="33"/>
      <c r="O258" s="33"/>
      <c r="P258" s="33"/>
      <c r="Q258" s="33"/>
      <c r="R258" s="33"/>
      <c r="S258" s="33"/>
      <c r="T258" s="33"/>
      <c r="U258" s="33"/>
      <c r="V258" s="33"/>
      <c r="W258" s="33"/>
      <c r="X258" s="33"/>
      <c r="Y258" s="33"/>
      <c r="Z258" s="33"/>
      <c r="AA258" s="33"/>
      <c r="AB258" s="33"/>
    </row>
    <row r="259">
      <c r="A259" s="33"/>
      <c r="B259" s="33"/>
      <c r="C259" s="94"/>
      <c r="D259" s="33"/>
      <c r="E259" s="33"/>
      <c r="F259" s="33"/>
      <c r="G259" s="94"/>
      <c r="H259" s="33"/>
      <c r="I259" s="33"/>
      <c r="J259" s="33"/>
      <c r="K259" s="33"/>
      <c r="L259" s="33"/>
      <c r="M259" s="33"/>
      <c r="N259" s="33"/>
      <c r="O259" s="33"/>
      <c r="P259" s="33"/>
      <c r="Q259" s="33"/>
      <c r="R259" s="33"/>
      <c r="S259" s="33"/>
      <c r="T259" s="33"/>
      <c r="U259" s="33"/>
      <c r="V259" s="33"/>
      <c r="W259" s="33"/>
      <c r="X259" s="33"/>
      <c r="Y259" s="33"/>
      <c r="Z259" s="33"/>
      <c r="AA259" s="33"/>
      <c r="AB259" s="33"/>
    </row>
    <row r="260">
      <c r="A260" s="33"/>
      <c r="B260" s="33"/>
      <c r="C260" s="94"/>
      <c r="D260" s="33"/>
      <c r="E260" s="33"/>
      <c r="F260" s="33"/>
      <c r="G260" s="94"/>
      <c r="H260" s="33"/>
      <c r="I260" s="33"/>
      <c r="J260" s="33"/>
      <c r="K260" s="33"/>
      <c r="L260" s="33"/>
      <c r="M260" s="33"/>
      <c r="N260" s="33"/>
      <c r="O260" s="33"/>
      <c r="P260" s="33"/>
      <c r="Q260" s="33"/>
      <c r="R260" s="33"/>
      <c r="S260" s="33"/>
      <c r="T260" s="33"/>
      <c r="U260" s="33"/>
      <c r="V260" s="33"/>
      <c r="W260" s="33"/>
      <c r="X260" s="33"/>
      <c r="Y260" s="33"/>
      <c r="Z260" s="33"/>
      <c r="AA260" s="33"/>
      <c r="AB260" s="33"/>
    </row>
    <row r="261">
      <c r="A261" s="33"/>
      <c r="B261" s="33"/>
      <c r="C261" s="94"/>
      <c r="D261" s="33"/>
      <c r="E261" s="33"/>
      <c r="F261" s="33"/>
      <c r="G261" s="94"/>
      <c r="H261" s="33"/>
      <c r="I261" s="33"/>
      <c r="J261" s="33"/>
      <c r="K261" s="33"/>
      <c r="L261" s="33"/>
      <c r="M261" s="33"/>
      <c r="N261" s="33"/>
      <c r="O261" s="33"/>
      <c r="P261" s="33"/>
      <c r="Q261" s="33"/>
      <c r="R261" s="33"/>
      <c r="S261" s="33"/>
      <c r="T261" s="33"/>
      <c r="U261" s="33"/>
      <c r="V261" s="33"/>
      <c r="W261" s="33"/>
      <c r="X261" s="33"/>
      <c r="Y261" s="33"/>
      <c r="Z261" s="33"/>
      <c r="AA261" s="33"/>
      <c r="AB261" s="33"/>
    </row>
    <row r="262">
      <c r="A262" s="33"/>
      <c r="B262" s="33"/>
      <c r="C262" s="94"/>
      <c r="D262" s="33"/>
      <c r="E262" s="33"/>
      <c r="F262" s="33"/>
      <c r="G262" s="94"/>
      <c r="H262" s="33"/>
      <c r="I262" s="33"/>
      <c r="J262" s="33"/>
      <c r="K262" s="33"/>
      <c r="L262" s="33"/>
      <c r="M262" s="33"/>
      <c r="N262" s="33"/>
      <c r="O262" s="33"/>
      <c r="P262" s="33"/>
      <c r="Q262" s="33"/>
      <c r="R262" s="33"/>
      <c r="S262" s="33"/>
      <c r="T262" s="33"/>
      <c r="U262" s="33"/>
      <c r="V262" s="33"/>
      <c r="W262" s="33"/>
      <c r="X262" s="33"/>
      <c r="Y262" s="33"/>
      <c r="Z262" s="33"/>
      <c r="AA262" s="33"/>
      <c r="AB262" s="33"/>
    </row>
    <row r="263">
      <c r="A263" s="33"/>
      <c r="B263" s="33"/>
      <c r="C263" s="94"/>
      <c r="D263" s="33"/>
      <c r="E263" s="33"/>
      <c r="F263" s="33"/>
      <c r="G263" s="94"/>
      <c r="H263" s="33"/>
      <c r="I263" s="33"/>
      <c r="J263" s="33"/>
      <c r="K263" s="33"/>
      <c r="L263" s="33"/>
      <c r="M263" s="33"/>
      <c r="N263" s="33"/>
      <c r="O263" s="33"/>
      <c r="P263" s="33"/>
      <c r="Q263" s="33"/>
      <c r="R263" s="33"/>
      <c r="S263" s="33"/>
      <c r="T263" s="33"/>
      <c r="U263" s="33"/>
      <c r="V263" s="33"/>
      <c r="W263" s="33"/>
      <c r="X263" s="33"/>
      <c r="Y263" s="33"/>
      <c r="Z263" s="33"/>
      <c r="AA263" s="33"/>
      <c r="AB263" s="33"/>
    </row>
    <row r="264">
      <c r="A264" s="33"/>
      <c r="B264" s="33"/>
      <c r="C264" s="94"/>
      <c r="D264" s="33"/>
      <c r="E264" s="33"/>
      <c r="F264" s="33"/>
      <c r="G264" s="94"/>
      <c r="H264" s="33"/>
      <c r="I264" s="33"/>
      <c r="J264" s="33"/>
      <c r="K264" s="33"/>
      <c r="L264" s="33"/>
      <c r="M264" s="33"/>
      <c r="N264" s="33"/>
      <c r="O264" s="33"/>
      <c r="P264" s="33"/>
      <c r="Q264" s="33"/>
      <c r="R264" s="33"/>
      <c r="S264" s="33"/>
      <c r="T264" s="33"/>
      <c r="U264" s="33"/>
      <c r="V264" s="33"/>
      <c r="W264" s="33"/>
      <c r="X264" s="33"/>
      <c r="Y264" s="33"/>
      <c r="Z264" s="33"/>
      <c r="AA264" s="33"/>
      <c r="AB264" s="33"/>
    </row>
    <row r="265">
      <c r="A265" s="33"/>
      <c r="B265" s="33"/>
      <c r="C265" s="94"/>
      <c r="D265" s="33"/>
      <c r="E265" s="33"/>
      <c r="F265" s="33"/>
      <c r="G265" s="94"/>
      <c r="H265" s="33"/>
      <c r="I265" s="33"/>
      <c r="J265" s="33"/>
      <c r="K265" s="33"/>
      <c r="L265" s="33"/>
      <c r="M265" s="33"/>
      <c r="N265" s="33"/>
      <c r="O265" s="33"/>
      <c r="P265" s="33"/>
      <c r="Q265" s="33"/>
      <c r="R265" s="33"/>
      <c r="S265" s="33"/>
      <c r="T265" s="33"/>
      <c r="U265" s="33"/>
      <c r="V265" s="33"/>
      <c r="W265" s="33"/>
      <c r="X265" s="33"/>
      <c r="Y265" s="33"/>
      <c r="Z265" s="33"/>
      <c r="AA265" s="33"/>
      <c r="AB265" s="33"/>
    </row>
    <row r="266">
      <c r="A266" s="33"/>
      <c r="B266" s="33"/>
      <c r="C266" s="94"/>
      <c r="D266" s="33"/>
      <c r="E266" s="33"/>
      <c r="F266" s="33"/>
      <c r="G266" s="94"/>
      <c r="H266" s="33"/>
      <c r="I266" s="33"/>
      <c r="J266" s="33"/>
      <c r="K266" s="33"/>
      <c r="L266" s="33"/>
      <c r="M266" s="33"/>
      <c r="N266" s="33"/>
      <c r="O266" s="33"/>
      <c r="P266" s="33"/>
      <c r="Q266" s="33"/>
      <c r="R266" s="33"/>
      <c r="S266" s="33"/>
      <c r="T266" s="33"/>
      <c r="U266" s="33"/>
      <c r="V266" s="33"/>
      <c r="W266" s="33"/>
      <c r="X266" s="33"/>
      <c r="Y266" s="33"/>
      <c r="Z266" s="33"/>
      <c r="AA266" s="33"/>
      <c r="AB266" s="33"/>
    </row>
    <row r="267">
      <c r="A267" s="33"/>
      <c r="B267" s="33"/>
      <c r="C267" s="94"/>
      <c r="D267" s="33"/>
      <c r="E267" s="33"/>
      <c r="F267" s="33"/>
      <c r="G267" s="94"/>
      <c r="H267" s="33"/>
      <c r="I267" s="33"/>
      <c r="J267" s="33"/>
      <c r="K267" s="33"/>
      <c r="L267" s="33"/>
      <c r="M267" s="33"/>
      <c r="N267" s="33"/>
      <c r="O267" s="33"/>
      <c r="P267" s="33"/>
      <c r="Q267" s="33"/>
      <c r="R267" s="33"/>
      <c r="S267" s="33"/>
      <c r="T267" s="33"/>
      <c r="U267" s="33"/>
      <c r="V267" s="33"/>
      <c r="W267" s="33"/>
      <c r="X267" s="33"/>
      <c r="Y267" s="33"/>
      <c r="Z267" s="33"/>
      <c r="AA267" s="33"/>
      <c r="AB267" s="33"/>
    </row>
    <row r="268">
      <c r="A268" s="33"/>
      <c r="B268" s="33"/>
      <c r="C268" s="94"/>
      <c r="D268" s="33"/>
      <c r="E268" s="33"/>
      <c r="F268" s="33"/>
      <c r="G268" s="94"/>
      <c r="H268" s="33"/>
      <c r="I268" s="33"/>
      <c r="J268" s="33"/>
      <c r="K268" s="33"/>
      <c r="L268" s="33"/>
      <c r="M268" s="33"/>
      <c r="N268" s="33"/>
      <c r="O268" s="33"/>
      <c r="P268" s="33"/>
      <c r="Q268" s="33"/>
      <c r="R268" s="33"/>
      <c r="S268" s="33"/>
      <c r="T268" s="33"/>
      <c r="U268" s="33"/>
      <c r="V268" s="33"/>
      <c r="W268" s="33"/>
      <c r="X268" s="33"/>
      <c r="Y268" s="33"/>
      <c r="Z268" s="33"/>
      <c r="AA268" s="33"/>
      <c r="AB268" s="33"/>
    </row>
    <row r="269">
      <c r="A269" s="33"/>
      <c r="B269" s="33"/>
      <c r="C269" s="94"/>
      <c r="D269" s="33"/>
      <c r="E269" s="33"/>
      <c r="F269" s="33"/>
      <c r="G269" s="94"/>
      <c r="H269" s="33"/>
      <c r="I269" s="33"/>
      <c r="J269" s="33"/>
      <c r="K269" s="33"/>
      <c r="L269" s="33"/>
      <c r="M269" s="33"/>
      <c r="N269" s="33"/>
      <c r="O269" s="33"/>
      <c r="P269" s="33"/>
      <c r="Q269" s="33"/>
      <c r="R269" s="33"/>
      <c r="S269" s="33"/>
      <c r="T269" s="33"/>
      <c r="U269" s="33"/>
      <c r="V269" s="33"/>
      <c r="W269" s="33"/>
      <c r="X269" s="33"/>
      <c r="Y269" s="33"/>
      <c r="Z269" s="33"/>
      <c r="AA269" s="33"/>
      <c r="AB269" s="33"/>
    </row>
    <row r="270">
      <c r="A270" s="33"/>
      <c r="B270" s="33"/>
      <c r="C270" s="94"/>
      <c r="D270" s="33"/>
      <c r="E270" s="33"/>
      <c r="F270" s="33"/>
      <c r="G270" s="94"/>
      <c r="H270" s="33"/>
      <c r="I270" s="33"/>
      <c r="J270" s="33"/>
      <c r="K270" s="33"/>
      <c r="L270" s="33"/>
      <c r="M270" s="33"/>
      <c r="N270" s="33"/>
      <c r="O270" s="33"/>
      <c r="P270" s="33"/>
      <c r="Q270" s="33"/>
      <c r="R270" s="33"/>
      <c r="S270" s="33"/>
      <c r="T270" s="33"/>
      <c r="U270" s="33"/>
      <c r="V270" s="33"/>
      <c r="W270" s="33"/>
      <c r="X270" s="33"/>
      <c r="Y270" s="33"/>
      <c r="Z270" s="33"/>
      <c r="AA270" s="33"/>
      <c r="AB270" s="33"/>
    </row>
    <row r="271">
      <c r="A271" s="33"/>
      <c r="B271" s="33"/>
      <c r="C271" s="94"/>
      <c r="D271" s="33"/>
      <c r="E271" s="33"/>
      <c r="F271" s="33"/>
      <c r="G271" s="94"/>
      <c r="H271" s="33"/>
      <c r="I271" s="33"/>
      <c r="J271" s="33"/>
      <c r="K271" s="33"/>
      <c r="L271" s="33"/>
      <c r="M271" s="33"/>
      <c r="N271" s="33"/>
      <c r="O271" s="33"/>
      <c r="P271" s="33"/>
      <c r="Q271" s="33"/>
      <c r="R271" s="33"/>
      <c r="S271" s="33"/>
      <c r="T271" s="33"/>
      <c r="U271" s="33"/>
      <c r="V271" s="33"/>
      <c r="W271" s="33"/>
      <c r="X271" s="33"/>
      <c r="Y271" s="33"/>
      <c r="Z271" s="33"/>
      <c r="AA271" s="33"/>
      <c r="AB271" s="33"/>
    </row>
    <row r="272">
      <c r="A272" s="33"/>
      <c r="B272" s="33"/>
      <c r="C272" s="94"/>
      <c r="D272" s="33"/>
      <c r="E272" s="33"/>
      <c r="F272" s="33"/>
      <c r="G272" s="94"/>
      <c r="H272" s="33"/>
      <c r="I272" s="33"/>
      <c r="J272" s="33"/>
      <c r="K272" s="33"/>
      <c r="L272" s="33"/>
      <c r="M272" s="33"/>
      <c r="N272" s="33"/>
      <c r="O272" s="33"/>
      <c r="P272" s="33"/>
      <c r="Q272" s="33"/>
      <c r="R272" s="33"/>
      <c r="S272" s="33"/>
      <c r="T272" s="33"/>
      <c r="U272" s="33"/>
      <c r="V272" s="33"/>
      <c r="W272" s="33"/>
      <c r="X272" s="33"/>
      <c r="Y272" s="33"/>
      <c r="Z272" s="33"/>
      <c r="AA272" s="33"/>
      <c r="AB272" s="33"/>
    </row>
    <row r="273">
      <c r="A273" s="33"/>
      <c r="B273" s="33"/>
      <c r="C273" s="94"/>
      <c r="D273" s="33"/>
      <c r="E273" s="33"/>
      <c r="F273" s="33"/>
      <c r="G273" s="94"/>
      <c r="H273" s="33"/>
      <c r="I273" s="33"/>
      <c r="J273" s="33"/>
      <c r="K273" s="33"/>
      <c r="L273" s="33"/>
      <c r="M273" s="33"/>
      <c r="N273" s="33"/>
      <c r="O273" s="33"/>
      <c r="P273" s="33"/>
      <c r="Q273" s="33"/>
      <c r="R273" s="33"/>
      <c r="S273" s="33"/>
      <c r="T273" s="33"/>
      <c r="U273" s="33"/>
      <c r="V273" s="33"/>
      <c r="W273" s="33"/>
      <c r="X273" s="33"/>
      <c r="Y273" s="33"/>
      <c r="Z273" s="33"/>
      <c r="AA273" s="33"/>
      <c r="AB273" s="33"/>
    </row>
    <row r="274">
      <c r="A274" s="33"/>
      <c r="B274" s="33"/>
      <c r="C274" s="94"/>
      <c r="D274" s="33"/>
      <c r="E274" s="33"/>
      <c r="F274" s="33"/>
      <c r="G274" s="94"/>
      <c r="H274" s="33"/>
      <c r="I274" s="33"/>
      <c r="J274" s="33"/>
      <c r="K274" s="33"/>
      <c r="L274" s="33"/>
      <c r="M274" s="33"/>
      <c r="N274" s="33"/>
      <c r="O274" s="33"/>
      <c r="P274" s="33"/>
      <c r="Q274" s="33"/>
      <c r="R274" s="33"/>
      <c r="S274" s="33"/>
      <c r="T274" s="33"/>
      <c r="U274" s="33"/>
      <c r="V274" s="33"/>
      <c r="W274" s="33"/>
      <c r="X274" s="33"/>
      <c r="Y274" s="33"/>
      <c r="Z274" s="33"/>
      <c r="AA274" s="33"/>
      <c r="AB274" s="33"/>
    </row>
    <row r="275">
      <c r="A275" s="33"/>
      <c r="B275" s="33"/>
      <c r="C275" s="94"/>
      <c r="D275" s="33"/>
      <c r="E275" s="33"/>
      <c r="F275" s="33"/>
      <c r="G275" s="94"/>
      <c r="H275" s="33"/>
      <c r="I275" s="33"/>
      <c r="J275" s="33"/>
      <c r="K275" s="33"/>
      <c r="L275" s="33"/>
      <c r="M275" s="33"/>
      <c r="N275" s="33"/>
      <c r="O275" s="33"/>
      <c r="P275" s="33"/>
      <c r="Q275" s="33"/>
      <c r="R275" s="33"/>
      <c r="S275" s="33"/>
      <c r="T275" s="33"/>
      <c r="U275" s="33"/>
      <c r="V275" s="33"/>
      <c r="W275" s="33"/>
      <c r="X275" s="33"/>
      <c r="Y275" s="33"/>
      <c r="Z275" s="33"/>
      <c r="AA275" s="33"/>
      <c r="AB275" s="33"/>
    </row>
    <row r="276">
      <c r="A276" s="33"/>
      <c r="B276" s="33"/>
      <c r="C276" s="94"/>
      <c r="D276" s="33"/>
      <c r="E276" s="33"/>
      <c r="F276" s="33"/>
      <c r="G276" s="94"/>
      <c r="H276" s="33"/>
      <c r="I276" s="33"/>
      <c r="J276" s="33"/>
      <c r="K276" s="33"/>
      <c r="L276" s="33"/>
      <c r="M276" s="33"/>
      <c r="N276" s="33"/>
      <c r="O276" s="33"/>
      <c r="P276" s="33"/>
      <c r="Q276" s="33"/>
      <c r="R276" s="33"/>
      <c r="S276" s="33"/>
      <c r="T276" s="33"/>
      <c r="U276" s="33"/>
      <c r="V276" s="33"/>
      <c r="W276" s="33"/>
      <c r="X276" s="33"/>
      <c r="Y276" s="33"/>
      <c r="Z276" s="33"/>
      <c r="AA276" s="33"/>
      <c r="AB276" s="33"/>
    </row>
    <row r="277">
      <c r="A277" s="33"/>
      <c r="B277" s="33"/>
      <c r="C277" s="94"/>
      <c r="D277" s="33"/>
      <c r="E277" s="33"/>
      <c r="F277" s="33"/>
      <c r="G277" s="94"/>
      <c r="H277" s="33"/>
      <c r="I277" s="33"/>
      <c r="J277" s="33"/>
      <c r="K277" s="33"/>
      <c r="L277" s="33"/>
      <c r="M277" s="33"/>
      <c r="N277" s="33"/>
      <c r="O277" s="33"/>
      <c r="P277" s="33"/>
      <c r="Q277" s="33"/>
      <c r="R277" s="33"/>
      <c r="S277" s="33"/>
      <c r="T277" s="33"/>
      <c r="U277" s="33"/>
      <c r="V277" s="33"/>
      <c r="W277" s="33"/>
      <c r="X277" s="33"/>
      <c r="Y277" s="33"/>
      <c r="Z277" s="33"/>
      <c r="AA277" s="33"/>
      <c r="AB277" s="33"/>
    </row>
    <row r="278">
      <c r="A278" s="33"/>
      <c r="B278" s="33"/>
      <c r="C278" s="94"/>
      <c r="D278" s="33"/>
      <c r="E278" s="33"/>
      <c r="F278" s="33"/>
      <c r="G278" s="94"/>
      <c r="H278" s="33"/>
      <c r="I278" s="33"/>
      <c r="J278" s="33"/>
      <c r="K278" s="33"/>
      <c r="L278" s="33"/>
      <c r="M278" s="33"/>
      <c r="N278" s="33"/>
      <c r="O278" s="33"/>
      <c r="P278" s="33"/>
      <c r="Q278" s="33"/>
      <c r="R278" s="33"/>
      <c r="S278" s="33"/>
      <c r="T278" s="33"/>
      <c r="U278" s="33"/>
      <c r="V278" s="33"/>
      <c r="W278" s="33"/>
      <c r="X278" s="33"/>
      <c r="Y278" s="33"/>
      <c r="Z278" s="33"/>
      <c r="AA278" s="33"/>
      <c r="AB278" s="33"/>
    </row>
    <row r="279">
      <c r="A279" s="33"/>
      <c r="B279" s="33"/>
      <c r="C279" s="94"/>
      <c r="D279" s="33"/>
      <c r="E279" s="33"/>
      <c r="F279" s="33"/>
      <c r="G279" s="94"/>
      <c r="H279" s="33"/>
      <c r="I279" s="33"/>
      <c r="J279" s="33"/>
      <c r="K279" s="33"/>
      <c r="L279" s="33"/>
      <c r="M279" s="33"/>
      <c r="N279" s="33"/>
      <c r="O279" s="33"/>
      <c r="P279" s="33"/>
      <c r="Q279" s="33"/>
      <c r="R279" s="33"/>
      <c r="S279" s="33"/>
      <c r="T279" s="33"/>
      <c r="U279" s="33"/>
      <c r="V279" s="33"/>
      <c r="W279" s="33"/>
      <c r="X279" s="33"/>
      <c r="Y279" s="33"/>
      <c r="Z279" s="33"/>
      <c r="AA279" s="33"/>
      <c r="AB279" s="33"/>
    </row>
    <row r="280">
      <c r="A280" s="33"/>
      <c r="B280" s="33"/>
      <c r="C280" s="94"/>
      <c r="D280" s="33"/>
      <c r="E280" s="33"/>
      <c r="F280" s="33"/>
      <c r="G280" s="94"/>
      <c r="H280" s="33"/>
      <c r="I280" s="33"/>
      <c r="J280" s="33"/>
      <c r="K280" s="33"/>
      <c r="L280" s="33"/>
      <c r="M280" s="33"/>
      <c r="N280" s="33"/>
      <c r="O280" s="33"/>
      <c r="P280" s="33"/>
      <c r="Q280" s="33"/>
      <c r="R280" s="33"/>
      <c r="S280" s="33"/>
      <c r="T280" s="33"/>
      <c r="U280" s="33"/>
      <c r="V280" s="33"/>
      <c r="W280" s="33"/>
      <c r="X280" s="33"/>
      <c r="Y280" s="33"/>
      <c r="Z280" s="33"/>
      <c r="AA280" s="33"/>
      <c r="AB280" s="33"/>
    </row>
    <row r="281">
      <c r="A281" s="33"/>
      <c r="B281" s="33"/>
      <c r="C281" s="94"/>
      <c r="D281" s="33"/>
      <c r="E281" s="33"/>
      <c r="F281" s="33"/>
      <c r="G281" s="94"/>
      <c r="H281" s="33"/>
      <c r="I281" s="33"/>
      <c r="J281" s="33"/>
      <c r="K281" s="33"/>
      <c r="L281" s="33"/>
      <c r="M281" s="33"/>
      <c r="N281" s="33"/>
      <c r="O281" s="33"/>
      <c r="P281" s="33"/>
      <c r="Q281" s="33"/>
      <c r="R281" s="33"/>
      <c r="S281" s="33"/>
      <c r="T281" s="33"/>
      <c r="U281" s="33"/>
      <c r="V281" s="33"/>
      <c r="W281" s="33"/>
      <c r="X281" s="33"/>
      <c r="Y281" s="33"/>
      <c r="Z281" s="33"/>
      <c r="AA281" s="33"/>
      <c r="AB281" s="33"/>
    </row>
    <row r="282">
      <c r="A282" s="33"/>
      <c r="B282" s="33"/>
      <c r="C282" s="94"/>
      <c r="D282" s="33"/>
      <c r="E282" s="33"/>
      <c r="F282" s="33"/>
      <c r="G282" s="94"/>
      <c r="H282" s="33"/>
      <c r="I282" s="33"/>
      <c r="J282" s="33"/>
      <c r="K282" s="33"/>
      <c r="L282" s="33"/>
      <c r="M282" s="33"/>
      <c r="N282" s="33"/>
      <c r="O282" s="33"/>
      <c r="P282" s="33"/>
      <c r="Q282" s="33"/>
      <c r="R282" s="33"/>
      <c r="S282" s="33"/>
      <c r="T282" s="33"/>
      <c r="U282" s="33"/>
      <c r="V282" s="33"/>
      <c r="W282" s="33"/>
      <c r="X282" s="33"/>
      <c r="Y282" s="33"/>
      <c r="Z282" s="33"/>
      <c r="AA282" s="33"/>
      <c r="AB282" s="33"/>
    </row>
    <row r="283">
      <c r="A283" s="33"/>
      <c r="B283" s="33"/>
      <c r="C283" s="94"/>
      <c r="D283" s="33"/>
      <c r="E283" s="33"/>
      <c r="F283" s="33"/>
      <c r="G283" s="94"/>
      <c r="H283" s="33"/>
      <c r="I283" s="33"/>
      <c r="J283" s="33"/>
      <c r="K283" s="33"/>
      <c r="L283" s="33"/>
      <c r="M283" s="33"/>
      <c r="N283" s="33"/>
      <c r="O283" s="33"/>
      <c r="P283" s="33"/>
      <c r="Q283" s="33"/>
      <c r="R283" s="33"/>
      <c r="S283" s="33"/>
      <c r="T283" s="33"/>
      <c r="U283" s="33"/>
      <c r="V283" s="33"/>
      <c r="W283" s="33"/>
      <c r="X283" s="33"/>
      <c r="Y283" s="33"/>
      <c r="Z283" s="33"/>
      <c r="AA283" s="33"/>
      <c r="AB283" s="33"/>
    </row>
    <row r="284">
      <c r="A284" s="33"/>
      <c r="B284" s="33"/>
      <c r="C284" s="94"/>
      <c r="D284" s="33"/>
      <c r="E284" s="33"/>
      <c r="F284" s="33"/>
      <c r="G284" s="94"/>
      <c r="H284" s="33"/>
      <c r="I284" s="33"/>
      <c r="J284" s="33"/>
      <c r="K284" s="33"/>
      <c r="L284" s="33"/>
      <c r="M284" s="33"/>
      <c r="N284" s="33"/>
      <c r="O284" s="33"/>
      <c r="P284" s="33"/>
      <c r="Q284" s="33"/>
      <c r="R284" s="33"/>
      <c r="S284" s="33"/>
      <c r="T284" s="33"/>
      <c r="U284" s="33"/>
      <c r="V284" s="33"/>
      <c r="W284" s="33"/>
      <c r="X284" s="33"/>
      <c r="Y284" s="33"/>
      <c r="Z284" s="33"/>
      <c r="AA284" s="33"/>
      <c r="AB284" s="33"/>
    </row>
    <row r="285">
      <c r="A285" s="33"/>
      <c r="B285" s="33"/>
      <c r="C285" s="94"/>
      <c r="D285" s="33"/>
      <c r="E285" s="33"/>
      <c r="F285" s="33"/>
      <c r="G285" s="94"/>
      <c r="H285" s="33"/>
      <c r="I285" s="33"/>
      <c r="J285" s="33"/>
      <c r="K285" s="33"/>
      <c r="L285" s="33"/>
      <c r="M285" s="33"/>
      <c r="N285" s="33"/>
      <c r="O285" s="33"/>
      <c r="P285" s="33"/>
      <c r="Q285" s="33"/>
      <c r="R285" s="33"/>
      <c r="S285" s="33"/>
      <c r="T285" s="33"/>
      <c r="U285" s="33"/>
      <c r="V285" s="33"/>
      <c r="W285" s="33"/>
      <c r="X285" s="33"/>
      <c r="Y285" s="33"/>
      <c r="Z285" s="33"/>
      <c r="AA285" s="33"/>
      <c r="AB285" s="33"/>
    </row>
    <row r="286">
      <c r="A286" s="33"/>
      <c r="B286" s="33"/>
      <c r="C286" s="94"/>
      <c r="D286" s="33"/>
      <c r="E286" s="33"/>
      <c r="F286" s="33"/>
      <c r="G286" s="94"/>
      <c r="H286" s="33"/>
      <c r="I286" s="33"/>
      <c r="J286" s="33"/>
      <c r="K286" s="33"/>
      <c r="L286" s="33"/>
      <c r="M286" s="33"/>
      <c r="N286" s="33"/>
      <c r="O286" s="33"/>
      <c r="P286" s="33"/>
      <c r="Q286" s="33"/>
      <c r="R286" s="33"/>
      <c r="S286" s="33"/>
      <c r="T286" s="33"/>
      <c r="U286" s="33"/>
      <c r="V286" s="33"/>
      <c r="W286" s="33"/>
      <c r="X286" s="33"/>
      <c r="Y286" s="33"/>
      <c r="Z286" s="33"/>
      <c r="AA286" s="33"/>
      <c r="AB286" s="33"/>
    </row>
    <row r="287">
      <c r="A287" s="33"/>
      <c r="B287" s="33"/>
      <c r="C287" s="94"/>
      <c r="D287" s="33"/>
      <c r="E287" s="33"/>
      <c r="F287" s="33"/>
      <c r="G287" s="94"/>
      <c r="H287" s="33"/>
      <c r="I287" s="33"/>
      <c r="J287" s="33"/>
      <c r="K287" s="33"/>
      <c r="L287" s="33"/>
      <c r="M287" s="33"/>
      <c r="N287" s="33"/>
      <c r="O287" s="33"/>
      <c r="P287" s="33"/>
      <c r="Q287" s="33"/>
      <c r="R287" s="33"/>
      <c r="S287" s="33"/>
      <c r="T287" s="33"/>
      <c r="U287" s="33"/>
      <c r="V287" s="33"/>
      <c r="W287" s="33"/>
      <c r="X287" s="33"/>
      <c r="Y287" s="33"/>
      <c r="Z287" s="33"/>
      <c r="AA287" s="33"/>
      <c r="AB287" s="33"/>
    </row>
    <row r="288">
      <c r="A288" s="33"/>
      <c r="B288" s="33"/>
      <c r="C288" s="94"/>
      <c r="D288" s="33"/>
      <c r="E288" s="33"/>
      <c r="F288" s="33"/>
      <c r="G288" s="94"/>
      <c r="H288" s="33"/>
      <c r="I288" s="33"/>
      <c r="J288" s="33"/>
      <c r="K288" s="33"/>
      <c r="L288" s="33"/>
      <c r="M288" s="33"/>
      <c r="N288" s="33"/>
      <c r="O288" s="33"/>
      <c r="P288" s="33"/>
      <c r="Q288" s="33"/>
      <c r="R288" s="33"/>
      <c r="S288" s="33"/>
      <c r="T288" s="33"/>
      <c r="U288" s="33"/>
      <c r="V288" s="33"/>
      <c r="W288" s="33"/>
      <c r="X288" s="33"/>
      <c r="Y288" s="33"/>
      <c r="Z288" s="33"/>
      <c r="AA288" s="33"/>
      <c r="AB288" s="33"/>
    </row>
    <row r="289">
      <c r="A289" s="33"/>
      <c r="B289" s="33"/>
      <c r="C289" s="94"/>
      <c r="D289" s="33"/>
      <c r="E289" s="33"/>
      <c r="F289" s="33"/>
      <c r="G289" s="94"/>
      <c r="H289" s="33"/>
      <c r="I289" s="33"/>
      <c r="J289" s="33"/>
      <c r="K289" s="33"/>
      <c r="L289" s="33"/>
      <c r="M289" s="33"/>
      <c r="N289" s="33"/>
      <c r="O289" s="33"/>
      <c r="P289" s="33"/>
      <c r="Q289" s="33"/>
      <c r="R289" s="33"/>
      <c r="S289" s="33"/>
      <c r="T289" s="33"/>
      <c r="U289" s="33"/>
      <c r="V289" s="33"/>
      <c r="W289" s="33"/>
      <c r="X289" s="33"/>
      <c r="Y289" s="33"/>
      <c r="Z289" s="33"/>
      <c r="AA289" s="33"/>
      <c r="AB289" s="33"/>
    </row>
    <row r="290">
      <c r="A290" s="33"/>
      <c r="B290" s="33"/>
      <c r="C290" s="94"/>
      <c r="D290" s="33"/>
      <c r="E290" s="33"/>
      <c r="F290" s="33"/>
      <c r="G290" s="94"/>
      <c r="H290" s="33"/>
      <c r="I290" s="33"/>
      <c r="J290" s="33"/>
      <c r="K290" s="33"/>
      <c r="L290" s="33"/>
      <c r="M290" s="33"/>
      <c r="N290" s="33"/>
      <c r="O290" s="33"/>
      <c r="P290" s="33"/>
      <c r="Q290" s="33"/>
      <c r="R290" s="33"/>
      <c r="S290" s="33"/>
      <c r="T290" s="33"/>
      <c r="U290" s="33"/>
      <c r="V290" s="33"/>
      <c r="W290" s="33"/>
      <c r="X290" s="33"/>
      <c r="Y290" s="33"/>
      <c r="Z290" s="33"/>
      <c r="AA290" s="33"/>
      <c r="AB290" s="33"/>
    </row>
    <row r="291">
      <c r="A291" s="33"/>
      <c r="B291" s="33"/>
      <c r="C291" s="94"/>
      <c r="D291" s="33"/>
      <c r="E291" s="33"/>
      <c r="F291" s="33"/>
      <c r="G291" s="94"/>
      <c r="H291" s="33"/>
      <c r="I291" s="33"/>
      <c r="J291" s="33"/>
      <c r="K291" s="33"/>
      <c r="L291" s="33"/>
      <c r="M291" s="33"/>
      <c r="N291" s="33"/>
      <c r="O291" s="33"/>
      <c r="P291" s="33"/>
      <c r="Q291" s="33"/>
      <c r="R291" s="33"/>
      <c r="S291" s="33"/>
      <c r="T291" s="33"/>
      <c r="U291" s="33"/>
      <c r="V291" s="33"/>
      <c r="W291" s="33"/>
      <c r="X291" s="33"/>
      <c r="Y291" s="33"/>
      <c r="Z291" s="33"/>
      <c r="AA291" s="33"/>
      <c r="AB291" s="33"/>
    </row>
    <row r="292">
      <c r="A292" s="33"/>
      <c r="B292" s="33"/>
      <c r="C292" s="94"/>
      <c r="D292" s="33"/>
      <c r="E292" s="33"/>
      <c r="F292" s="33"/>
      <c r="G292" s="94"/>
      <c r="H292" s="33"/>
      <c r="I292" s="33"/>
      <c r="J292" s="33"/>
      <c r="K292" s="33"/>
      <c r="L292" s="33"/>
      <c r="M292" s="33"/>
      <c r="N292" s="33"/>
      <c r="O292" s="33"/>
      <c r="P292" s="33"/>
      <c r="Q292" s="33"/>
      <c r="R292" s="33"/>
      <c r="S292" s="33"/>
      <c r="T292" s="33"/>
      <c r="U292" s="33"/>
      <c r="V292" s="33"/>
      <c r="W292" s="33"/>
      <c r="X292" s="33"/>
      <c r="Y292" s="33"/>
      <c r="Z292" s="33"/>
      <c r="AA292" s="33"/>
      <c r="AB292" s="33"/>
    </row>
    <row r="293">
      <c r="A293" s="33"/>
      <c r="B293" s="33"/>
      <c r="C293" s="94"/>
      <c r="D293" s="33"/>
      <c r="E293" s="33"/>
      <c r="F293" s="33"/>
      <c r="G293" s="94"/>
      <c r="H293" s="33"/>
      <c r="I293" s="33"/>
      <c r="J293" s="33"/>
      <c r="K293" s="33"/>
      <c r="L293" s="33"/>
      <c r="M293" s="33"/>
      <c r="N293" s="33"/>
      <c r="O293" s="33"/>
      <c r="P293" s="33"/>
      <c r="Q293" s="33"/>
      <c r="R293" s="33"/>
      <c r="S293" s="33"/>
      <c r="T293" s="33"/>
      <c r="U293" s="33"/>
      <c r="V293" s="33"/>
      <c r="W293" s="33"/>
      <c r="X293" s="33"/>
      <c r="Y293" s="33"/>
      <c r="Z293" s="33"/>
      <c r="AA293" s="33"/>
      <c r="AB293" s="33"/>
    </row>
    <row r="294">
      <c r="A294" s="33"/>
      <c r="B294" s="33"/>
      <c r="C294" s="94"/>
      <c r="D294" s="33"/>
      <c r="E294" s="33"/>
      <c r="F294" s="33"/>
      <c r="G294" s="94"/>
      <c r="H294" s="33"/>
      <c r="I294" s="33"/>
      <c r="J294" s="33"/>
      <c r="K294" s="33"/>
      <c r="L294" s="33"/>
      <c r="M294" s="33"/>
      <c r="N294" s="33"/>
      <c r="O294" s="33"/>
      <c r="P294" s="33"/>
      <c r="Q294" s="33"/>
      <c r="R294" s="33"/>
      <c r="S294" s="33"/>
      <c r="T294" s="33"/>
      <c r="U294" s="33"/>
      <c r="V294" s="33"/>
      <c r="W294" s="33"/>
      <c r="X294" s="33"/>
      <c r="Y294" s="33"/>
      <c r="Z294" s="33"/>
      <c r="AA294" s="33"/>
      <c r="AB294" s="33"/>
    </row>
    <row r="295">
      <c r="A295" s="33"/>
      <c r="B295" s="33"/>
      <c r="C295" s="94"/>
      <c r="D295" s="33"/>
      <c r="E295" s="33"/>
      <c r="F295" s="33"/>
      <c r="G295" s="94"/>
      <c r="H295" s="33"/>
      <c r="I295" s="33"/>
      <c r="J295" s="33"/>
      <c r="K295" s="33"/>
      <c r="L295" s="33"/>
      <c r="M295" s="33"/>
      <c r="N295" s="33"/>
      <c r="O295" s="33"/>
      <c r="P295" s="33"/>
      <c r="Q295" s="33"/>
      <c r="R295" s="33"/>
      <c r="S295" s="33"/>
      <c r="T295" s="33"/>
      <c r="U295" s="33"/>
      <c r="V295" s="33"/>
      <c r="W295" s="33"/>
      <c r="X295" s="33"/>
      <c r="Y295" s="33"/>
      <c r="Z295" s="33"/>
      <c r="AA295" s="33"/>
      <c r="AB295" s="33"/>
    </row>
    <row r="296">
      <c r="A296" s="33"/>
      <c r="B296" s="33"/>
      <c r="C296" s="94"/>
      <c r="D296" s="33"/>
      <c r="E296" s="33"/>
      <c r="F296" s="33"/>
      <c r="G296" s="94"/>
      <c r="H296" s="33"/>
      <c r="I296" s="33"/>
      <c r="J296" s="33"/>
      <c r="K296" s="33"/>
      <c r="L296" s="33"/>
      <c r="M296" s="33"/>
      <c r="N296" s="33"/>
      <c r="O296" s="33"/>
      <c r="P296" s="33"/>
      <c r="Q296" s="33"/>
      <c r="R296" s="33"/>
      <c r="S296" s="33"/>
      <c r="T296" s="33"/>
      <c r="U296" s="33"/>
      <c r="V296" s="33"/>
      <c r="W296" s="33"/>
      <c r="X296" s="33"/>
      <c r="Y296" s="33"/>
      <c r="Z296" s="33"/>
      <c r="AA296" s="33"/>
      <c r="AB296" s="33"/>
    </row>
    <row r="297">
      <c r="A297" s="33"/>
      <c r="B297" s="33"/>
      <c r="C297" s="94"/>
      <c r="D297" s="33"/>
      <c r="E297" s="33"/>
      <c r="F297" s="33"/>
      <c r="G297" s="94"/>
      <c r="H297" s="33"/>
      <c r="I297" s="33"/>
      <c r="J297" s="33"/>
      <c r="K297" s="33"/>
      <c r="L297" s="33"/>
      <c r="M297" s="33"/>
      <c r="N297" s="33"/>
      <c r="O297" s="33"/>
      <c r="P297" s="33"/>
      <c r="Q297" s="33"/>
      <c r="R297" s="33"/>
      <c r="S297" s="33"/>
      <c r="T297" s="33"/>
      <c r="U297" s="33"/>
      <c r="V297" s="33"/>
      <c r="W297" s="33"/>
      <c r="X297" s="33"/>
      <c r="Y297" s="33"/>
      <c r="Z297" s="33"/>
      <c r="AA297" s="33"/>
      <c r="AB297" s="33"/>
    </row>
    <row r="298">
      <c r="A298" s="33"/>
      <c r="B298" s="33"/>
      <c r="C298" s="94"/>
      <c r="D298" s="33"/>
      <c r="E298" s="33"/>
      <c r="F298" s="33"/>
      <c r="G298" s="94"/>
      <c r="H298" s="33"/>
      <c r="I298" s="33"/>
      <c r="J298" s="33"/>
      <c r="K298" s="33"/>
      <c r="L298" s="33"/>
      <c r="M298" s="33"/>
      <c r="N298" s="33"/>
      <c r="O298" s="33"/>
      <c r="P298" s="33"/>
      <c r="Q298" s="33"/>
      <c r="R298" s="33"/>
      <c r="S298" s="33"/>
      <c r="T298" s="33"/>
      <c r="U298" s="33"/>
      <c r="V298" s="33"/>
      <c r="W298" s="33"/>
      <c r="X298" s="33"/>
      <c r="Y298" s="33"/>
      <c r="Z298" s="33"/>
      <c r="AA298" s="33"/>
      <c r="AB298" s="33"/>
    </row>
    <row r="299">
      <c r="A299" s="33"/>
      <c r="B299" s="33"/>
      <c r="C299" s="94"/>
      <c r="D299" s="33"/>
      <c r="E299" s="33"/>
      <c r="F299" s="33"/>
      <c r="G299" s="94"/>
      <c r="H299" s="33"/>
      <c r="I299" s="33"/>
      <c r="J299" s="33"/>
      <c r="K299" s="33"/>
      <c r="L299" s="33"/>
      <c r="M299" s="33"/>
      <c r="N299" s="33"/>
      <c r="O299" s="33"/>
      <c r="P299" s="33"/>
      <c r="Q299" s="33"/>
      <c r="R299" s="33"/>
      <c r="S299" s="33"/>
      <c r="T299" s="33"/>
      <c r="U299" s="33"/>
      <c r="V299" s="33"/>
      <c r="W299" s="33"/>
      <c r="X299" s="33"/>
      <c r="Y299" s="33"/>
      <c r="Z299" s="33"/>
      <c r="AA299" s="33"/>
      <c r="AB299" s="33"/>
    </row>
    <row r="300">
      <c r="A300" s="33"/>
      <c r="B300" s="33"/>
      <c r="C300" s="94"/>
      <c r="D300" s="33"/>
      <c r="E300" s="33"/>
      <c r="F300" s="33"/>
      <c r="G300" s="94"/>
      <c r="H300" s="33"/>
      <c r="I300" s="33"/>
      <c r="J300" s="33"/>
      <c r="K300" s="33"/>
      <c r="L300" s="33"/>
      <c r="M300" s="33"/>
      <c r="N300" s="33"/>
      <c r="O300" s="33"/>
      <c r="P300" s="33"/>
      <c r="Q300" s="33"/>
      <c r="R300" s="33"/>
      <c r="S300" s="33"/>
      <c r="T300" s="33"/>
      <c r="U300" s="33"/>
      <c r="V300" s="33"/>
      <c r="W300" s="33"/>
      <c r="X300" s="33"/>
      <c r="Y300" s="33"/>
      <c r="Z300" s="33"/>
      <c r="AA300" s="33"/>
      <c r="AB300" s="33"/>
    </row>
    <row r="301">
      <c r="A301" s="33"/>
      <c r="B301" s="33"/>
      <c r="C301" s="94"/>
      <c r="D301" s="33"/>
      <c r="E301" s="33"/>
      <c r="F301" s="33"/>
      <c r="G301" s="94"/>
      <c r="H301" s="33"/>
      <c r="I301" s="33"/>
      <c r="J301" s="33"/>
      <c r="K301" s="33"/>
      <c r="L301" s="33"/>
      <c r="M301" s="33"/>
      <c r="N301" s="33"/>
      <c r="O301" s="33"/>
      <c r="P301" s="33"/>
      <c r="Q301" s="33"/>
      <c r="R301" s="33"/>
      <c r="S301" s="33"/>
      <c r="T301" s="33"/>
      <c r="U301" s="33"/>
      <c r="V301" s="33"/>
      <c r="W301" s="33"/>
      <c r="X301" s="33"/>
      <c r="Y301" s="33"/>
      <c r="Z301" s="33"/>
      <c r="AA301" s="33"/>
      <c r="AB301" s="33"/>
    </row>
    <row r="302">
      <c r="A302" s="33"/>
      <c r="B302" s="33"/>
      <c r="C302" s="94"/>
      <c r="D302" s="33"/>
      <c r="E302" s="33"/>
      <c r="F302" s="33"/>
      <c r="G302" s="94"/>
      <c r="H302" s="33"/>
      <c r="I302" s="33"/>
      <c r="J302" s="33"/>
      <c r="K302" s="33"/>
      <c r="L302" s="33"/>
      <c r="M302" s="33"/>
      <c r="N302" s="33"/>
      <c r="O302" s="33"/>
      <c r="P302" s="33"/>
      <c r="Q302" s="33"/>
      <c r="R302" s="33"/>
      <c r="S302" s="33"/>
      <c r="T302" s="33"/>
      <c r="U302" s="33"/>
      <c r="V302" s="33"/>
      <c r="W302" s="33"/>
      <c r="X302" s="33"/>
      <c r="Y302" s="33"/>
      <c r="Z302" s="33"/>
      <c r="AA302" s="33"/>
      <c r="AB302" s="33"/>
    </row>
    <row r="303">
      <c r="A303" s="33"/>
      <c r="B303" s="33"/>
      <c r="C303" s="94"/>
      <c r="D303" s="33"/>
      <c r="E303" s="33"/>
      <c r="F303" s="33"/>
      <c r="G303" s="94"/>
      <c r="H303" s="33"/>
      <c r="I303" s="33"/>
      <c r="J303" s="33"/>
      <c r="K303" s="33"/>
      <c r="L303" s="33"/>
      <c r="M303" s="33"/>
      <c r="N303" s="33"/>
      <c r="O303" s="33"/>
      <c r="P303" s="33"/>
      <c r="Q303" s="33"/>
      <c r="R303" s="33"/>
      <c r="S303" s="33"/>
      <c r="T303" s="33"/>
      <c r="U303" s="33"/>
      <c r="V303" s="33"/>
      <c r="W303" s="33"/>
      <c r="X303" s="33"/>
      <c r="Y303" s="33"/>
      <c r="Z303" s="33"/>
      <c r="AA303" s="33"/>
      <c r="AB303" s="33"/>
    </row>
    <row r="304">
      <c r="A304" s="33"/>
      <c r="B304" s="33"/>
      <c r="C304" s="94"/>
      <c r="D304" s="33"/>
      <c r="E304" s="33"/>
      <c r="F304" s="33"/>
      <c r="G304" s="94"/>
      <c r="H304" s="33"/>
      <c r="I304" s="33"/>
      <c r="J304" s="33"/>
      <c r="K304" s="33"/>
      <c r="L304" s="33"/>
      <c r="M304" s="33"/>
      <c r="N304" s="33"/>
      <c r="O304" s="33"/>
      <c r="P304" s="33"/>
      <c r="Q304" s="33"/>
      <c r="R304" s="33"/>
      <c r="S304" s="33"/>
      <c r="T304" s="33"/>
      <c r="U304" s="33"/>
      <c r="V304" s="33"/>
      <c r="W304" s="33"/>
      <c r="X304" s="33"/>
      <c r="Y304" s="33"/>
      <c r="Z304" s="33"/>
      <c r="AA304" s="33"/>
      <c r="AB304" s="33"/>
    </row>
    <row r="305">
      <c r="A305" s="33"/>
      <c r="B305" s="33"/>
      <c r="C305" s="94"/>
      <c r="D305" s="33"/>
      <c r="E305" s="33"/>
      <c r="F305" s="33"/>
      <c r="G305" s="94"/>
      <c r="H305" s="33"/>
      <c r="I305" s="33"/>
      <c r="J305" s="33"/>
      <c r="K305" s="33"/>
      <c r="L305" s="33"/>
      <c r="M305" s="33"/>
      <c r="N305" s="33"/>
      <c r="O305" s="33"/>
      <c r="P305" s="33"/>
      <c r="Q305" s="33"/>
      <c r="R305" s="33"/>
      <c r="S305" s="33"/>
      <c r="T305" s="33"/>
      <c r="U305" s="33"/>
      <c r="V305" s="33"/>
      <c r="W305" s="33"/>
      <c r="X305" s="33"/>
      <c r="Y305" s="33"/>
      <c r="Z305" s="33"/>
      <c r="AA305" s="33"/>
      <c r="AB305" s="33"/>
    </row>
    <row r="306">
      <c r="A306" s="33"/>
      <c r="B306" s="33"/>
      <c r="C306" s="94"/>
      <c r="D306" s="33"/>
      <c r="E306" s="33"/>
      <c r="F306" s="33"/>
      <c r="G306" s="94"/>
      <c r="H306" s="33"/>
      <c r="I306" s="33"/>
      <c r="J306" s="33"/>
      <c r="K306" s="33"/>
      <c r="L306" s="33"/>
      <c r="M306" s="33"/>
      <c r="N306" s="33"/>
      <c r="O306" s="33"/>
      <c r="P306" s="33"/>
      <c r="Q306" s="33"/>
      <c r="R306" s="33"/>
      <c r="S306" s="33"/>
      <c r="T306" s="33"/>
      <c r="U306" s="33"/>
      <c r="V306" s="33"/>
      <c r="W306" s="33"/>
      <c r="X306" s="33"/>
      <c r="Y306" s="33"/>
      <c r="Z306" s="33"/>
      <c r="AA306" s="33"/>
      <c r="AB306" s="33"/>
    </row>
    <row r="307">
      <c r="A307" s="33"/>
      <c r="B307" s="33"/>
      <c r="C307" s="94"/>
      <c r="D307" s="33"/>
      <c r="E307" s="33"/>
      <c r="F307" s="33"/>
      <c r="G307" s="94"/>
      <c r="H307" s="33"/>
      <c r="I307" s="33"/>
      <c r="J307" s="33"/>
      <c r="K307" s="33"/>
      <c r="L307" s="33"/>
      <c r="M307" s="33"/>
      <c r="N307" s="33"/>
      <c r="O307" s="33"/>
      <c r="P307" s="33"/>
      <c r="Q307" s="33"/>
      <c r="R307" s="33"/>
      <c r="S307" s="33"/>
      <c r="T307" s="33"/>
      <c r="U307" s="33"/>
      <c r="V307" s="33"/>
      <c r="W307" s="33"/>
      <c r="X307" s="33"/>
      <c r="Y307" s="33"/>
      <c r="Z307" s="33"/>
      <c r="AA307" s="33"/>
      <c r="AB307" s="33"/>
    </row>
    <row r="308">
      <c r="A308" s="33"/>
      <c r="B308" s="33"/>
      <c r="C308" s="94"/>
      <c r="D308" s="33"/>
      <c r="E308" s="33"/>
      <c r="F308" s="33"/>
      <c r="G308" s="94"/>
      <c r="H308" s="33"/>
      <c r="I308" s="33"/>
      <c r="J308" s="33"/>
      <c r="K308" s="33"/>
      <c r="L308" s="33"/>
      <c r="M308" s="33"/>
      <c r="N308" s="33"/>
      <c r="O308" s="33"/>
      <c r="P308" s="33"/>
      <c r="Q308" s="33"/>
      <c r="R308" s="33"/>
      <c r="S308" s="33"/>
      <c r="T308" s="33"/>
      <c r="U308" s="33"/>
      <c r="V308" s="33"/>
      <c r="W308" s="33"/>
      <c r="X308" s="33"/>
      <c r="Y308" s="33"/>
      <c r="Z308" s="33"/>
      <c r="AA308" s="33"/>
      <c r="AB308" s="33"/>
    </row>
    <row r="309">
      <c r="A309" s="33"/>
      <c r="B309" s="33"/>
      <c r="C309" s="94"/>
      <c r="D309" s="33"/>
      <c r="E309" s="33"/>
      <c r="F309" s="33"/>
      <c r="G309" s="94"/>
      <c r="H309" s="33"/>
      <c r="I309" s="33"/>
      <c r="J309" s="33"/>
      <c r="K309" s="33"/>
      <c r="L309" s="33"/>
      <c r="M309" s="33"/>
      <c r="N309" s="33"/>
      <c r="O309" s="33"/>
      <c r="P309" s="33"/>
      <c r="Q309" s="33"/>
      <c r="R309" s="33"/>
      <c r="S309" s="33"/>
      <c r="T309" s="33"/>
      <c r="U309" s="33"/>
      <c r="V309" s="33"/>
      <c r="W309" s="33"/>
      <c r="X309" s="33"/>
      <c r="Y309" s="33"/>
      <c r="Z309" s="33"/>
      <c r="AA309" s="33"/>
      <c r="AB309" s="33"/>
    </row>
    <row r="310">
      <c r="A310" s="33"/>
      <c r="B310" s="33"/>
      <c r="C310" s="94"/>
      <c r="D310" s="33"/>
      <c r="E310" s="33"/>
      <c r="F310" s="33"/>
      <c r="G310" s="94"/>
      <c r="H310" s="33"/>
      <c r="I310" s="33"/>
      <c r="J310" s="33"/>
      <c r="K310" s="33"/>
      <c r="L310" s="33"/>
      <c r="M310" s="33"/>
      <c r="N310" s="33"/>
      <c r="O310" s="33"/>
      <c r="P310" s="33"/>
      <c r="Q310" s="33"/>
      <c r="R310" s="33"/>
      <c r="S310" s="33"/>
      <c r="T310" s="33"/>
      <c r="U310" s="33"/>
      <c r="V310" s="33"/>
      <c r="W310" s="33"/>
      <c r="X310" s="33"/>
      <c r="Y310" s="33"/>
      <c r="Z310" s="33"/>
      <c r="AA310" s="33"/>
      <c r="AB310" s="33"/>
    </row>
    <row r="311">
      <c r="A311" s="33"/>
      <c r="B311" s="33"/>
      <c r="C311" s="94"/>
      <c r="D311" s="33"/>
      <c r="E311" s="33"/>
      <c r="F311" s="33"/>
      <c r="G311" s="94"/>
      <c r="H311" s="33"/>
      <c r="I311" s="33"/>
      <c r="J311" s="33"/>
      <c r="K311" s="33"/>
      <c r="L311" s="33"/>
      <c r="M311" s="33"/>
      <c r="N311" s="33"/>
      <c r="O311" s="33"/>
      <c r="P311" s="33"/>
      <c r="Q311" s="33"/>
      <c r="R311" s="33"/>
      <c r="S311" s="33"/>
      <c r="T311" s="33"/>
      <c r="U311" s="33"/>
      <c r="V311" s="33"/>
      <c r="W311" s="33"/>
      <c r="X311" s="33"/>
      <c r="Y311" s="33"/>
      <c r="Z311" s="33"/>
      <c r="AA311" s="33"/>
      <c r="AB311" s="33"/>
    </row>
    <row r="312">
      <c r="A312" s="33"/>
      <c r="B312" s="33"/>
      <c r="C312" s="94"/>
      <c r="D312" s="33"/>
      <c r="E312" s="33"/>
      <c r="F312" s="33"/>
      <c r="G312" s="94"/>
      <c r="H312" s="33"/>
      <c r="I312" s="33"/>
      <c r="J312" s="33"/>
      <c r="K312" s="33"/>
      <c r="L312" s="33"/>
      <c r="M312" s="33"/>
      <c r="N312" s="33"/>
      <c r="O312" s="33"/>
      <c r="P312" s="33"/>
      <c r="Q312" s="33"/>
      <c r="R312" s="33"/>
      <c r="S312" s="33"/>
      <c r="T312" s="33"/>
      <c r="U312" s="33"/>
      <c r="V312" s="33"/>
      <c r="W312" s="33"/>
      <c r="X312" s="33"/>
      <c r="Y312" s="33"/>
      <c r="Z312" s="33"/>
      <c r="AA312" s="33"/>
      <c r="AB312" s="33"/>
    </row>
    <row r="313">
      <c r="A313" s="33"/>
      <c r="B313" s="33"/>
      <c r="C313" s="94"/>
      <c r="D313" s="33"/>
      <c r="E313" s="33"/>
      <c r="F313" s="33"/>
      <c r="G313" s="94"/>
      <c r="H313" s="33"/>
      <c r="I313" s="33"/>
      <c r="J313" s="33"/>
      <c r="K313" s="33"/>
      <c r="L313" s="33"/>
      <c r="M313" s="33"/>
      <c r="N313" s="33"/>
      <c r="O313" s="33"/>
      <c r="P313" s="33"/>
      <c r="Q313" s="33"/>
      <c r="R313" s="33"/>
      <c r="S313" s="33"/>
      <c r="T313" s="33"/>
      <c r="U313" s="33"/>
      <c r="V313" s="33"/>
      <c r="W313" s="33"/>
      <c r="X313" s="33"/>
      <c r="Y313" s="33"/>
      <c r="Z313" s="33"/>
      <c r="AA313" s="33"/>
      <c r="AB313" s="33"/>
    </row>
    <row r="314">
      <c r="A314" s="33"/>
      <c r="B314" s="33"/>
      <c r="C314" s="94"/>
      <c r="D314" s="33"/>
      <c r="E314" s="33"/>
      <c r="F314" s="33"/>
      <c r="G314" s="94"/>
      <c r="H314" s="33"/>
      <c r="I314" s="33"/>
      <c r="J314" s="33"/>
      <c r="K314" s="33"/>
      <c r="L314" s="33"/>
      <c r="M314" s="33"/>
      <c r="N314" s="33"/>
      <c r="O314" s="33"/>
      <c r="P314" s="33"/>
      <c r="Q314" s="33"/>
      <c r="R314" s="33"/>
      <c r="S314" s="33"/>
      <c r="T314" s="33"/>
      <c r="U314" s="33"/>
      <c r="V314" s="33"/>
      <c r="W314" s="33"/>
      <c r="X314" s="33"/>
      <c r="Y314" s="33"/>
      <c r="Z314" s="33"/>
      <c r="AA314" s="33"/>
      <c r="AB314" s="33"/>
    </row>
    <row r="315">
      <c r="A315" s="33"/>
      <c r="B315" s="33"/>
      <c r="C315" s="94"/>
      <c r="D315" s="33"/>
      <c r="E315" s="33"/>
      <c r="F315" s="33"/>
      <c r="G315" s="94"/>
      <c r="H315" s="33"/>
      <c r="I315" s="33"/>
      <c r="J315" s="33"/>
      <c r="K315" s="33"/>
      <c r="L315" s="33"/>
      <c r="M315" s="33"/>
      <c r="N315" s="33"/>
      <c r="O315" s="33"/>
      <c r="P315" s="33"/>
      <c r="Q315" s="33"/>
      <c r="R315" s="33"/>
      <c r="S315" s="33"/>
      <c r="T315" s="33"/>
      <c r="U315" s="33"/>
      <c r="V315" s="33"/>
      <c r="W315" s="33"/>
      <c r="X315" s="33"/>
      <c r="Y315" s="33"/>
      <c r="Z315" s="33"/>
      <c r="AA315" s="33"/>
      <c r="AB315" s="33"/>
    </row>
    <row r="316">
      <c r="A316" s="33"/>
      <c r="B316" s="33"/>
      <c r="C316" s="94"/>
      <c r="D316" s="33"/>
      <c r="E316" s="33"/>
      <c r="F316" s="33"/>
      <c r="G316" s="94"/>
      <c r="H316" s="33"/>
      <c r="I316" s="33"/>
      <c r="J316" s="33"/>
      <c r="K316" s="33"/>
      <c r="L316" s="33"/>
      <c r="M316" s="33"/>
      <c r="N316" s="33"/>
      <c r="O316" s="33"/>
      <c r="P316" s="33"/>
      <c r="Q316" s="33"/>
      <c r="R316" s="33"/>
      <c r="S316" s="33"/>
      <c r="T316" s="33"/>
      <c r="U316" s="33"/>
      <c r="V316" s="33"/>
      <c r="W316" s="33"/>
      <c r="X316" s="33"/>
      <c r="Y316" s="33"/>
      <c r="Z316" s="33"/>
      <c r="AA316" s="33"/>
      <c r="AB316" s="33"/>
    </row>
    <row r="317">
      <c r="A317" s="33"/>
      <c r="B317" s="33"/>
      <c r="C317" s="94"/>
      <c r="D317" s="33"/>
      <c r="E317" s="33"/>
      <c r="F317" s="33"/>
      <c r="G317" s="94"/>
      <c r="H317" s="33"/>
      <c r="I317" s="33"/>
      <c r="J317" s="33"/>
      <c r="K317" s="33"/>
      <c r="L317" s="33"/>
      <c r="M317" s="33"/>
      <c r="N317" s="33"/>
      <c r="O317" s="33"/>
      <c r="P317" s="33"/>
      <c r="Q317" s="33"/>
      <c r="R317" s="33"/>
      <c r="S317" s="33"/>
      <c r="T317" s="33"/>
      <c r="U317" s="33"/>
      <c r="V317" s="33"/>
      <c r="W317" s="33"/>
      <c r="X317" s="33"/>
      <c r="Y317" s="33"/>
      <c r="Z317" s="33"/>
      <c r="AA317" s="33"/>
      <c r="AB317" s="33"/>
    </row>
    <row r="318">
      <c r="A318" s="33"/>
      <c r="B318" s="33"/>
      <c r="C318" s="94"/>
      <c r="D318" s="33"/>
      <c r="E318" s="33"/>
      <c r="F318" s="33"/>
      <c r="G318" s="94"/>
      <c r="H318" s="33"/>
      <c r="I318" s="33"/>
      <c r="J318" s="33"/>
      <c r="K318" s="33"/>
      <c r="L318" s="33"/>
      <c r="M318" s="33"/>
      <c r="N318" s="33"/>
      <c r="O318" s="33"/>
      <c r="P318" s="33"/>
      <c r="Q318" s="33"/>
      <c r="R318" s="33"/>
      <c r="S318" s="33"/>
      <c r="T318" s="33"/>
      <c r="U318" s="33"/>
      <c r="V318" s="33"/>
      <c r="W318" s="33"/>
      <c r="X318" s="33"/>
      <c r="Y318" s="33"/>
      <c r="Z318" s="33"/>
      <c r="AA318" s="33"/>
      <c r="AB318" s="33"/>
    </row>
    <row r="319">
      <c r="A319" s="33"/>
      <c r="B319" s="33"/>
      <c r="C319" s="94"/>
      <c r="D319" s="33"/>
      <c r="E319" s="33"/>
      <c r="F319" s="33"/>
      <c r="G319" s="94"/>
      <c r="H319" s="33"/>
      <c r="I319" s="33"/>
      <c r="J319" s="33"/>
      <c r="K319" s="33"/>
      <c r="L319" s="33"/>
      <c r="M319" s="33"/>
      <c r="N319" s="33"/>
      <c r="O319" s="33"/>
      <c r="P319" s="33"/>
      <c r="Q319" s="33"/>
      <c r="R319" s="33"/>
      <c r="S319" s="33"/>
      <c r="T319" s="33"/>
      <c r="U319" s="33"/>
      <c r="V319" s="33"/>
      <c r="W319" s="33"/>
      <c r="X319" s="33"/>
      <c r="Y319" s="33"/>
      <c r="Z319" s="33"/>
      <c r="AA319" s="33"/>
      <c r="AB319" s="33"/>
    </row>
    <row r="320">
      <c r="A320" s="33"/>
      <c r="B320" s="33"/>
      <c r="C320" s="94"/>
      <c r="D320" s="33"/>
      <c r="E320" s="33"/>
      <c r="F320" s="33"/>
      <c r="G320" s="94"/>
      <c r="H320" s="33"/>
      <c r="I320" s="33"/>
      <c r="J320" s="33"/>
      <c r="K320" s="33"/>
      <c r="L320" s="33"/>
      <c r="M320" s="33"/>
      <c r="N320" s="33"/>
      <c r="O320" s="33"/>
      <c r="P320" s="33"/>
      <c r="Q320" s="33"/>
      <c r="R320" s="33"/>
      <c r="S320" s="33"/>
      <c r="T320" s="33"/>
      <c r="U320" s="33"/>
      <c r="V320" s="33"/>
      <c r="W320" s="33"/>
      <c r="X320" s="33"/>
      <c r="Y320" s="33"/>
      <c r="Z320" s="33"/>
      <c r="AA320" s="33"/>
      <c r="AB320" s="33"/>
    </row>
    <row r="321">
      <c r="A321" s="33"/>
      <c r="B321" s="33"/>
      <c r="C321" s="94"/>
      <c r="D321" s="33"/>
      <c r="E321" s="33"/>
      <c r="F321" s="33"/>
      <c r="G321" s="94"/>
      <c r="H321" s="33"/>
      <c r="I321" s="33"/>
      <c r="J321" s="33"/>
      <c r="K321" s="33"/>
      <c r="L321" s="33"/>
      <c r="M321" s="33"/>
      <c r="N321" s="33"/>
      <c r="O321" s="33"/>
      <c r="P321" s="33"/>
      <c r="Q321" s="33"/>
      <c r="R321" s="33"/>
      <c r="S321" s="33"/>
      <c r="T321" s="33"/>
      <c r="U321" s="33"/>
      <c r="V321" s="33"/>
      <c r="W321" s="33"/>
      <c r="X321" s="33"/>
      <c r="Y321" s="33"/>
      <c r="Z321" s="33"/>
      <c r="AA321" s="33"/>
      <c r="AB321" s="33"/>
    </row>
    <row r="322">
      <c r="A322" s="33"/>
      <c r="B322" s="33"/>
      <c r="C322" s="94"/>
      <c r="D322" s="33"/>
      <c r="E322" s="33"/>
      <c r="F322" s="33"/>
      <c r="G322" s="94"/>
      <c r="H322" s="33"/>
      <c r="I322" s="33"/>
      <c r="J322" s="33"/>
      <c r="K322" s="33"/>
      <c r="L322" s="33"/>
      <c r="M322" s="33"/>
      <c r="N322" s="33"/>
      <c r="O322" s="33"/>
      <c r="P322" s="33"/>
      <c r="Q322" s="33"/>
      <c r="R322" s="33"/>
      <c r="S322" s="33"/>
      <c r="T322" s="33"/>
      <c r="U322" s="33"/>
      <c r="V322" s="33"/>
      <c r="W322" s="33"/>
      <c r="X322" s="33"/>
      <c r="Y322" s="33"/>
      <c r="Z322" s="33"/>
      <c r="AA322" s="33"/>
      <c r="AB322" s="33"/>
    </row>
    <row r="323">
      <c r="A323" s="33"/>
      <c r="B323" s="33"/>
      <c r="C323" s="94"/>
      <c r="D323" s="33"/>
      <c r="E323" s="33"/>
      <c r="F323" s="33"/>
      <c r="G323" s="94"/>
      <c r="H323" s="33"/>
      <c r="I323" s="33"/>
      <c r="J323" s="33"/>
      <c r="K323" s="33"/>
      <c r="L323" s="33"/>
      <c r="M323" s="33"/>
      <c r="N323" s="33"/>
      <c r="O323" s="33"/>
      <c r="P323" s="33"/>
      <c r="Q323" s="33"/>
      <c r="R323" s="33"/>
      <c r="S323" s="33"/>
      <c r="T323" s="33"/>
      <c r="U323" s="33"/>
      <c r="V323" s="33"/>
      <c r="W323" s="33"/>
      <c r="X323" s="33"/>
      <c r="Y323" s="33"/>
      <c r="Z323" s="33"/>
      <c r="AA323" s="33"/>
      <c r="AB323" s="33"/>
    </row>
    <row r="324">
      <c r="A324" s="33"/>
      <c r="B324" s="33"/>
      <c r="C324" s="94"/>
      <c r="D324" s="33"/>
      <c r="E324" s="33"/>
      <c r="F324" s="33"/>
      <c r="G324" s="94"/>
      <c r="H324" s="33"/>
      <c r="I324" s="33"/>
      <c r="J324" s="33"/>
      <c r="K324" s="33"/>
      <c r="L324" s="33"/>
      <c r="M324" s="33"/>
      <c r="N324" s="33"/>
      <c r="O324" s="33"/>
      <c r="P324" s="33"/>
      <c r="Q324" s="33"/>
      <c r="R324" s="33"/>
      <c r="S324" s="33"/>
      <c r="T324" s="33"/>
      <c r="U324" s="33"/>
      <c r="V324" s="33"/>
      <c r="W324" s="33"/>
      <c r="X324" s="33"/>
      <c r="Y324" s="33"/>
      <c r="Z324" s="33"/>
      <c r="AA324" s="33"/>
      <c r="AB324" s="33"/>
    </row>
    <row r="325">
      <c r="A325" s="33"/>
      <c r="B325" s="33"/>
      <c r="C325" s="94"/>
      <c r="D325" s="33"/>
      <c r="E325" s="33"/>
      <c r="F325" s="33"/>
      <c r="G325" s="94"/>
      <c r="H325" s="33"/>
      <c r="I325" s="33"/>
      <c r="J325" s="33"/>
      <c r="K325" s="33"/>
      <c r="L325" s="33"/>
      <c r="M325" s="33"/>
      <c r="N325" s="33"/>
      <c r="O325" s="33"/>
      <c r="P325" s="33"/>
      <c r="Q325" s="33"/>
      <c r="R325" s="33"/>
      <c r="S325" s="33"/>
      <c r="T325" s="33"/>
      <c r="U325" s="33"/>
      <c r="V325" s="33"/>
      <c r="W325" s="33"/>
      <c r="X325" s="33"/>
      <c r="Y325" s="33"/>
      <c r="Z325" s="33"/>
      <c r="AA325" s="33"/>
      <c r="AB325" s="33"/>
    </row>
    <row r="326">
      <c r="A326" s="33"/>
      <c r="B326" s="33"/>
      <c r="C326" s="94"/>
      <c r="D326" s="33"/>
      <c r="E326" s="33"/>
      <c r="F326" s="33"/>
      <c r="G326" s="94"/>
      <c r="H326" s="33"/>
      <c r="I326" s="33"/>
      <c r="J326" s="33"/>
      <c r="K326" s="33"/>
      <c r="L326" s="33"/>
      <c r="M326" s="33"/>
      <c r="N326" s="33"/>
      <c r="O326" s="33"/>
      <c r="P326" s="33"/>
      <c r="Q326" s="33"/>
      <c r="R326" s="33"/>
      <c r="S326" s="33"/>
      <c r="T326" s="33"/>
      <c r="U326" s="33"/>
      <c r="V326" s="33"/>
      <c r="W326" s="33"/>
      <c r="X326" s="33"/>
      <c r="Y326" s="33"/>
      <c r="Z326" s="33"/>
      <c r="AA326" s="33"/>
      <c r="AB326" s="33"/>
    </row>
    <row r="327">
      <c r="A327" s="33"/>
      <c r="B327" s="33"/>
      <c r="C327" s="94"/>
      <c r="D327" s="33"/>
      <c r="E327" s="33"/>
      <c r="F327" s="33"/>
      <c r="G327" s="94"/>
      <c r="H327" s="33"/>
      <c r="I327" s="33"/>
      <c r="J327" s="33"/>
      <c r="K327" s="33"/>
      <c r="L327" s="33"/>
      <c r="M327" s="33"/>
      <c r="N327" s="33"/>
      <c r="O327" s="33"/>
      <c r="P327" s="33"/>
      <c r="Q327" s="33"/>
      <c r="R327" s="33"/>
      <c r="S327" s="33"/>
      <c r="T327" s="33"/>
      <c r="U327" s="33"/>
      <c r="V327" s="33"/>
      <c r="W327" s="33"/>
      <c r="X327" s="33"/>
      <c r="Y327" s="33"/>
      <c r="Z327" s="33"/>
      <c r="AA327" s="33"/>
      <c r="AB327" s="33"/>
    </row>
    <row r="328">
      <c r="A328" s="33"/>
      <c r="B328" s="33"/>
      <c r="C328" s="94"/>
      <c r="D328" s="33"/>
      <c r="E328" s="33"/>
      <c r="F328" s="33"/>
      <c r="G328" s="94"/>
      <c r="H328" s="33"/>
      <c r="I328" s="33"/>
      <c r="J328" s="33"/>
      <c r="K328" s="33"/>
      <c r="L328" s="33"/>
      <c r="M328" s="33"/>
      <c r="N328" s="33"/>
      <c r="O328" s="33"/>
      <c r="P328" s="33"/>
      <c r="Q328" s="33"/>
      <c r="R328" s="33"/>
      <c r="S328" s="33"/>
      <c r="T328" s="33"/>
      <c r="U328" s="33"/>
      <c r="V328" s="33"/>
      <c r="W328" s="33"/>
      <c r="X328" s="33"/>
      <c r="Y328" s="33"/>
      <c r="Z328" s="33"/>
      <c r="AA328" s="33"/>
      <c r="AB328" s="33"/>
    </row>
    <row r="329">
      <c r="A329" s="33"/>
      <c r="B329" s="33"/>
      <c r="C329" s="94"/>
      <c r="D329" s="33"/>
      <c r="E329" s="33"/>
      <c r="F329" s="33"/>
      <c r="G329" s="94"/>
      <c r="H329" s="33"/>
      <c r="I329" s="33"/>
      <c r="J329" s="33"/>
      <c r="K329" s="33"/>
      <c r="L329" s="33"/>
      <c r="M329" s="33"/>
      <c r="N329" s="33"/>
      <c r="O329" s="33"/>
      <c r="P329" s="33"/>
      <c r="Q329" s="33"/>
      <c r="R329" s="33"/>
      <c r="S329" s="33"/>
      <c r="T329" s="33"/>
      <c r="U329" s="33"/>
      <c r="V329" s="33"/>
      <c r="W329" s="33"/>
      <c r="X329" s="33"/>
      <c r="Y329" s="33"/>
      <c r="Z329" s="33"/>
      <c r="AA329" s="33"/>
      <c r="AB329" s="33"/>
    </row>
    <row r="330">
      <c r="A330" s="33"/>
      <c r="B330" s="33"/>
      <c r="C330" s="94"/>
      <c r="D330" s="33"/>
      <c r="E330" s="33"/>
      <c r="F330" s="33"/>
      <c r="G330" s="94"/>
      <c r="H330" s="33"/>
      <c r="I330" s="33"/>
      <c r="J330" s="33"/>
      <c r="K330" s="33"/>
      <c r="L330" s="33"/>
      <c r="M330" s="33"/>
      <c r="N330" s="33"/>
      <c r="O330" s="33"/>
      <c r="P330" s="33"/>
      <c r="Q330" s="33"/>
      <c r="R330" s="33"/>
      <c r="S330" s="33"/>
      <c r="T330" s="33"/>
      <c r="U330" s="33"/>
      <c r="V330" s="33"/>
      <c r="W330" s="33"/>
      <c r="X330" s="33"/>
      <c r="Y330" s="33"/>
      <c r="Z330" s="33"/>
      <c r="AA330" s="33"/>
      <c r="AB330" s="33"/>
    </row>
    <row r="331">
      <c r="A331" s="33"/>
      <c r="B331" s="33"/>
      <c r="C331" s="94"/>
      <c r="D331" s="33"/>
      <c r="E331" s="33"/>
      <c r="F331" s="33"/>
      <c r="G331" s="94"/>
      <c r="H331" s="33"/>
      <c r="I331" s="33"/>
      <c r="J331" s="33"/>
      <c r="K331" s="33"/>
      <c r="L331" s="33"/>
      <c r="M331" s="33"/>
      <c r="N331" s="33"/>
      <c r="O331" s="33"/>
      <c r="P331" s="33"/>
      <c r="Q331" s="33"/>
      <c r="R331" s="33"/>
      <c r="S331" s="33"/>
      <c r="T331" s="33"/>
      <c r="U331" s="33"/>
      <c r="V331" s="33"/>
      <c r="W331" s="33"/>
      <c r="X331" s="33"/>
      <c r="Y331" s="33"/>
      <c r="Z331" s="33"/>
      <c r="AA331" s="33"/>
      <c r="AB331" s="33"/>
    </row>
    <row r="332">
      <c r="A332" s="33"/>
      <c r="B332" s="33"/>
      <c r="C332" s="94"/>
      <c r="D332" s="33"/>
      <c r="E332" s="33"/>
      <c r="F332" s="33"/>
      <c r="G332" s="94"/>
      <c r="H332" s="33"/>
      <c r="I332" s="33"/>
      <c r="J332" s="33"/>
      <c r="K332" s="33"/>
      <c r="L332" s="33"/>
      <c r="M332" s="33"/>
      <c r="N332" s="33"/>
      <c r="O332" s="33"/>
      <c r="P332" s="33"/>
      <c r="Q332" s="33"/>
      <c r="R332" s="33"/>
      <c r="S332" s="33"/>
      <c r="T332" s="33"/>
      <c r="U332" s="33"/>
      <c r="V332" s="33"/>
      <c r="W332" s="33"/>
      <c r="X332" s="33"/>
      <c r="Y332" s="33"/>
      <c r="Z332" s="33"/>
      <c r="AA332" s="33"/>
      <c r="AB332" s="33"/>
    </row>
    <row r="333">
      <c r="A333" s="33"/>
      <c r="B333" s="33"/>
      <c r="C333" s="94"/>
      <c r="D333" s="33"/>
      <c r="E333" s="33"/>
      <c r="F333" s="33"/>
      <c r="G333" s="94"/>
      <c r="H333" s="33"/>
      <c r="I333" s="33"/>
      <c r="J333" s="33"/>
      <c r="K333" s="33"/>
      <c r="L333" s="33"/>
      <c r="M333" s="33"/>
      <c r="N333" s="33"/>
      <c r="O333" s="33"/>
      <c r="P333" s="33"/>
      <c r="Q333" s="33"/>
      <c r="R333" s="33"/>
      <c r="S333" s="33"/>
      <c r="T333" s="33"/>
      <c r="U333" s="33"/>
      <c r="V333" s="33"/>
      <c r="W333" s="33"/>
      <c r="X333" s="33"/>
      <c r="Y333" s="33"/>
      <c r="Z333" s="33"/>
      <c r="AA333" s="33"/>
      <c r="AB333" s="33"/>
    </row>
    <row r="334">
      <c r="A334" s="33"/>
      <c r="B334" s="33"/>
      <c r="C334" s="94"/>
      <c r="D334" s="33"/>
      <c r="E334" s="33"/>
      <c r="F334" s="33"/>
      <c r="G334" s="94"/>
      <c r="H334" s="33"/>
      <c r="I334" s="33"/>
      <c r="J334" s="33"/>
      <c r="K334" s="33"/>
      <c r="L334" s="33"/>
      <c r="M334" s="33"/>
      <c r="N334" s="33"/>
      <c r="O334" s="33"/>
      <c r="P334" s="33"/>
      <c r="Q334" s="33"/>
      <c r="R334" s="33"/>
      <c r="S334" s="33"/>
      <c r="T334" s="33"/>
      <c r="U334" s="33"/>
      <c r="V334" s="33"/>
      <c r="W334" s="33"/>
      <c r="X334" s="33"/>
      <c r="Y334" s="33"/>
      <c r="Z334" s="33"/>
      <c r="AA334" s="33"/>
      <c r="AB334" s="33"/>
    </row>
    <row r="335">
      <c r="A335" s="33"/>
      <c r="B335" s="33"/>
      <c r="C335" s="94"/>
      <c r="D335" s="33"/>
      <c r="E335" s="33"/>
      <c r="F335" s="33"/>
      <c r="G335" s="94"/>
      <c r="H335" s="33"/>
      <c r="I335" s="33"/>
      <c r="J335" s="33"/>
      <c r="K335" s="33"/>
      <c r="L335" s="33"/>
      <c r="M335" s="33"/>
      <c r="N335" s="33"/>
      <c r="O335" s="33"/>
      <c r="P335" s="33"/>
      <c r="Q335" s="33"/>
      <c r="R335" s="33"/>
      <c r="S335" s="33"/>
      <c r="T335" s="33"/>
      <c r="U335" s="33"/>
      <c r="V335" s="33"/>
      <c r="W335" s="33"/>
      <c r="X335" s="33"/>
      <c r="Y335" s="33"/>
      <c r="Z335" s="33"/>
      <c r="AA335" s="33"/>
      <c r="AB335" s="33"/>
    </row>
    <row r="336">
      <c r="A336" s="33"/>
      <c r="B336" s="33"/>
      <c r="C336" s="94"/>
      <c r="D336" s="33"/>
      <c r="E336" s="33"/>
      <c r="F336" s="33"/>
      <c r="G336" s="94"/>
      <c r="H336" s="33"/>
      <c r="I336" s="33"/>
      <c r="J336" s="33"/>
      <c r="K336" s="33"/>
      <c r="L336" s="33"/>
      <c r="M336" s="33"/>
      <c r="N336" s="33"/>
      <c r="O336" s="33"/>
      <c r="P336" s="33"/>
      <c r="Q336" s="33"/>
      <c r="R336" s="33"/>
      <c r="S336" s="33"/>
      <c r="T336" s="33"/>
      <c r="U336" s="33"/>
      <c r="V336" s="33"/>
      <c r="W336" s="33"/>
      <c r="X336" s="33"/>
      <c r="Y336" s="33"/>
      <c r="Z336" s="33"/>
      <c r="AA336" s="33"/>
      <c r="AB336" s="33"/>
    </row>
    <row r="337">
      <c r="A337" s="33"/>
      <c r="B337" s="33"/>
      <c r="C337" s="94"/>
      <c r="D337" s="33"/>
      <c r="E337" s="33"/>
      <c r="F337" s="33"/>
      <c r="G337" s="94"/>
      <c r="H337" s="33"/>
      <c r="I337" s="33"/>
      <c r="J337" s="33"/>
      <c r="K337" s="33"/>
      <c r="L337" s="33"/>
      <c r="M337" s="33"/>
      <c r="N337" s="33"/>
      <c r="O337" s="33"/>
      <c r="P337" s="33"/>
      <c r="Q337" s="33"/>
      <c r="R337" s="33"/>
      <c r="S337" s="33"/>
      <c r="T337" s="33"/>
      <c r="U337" s="33"/>
      <c r="V337" s="33"/>
      <c r="W337" s="33"/>
      <c r="X337" s="33"/>
      <c r="Y337" s="33"/>
      <c r="Z337" s="33"/>
      <c r="AA337" s="33"/>
      <c r="AB337" s="33"/>
    </row>
    <row r="338">
      <c r="A338" s="33"/>
      <c r="B338" s="33"/>
      <c r="C338" s="94"/>
      <c r="D338" s="33"/>
      <c r="E338" s="33"/>
      <c r="F338" s="33"/>
      <c r="G338" s="94"/>
      <c r="H338" s="33"/>
      <c r="I338" s="33"/>
      <c r="J338" s="33"/>
      <c r="K338" s="33"/>
      <c r="L338" s="33"/>
      <c r="M338" s="33"/>
      <c r="N338" s="33"/>
      <c r="O338" s="33"/>
      <c r="P338" s="33"/>
      <c r="Q338" s="33"/>
      <c r="R338" s="33"/>
      <c r="S338" s="33"/>
      <c r="T338" s="33"/>
      <c r="U338" s="33"/>
      <c r="V338" s="33"/>
      <c r="W338" s="33"/>
      <c r="X338" s="33"/>
      <c r="Y338" s="33"/>
      <c r="Z338" s="33"/>
      <c r="AA338" s="33"/>
      <c r="AB338" s="33"/>
    </row>
    <row r="339">
      <c r="A339" s="33"/>
      <c r="B339" s="33"/>
      <c r="C339" s="94"/>
      <c r="D339" s="33"/>
      <c r="E339" s="33"/>
      <c r="F339" s="33"/>
      <c r="G339" s="94"/>
      <c r="H339" s="33"/>
      <c r="I339" s="33"/>
      <c r="J339" s="33"/>
      <c r="K339" s="33"/>
      <c r="L339" s="33"/>
      <c r="M339" s="33"/>
      <c r="N339" s="33"/>
      <c r="O339" s="33"/>
      <c r="P339" s="33"/>
      <c r="Q339" s="33"/>
      <c r="R339" s="33"/>
      <c r="S339" s="33"/>
      <c r="T339" s="33"/>
      <c r="U339" s="33"/>
      <c r="V339" s="33"/>
      <c r="W339" s="33"/>
      <c r="X339" s="33"/>
      <c r="Y339" s="33"/>
      <c r="Z339" s="33"/>
      <c r="AA339" s="33"/>
      <c r="AB339" s="33"/>
    </row>
    <row r="340">
      <c r="A340" s="33"/>
      <c r="B340" s="33"/>
      <c r="C340" s="94"/>
      <c r="D340" s="33"/>
      <c r="E340" s="33"/>
      <c r="F340" s="33"/>
      <c r="G340" s="94"/>
      <c r="H340" s="33"/>
      <c r="I340" s="33"/>
      <c r="J340" s="33"/>
      <c r="K340" s="33"/>
      <c r="L340" s="33"/>
      <c r="M340" s="33"/>
      <c r="N340" s="33"/>
      <c r="O340" s="33"/>
      <c r="P340" s="33"/>
      <c r="Q340" s="33"/>
      <c r="R340" s="33"/>
      <c r="S340" s="33"/>
      <c r="T340" s="33"/>
      <c r="U340" s="33"/>
      <c r="V340" s="33"/>
      <c r="W340" s="33"/>
      <c r="X340" s="33"/>
      <c r="Y340" s="33"/>
      <c r="Z340" s="33"/>
      <c r="AA340" s="33"/>
      <c r="AB340" s="33"/>
    </row>
    <row r="341">
      <c r="A341" s="33"/>
      <c r="B341" s="33"/>
      <c r="C341" s="94"/>
      <c r="D341" s="33"/>
      <c r="E341" s="33"/>
      <c r="F341" s="33"/>
      <c r="G341" s="94"/>
      <c r="H341" s="33"/>
      <c r="I341" s="33"/>
      <c r="J341" s="33"/>
      <c r="K341" s="33"/>
      <c r="L341" s="33"/>
      <c r="M341" s="33"/>
      <c r="N341" s="33"/>
      <c r="O341" s="33"/>
      <c r="P341" s="33"/>
      <c r="Q341" s="33"/>
      <c r="R341" s="33"/>
      <c r="S341" s="33"/>
      <c r="T341" s="33"/>
      <c r="U341" s="33"/>
      <c r="V341" s="33"/>
      <c r="W341" s="33"/>
      <c r="X341" s="33"/>
      <c r="Y341" s="33"/>
      <c r="Z341" s="33"/>
      <c r="AA341" s="33"/>
      <c r="AB341" s="33"/>
    </row>
    <row r="342">
      <c r="A342" s="33"/>
      <c r="B342" s="33"/>
      <c r="C342" s="94"/>
      <c r="D342" s="33"/>
      <c r="E342" s="33"/>
      <c r="F342" s="33"/>
      <c r="G342" s="94"/>
      <c r="H342" s="33"/>
      <c r="I342" s="33"/>
      <c r="J342" s="33"/>
      <c r="K342" s="33"/>
      <c r="L342" s="33"/>
      <c r="M342" s="33"/>
      <c r="N342" s="33"/>
      <c r="O342" s="33"/>
      <c r="P342" s="33"/>
      <c r="Q342" s="33"/>
      <c r="R342" s="33"/>
      <c r="S342" s="33"/>
      <c r="T342" s="33"/>
      <c r="U342" s="33"/>
      <c r="V342" s="33"/>
      <c r="W342" s="33"/>
      <c r="X342" s="33"/>
      <c r="Y342" s="33"/>
      <c r="Z342" s="33"/>
      <c r="AA342" s="33"/>
      <c r="AB342" s="33"/>
    </row>
    <row r="343">
      <c r="A343" s="33"/>
      <c r="B343" s="33"/>
      <c r="C343" s="94"/>
      <c r="D343" s="33"/>
      <c r="E343" s="33"/>
      <c r="F343" s="33"/>
      <c r="G343" s="94"/>
      <c r="H343" s="33"/>
      <c r="I343" s="33"/>
      <c r="J343" s="33"/>
      <c r="K343" s="33"/>
      <c r="L343" s="33"/>
      <c r="M343" s="33"/>
      <c r="N343" s="33"/>
      <c r="O343" s="33"/>
      <c r="P343" s="33"/>
      <c r="Q343" s="33"/>
      <c r="R343" s="33"/>
      <c r="S343" s="33"/>
      <c r="T343" s="33"/>
      <c r="U343" s="33"/>
      <c r="V343" s="33"/>
      <c r="W343" s="33"/>
      <c r="X343" s="33"/>
      <c r="Y343" s="33"/>
      <c r="Z343" s="33"/>
      <c r="AA343" s="33"/>
      <c r="AB343" s="33"/>
    </row>
    <row r="344">
      <c r="A344" s="33"/>
      <c r="B344" s="33"/>
      <c r="C344" s="94"/>
      <c r="D344" s="33"/>
      <c r="E344" s="33"/>
      <c r="F344" s="33"/>
      <c r="G344" s="94"/>
      <c r="H344" s="33"/>
      <c r="I344" s="33"/>
      <c r="J344" s="33"/>
      <c r="K344" s="33"/>
      <c r="L344" s="33"/>
      <c r="M344" s="33"/>
      <c r="N344" s="33"/>
      <c r="O344" s="33"/>
      <c r="P344" s="33"/>
      <c r="Q344" s="33"/>
      <c r="R344" s="33"/>
      <c r="S344" s="33"/>
      <c r="T344" s="33"/>
      <c r="U344" s="33"/>
      <c r="V344" s="33"/>
      <c r="W344" s="33"/>
      <c r="X344" s="33"/>
      <c r="Y344" s="33"/>
      <c r="Z344" s="33"/>
      <c r="AA344" s="33"/>
      <c r="AB344" s="33"/>
    </row>
    <row r="345">
      <c r="A345" s="33"/>
      <c r="B345" s="33"/>
      <c r="C345" s="94"/>
      <c r="D345" s="33"/>
      <c r="E345" s="33"/>
      <c r="F345" s="33"/>
      <c r="G345" s="94"/>
      <c r="H345" s="33"/>
      <c r="I345" s="33"/>
      <c r="J345" s="33"/>
      <c r="K345" s="33"/>
      <c r="L345" s="33"/>
      <c r="M345" s="33"/>
      <c r="N345" s="33"/>
      <c r="O345" s="33"/>
      <c r="P345" s="33"/>
      <c r="Q345" s="33"/>
      <c r="R345" s="33"/>
      <c r="S345" s="33"/>
      <c r="T345" s="33"/>
      <c r="U345" s="33"/>
      <c r="V345" s="33"/>
      <c r="W345" s="33"/>
      <c r="X345" s="33"/>
      <c r="Y345" s="33"/>
      <c r="Z345" s="33"/>
      <c r="AA345" s="33"/>
      <c r="AB345" s="33"/>
    </row>
    <row r="346">
      <c r="A346" s="33"/>
      <c r="B346" s="33"/>
      <c r="C346" s="94"/>
      <c r="D346" s="33"/>
      <c r="E346" s="33"/>
      <c r="F346" s="33"/>
      <c r="G346" s="94"/>
      <c r="H346" s="33"/>
      <c r="I346" s="33"/>
      <c r="J346" s="33"/>
      <c r="K346" s="33"/>
      <c r="L346" s="33"/>
      <c r="M346" s="33"/>
      <c r="N346" s="33"/>
      <c r="O346" s="33"/>
      <c r="P346" s="33"/>
      <c r="Q346" s="33"/>
      <c r="R346" s="33"/>
      <c r="S346" s="33"/>
      <c r="T346" s="33"/>
      <c r="U346" s="33"/>
      <c r="V346" s="33"/>
      <c r="W346" s="33"/>
      <c r="X346" s="33"/>
      <c r="Y346" s="33"/>
      <c r="Z346" s="33"/>
      <c r="AA346" s="33"/>
      <c r="AB346" s="33"/>
    </row>
    <row r="347">
      <c r="A347" s="33"/>
      <c r="B347" s="33"/>
      <c r="C347" s="94"/>
      <c r="D347" s="33"/>
      <c r="E347" s="33"/>
      <c r="F347" s="33"/>
      <c r="G347" s="94"/>
      <c r="H347" s="33"/>
      <c r="I347" s="33"/>
      <c r="J347" s="33"/>
      <c r="K347" s="33"/>
      <c r="L347" s="33"/>
      <c r="M347" s="33"/>
      <c r="N347" s="33"/>
      <c r="O347" s="33"/>
      <c r="P347" s="33"/>
      <c r="Q347" s="33"/>
      <c r="R347" s="33"/>
      <c r="S347" s="33"/>
      <c r="T347" s="33"/>
      <c r="U347" s="33"/>
      <c r="V347" s="33"/>
      <c r="W347" s="33"/>
      <c r="X347" s="33"/>
      <c r="Y347" s="33"/>
      <c r="Z347" s="33"/>
      <c r="AA347" s="33"/>
      <c r="AB347" s="33"/>
    </row>
    <row r="348">
      <c r="A348" s="33"/>
      <c r="B348" s="33"/>
      <c r="C348" s="94"/>
      <c r="D348" s="33"/>
      <c r="E348" s="33"/>
      <c r="F348" s="33"/>
      <c r="G348" s="94"/>
      <c r="H348" s="33"/>
      <c r="I348" s="33"/>
      <c r="J348" s="33"/>
      <c r="K348" s="33"/>
      <c r="L348" s="33"/>
      <c r="M348" s="33"/>
      <c r="N348" s="33"/>
      <c r="O348" s="33"/>
      <c r="P348" s="33"/>
      <c r="Q348" s="33"/>
      <c r="R348" s="33"/>
      <c r="S348" s="33"/>
      <c r="T348" s="33"/>
      <c r="U348" s="33"/>
      <c r="V348" s="33"/>
      <c r="W348" s="33"/>
      <c r="X348" s="33"/>
      <c r="Y348" s="33"/>
      <c r="Z348" s="33"/>
      <c r="AA348" s="33"/>
      <c r="AB348" s="33"/>
    </row>
    <row r="349">
      <c r="A349" s="33"/>
      <c r="B349" s="33"/>
      <c r="C349" s="94"/>
      <c r="D349" s="33"/>
      <c r="E349" s="33"/>
      <c r="F349" s="33"/>
      <c r="G349" s="94"/>
      <c r="H349" s="33"/>
      <c r="I349" s="33"/>
      <c r="J349" s="33"/>
      <c r="K349" s="33"/>
      <c r="L349" s="33"/>
      <c r="M349" s="33"/>
      <c r="N349" s="33"/>
      <c r="O349" s="33"/>
      <c r="P349" s="33"/>
      <c r="Q349" s="33"/>
      <c r="R349" s="33"/>
      <c r="S349" s="33"/>
      <c r="T349" s="33"/>
      <c r="U349" s="33"/>
      <c r="V349" s="33"/>
      <c r="W349" s="33"/>
      <c r="X349" s="33"/>
      <c r="Y349" s="33"/>
      <c r="Z349" s="33"/>
      <c r="AA349" s="33"/>
      <c r="AB349" s="33"/>
    </row>
    <row r="350">
      <c r="A350" s="33"/>
      <c r="B350" s="33"/>
      <c r="C350" s="94"/>
      <c r="D350" s="33"/>
      <c r="E350" s="33"/>
      <c r="F350" s="33"/>
      <c r="G350" s="94"/>
      <c r="H350" s="33"/>
      <c r="I350" s="33"/>
      <c r="J350" s="33"/>
      <c r="K350" s="33"/>
      <c r="L350" s="33"/>
      <c r="M350" s="33"/>
      <c r="N350" s="33"/>
      <c r="O350" s="33"/>
      <c r="P350" s="33"/>
      <c r="Q350" s="33"/>
      <c r="R350" s="33"/>
      <c r="S350" s="33"/>
      <c r="T350" s="33"/>
      <c r="U350" s="33"/>
      <c r="V350" s="33"/>
      <c r="W350" s="33"/>
      <c r="X350" s="33"/>
      <c r="Y350" s="33"/>
      <c r="Z350" s="33"/>
      <c r="AA350" s="33"/>
      <c r="AB350" s="33"/>
    </row>
    <row r="351">
      <c r="A351" s="33"/>
      <c r="B351" s="33"/>
      <c r="C351" s="94"/>
      <c r="D351" s="33"/>
      <c r="E351" s="33"/>
      <c r="F351" s="33"/>
      <c r="G351" s="94"/>
      <c r="H351" s="33"/>
      <c r="I351" s="33"/>
      <c r="J351" s="33"/>
      <c r="K351" s="33"/>
      <c r="L351" s="33"/>
      <c r="M351" s="33"/>
      <c r="N351" s="33"/>
      <c r="O351" s="33"/>
      <c r="P351" s="33"/>
      <c r="Q351" s="33"/>
      <c r="R351" s="33"/>
      <c r="S351" s="33"/>
      <c r="T351" s="33"/>
      <c r="U351" s="33"/>
      <c r="V351" s="33"/>
      <c r="W351" s="33"/>
      <c r="X351" s="33"/>
      <c r="Y351" s="33"/>
      <c r="Z351" s="33"/>
      <c r="AA351" s="33"/>
      <c r="AB351" s="33"/>
    </row>
    <row r="352">
      <c r="A352" s="33"/>
      <c r="B352" s="33"/>
      <c r="C352" s="94"/>
      <c r="D352" s="33"/>
      <c r="E352" s="33"/>
      <c r="F352" s="33"/>
      <c r="G352" s="94"/>
      <c r="H352" s="33"/>
      <c r="I352" s="33"/>
      <c r="J352" s="33"/>
      <c r="K352" s="33"/>
      <c r="L352" s="33"/>
      <c r="M352" s="33"/>
      <c r="N352" s="33"/>
      <c r="O352" s="33"/>
      <c r="P352" s="33"/>
      <c r="Q352" s="33"/>
      <c r="R352" s="33"/>
      <c r="S352" s="33"/>
      <c r="T352" s="33"/>
      <c r="U352" s="33"/>
      <c r="V352" s="33"/>
      <c r="W352" s="33"/>
      <c r="X352" s="33"/>
      <c r="Y352" s="33"/>
      <c r="Z352" s="33"/>
      <c r="AA352" s="33"/>
      <c r="AB352" s="33"/>
    </row>
    <row r="353">
      <c r="A353" s="33"/>
      <c r="B353" s="33"/>
      <c r="C353" s="94"/>
      <c r="D353" s="33"/>
      <c r="E353" s="33"/>
      <c r="F353" s="33"/>
      <c r="G353" s="94"/>
      <c r="H353" s="33"/>
      <c r="I353" s="33"/>
      <c r="J353" s="33"/>
      <c r="K353" s="33"/>
      <c r="L353" s="33"/>
      <c r="M353" s="33"/>
      <c r="N353" s="33"/>
      <c r="O353" s="33"/>
      <c r="P353" s="33"/>
      <c r="Q353" s="33"/>
      <c r="R353" s="33"/>
      <c r="S353" s="33"/>
      <c r="T353" s="33"/>
      <c r="U353" s="33"/>
      <c r="V353" s="33"/>
      <c r="W353" s="33"/>
      <c r="X353" s="33"/>
      <c r="Y353" s="33"/>
      <c r="Z353" s="33"/>
      <c r="AA353" s="33"/>
      <c r="AB353" s="33"/>
    </row>
    <row r="354">
      <c r="A354" s="33"/>
      <c r="B354" s="33"/>
      <c r="C354" s="94"/>
      <c r="D354" s="33"/>
      <c r="E354" s="33"/>
      <c r="F354" s="33"/>
      <c r="G354" s="94"/>
      <c r="H354" s="33"/>
      <c r="I354" s="33"/>
      <c r="J354" s="33"/>
      <c r="K354" s="33"/>
      <c r="L354" s="33"/>
      <c r="M354" s="33"/>
      <c r="N354" s="33"/>
      <c r="O354" s="33"/>
      <c r="P354" s="33"/>
      <c r="Q354" s="33"/>
      <c r="R354" s="33"/>
      <c r="S354" s="33"/>
      <c r="T354" s="33"/>
      <c r="U354" s="33"/>
      <c r="V354" s="33"/>
      <c r="W354" s="33"/>
      <c r="X354" s="33"/>
      <c r="Y354" s="33"/>
      <c r="Z354" s="33"/>
      <c r="AA354" s="33"/>
      <c r="AB354" s="33"/>
    </row>
    <row r="355">
      <c r="A355" s="33"/>
      <c r="B355" s="33"/>
      <c r="C355" s="94"/>
      <c r="D355" s="33"/>
      <c r="E355" s="33"/>
      <c r="F355" s="33"/>
      <c r="G355" s="94"/>
      <c r="H355" s="33"/>
      <c r="I355" s="33"/>
      <c r="J355" s="33"/>
      <c r="K355" s="33"/>
      <c r="L355" s="33"/>
      <c r="M355" s="33"/>
      <c r="N355" s="33"/>
      <c r="O355" s="33"/>
      <c r="P355" s="33"/>
      <c r="Q355" s="33"/>
      <c r="R355" s="33"/>
      <c r="S355" s="33"/>
      <c r="T355" s="33"/>
      <c r="U355" s="33"/>
      <c r="V355" s="33"/>
      <c r="W355" s="33"/>
      <c r="X355" s="33"/>
      <c r="Y355" s="33"/>
      <c r="Z355" s="33"/>
      <c r="AA355" s="33"/>
      <c r="AB355" s="33"/>
    </row>
    <row r="356">
      <c r="A356" s="33"/>
      <c r="B356" s="33"/>
      <c r="C356" s="94"/>
      <c r="D356" s="33"/>
      <c r="E356" s="33"/>
      <c r="F356" s="33"/>
      <c r="G356" s="94"/>
      <c r="H356" s="33"/>
      <c r="I356" s="33"/>
      <c r="J356" s="33"/>
      <c r="K356" s="33"/>
      <c r="L356" s="33"/>
      <c r="M356" s="33"/>
      <c r="N356" s="33"/>
      <c r="O356" s="33"/>
      <c r="P356" s="33"/>
      <c r="Q356" s="33"/>
      <c r="R356" s="33"/>
      <c r="S356" s="33"/>
      <c r="T356" s="33"/>
      <c r="U356" s="33"/>
      <c r="V356" s="33"/>
      <c r="W356" s="33"/>
      <c r="X356" s="33"/>
      <c r="Y356" s="33"/>
      <c r="Z356" s="33"/>
      <c r="AA356" s="33"/>
      <c r="AB356" s="33"/>
    </row>
    <row r="357">
      <c r="A357" s="33"/>
      <c r="B357" s="33"/>
      <c r="C357" s="94"/>
      <c r="D357" s="33"/>
      <c r="E357" s="33"/>
      <c r="F357" s="33"/>
      <c r="G357" s="94"/>
      <c r="H357" s="33"/>
      <c r="I357" s="33"/>
      <c r="J357" s="33"/>
      <c r="K357" s="33"/>
      <c r="L357" s="33"/>
      <c r="M357" s="33"/>
      <c r="N357" s="33"/>
      <c r="O357" s="33"/>
      <c r="P357" s="33"/>
      <c r="Q357" s="33"/>
      <c r="R357" s="33"/>
      <c r="S357" s="33"/>
      <c r="T357" s="33"/>
      <c r="U357" s="33"/>
      <c r="V357" s="33"/>
      <c r="W357" s="33"/>
      <c r="X357" s="33"/>
      <c r="Y357" s="33"/>
      <c r="Z357" s="33"/>
      <c r="AA357" s="33"/>
      <c r="AB357" s="33"/>
    </row>
    <row r="358">
      <c r="A358" s="33"/>
      <c r="B358" s="33"/>
      <c r="C358" s="94"/>
      <c r="D358" s="33"/>
      <c r="E358" s="33"/>
      <c r="F358" s="33"/>
      <c r="G358" s="94"/>
      <c r="H358" s="33"/>
      <c r="I358" s="33"/>
      <c r="J358" s="33"/>
      <c r="K358" s="33"/>
      <c r="L358" s="33"/>
      <c r="M358" s="33"/>
      <c r="N358" s="33"/>
      <c r="O358" s="33"/>
      <c r="P358" s="33"/>
      <c r="Q358" s="33"/>
      <c r="R358" s="33"/>
      <c r="S358" s="33"/>
      <c r="T358" s="33"/>
      <c r="U358" s="33"/>
      <c r="V358" s="33"/>
      <c r="W358" s="33"/>
      <c r="X358" s="33"/>
      <c r="Y358" s="33"/>
      <c r="Z358" s="33"/>
      <c r="AA358" s="33"/>
      <c r="AB358" s="33"/>
    </row>
    <row r="359">
      <c r="A359" s="33"/>
      <c r="B359" s="33"/>
      <c r="C359" s="94"/>
      <c r="D359" s="33"/>
      <c r="E359" s="33"/>
      <c r="F359" s="33"/>
      <c r="G359" s="94"/>
      <c r="H359" s="33"/>
      <c r="I359" s="33"/>
      <c r="J359" s="33"/>
      <c r="K359" s="33"/>
      <c r="L359" s="33"/>
      <c r="M359" s="33"/>
      <c r="N359" s="33"/>
      <c r="O359" s="33"/>
      <c r="P359" s="33"/>
      <c r="Q359" s="33"/>
      <c r="R359" s="33"/>
      <c r="S359" s="33"/>
      <c r="T359" s="33"/>
      <c r="U359" s="33"/>
      <c r="V359" s="33"/>
      <c r="W359" s="33"/>
      <c r="X359" s="33"/>
      <c r="Y359" s="33"/>
      <c r="Z359" s="33"/>
      <c r="AA359" s="33"/>
      <c r="AB359" s="33"/>
    </row>
    <row r="360">
      <c r="A360" s="33"/>
      <c r="B360" s="33"/>
      <c r="C360" s="94"/>
      <c r="D360" s="33"/>
      <c r="E360" s="33"/>
      <c r="F360" s="33"/>
      <c r="G360" s="94"/>
      <c r="H360" s="33"/>
      <c r="I360" s="33"/>
      <c r="J360" s="33"/>
      <c r="K360" s="33"/>
      <c r="L360" s="33"/>
      <c r="M360" s="33"/>
      <c r="N360" s="33"/>
      <c r="O360" s="33"/>
      <c r="P360" s="33"/>
      <c r="Q360" s="33"/>
      <c r="R360" s="33"/>
      <c r="S360" s="33"/>
      <c r="T360" s="33"/>
      <c r="U360" s="33"/>
      <c r="V360" s="33"/>
      <c r="W360" s="33"/>
      <c r="X360" s="33"/>
      <c r="Y360" s="33"/>
      <c r="Z360" s="33"/>
      <c r="AA360" s="33"/>
      <c r="AB360" s="33"/>
    </row>
    <row r="361">
      <c r="A361" s="33"/>
      <c r="B361" s="33"/>
      <c r="C361" s="94"/>
      <c r="D361" s="33"/>
      <c r="E361" s="33"/>
      <c r="F361" s="33"/>
      <c r="G361" s="94"/>
      <c r="H361" s="33"/>
      <c r="I361" s="33"/>
      <c r="J361" s="33"/>
      <c r="K361" s="33"/>
      <c r="L361" s="33"/>
      <c r="M361" s="33"/>
      <c r="N361" s="33"/>
      <c r="O361" s="33"/>
      <c r="P361" s="33"/>
      <c r="Q361" s="33"/>
      <c r="R361" s="33"/>
      <c r="S361" s="33"/>
      <c r="T361" s="33"/>
      <c r="U361" s="33"/>
      <c r="V361" s="33"/>
      <c r="W361" s="33"/>
      <c r="X361" s="33"/>
      <c r="Y361" s="33"/>
      <c r="Z361" s="33"/>
      <c r="AA361" s="33"/>
      <c r="AB361" s="33"/>
    </row>
    <row r="362">
      <c r="A362" s="33"/>
      <c r="B362" s="33"/>
      <c r="C362" s="94"/>
      <c r="D362" s="33"/>
      <c r="E362" s="33"/>
      <c r="F362" s="33"/>
      <c r="G362" s="94"/>
      <c r="H362" s="33"/>
      <c r="I362" s="33"/>
      <c r="J362" s="33"/>
      <c r="K362" s="33"/>
      <c r="L362" s="33"/>
      <c r="M362" s="33"/>
      <c r="N362" s="33"/>
      <c r="O362" s="33"/>
      <c r="P362" s="33"/>
      <c r="Q362" s="33"/>
      <c r="R362" s="33"/>
      <c r="S362" s="33"/>
      <c r="T362" s="33"/>
      <c r="U362" s="33"/>
      <c r="V362" s="33"/>
      <c r="W362" s="33"/>
      <c r="X362" s="33"/>
      <c r="Y362" s="33"/>
      <c r="Z362" s="33"/>
      <c r="AA362" s="33"/>
      <c r="AB362" s="33"/>
    </row>
    <row r="363">
      <c r="A363" s="33"/>
      <c r="B363" s="33"/>
      <c r="C363" s="94"/>
      <c r="D363" s="33"/>
      <c r="E363" s="33"/>
      <c r="F363" s="33"/>
      <c r="G363" s="94"/>
      <c r="H363" s="33"/>
      <c r="I363" s="33"/>
      <c r="J363" s="33"/>
      <c r="K363" s="33"/>
      <c r="L363" s="33"/>
      <c r="M363" s="33"/>
      <c r="N363" s="33"/>
      <c r="O363" s="33"/>
      <c r="P363" s="33"/>
      <c r="Q363" s="33"/>
      <c r="R363" s="33"/>
      <c r="S363" s="33"/>
      <c r="T363" s="33"/>
      <c r="U363" s="33"/>
      <c r="V363" s="33"/>
      <c r="W363" s="33"/>
      <c r="X363" s="33"/>
      <c r="Y363" s="33"/>
      <c r="Z363" s="33"/>
      <c r="AA363" s="33"/>
      <c r="AB363" s="33"/>
    </row>
    <row r="364">
      <c r="A364" s="33"/>
      <c r="B364" s="33"/>
      <c r="C364" s="94"/>
      <c r="D364" s="33"/>
      <c r="E364" s="33"/>
      <c r="F364" s="33"/>
      <c r="G364" s="94"/>
      <c r="H364" s="33"/>
      <c r="I364" s="33"/>
      <c r="J364" s="33"/>
      <c r="K364" s="33"/>
      <c r="L364" s="33"/>
      <c r="M364" s="33"/>
      <c r="N364" s="33"/>
      <c r="O364" s="33"/>
      <c r="P364" s="33"/>
      <c r="Q364" s="33"/>
      <c r="R364" s="33"/>
      <c r="S364" s="33"/>
      <c r="T364" s="33"/>
      <c r="U364" s="33"/>
      <c r="V364" s="33"/>
      <c r="W364" s="33"/>
      <c r="X364" s="33"/>
      <c r="Y364" s="33"/>
      <c r="Z364" s="33"/>
      <c r="AA364" s="33"/>
      <c r="AB364" s="33"/>
    </row>
    <row r="365">
      <c r="A365" s="33"/>
      <c r="B365" s="33"/>
      <c r="C365" s="94"/>
      <c r="D365" s="33"/>
      <c r="E365" s="33"/>
      <c r="F365" s="33"/>
      <c r="G365" s="94"/>
      <c r="H365" s="33"/>
      <c r="I365" s="33"/>
      <c r="J365" s="33"/>
      <c r="K365" s="33"/>
      <c r="L365" s="33"/>
      <c r="M365" s="33"/>
      <c r="N365" s="33"/>
      <c r="O365" s="33"/>
      <c r="P365" s="33"/>
      <c r="Q365" s="33"/>
      <c r="R365" s="33"/>
      <c r="S365" s="33"/>
      <c r="T365" s="33"/>
      <c r="U365" s="33"/>
      <c r="V365" s="33"/>
      <c r="W365" s="33"/>
      <c r="X365" s="33"/>
      <c r="Y365" s="33"/>
      <c r="Z365" s="33"/>
      <c r="AA365" s="33"/>
      <c r="AB365" s="33"/>
    </row>
    <row r="366">
      <c r="A366" s="33"/>
      <c r="B366" s="33"/>
      <c r="C366" s="94"/>
      <c r="D366" s="33"/>
      <c r="E366" s="33"/>
      <c r="F366" s="33"/>
      <c r="G366" s="94"/>
      <c r="H366" s="33"/>
      <c r="I366" s="33"/>
      <c r="J366" s="33"/>
      <c r="K366" s="33"/>
      <c r="L366" s="33"/>
      <c r="M366" s="33"/>
      <c r="N366" s="33"/>
      <c r="O366" s="33"/>
      <c r="P366" s="33"/>
      <c r="Q366" s="33"/>
      <c r="R366" s="33"/>
      <c r="S366" s="33"/>
      <c r="T366" s="33"/>
      <c r="U366" s="33"/>
      <c r="V366" s="33"/>
      <c r="W366" s="33"/>
      <c r="X366" s="33"/>
      <c r="Y366" s="33"/>
      <c r="Z366" s="33"/>
      <c r="AA366" s="33"/>
      <c r="AB366" s="33"/>
    </row>
    <row r="367">
      <c r="A367" s="33"/>
      <c r="B367" s="33"/>
      <c r="C367" s="94"/>
      <c r="D367" s="33"/>
      <c r="E367" s="33"/>
      <c r="F367" s="33"/>
      <c r="G367" s="94"/>
      <c r="H367" s="33"/>
      <c r="I367" s="33"/>
      <c r="J367" s="33"/>
      <c r="K367" s="33"/>
      <c r="L367" s="33"/>
      <c r="M367" s="33"/>
      <c r="N367" s="33"/>
      <c r="O367" s="33"/>
      <c r="P367" s="33"/>
      <c r="Q367" s="33"/>
      <c r="R367" s="33"/>
      <c r="S367" s="33"/>
      <c r="T367" s="33"/>
      <c r="U367" s="33"/>
      <c r="V367" s="33"/>
      <c r="W367" s="33"/>
      <c r="X367" s="33"/>
      <c r="Y367" s="33"/>
      <c r="Z367" s="33"/>
      <c r="AA367" s="33"/>
      <c r="AB367" s="33"/>
    </row>
    <row r="368">
      <c r="A368" s="33"/>
      <c r="B368" s="33"/>
      <c r="C368" s="94"/>
      <c r="D368" s="33"/>
      <c r="E368" s="33"/>
      <c r="F368" s="33"/>
      <c r="G368" s="94"/>
      <c r="H368" s="33"/>
      <c r="I368" s="33"/>
      <c r="J368" s="33"/>
      <c r="K368" s="33"/>
      <c r="L368" s="33"/>
      <c r="M368" s="33"/>
      <c r="N368" s="33"/>
      <c r="O368" s="33"/>
      <c r="P368" s="33"/>
      <c r="Q368" s="33"/>
      <c r="R368" s="33"/>
      <c r="S368" s="33"/>
      <c r="T368" s="33"/>
      <c r="U368" s="33"/>
      <c r="V368" s="33"/>
      <c r="W368" s="33"/>
      <c r="X368" s="33"/>
      <c r="Y368" s="33"/>
      <c r="Z368" s="33"/>
      <c r="AA368" s="33"/>
      <c r="AB368" s="33"/>
    </row>
    <row r="369">
      <c r="A369" s="33"/>
      <c r="B369" s="33"/>
      <c r="C369" s="94"/>
      <c r="D369" s="33"/>
      <c r="E369" s="33"/>
      <c r="F369" s="33"/>
      <c r="G369" s="94"/>
      <c r="H369" s="33"/>
      <c r="I369" s="33"/>
      <c r="J369" s="33"/>
      <c r="K369" s="33"/>
      <c r="L369" s="33"/>
      <c r="M369" s="33"/>
      <c r="N369" s="33"/>
      <c r="O369" s="33"/>
      <c r="P369" s="33"/>
      <c r="Q369" s="33"/>
      <c r="R369" s="33"/>
      <c r="S369" s="33"/>
      <c r="T369" s="33"/>
      <c r="U369" s="33"/>
      <c r="V369" s="33"/>
      <c r="W369" s="33"/>
      <c r="X369" s="33"/>
      <c r="Y369" s="33"/>
      <c r="Z369" s="33"/>
      <c r="AA369" s="33"/>
      <c r="AB369" s="33"/>
    </row>
    <row r="370">
      <c r="A370" s="33"/>
      <c r="B370" s="33"/>
      <c r="C370" s="94"/>
      <c r="D370" s="33"/>
      <c r="E370" s="33"/>
      <c r="F370" s="33"/>
      <c r="G370" s="94"/>
      <c r="H370" s="33"/>
      <c r="I370" s="33"/>
      <c r="J370" s="33"/>
      <c r="K370" s="33"/>
      <c r="L370" s="33"/>
      <c r="M370" s="33"/>
      <c r="N370" s="33"/>
      <c r="O370" s="33"/>
      <c r="P370" s="33"/>
      <c r="Q370" s="33"/>
      <c r="R370" s="33"/>
      <c r="S370" s="33"/>
      <c r="T370" s="33"/>
      <c r="U370" s="33"/>
      <c r="V370" s="33"/>
      <c r="W370" s="33"/>
      <c r="X370" s="33"/>
      <c r="Y370" s="33"/>
      <c r="Z370" s="33"/>
      <c r="AA370" s="33"/>
      <c r="AB370" s="33"/>
    </row>
    <row r="371">
      <c r="A371" s="33"/>
      <c r="B371" s="33"/>
      <c r="C371" s="94"/>
      <c r="D371" s="33"/>
      <c r="E371" s="33"/>
      <c r="F371" s="33"/>
      <c r="G371" s="94"/>
      <c r="H371" s="33"/>
      <c r="I371" s="33"/>
      <c r="J371" s="33"/>
      <c r="K371" s="33"/>
      <c r="L371" s="33"/>
      <c r="M371" s="33"/>
      <c r="N371" s="33"/>
      <c r="O371" s="33"/>
      <c r="P371" s="33"/>
      <c r="Q371" s="33"/>
      <c r="R371" s="33"/>
      <c r="S371" s="33"/>
      <c r="T371" s="33"/>
      <c r="U371" s="33"/>
      <c r="V371" s="33"/>
      <c r="W371" s="33"/>
      <c r="X371" s="33"/>
      <c r="Y371" s="33"/>
      <c r="Z371" s="33"/>
      <c r="AA371" s="33"/>
      <c r="AB371" s="33"/>
    </row>
    <row r="372">
      <c r="A372" s="33"/>
      <c r="B372" s="33"/>
      <c r="C372" s="94"/>
      <c r="D372" s="33"/>
      <c r="E372" s="33"/>
      <c r="F372" s="33"/>
      <c r="G372" s="94"/>
      <c r="H372" s="33"/>
      <c r="I372" s="33"/>
      <c r="J372" s="33"/>
      <c r="K372" s="33"/>
      <c r="L372" s="33"/>
      <c r="M372" s="33"/>
      <c r="N372" s="33"/>
      <c r="O372" s="33"/>
      <c r="P372" s="33"/>
      <c r="Q372" s="33"/>
      <c r="R372" s="33"/>
      <c r="S372" s="33"/>
      <c r="T372" s="33"/>
      <c r="U372" s="33"/>
      <c r="V372" s="33"/>
      <c r="W372" s="33"/>
      <c r="X372" s="33"/>
      <c r="Y372" s="33"/>
      <c r="Z372" s="33"/>
      <c r="AA372" s="33"/>
      <c r="AB372" s="33"/>
    </row>
    <row r="373">
      <c r="A373" s="33"/>
      <c r="B373" s="33"/>
      <c r="C373" s="94"/>
      <c r="D373" s="33"/>
      <c r="E373" s="33"/>
      <c r="F373" s="33"/>
      <c r="G373" s="94"/>
      <c r="H373" s="33"/>
      <c r="I373" s="33"/>
      <c r="J373" s="33"/>
      <c r="K373" s="33"/>
      <c r="L373" s="33"/>
      <c r="M373" s="33"/>
      <c r="N373" s="33"/>
      <c r="O373" s="33"/>
      <c r="P373" s="33"/>
      <c r="Q373" s="33"/>
      <c r="R373" s="33"/>
      <c r="S373" s="33"/>
      <c r="T373" s="33"/>
      <c r="U373" s="33"/>
      <c r="V373" s="33"/>
      <c r="W373" s="33"/>
      <c r="X373" s="33"/>
      <c r="Y373" s="33"/>
      <c r="Z373" s="33"/>
      <c r="AA373" s="33"/>
      <c r="AB373" s="33"/>
    </row>
    <row r="374">
      <c r="A374" s="33"/>
      <c r="B374" s="33"/>
      <c r="C374" s="94"/>
      <c r="D374" s="33"/>
      <c r="E374" s="33"/>
      <c r="F374" s="33"/>
      <c r="G374" s="94"/>
      <c r="H374" s="33"/>
      <c r="I374" s="33"/>
      <c r="J374" s="33"/>
      <c r="K374" s="33"/>
      <c r="L374" s="33"/>
      <c r="M374" s="33"/>
      <c r="N374" s="33"/>
      <c r="O374" s="33"/>
      <c r="P374" s="33"/>
      <c r="Q374" s="33"/>
      <c r="R374" s="33"/>
      <c r="S374" s="33"/>
      <c r="T374" s="33"/>
      <c r="U374" s="33"/>
      <c r="V374" s="33"/>
      <c r="W374" s="33"/>
      <c r="X374" s="33"/>
      <c r="Y374" s="33"/>
      <c r="Z374" s="33"/>
      <c r="AA374" s="33"/>
      <c r="AB374" s="33"/>
    </row>
    <row r="375">
      <c r="A375" s="33"/>
      <c r="B375" s="33"/>
      <c r="C375" s="94"/>
      <c r="D375" s="33"/>
      <c r="E375" s="33"/>
      <c r="F375" s="33"/>
      <c r="G375" s="94"/>
      <c r="H375" s="33"/>
      <c r="I375" s="33"/>
      <c r="J375" s="33"/>
      <c r="K375" s="33"/>
      <c r="L375" s="33"/>
      <c r="M375" s="33"/>
      <c r="N375" s="33"/>
      <c r="O375" s="33"/>
      <c r="P375" s="33"/>
      <c r="Q375" s="33"/>
      <c r="R375" s="33"/>
      <c r="S375" s="33"/>
      <c r="T375" s="33"/>
      <c r="U375" s="33"/>
      <c r="V375" s="33"/>
      <c r="W375" s="33"/>
      <c r="X375" s="33"/>
      <c r="Y375" s="33"/>
      <c r="Z375" s="33"/>
      <c r="AA375" s="33"/>
      <c r="AB375" s="33"/>
    </row>
    <row r="376">
      <c r="A376" s="33"/>
      <c r="B376" s="33"/>
      <c r="C376" s="94"/>
      <c r="D376" s="33"/>
      <c r="E376" s="33"/>
      <c r="F376" s="33"/>
      <c r="G376" s="94"/>
      <c r="H376" s="33"/>
      <c r="I376" s="33"/>
      <c r="J376" s="33"/>
      <c r="K376" s="33"/>
      <c r="L376" s="33"/>
      <c r="M376" s="33"/>
      <c r="N376" s="33"/>
      <c r="O376" s="33"/>
      <c r="P376" s="33"/>
      <c r="Q376" s="33"/>
      <c r="R376" s="33"/>
      <c r="S376" s="33"/>
      <c r="T376" s="33"/>
      <c r="U376" s="33"/>
      <c r="V376" s="33"/>
      <c r="W376" s="33"/>
      <c r="X376" s="33"/>
      <c r="Y376" s="33"/>
      <c r="Z376" s="33"/>
      <c r="AA376" s="33"/>
      <c r="AB376" s="33"/>
    </row>
    <row r="377">
      <c r="A377" s="33"/>
      <c r="B377" s="33"/>
      <c r="C377" s="94"/>
      <c r="D377" s="33"/>
      <c r="E377" s="33"/>
      <c r="F377" s="33"/>
      <c r="G377" s="94"/>
      <c r="H377" s="33"/>
      <c r="I377" s="33"/>
      <c r="J377" s="33"/>
      <c r="K377" s="33"/>
      <c r="L377" s="33"/>
      <c r="M377" s="33"/>
      <c r="N377" s="33"/>
      <c r="O377" s="33"/>
      <c r="P377" s="33"/>
      <c r="Q377" s="33"/>
      <c r="R377" s="33"/>
      <c r="S377" s="33"/>
      <c r="T377" s="33"/>
      <c r="U377" s="33"/>
      <c r="V377" s="33"/>
      <c r="W377" s="33"/>
      <c r="X377" s="33"/>
      <c r="Y377" s="33"/>
      <c r="Z377" s="33"/>
      <c r="AA377" s="33"/>
      <c r="AB377" s="33"/>
    </row>
    <row r="378">
      <c r="A378" s="33"/>
      <c r="B378" s="33"/>
      <c r="C378" s="94"/>
      <c r="D378" s="33"/>
      <c r="E378" s="33"/>
      <c r="F378" s="33"/>
      <c r="G378" s="94"/>
      <c r="H378" s="33"/>
      <c r="I378" s="33"/>
      <c r="J378" s="33"/>
      <c r="K378" s="33"/>
      <c r="L378" s="33"/>
      <c r="M378" s="33"/>
      <c r="N378" s="33"/>
      <c r="O378" s="33"/>
      <c r="P378" s="33"/>
      <c r="Q378" s="33"/>
      <c r="R378" s="33"/>
      <c r="S378" s="33"/>
      <c r="T378" s="33"/>
      <c r="U378" s="33"/>
      <c r="V378" s="33"/>
      <c r="W378" s="33"/>
      <c r="X378" s="33"/>
      <c r="Y378" s="33"/>
      <c r="Z378" s="33"/>
      <c r="AA378" s="33"/>
      <c r="AB378" s="33"/>
    </row>
    <row r="379">
      <c r="A379" s="33"/>
      <c r="B379" s="33"/>
      <c r="C379" s="94"/>
      <c r="D379" s="33"/>
      <c r="E379" s="33"/>
      <c r="F379" s="33"/>
      <c r="G379" s="94"/>
      <c r="H379" s="33"/>
      <c r="I379" s="33"/>
      <c r="J379" s="33"/>
      <c r="K379" s="33"/>
      <c r="L379" s="33"/>
      <c r="M379" s="33"/>
      <c r="N379" s="33"/>
      <c r="O379" s="33"/>
      <c r="P379" s="33"/>
      <c r="Q379" s="33"/>
      <c r="R379" s="33"/>
      <c r="S379" s="33"/>
      <c r="T379" s="33"/>
      <c r="U379" s="33"/>
      <c r="V379" s="33"/>
      <c r="W379" s="33"/>
      <c r="X379" s="33"/>
      <c r="Y379" s="33"/>
      <c r="Z379" s="33"/>
      <c r="AA379" s="33"/>
      <c r="AB379" s="33"/>
    </row>
    <row r="380">
      <c r="A380" s="33"/>
      <c r="B380" s="33"/>
      <c r="C380" s="94"/>
      <c r="D380" s="33"/>
      <c r="E380" s="33"/>
      <c r="F380" s="33"/>
      <c r="G380" s="94"/>
      <c r="H380" s="33"/>
      <c r="I380" s="33"/>
      <c r="J380" s="33"/>
      <c r="K380" s="33"/>
      <c r="L380" s="33"/>
      <c r="M380" s="33"/>
      <c r="N380" s="33"/>
      <c r="O380" s="33"/>
      <c r="P380" s="33"/>
      <c r="Q380" s="33"/>
      <c r="R380" s="33"/>
      <c r="S380" s="33"/>
      <c r="T380" s="33"/>
      <c r="U380" s="33"/>
      <c r="V380" s="33"/>
      <c r="W380" s="33"/>
      <c r="X380" s="33"/>
      <c r="Y380" s="33"/>
      <c r="Z380" s="33"/>
      <c r="AA380" s="33"/>
      <c r="AB380" s="33"/>
    </row>
    <row r="381">
      <c r="A381" s="33"/>
      <c r="B381" s="33"/>
      <c r="C381" s="94"/>
      <c r="D381" s="33"/>
      <c r="E381" s="33"/>
      <c r="F381" s="33"/>
      <c r="G381" s="94"/>
      <c r="H381" s="33"/>
      <c r="I381" s="33"/>
      <c r="J381" s="33"/>
      <c r="K381" s="33"/>
      <c r="L381" s="33"/>
      <c r="M381" s="33"/>
      <c r="N381" s="33"/>
      <c r="O381" s="33"/>
      <c r="P381" s="33"/>
      <c r="Q381" s="33"/>
      <c r="R381" s="33"/>
      <c r="S381" s="33"/>
      <c r="T381" s="33"/>
      <c r="U381" s="33"/>
      <c r="V381" s="33"/>
      <c r="W381" s="33"/>
      <c r="X381" s="33"/>
      <c r="Y381" s="33"/>
      <c r="Z381" s="33"/>
      <c r="AA381" s="33"/>
      <c r="AB381" s="33"/>
    </row>
    <row r="382">
      <c r="A382" s="33"/>
      <c r="B382" s="33"/>
      <c r="C382" s="94"/>
      <c r="D382" s="33"/>
      <c r="E382" s="33"/>
      <c r="F382" s="33"/>
      <c r="G382" s="94"/>
      <c r="H382" s="33"/>
      <c r="I382" s="33"/>
      <c r="J382" s="33"/>
      <c r="K382" s="33"/>
      <c r="L382" s="33"/>
      <c r="M382" s="33"/>
      <c r="N382" s="33"/>
      <c r="O382" s="33"/>
      <c r="P382" s="33"/>
      <c r="Q382" s="33"/>
      <c r="R382" s="33"/>
      <c r="S382" s="33"/>
      <c r="T382" s="33"/>
      <c r="U382" s="33"/>
      <c r="V382" s="33"/>
      <c r="W382" s="33"/>
      <c r="X382" s="33"/>
      <c r="Y382" s="33"/>
      <c r="Z382" s="33"/>
      <c r="AA382" s="33"/>
      <c r="AB382" s="33"/>
    </row>
    <row r="383">
      <c r="A383" s="33"/>
      <c r="B383" s="33"/>
      <c r="C383" s="94"/>
      <c r="D383" s="33"/>
      <c r="E383" s="33"/>
      <c r="F383" s="33"/>
      <c r="G383" s="94"/>
      <c r="H383" s="33"/>
      <c r="I383" s="33"/>
      <c r="J383" s="33"/>
      <c r="K383" s="33"/>
      <c r="L383" s="33"/>
      <c r="M383" s="33"/>
      <c r="N383" s="33"/>
      <c r="O383" s="33"/>
      <c r="P383" s="33"/>
      <c r="Q383" s="33"/>
      <c r="R383" s="33"/>
      <c r="S383" s="33"/>
      <c r="T383" s="33"/>
      <c r="U383" s="33"/>
      <c r="V383" s="33"/>
      <c r="W383" s="33"/>
      <c r="X383" s="33"/>
      <c r="Y383" s="33"/>
      <c r="Z383" s="33"/>
      <c r="AA383" s="33"/>
      <c r="AB383" s="33"/>
    </row>
    <row r="384">
      <c r="A384" s="33"/>
      <c r="B384" s="33"/>
      <c r="C384" s="94"/>
      <c r="D384" s="33"/>
      <c r="E384" s="33"/>
      <c r="F384" s="33"/>
      <c r="G384" s="94"/>
      <c r="H384" s="33"/>
      <c r="I384" s="33"/>
      <c r="J384" s="33"/>
      <c r="K384" s="33"/>
      <c r="L384" s="33"/>
      <c r="M384" s="33"/>
      <c r="N384" s="33"/>
      <c r="O384" s="33"/>
      <c r="P384" s="33"/>
      <c r="Q384" s="33"/>
      <c r="R384" s="33"/>
      <c r="S384" s="33"/>
      <c r="T384" s="33"/>
      <c r="U384" s="33"/>
      <c r="V384" s="33"/>
      <c r="W384" s="33"/>
      <c r="X384" s="33"/>
      <c r="Y384" s="33"/>
      <c r="Z384" s="33"/>
      <c r="AA384" s="33"/>
      <c r="AB384" s="33"/>
    </row>
    <row r="385">
      <c r="A385" s="33"/>
      <c r="B385" s="33"/>
      <c r="C385" s="94"/>
      <c r="D385" s="33"/>
      <c r="E385" s="33"/>
      <c r="F385" s="33"/>
      <c r="G385" s="94"/>
      <c r="H385" s="33"/>
      <c r="I385" s="33"/>
      <c r="J385" s="33"/>
      <c r="K385" s="33"/>
      <c r="L385" s="33"/>
      <c r="M385" s="33"/>
      <c r="N385" s="33"/>
      <c r="O385" s="33"/>
      <c r="P385" s="33"/>
      <c r="Q385" s="33"/>
      <c r="R385" s="33"/>
      <c r="S385" s="33"/>
      <c r="T385" s="33"/>
      <c r="U385" s="33"/>
      <c r="V385" s="33"/>
      <c r="W385" s="33"/>
      <c r="X385" s="33"/>
      <c r="Y385" s="33"/>
      <c r="Z385" s="33"/>
      <c r="AA385" s="33"/>
      <c r="AB385" s="33"/>
    </row>
    <row r="386">
      <c r="A386" s="33"/>
      <c r="B386" s="33"/>
      <c r="C386" s="94"/>
      <c r="D386" s="33"/>
      <c r="E386" s="33"/>
      <c r="F386" s="33"/>
      <c r="G386" s="94"/>
      <c r="H386" s="33"/>
      <c r="I386" s="33"/>
      <c r="J386" s="33"/>
      <c r="K386" s="33"/>
      <c r="L386" s="33"/>
      <c r="M386" s="33"/>
      <c r="N386" s="33"/>
      <c r="O386" s="33"/>
      <c r="P386" s="33"/>
      <c r="Q386" s="33"/>
      <c r="R386" s="33"/>
      <c r="S386" s="33"/>
      <c r="T386" s="33"/>
      <c r="U386" s="33"/>
      <c r="V386" s="33"/>
      <c r="W386" s="33"/>
      <c r="X386" s="33"/>
      <c r="Y386" s="33"/>
      <c r="Z386" s="33"/>
      <c r="AA386" s="33"/>
      <c r="AB386" s="33"/>
    </row>
    <row r="387">
      <c r="A387" s="33"/>
      <c r="B387" s="33"/>
      <c r="C387" s="94"/>
      <c r="D387" s="33"/>
      <c r="E387" s="33"/>
      <c r="F387" s="33"/>
      <c r="G387" s="94"/>
      <c r="H387" s="33"/>
      <c r="I387" s="33"/>
      <c r="J387" s="33"/>
      <c r="K387" s="33"/>
      <c r="L387" s="33"/>
      <c r="M387" s="33"/>
      <c r="N387" s="33"/>
      <c r="O387" s="33"/>
      <c r="P387" s="33"/>
      <c r="Q387" s="33"/>
      <c r="R387" s="33"/>
      <c r="S387" s="33"/>
      <c r="T387" s="33"/>
      <c r="U387" s="33"/>
      <c r="V387" s="33"/>
      <c r="W387" s="33"/>
      <c r="X387" s="33"/>
      <c r="Y387" s="33"/>
      <c r="Z387" s="33"/>
      <c r="AA387" s="33"/>
      <c r="AB387" s="33"/>
    </row>
    <row r="388">
      <c r="A388" s="33"/>
      <c r="B388" s="33"/>
      <c r="C388" s="94"/>
      <c r="D388" s="33"/>
      <c r="E388" s="33"/>
      <c r="F388" s="33"/>
      <c r="G388" s="94"/>
      <c r="H388" s="33"/>
      <c r="I388" s="33"/>
      <c r="J388" s="33"/>
      <c r="K388" s="33"/>
      <c r="L388" s="33"/>
      <c r="M388" s="33"/>
      <c r="N388" s="33"/>
      <c r="O388" s="33"/>
      <c r="P388" s="33"/>
      <c r="Q388" s="33"/>
      <c r="R388" s="33"/>
      <c r="S388" s="33"/>
      <c r="T388" s="33"/>
      <c r="U388" s="33"/>
      <c r="V388" s="33"/>
      <c r="W388" s="33"/>
      <c r="X388" s="33"/>
      <c r="Y388" s="33"/>
      <c r="Z388" s="33"/>
      <c r="AA388" s="33"/>
      <c r="AB388" s="33"/>
    </row>
    <row r="389">
      <c r="A389" s="33"/>
      <c r="B389" s="33"/>
      <c r="C389" s="94"/>
      <c r="D389" s="33"/>
      <c r="E389" s="33"/>
      <c r="F389" s="33"/>
      <c r="G389" s="94"/>
      <c r="H389" s="33"/>
      <c r="I389" s="33"/>
      <c r="J389" s="33"/>
      <c r="K389" s="33"/>
      <c r="L389" s="33"/>
      <c r="M389" s="33"/>
      <c r="N389" s="33"/>
      <c r="O389" s="33"/>
      <c r="P389" s="33"/>
      <c r="Q389" s="33"/>
      <c r="R389" s="33"/>
      <c r="S389" s="33"/>
      <c r="T389" s="33"/>
      <c r="U389" s="33"/>
      <c r="V389" s="33"/>
      <c r="W389" s="33"/>
      <c r="X389" s="33"/>
      <c r="Y389" s="33"/>
      <c r="Z389" s="33"/>
      <c r="AA389" s="33"/>
      <c r="AB389" s="33"/>
    </row>
    <row r="390">
      <c r="A390" s="33"/>
      <c r="B390" s="33"/>
      <c r="C390" s="94"/>
      <c r="D390" s="33"/>
      <c r="E390" s="33"/>
      <c r="F390" s="33"/>
      <c r="G390" s="94"/>
      <c r="H390" s="33"/>
      <c r="I390" s="33"/>
      <c r="J390" s="33"/>
      <c r="K390" s="33"/>
      <c r="L390" s="33"/>
      <c r="M390" s="33"/>
      <c r="N390" s="33"/>
      <c r="O390" s="33"/>
      <c r="P390" s="33"/>
      <c r="Q390" s="33"/>
      <c r="R390" s="33"/>
      <c r="S390" s="33"/>
      <c r="T390" s="33"/>
      <c r="U390" s="33"/>
      <c r="V390" s="33"/>
      <c r="W390" s="33"/>
      <c r="X390" s="33"/>
      <c r="Y390" s="33"/>
      <c r="Z390" s="33"/>
      <c r="AA390" s="33"/>
      <c r="AB390" s="33"/>
    </row>
    <row r="391">
      <c r="A391" s="33"/>
      <c r="B391" s="33"/>
      <c r="C391" s="94"/>
      <c r="D391" s="33"/>
      <c r="E391" s="33"/>
      <c r="F391" s="33"/>
      <c r="G391" s="94"/>
      <c r="H391" s="33"/>
      <c r="I391" s="33"/>
      <c r="J391" s="33"/>
      <c r="K391" s="33"/>
      <c r="L391" s="33"/>
      <c r="M391" s="33"/>
      <c r="N391" s="33"/>
      <c r="O391" s="33"/>
      <c r="P391" s="33"/>
      <c r="Q391" s="33"/>
      <c r="R391" s="33"/>
      <c r="S391" s="33"/>
      <c r="T391" s="33"/>
      <c r="U391" s="33"/>
      <c r="V391" s="33"/>
      <c r="W391" s="33"/>
      <c r="X391" s="33"/>
      <c r="Y391" s="33"/>
      <c r="Z391" s="33"/>
      <c r="AA391" s="33"/>
      <c r="AB391" s="33"/>
    </row>
    <row r="392">
      <c r="A392" s="33"/>
      <c r="B392" s="33"/>
      <c r="C392" s="94"/>
      <c r="D392" s="33"/>
      <c r="E392" s="33"/>
      <c r="F392" s="33"/>
      <c r="G392" s="94"/>
      <c r="H392" s="33"/>
      <c r="I392" s="33"/>
      <c r="J392" s="33"/>
      <c r="K392" s="33"/>
      <c r="L392" s="33"/>
      <c r="M392" s="33"/>
      <c r="N392" s="33"/>
      <c r="O392" s="33"/>
      <c r="P392" s="33"/>
      <c r="Q392" s="33"/>
      <c r="R392" s="33"/>
      <c r="S392" s="33"/>
      <c r="T392" s="33"/>
      <c r="U392" s="33"/>
      <c r="V392" s="33"/>
      <c r="W392" s="33"/>
      <c r="X392" s="33"/>
      <c r="Y392" s="33"/>
      <c r="Z392" s="33"/>
      <c r="AA392" s="33"/>
      <c r="AB392" s="33"/>
    </row>
    <row r="393">
      <c r="A393" s="33"/>
      <c r="B393" s="33"/>
      <c r="C393" s="94"/>
      <c r="D393" s="33"/>
      <c r="E393" s="33"/>
      <c r="F393" s="33"/>
      <c r="G393" s="94"/>
      <c r="H393" s="33"/>
      <c r="I393" s="33"/>
      <c r="J393" s="33"/>
      <c r="K393" s="33"/>
      <c r="L393" s="33"/>
      <c r="M393" s="33"/>
      <c r="N393" s="33"/>
      <c r="O393" s="33"/>
      <c r="P393" s="33"/>
      <c r="Q393" s="33"/>
      <c r="R393" s="33"/>
      <c r="S393" s="33"/>
      <c r="T393" s="33"/>
      <c r="U393" s="33"/>
      <c r="V393" s="33"/>
      <c r="W393" s="33"/>
      <c r="X393" s="33"/>
      <c r="Y393" s="33"/>
      <c r="Z393" s="33"/>
      <c r="AA393" s="33"/>
      <c r="AB393" s="33"/>
    </row>
    <row r="394">
      <c r="A394" s="33"/>
      <c r="B394" s="33"/>
      <c r="C394" s="94"/>
      <c r="D394" s="33"/>
      <c r="E394" s="33"/>
      <c r="F394" s="33"/>
      <c r="G394" s="94"/>
      <c r="H394" s="33"/>
      <c r="I394" s="33"/>
      <c r="J394" s="33"/>
      <c r="K394" s="33"/>
      <c r="L394" s="33"/>
      <c r="M394" s="33"/>
      <c r="N394" s="33"/>
      <c r="O394" s="33"/>
      <c r="P394" s="33"/>
      <c r="Q394" s="33"/>
      <c r="R394" s="33"/>
      <c r="S394" s="33"/>
      <c r="T394" s="33"/>
      <c r="U394" s="33"/>
      <c r="V394" s="33"/>
      <c r="W394" s="33"/>
      <c r="X394" s="33"/>
      <c r="Y394" s="33"/>
      <c r="Z394" s="33"/>
      <c r="AA394" s="33"/>
      <c r="AB394" s="33"/>
    </row>
    <row r="395">
      <c r="A395" s="33"/>
      <c r="B395" s="33"/>
      <c r="C395" s="94"/>
      <c r="D395" s="33"/>
      <c r="E395" s="33"/>
      <c r="F395" s="33"/>
      <c r="G395" s="94"/>
      <c r="H395" s="33"/>
      <c r="I395" s="33"/>
      <c r="J395" s="33"/>
      <c r="K395" s="33"/>
      <c r="L395" s="33"/>
      <c r="M395" s="33"/>
      <c r="N395" s="33"/>
      <c r="O395" s="33"/>
      <c r="P395" s="33"/>
      <c r="Q395" s="33"/>
      <c r="R395" s="33"/>
      <c r="S395" s="33"/>
      <c r="T395" s="33"/>
      <c r="U395" s="33"/>
      <c r="V395" s="33"/>
      <c r="W395" s="33"/>
      <c r="X395" s="33"/>
      <c r="Y395" s="33"/>
      <c r="Z395" s="33"/>
      <c r="AA395" s="33"/>
      <c r="AB395" s="33"/>
    </row>
    <row r="396">
      <c r="A396" s="33"/>
      <c r="B396" s="33"/>
      <c r="C396" s="94"/>
      <c r="D396" s="33"/>
      <c r="E396" s="33"/>
      <c r="F396" s="33"/>
      <c r="G396" s="94"/>
      <c r="H396" s="33"/>
      <c r="I396" s="33"/>
      <c r="J396" s="33"/>
      <c r="K396" s="33"/>
      <c r="L396" s="33"/>
      <c r="M396" s="33"/>
      <c r="N396" s="33"/>
      <c r="O396" s="33"/>
      <c r="P396" s="33"/>
      <c r="Q396" s="33"/>
      <c r="R396" s="33"/>
      <c r="S396" s="33"/>
      <c r="T396" s="33"/>
      <c r="U396" s="33"/>
      <c r="V396" s="33"/>
      <c r="W396" s="33"/>
      <c r="X396" s="33"/>
      <c r="Y396" s="33"/>
      <c r="Z396" s="33"/>
      <c r="AA396" s="33"/>
      <c r="AB396" s="33"/>
    </row>
    <row r="397">
      <c r="A397" s="33"/>
      <c r="B397" s="33"/>
      <c r="C397" s="94"/>
      <c r="D397" s="33"/>
      <c r="E397" s="33"/>
      <c r="F397" s="33"/>
      <c r="G397" s="94"/>
      <c r="H397" s="33"/>
      <c r="I397" s="33"/>
      <c r="J397" s="33"/>
      <c r="K397" s="33"/>
      <c r="L397" s="33"/>
      <c r="M397" s="33"/>
      <c r="N397" s="33"/>
      <c r="O397" s="33"/>
      <c r="P397" s="33"/>
      <c r="Q397" s="33"/>
      <c r="R397" s="33"/>
      <c r="S397" s="33"/>
      <c r="T397" s="33"/>
      <c r="U397" s="33"/>
      <c r="V397" s="33"/>
      <c r="W397" s="33"/>
      <c r="X397" s="33"/>
      <c r="Y397" s="33"/>
      <c r="Z397" s="33"/>
      <c r="AA397" s="33"/>
      <c r="AB397" s="33"/>
    </row>
    <row r="398">
      <c r="A398" s="33"/>
      <c r="B398" s="33"/>
      <c r="C398" s="94"/>
      <c r="D398" s="33"/>
      <c r="E398" s="33"/>
      <c r="F398" s="33"/>
      <c r="G398" s="94"/>
      <c r="H398" s="33"/>
      <c r="I398" s="33"/>
      <c r="J398" s="33"/>
      <c r="K398" s="33"/>
      <c r="L398" s="33"/>
      <c r="M398" s="33"/>
      <c r="N398" s="33"/>
      <c r="O398" s="33"/>
      <c r="P398" s="33"/>
      <c r="Q398" s="33"/>
      <c r="R398" s="33"/>
      <c r="S398" s="33"/>
      <c r="T398" s="33"/>
      <c r="U398" s="33"/>
      <c r="V398" s="33"/>
      <c r="W398" s="33"/>
      <c r="X398" s="33"/>
      <c r="Y398" s="33"/>
      <c r="Z398" s="33"/>
      <c r="AA398" s="33"/>
      <c r="AB398" s="33"/>
    </row>
    <row r="399">
      <c r="A399" s="33"/>
      <c r="B399" s="33"/>
      <c r="C399" s="94"/>
      <c r="D399" s="33"/>
      <c r="E399" s="33"/>
      <c r="F399" s="33"/>
      <c r="G399" s="94"/>
      <c r="H399" s="33"/>
      <c r="I399" s="33"/>
      <c r="J399" s="33"/>
      <c r="K399" s="33"/>
      <c r="L399" s="33"/>
      <c r="M399" s="33"/>
      <c r="N399" s="33"/>
      <c r="O399" s="33"/>
      <c r="P399" s="33"/>
      <c r="Q399" s="33"/>
      <c r="R399" s="33"/>
      <c r="S399" s="33"/>
      <c r="T399" s="33"/>
      <c r="U399" s="33"/>
      <c r="V399" s="33"/>
      <c r="W399" s="33"/>
      <c r="X399" s="33"/>
      <c r="Y399" s="33"/>
      <c r="Z399" s="33"/>
      <c r="AA399" s="33"/>
      <c r="AB399" s="33"/>
    </row>
    <row r="400">
      <c r="A400" s="33"/>
      <c r="B400" s="33"/>
      <c r="C400" s="94"/>
      <c r="D400" s="33"/>
      <c r="E400" s="33"/>
      <c r="F400" s="33"/>
      <c r="G400" s="94"/>
      <c r="H400" s="33"/>
      <c r="I400" s="33"/>
      <c r="J400" s="33"/>
      <c r="K400" s="33"/>
      <c r="L400" s="33"/>
      <c r="M400" s="33"/>
      <c r="N400" s="33"/>
      <c r="O400" s="33"/>
      <c r="P400" s="33"/>
      <c r="Q400" s="33"/>
      <c r="R400" s="33"/>
      <c r="S400" s="33"/>
      <c r="T400" s="33"/>
      <c r="U400" s="33"/>
      <c r="V400" s="33"/>
      <c r="W400" s="33"/>
      <c r="X400" s="33"/>
      <c r="Y400" s="33"/>
      <c r="Z400" s="33"/>
      <c r="AA400" s="33"/>
      <c r="AB400" s="33"/>
    </row>
    <row r="401">
      <c r="A401" s="33"/>
      <c r="B401" s="33"/>
      <c r="C401" s="94"/>
      <c r="D401" s="33"/>
      <c r="E401" s="33"/>
      <c r="F401" s="33"/>
      <c r="G401" s="94"/>
      <c r="H401" s="33"/>
      <c r="I401" s="33"/>
      <c r="J401" s="33"/>
      <c r="K401" s="33"/>
      <c r="L401" s="33"/>
      <c r="M401" s="33"/>
      <c r="N401" s="33"/>
      <c r="O401" s="33"/>
      <c r="P401" s="33"/>
      <c r="Q401" s="33"/>
      <c r="R401" s="33"/>
      <c r="S401" s="33"/>
      <c r="T401" s="33"/>
      <c r="U401" s="33"/>
      <c r="V401" s="33"/>
      <c r="W401" s="33"/>
      <c r="X401" s="33"/>
      <c r="Y401" s="33"/>
      <c r="Z401" s="33"/>
      <c r="AA401" s="33"/>
      <c r="AB401" s="33"/>
    </row>
    <row r="402">
      <c r="A402" s="33"/>
      <c r="B402" s="33"/>
      <c r="C402" s="94"/>
      <c r="D402" s="33"/>
      <c r="E402" s="33"/>
      <c r="F402" s="33"/>
      <c r="G402" s="94"/>
      <c r="H402" s="33"/>
      <c r="I402" s="33"/>
      <c r="J402" s="33"/>
      <c r="K402" s="33"/>
      <c r="L402" s="33"/>
      <c r="M402" s="33"/>
      <c r="N402" s="33"/>
      <c r="O402" s="33"/>
      <c r="P402" s="33"/>
      <c r="Q402" s="33"/>
      <c r="R402" s="33"/>
      <c r="S402" s="33"/>
      <c r="T402" s="33"/>
      <c r="U402" s="33"/>
      <c r="V402" s="33"/>
      <c r="W402" s="33"/>
      <c r="X402" s="33"/>
      <c r="Y402" s="33"/>
      <c r="Z402" s="33"/>
      <c r="AA402" s="33"/>
      <c r="AB402" s="33"/>
    </row>
    <row r="403">
      <c r="A403" s="33"/>
      <c r="B403" s="33"/>
      <c r="C403" s="94"/>
      <c r="D403" s="33"/>
      <c r="E403" s="33"/>
      <c r="F403" s="33"/>
      <c r="G403" s="94"/>
      <c r="H403" s="33"/>
      <c r="I403" s="33"/>
      <c r="J403" s="33"/>
      <c r="K403" s="33"/>
      <c r="L403" s="33"/>
      <c r="M403" s="33"/>
      <c r="N403" s="33"/>
      <c r="O403" s="33"/>
      <c r="P403" s="33"/>
      <c r="Q403" s="33"/>
      <c r="R403" s="33"/>
      <c r="S403" s="33"/>
      <c r="T403" s="33"/>
      <c r="U403" s="33"/>
      <c r="V403" s="33"/>
      <c r="W403" s="33"/>
      <c r="X403" s="33"/>
      <c r="Y403" s="33"/>
      <c r="Z403" s="33"/>
      <c r="AA403" s="33"/>
      <c r="AB403" s="33"/>
    </row>
    <row r="404">
      <c r="A404" s="33"/>
      <c r="B404" s="33"/>
      <c r="C404" s="94"/>
      <c r="D404" s="33"/>
      <c r="E404" s="33"/>
      <c r="F404" s="33"/>
      <c r="G404" s="94"/>
      <c r="H404" s="33"/>
      <c r="I404" s="33"/>
      <c r="J404" s="33"/>
      <c r="K404" s="33"/>
      <c r="L404" s="33"/>
      <c r="M404" s="33"/>
      <c r="N404" s="33"/>
      <c r="O404" s="33"/>
      <c r="P404" s="33"/>
      <c r="Q404" s="33"/>
      <c r="R404" s="33"/>
      <c r="S404" s="33"/>
      <c r="T404" s="33"/>
      <c r="U404" s="33"/>
      <c r="V404" s="33"/>
      <c r="W404" s="33"/>
      <c r="X404" s="33"/>
      <c r="Y404" s="33"/>
      <c r="Z404" s="33"/>
      <c r="AA404" s="33"/>
      <c r="AB404" s="33"/>
    </row>
    <row r="405">
      <c r="A405" s="33"/>
      <c r="B405" s="33"/>
      <c r="C405" s="94"/>
      <c r="D405" s="33"/>
      <c r="E405" s="33"/>
      <c r="F405" s="33"/>
      <c r="G405" s="94"/>
      <c r="H405" s="33"/>
      <c r="I405" s="33"/>
      <c r="J405" s="33"/>
      <c r="K405" s="33"/>
      <c r="L405" s="33"/>
      <c r="M405" s="33"/>
      <c r="N405" s="33"/>
      <c r="O405" s="33"/>
      <c r="P405" s="33"/>
      <c r="Q405" s="33"/>
      <c r="R405" s="33"/>
      <c r="S405" s="33"/>
      <c r="T405" s="33"/>
      <c r="U405" s="33"/>
      <c r="V405" s="33"/>
      <c r="W405" s="33"/>
      <c r="X405" s="33"/>
      <c r="Y405" s="33"/>
      <c r="Z405" s="33"/>
      <c r="AA405" s="33"/>
      <c r="AB405" s="33"/>
    </row>
    <row r="406">
      <c r="A406" s="33"/>
      <c r="B406" s="33"/>
      <c r="C406" s="94"/>
      <c r="D406" s="33"/>
      <c r="E406" s="33"/>
      <c r="F406" s="33"/>
      <c r="G406" s="94"/>
      <c r="H406" s="33"/>
      <c r="I406" s="33"/>
      <c r="J406" s="33"/>
      <c r="K406" s="33"/>
      <c r="L406" s="33"/>
      <c r="M406" s="33"/>
      <c r="N406" s="33"/>
      <c r="O406" s="33"/>
      <c r="P406" s="33"/>
      <c r="Q406" s="33"/>
      <c r="R406" s="33"/>
      <c r="S406" s="33"/>
      <c r="T406" s="33"/>
      <c r="U406" s="33"/>
      <c r="V406" s="33"/>
      <c r="W406" s="33"/>
      <c r="X406" s="33"/>
      <c r="Y406" s="33"/>
      <c r="Z406" s="33"/>
      <c r="AA406" s="33"/>
      <c r="AB406" s="33"/>
    </row>
    <row r="407">
      <c r="A407" s="33"/>
      <c r="B407" s="33"/>
      <c r="C407" s="94"/>
      <c r="D407" s="33"/>
      <c r="E407" s="33"/>
      <c r="F407" s="33"/>
      <c r="G407" s="94"/>
      <c r="H407" s="33"/>
      <c r="I407" s="33"/>
      <c r="J407" s="33"/>
      <c r="K407" s="33"/>
      <c r="L407" s="33"/>
      <c r="M407" s="33"/>
      <c r="N407" s="33"/>
      <c r="O407" s="33"/>
      <c r="P407" s="33"/>
      <c r="Q407" s="33"/>
      <c r="R407" s="33"/>
      <c r="S407" s="33"/>
      <c r="T407" s="33"/>
      <c r="U407" s="33"/>
      <c r="V407" s="33"/>
      <c r="W407" s="33"/>
      <c r="X407" s="33"/>
      <c r="Y407" s="33"/>
      <c r="Z407" s="33"/>
      <c r="AA407" s="33"/>
      <c r="AB407" s="33"/>
    </row>
    <row r="408">
      <c r="A408" s="33"/>
      <c r="B408" s="33"/>
      <c r="C408" s="94"/>
      <c r="D408" s="33"/>
      <c r="E408" s="33"/>
      <c r="F408" s="33"/>
      <c r="G408" s="94"/>
      <c r="H408" s="33"/>
      <c r="I408" s="33"/>
      <c r="J408" s="33"/>
      <c r="K408" s="33"/>
      <c r="L408" s="33"/>
      <c r="M408" s="33"/>
      <c r="N408" s="33"/>
      <c r="O408" s="33"/>
      <c r="P408" s="33"/>
      <c r="Q408" s="33"/>
      <c r="R408" s="33"/>
      <c r="S408" s="33"/>
      <c r="T408" s="33"/>
      <c r="U408" s="33"/>
      <c r="V408" s="33"/>
      <c r="W408" s="33"/>
      <c r="X408" s="33"/>
      <c r="Y408" s="33"/>
      <c r="Z408" s="33"/>
      <c r="AA408" s="33"/>
      <c r="AB408" s="33"/>
    </row>
    <row r="409">
      <c r="A409" s="33"/>
      <c r="B409" s="33"/>
      <c r="C409" s="94"/>
      <c r="D409" s="33"/>
      <c r="E409" s="33"/>
      <c r="F409" s="33"/>
      <c r="G409" s="94"/>
      <c r="H409" s="33"/>
      <c r="I409" s="33"/>
      <c r="J409" s="33"/>
      <c r="K409" s="33"/>
      <c r="L409" s="33"/>
      <c r="M409" s="33"/>
      <c r="N409" s="33"/>
      <c r="O409" s="33"/>
      <c r="P409" s="33"/>
      <c r="Q409" s="33"/>
      <c r="R409" s="33"/>
      <c r="S409" s="33"/>
      <c r="T409" s="33"/>
      <c r="U409" s="33"/>
      <c r="V409" s="33"/>
      <c r="W409" s="33"/>
      <c r="X409" s="33"/>
      <c r="Y409" s="33"/>
      <c r="Z409" s="33"/>
      <c r="AA409" s="33"/>
      <c r="AB409" s="33"/>
    </row>
    <row r="410">
      <c r="A410" s="33"/>
      <c r="B410" s="33"/>
      <c r="C410" s="94"/>
      <c r="D410" s="33"/>
      <c r="E410" s="33"/>
      <c r="F410" s="33"/>
      <c r="G410" s="94"/>
      <c r="H410" s="33"/>
      <c r="I410" s="33"/>
      <c r="J410" s="33"/>
      <c r="K410" s="33"/>
      <c r="L410" s="33"/>
      <c r="M410" s="33"/>
      <c r="N410" s="33"/>
      <c r="O410" s="33"/>
      <c r="P410" s="33"/>
      <c r="Q410" s="33"/>
      <c r="R410" s="33"/>
      <c r="S410" s="33"/>
      <c r="T410" s="33"/>
      <c r="U410" s="33"/>
      <c r="V410" s="33"/>
      <c r="W410" s="33"/>
      <c r="X410" s="33"/>
      <c r="Y410" s="33"/>
      <c r="Z410" s="33"/>
      <c r="AA410" s="33"/>
      <c r="AB410" s="33"/>
    </row>
    <row r="411">
      <c r="A411" s="33"/>
      <c r="B411" s="33"/>
      <c r="C411" s="94"/>
      <c r="D411" s="33"/>
      <c r="E411" s="33"/>
      <c r="F411" s="33"/>
      <c r="G411" s="94"/>
      <c r="H411" s="33"/>
      <c r="I411" s="33"/>
      <c r="J411" s="33"/>
      <c r="K411" s="33"/>
      <c r="L411" s="33"/>
      <c r="M411" s="33"/>
      <c r="N411" s="33"/>
      <c r="O411" s="33"/>
      <c r="P411" s="33"/>
      <c r="Q411" s="33"/>
      <c r="R411" s="33"/>
      <c r="S411" s="33"/>
      <c r="T411" s="33"/>
      <c r="U411" s="33"/>
      <c r="V411" s="33"/>
      <c r="W411" s="33"/>
      <c r="X411" s="33"/>
      <c r="Y411" s="33"/>
      <c r="Z411" s="33"/>
      <c r="AA411" s="33"/>
      <c r="AB411" s="33"/>
    </row>
    <row r="412">
      <c r="A412" s="33"/>
      <c r="B412" s="33"/>
      <c r="C412" s="94"/>
      <c r="D412" s="33"/>
      <c r="E412" s="33"/>
      <c r="F412" s="33"/>
      <c r="G412" s="94"/>
      <c r="H412" s="33"/>
      <c r="I412" s="33"/>
      <c r="J412" s="33"/>
      <c r="K412" s="33"/>
      <c r="L412" s="33"/>
      <c r="M412" s="33"/>
      <c r="N412" s="33"/>
      <c r="O412" s="33"/>
      <c r="P412" s="33"/>
      <c r="Q412" s="33"/>
      <c r="R412" s="33"/>
      <c r="S412" s="33"/>
      <c r="T412" s="33"/>
      <c r="U412" s="33"/>
      <c r="V412" s="33"/>
      <c r="W412" s="33"/>
      <c r="X412" s="33"/>
      <c r="Y412" s="33"/>
      <c r="Z412" s="33"/>
      <c r="AA412" s="33"/>
      <c r="AB412" s="33"/>
    </row>
    <row r="413">
      <c r="A413" s="33"/>
      <c r="B413" s="33"/>
      <c r="C413" s="94"/>
      <c r="D413" s="33"/>
      <c r="E413" s="33"/>
      <c r="F413" s="33"/>
      <c r="G413" s="94"/>
      <c r="H413" s="33"/>
      <c r="I413" s="33"/>
      <c r="J413" s="33"/>
      <c r="K413" s="33"/>
      <c r="L413" s="33"/>
      <c r="M413" s="33"/>
      <c r="N413" s="33"/>
      <c r="O413" s="33"/>
      <c r="P413" s="33"/>
      <c r="Q413" s="33"/>
      <c r="R413" s="33"/>
      <c r="S413" s="33"/>
      <c r="T413" s="33"/>
      <c r="U413" s="33"/>
      <c r="V413" s="33"/>
      <c r="W413" s="33"/>
      <c r="X413" s="33"/>
      <c r="Y413" s="33"/>
      <c r="Z413" s="33"/>
      <c r="AA413" s="33"/>
      <c r="AB413" s="33"/>
    </row>
    <row r="414">
      <c r="A414" s="33"/>
      <c r="B414" s="33"/>
      <c r="C414" s="94"/>
      <c r="D414" s="33"/>
      <c r="E414" s="33"/>
      <c r="F414" s="33"/>
      <c r="G414" s="94"/>
      <c r="H414" s="33"/>
      <c r="I414" s="33"/>
      <c r="J414" s="33"/>
      <c r="K414" s="33"/>
      <c r="L414" s="33"/>
      <c r="M414" s="33"/>
      <c r="N414" s="33"/>
      <c r="O414" s="33"/>
      <c r="P414" s="33"/>
      <c r="Q414" s="33"/>
      <c r="R414" s="33"/>
      <c r="S414" s="33"/>
      <c r="T414" s="33"/>
      <c r="U414" s="33"/>
      <c r="V414" s="33"/>
      <c r="W414" s="33"/>
      <c r="X414" s="33"/>
      <c r="Y414" s="33"/>
      <c r="Z414" s="33"/>
      <c r="AA414" s="33"/>
      <c r="AB414" s="33"/>
    </row>
    <row r="415">
      <c r="A415" s="33"/>
      <c r="B415" s="33"/>
      <c r="C415" s="94"/>
      <c r="D415" s="33"/>
      <c r="E415" s="33"/>
      <c r="F415" s="33"/>
      <c r="G415" s="94"/>
      <c r="H415" s="33"/>
      <c r="I415" s="33"/>
      <c r="J415" s="33"/>
      <c r="K415" s="33"/>
      <c r="L415" s="33"/>
      <c r="M415" s="33"/>
      <c r="N415" s="33"/>
      <c r="O415" s="33"/>
      <c r="P415" s="33"/>
      <c r="Q415" s="33"/>
      <c r="R415" s="33"/>
      <c r="S415" s="33"/>
      <c r="T415" s="33"/>
      <c r="U415" s="33"/>
      <c r="V415" s="33"/>
      <c r="W415" s="33"/>
      <c r="X415" s="33"/>
      <c r="Y415" s="33"/>
      <c r="Z415" s="33"/>
      <c r="AA415" s="33"/>
      <c r="AB415" s="33"/>
    </row>
    <row r="416">
      <c r="A416" s="33"/>
      <c r="B416" s="33"/>
      <c r="C416" s="94"/>
      <c r="D416" s="33"/>
      <c r="E416" s="33"/>
      <c r="F416" s="33"/>
      <c r="G416" s="94"/>
      <c r="H416" s="33"/>
      <c r="I416" s="33"/>
      <c r="J416" s="33"/>
      <c r="K416" s="33"/>
      <c r="L416" s="33"/>
      <c r="M416" s="33"/>
      <c r="N416" s="33"/>
      <c r="O416" s="33"/>
      <c r="P416" s="33"/>
      <c r="Q416" s="33"/>
      <c r="R416" s="33"/>
      <c r="S416" s="33"/>
      <c r="T416" s="33"/>
      <c r="U416" s="33"/>
      <c r="V416" s="33"/>
      <c r="W416" s="33"/>
      <c r="X416" s="33"/>
      <c r="Y416" s="33"/>
      <c r="Z416" s="33"/>
      <c r="AA416" s="33"/>
      <c r="AB416" s="33"/>
    </row>
    <row r="417">
      <c r="A417" s="33"/>
      <c r="B417" s="33"/>
      <c r="C417" s="94"/>
      <c r="D417" s="33"/>
      <c r="E417" s="33"/>
      <c r="F417" s="33"/>
      <c r="G417" s="94"/>
      <c r="H417" s="33"/>
      <c r="I417" s="33"/>
      <c r="J417" s="33"/>
      <c r="K417" s="33"/>
      <c r="L417" s="33"/>
      <c r="M417" s="33"/>
      <c r="N417" s="33"/>
      <c r="O417" s="33"/>
      <c r="P417" s="33"/>
      <c r="Q417" s="33"/>
      <c r="R417" s="33"/>
      <c r="S417" s="33"/>
      <c r="T417" s="33"/>
      <c r="U417" s="33"/>
      <c r="V417" s="33"/>
      <c r="W417" s="33"/>
      <c r="X417" s="33"/>
      <c r="Y417" s="33"/>
      <c r="Z417" s="33"/>
      <c r="AA417" s="33"/>
      <c r="AB417" s="33"/>
    </row>
    <row r="418">
      <c r="A418" s="33"/>
      <c r="B418" s="33"/>
      <c r="C418" s="94"/>
      <c r="D418" s="33"/>
      <c r="E418" s="33"/>
      <c r="F418" s="33"/>
      <c r="G418" s="94"/>
      <c r="H418" s="33"/>
      <c r="I418" s="33"/>
      <c r="J418" s="33"/>
      <c r="K418" s="33"/>
      <c r="L418" s="33"/>
      <c r="M418" s="33"/>
      <c r="N418" s="33"/>
      <c r="O418" s="33"/>
      <c r="P418" s="33"/>
      <c r="Q418" s="33"/>
      <c r="R418" s="33"/>
      <c r="S418" s="33"/>
      <c r="T418" s="33"/>
      <c r="U418" s="33"/>
      <c r="V418" s="33"/>
      <c r="W418" s="33"/>
      <c r="X418" s="33"/>
      <c r="Y418" s="33"/>
      <c r="Z418" s="33"/>
      <c r="AA418" s="33"/>
      <c r="AB418" s="33"/>
    </row>
    <row r="419">
      <c r="A419" s="33"/>
      <c r="B419" s="33"/>
      <c r="C419" s="94"/>
      <c r="D419" s="33"/>
      <c r="E419" s="33"/>
      <c r="F419" s="33"/>
      <c r="G419" s="94"/>
      <c r="H419" s="33"/>
      <c r="I419" s="33"/>
      <c r="J419" s="33"/>
      <c r="K419" s="33"/>
      <c r="L419" s="33"/>
      <c r="M419" s="33"/>
      <c r="N419" s="33"/>
      <c r="O419" s="33"/>
      <c r="P419" s="33"/>
      <c r="Q419" s="33"/>
      <c r="R419" s="33"/>
      <c r="S419" s="33"/>
      <c r="T419" s="33"/>
      <c r="U419" s="33"/>
      <c r="V419" s="33"/>
      <c r="W419" s="33"/>
      <c r="X419" s="33"/>
      <c r="Y419" s="33"/>
      <c r="Z419" s="33"/>
      <c r="AA419" s="33"/>
      <c r="AB419" s="33"/>
    </row>
    <row r="420">
      <c r="A420" s="33"/>
      <c r="B420" s="33"/>
      <c r="C420" s="94"/>
      <c r="D420" s="33"/>
      <c r="E420" s="33"/>
      <c r="F420" s="33"/>
      <c r="G420" s="94"/>
      <c r="H420" s="33"/>
      <c r="I420" s="33"/>
      <c r="J420" s="33"/>
      <c r="K420" s="33"/>
      <c r="L420" s="33"/>
      <c r="M420" s="33"/>
      <c r="N420" s="33"/>
      <c r="O420" s="33"/>
      <c r="P420" s="33"/>
      <c r="Q420" s="33"/>
      <c r="R420" s="33"/>
      <c r="S420" s="33"/>
      <c r="T420" s="33"/>
      <c r="U420" s="33"/>
      <c r="V420" s="33"/>
      <c r="W420" s="33"/>
      <c r="X420" s="33"/>
      <c r="Y420" s="33"/>
      <c r="Z420" s="33"/>
      <c r="AA420" s="33"/>
      <c r="AB420" s="33"/>
    </row>
    <row r="421">
      <c r="A421" s="33"/>
      <c r="B421" s="33"/>
      <c r="C421" s="94"/>
      <c r="D421" s="33"/>
      <c r="E421" s="33"/>
      <c r="F421" s="33"/>
      <c r="G421" s="94"/>
      <c r="H421" s="33"/>
      <c r="I421" s="33"/>
      <c r="J421" s="33"/>
      <c r="K421" s="33"/>
      <c r="L421" s="33"/>
      <c r="M421" s="33"/>
      <c r="N421" s="33"/>
      <c r="O421" s="33"/>
      <c r="P421" s="33"/>
      <c r="Q421" s="33"/>
      <c r="R421" s="33"/>
      <c r="S421" s="33"/>
      <c r="T421" s="33"/>
      <c r="U421" s="33"/>
      <c r="V421" s="33"/>
      <c r="W421" s="33"/>
      <c r="X421" s="33"/>
      <c r="Y421" s="33"/>
      <c r="Z421" s="33"/>
      <c r="AA421" s="33"/>
      <c r="AB421" s="33"/>
    </row>
    <row r="422">
      <c r="A422" s="33"/>
      <c r="B422" s="33"/>
      <c r="C422" s="94"/>
      <c r="D422" s="33"/>
      <c r="E422" s="33"/>
      <c r="F422" s="33"/>
      <c r="G422" s="94"/>
      <c r="H422" s="33"/>
      <c r="I422" s="33"/>
      <c r="J422" s="33"/>
      <c r="K422" s="33"/>
      <c r="L422" s="33"/>
      <c r="M422" s="33"/>
      <c r="N422" s="33"/>
      <c r="O422" s="33"/>
      <c r="P422" s="33"/>
      <c r="Q422" s="33"/>
      <c r="R422" s="33"/>
      <c r="S422" s="33"/>
      <c r="T422" s="33"/>
      <c r="U422" s="33"/>
      <c r="V422" s="33"/>
      <c r="W422" s="33"/>
      <c r="X422" s="33"/>
      <c r="Y422" s="33"/>
      <c r="Z422" s="33"/>
      <c r="AA422" s="33"/>
      <c r="AB422" s="33"/>
    </row>
    <row r="423">
      <c r="A423" s="33"/>
      <c r="B423" s="33"/>
      <c r="C423" s="94"/>
      <c r="D423" s="33"/>
      <c r="E423" s="33"/>
      <c r="F423" s="33"/>
      <c r="G423" s="94"/>
      <c r="H423" s="33"/>
      <c r="I423" s="33"/>
      <c r="J423" s="33"/>
      <c r="K423" s="33"/>
      <c r="L423" s="33"/>
      <c r="M423" s="33"/>
      <c r="N423" s="33"/>
      <c r="O423" s="33"/>
      <c r="P423" s="33"/>
      <c r="Q423" s="33"/>
      <c r="R423" s="33"/>
      <c r="S423" s="33"/>
      <c r="T423" s="33"/>
      <c r="U423" s="33"/>
      <c r="V423" s="33"/>
      <c r="W423" s="33"/>
      <c r="X423" s="33"/>
      <c r="Y423" s="33"/>
      <c r="Z423" s="33"/>
      <c r="AA423" s="33"/>
      <c r="AB423" s="33"/>
    </row>
    <row r="424">
      <c r="A424" s="33"/>
      <c r="B424" s="33"/>
      <c r="C424" s="94"/>
      <c r="D424" s="33"/>
      <c r="E424" s="33"/>
      <c r="F424" s="33"/>
      <c r="G424" s="94"/>
      <c r="H424" s="33"/>
      <c r="I424" s="33"/>
      <c r="J424" s="33"/>
      <c r="K424" s="33"/>
      <c r="L424" s="33"/>
      <c r="M424" s="33"/>
      <c r="N424" s="33"/>
      <c r="O424" s="33"/>
      <c r="P424" s="33"/>
      <c r="Q424" s="33"/>
      <c r="R424" s="33"/>
      <c r="S424" s="33"/>
      <c r="T424" s="33"/>
      <c r="U424" s="33"/>
      <c r="V424" s="33"/>
      <c r="W424" s="33"/>
      <c r="X424" s="33"/>
      <c r="Y424" s="33"/>
      <c r="Z424" s="33"/>
      <c r="AA424" s="33"/>
      <c r="AB424" s="33"/>
    </row>
    <row r="425">
      <c r="A425" s="33"/>
      <c r="B425" s="33"/>
      <c r="C425" s="94"/>
      <c r="D425" s="33"/>
      <c r="E425" s="33"/>
      <c r="F425" s="33"/>
      <c r="G425" s="94"/>
      <c r="H425" s="33"/>
      <c r="I425" s="33"/>
      <c r="J425" s="33"/>
      <c r="K425" s="33"/>
      <c r="L425" s="33"/>
      <c r="M425" s="33"/>
      <c r="N425" s="33"/>
      <c r="O425" s="33"/>
      <c r="P425" s="33"/>
      <c r="Q425" s="33"/>
      <c r="R425" s="33"/>
      <c r="S425" s="33"/>
      <c r="T425" s="33"/>
      <c r="U425" s="33"/>
      <c r="V425" s="33"/>
      <c r="W425" s="33"/>
      <c r="X425" s="33"/>
      <c r="Y425" s="33"/>
      <c r="Z425" s="33"/>
      <c r="AA425" s="33"/>
      <c r="AB425" s="33"/>
    </row>
    <row r="426">
      <c r="A426" s="33"/>
      <c r="B426" s="33"/>
      <c r="C426" s="94"/>
      <c r="D426" s="33"/>
      <c r="E426" s="33"/>
      <c r="F426" s="33"/>
      <c r="G426" s="94"/>
      <c r="H426" s="33"/>
      <c r="I426" s="33"/>
      <c r="J426" s="33"/>
      <c r="K426" s="33"/>
      <c r="L426" s="33"/>
      <c r="M426" s="33"/>
      <c r="N426" s="33"/>
      <c r="O426" s="33"/>
      <c r="P426" s="33"/>
      <c r="Q426" s="33"/>
      <c r="R426" s="33"/>
      <c r="S426" s="33"/>
      <c r="T426" s="33"/>
      <c r="U426" s="33"/>
      <c r="V426" s="33"/>
      <c r="W426" s="33"/>
      <c r="X426" s="33"/>
      <c r="Y426" s="33"/>
      <c r="Z426" s="33"/>
      <c r="AA426" s="33"/>
      <c r="AB426" s="33"/>
    </row>
    <row r="427">
      <c r="A427" s="33"/>
      <c r="B427" s="33"/>
      <c r="C427" s="94"/>
      <c r="D427" s="33"/>
      <c r="E427" s="33"/>
      <c r="F427" s="33"/>
      <c r="G427" s="94"/>
      <c r="H427" s="33"/>
      <c r="I427" s="33"/>
      <c r="J427" s="33"/>
      <c r="K427" s="33"/>
      <c r="L427" s="33"/>
      <c r="M427" s="33"/>
      <c r="N427" s="33"/>
      <c r="O427" s="33"/>
      <c r="P427" s="33"/>
      <c r="Q427" s="33"/>
      <c r="R427" s="33"/>
      <c r="S427" s="33"/>
      <c r="T427" s="33"/>
      <c r="U427" s="33"/>
      <c r="V427" s="33"/>
      <c r="W427" s="33"/>
      <c r="X427" s="33"/>
      <c r="Y427" s="33"/>
      <c r="Z427" s="33"/>
      <c r="AA427" s="33"/>
      <c r="AB427" s="33"/>
    </row>
    <row r="428">
      <c r="A428" s="33"/>
      <c r="B428" s="33"/>
      <c r="C428" s="94"/>
      <c r="D428" s="33"/>
      <c r="E428" s="33"/>
      <c r="F428" s="33"/>
      <c r="G428" s="94"/>
      <c r="H428" s="33"/>
      <c r="I428" s="33"/>
      <c r="J428" s="33"/>
      <c r="K428" s="33"/>
      <c r="L428" s="33"/>
      <c r="M428" s="33"/>
      <c r="N428" s="33"/>
      <c r="O428" s="33"/>
      <c r="P428" s="33"/>
      <c r="Q428" s="33"/>
      <c r="R428" s="33"/>
      <c r="S428" s="33"/>
      <c r="T428" s="33"/>
      <c r="U428" s="33"/>
      <c r="V428" s="33"/>
      <c r="W428" s="33"/>
      <c r="X428" s="33"/>
      <c r="Y428" s="33"/>
      <c r="Z428" s="33"/>
      <c r="AA428" s="33"/>
      <c r="AB428" s="33"/>
    </row>
    <row r="429">
      <c r="A429" s="33"/>
      <c r="B429" s="33"/>
      <c r="C429" s="94"/>
      <c r="D429" s="33"/>
      <c r="E429" s="33"/>
      <c r="F429" s="33"/>
      <c r="G429" s="94"/>
      <c r="H429" s="33"/>
      <c r="I429" s="33"/>
      <c r="J429" s="33"/>
      <c r="K429" s="33"/>
      <c r="L429" s="33"/>
      <c r="M429" s="33"/>
      <c r="N429" s="33"/>
      <c r="O429" s="33"/>
      <c r="P429" s="33"/>
      <c r="Q429" s="33"/>
      <c r="R429" s="33"/>
      <c r="S429" s="33"/>
      <c r="T429" s="33"/>
      <c r="U429" s="33"/>
      <c r="V429" s="33"/>
      <c r="W429" s="33"/>
      <c r="X429" s="33"/>
      <c r="Y429" s="33"/>
      <c r="Z429" s="33"/>
      <c r="AA429" s="33"/>
      <c r="AB429" s="33"/>
    </row>
    <row r="430">
      <c r="A430" s="33"/>
      <c r="B430" s="33"/>
      <c r="C430" s="94"/>
      <c r="D430" s="33"/>
      <c r="E430" s="33"/>
      <c r="F430" s="33"/>
      <c r="G430" s="94"/>
      <c r="H430" s="33"/>
      <c r="I430" s="33"/>
      <c r="J430" s="33"/>
      <c r="K430" s="33"/>
      <c r="L430" s="33"/>
      <c r="M430" s="33"/>
      <c r="N430" s="33"/>
      <c r="O430" s="33"/>
      <c r="P430" s="33"/>
      <c r="Q430" s="33"/>
      <c r="R430" s="33"/>
      <c r="S430" s="33"/>
      <c r="T430" s="33"/>
      <c r="U430" s="33"/>
      <c r="V430" s="33"/>
      <c r="W430" s="33"/>
      <c r="X430" s="33"/>
      <c r="Y430" s="33"/>
      <c r="Z430" s="33"/>
      <c r="AA430" s="33"/>
      <c r="AB430" s="33"/>
    </row>
    <row r="431">
      <c r="A431" s="33"/>
      <c r="B431" s="33"/>
      <c r="C431" s="94"/>
      <c r="D431" s="33"/>
      <c r="E431" s="33"/>
      <c r="F431" s="33"/>
      <c r="G431" s="94"/>
      <c r="H431" s="33"/>
      <c r="I431" s="33"/>
      <c r="J431" s="33"/>
      <c r="K431" s="33"/>
      <c r="L431" s="33"/>
      <c r="M431" s="33"/>
      <c r="N431" s="33"/>
      <c r="O431" s="33"/>
      <c r="P431" s="33"/>
      <c r="Q431" s="33"/>
      <c r="R431" s="33"/>
      <c r="S431" s="33"/>
      <c r="T431" s="33"/>
      <c r="U431" s="33"/>
      <c r="V431" s="33"/>
      <c r="W431" s="33"/>
      <c r="X431" s="33"/>
      <c r="Y431" s="33"/>
      <c r="Z431" s="33"/>
      <c r="AA431" s="33"/>
      <c r="AB431" s="33"/>
    </row>
    <row r="432">
      <c r="A432" s="33"/>
      <c r="B432" s="33"/>
      <c r="C432" s="94"/>
      <c r="D432" s="33"/>
      <c r="E432" s="33"/>
      <c r="F432" s="33"/>
      <c r="G432" s="94"/>
      <c r="H432" s="33"/>
      <c r="I432" s="33"/>
      <c r="J432" s="33"/>
      <c r="K432" s="33"/>
      <c r="L432" s="33"/>
      <c r="M432" s="33"/>
      <c r="N432" s="33"/>
      <c r="O432" s="33"/>
      <c r="P432" s="33"/>
      <c r="Q432" s="33"/>
      <c r="R432" s="33"/>
      <c r="S432" s="33"/>
      <c r="T432" s="33"/>
      <c r="U432" s="33"/>
      <c r="V432" s="33"/>
      <c r="W432" s="33"/>
      <c r="X432" s="33"/>
      <c r="Y432" s="33"/>
      <c r="Z432" s="33"/>
      <c r="AA432" s="33"/>
      <c r="AB432" s="33"/>
    </row>
    <row r="433">
      <c r="A433" s="33"/>
      <c r="B433" s="33"/>
      <c r="C433" s="94"/>
      <c r="D433" s="33"/>
      <c r="E433" s="33"/>
      <c r="F433" s="33"/>
      <c r="G433" s="94"/>
      <c r="H433" s="33"/>
      <c r="I433" s="33"/>
      <c r="J433" s="33"/>
      <c r="K433" s="33"/>
      <c r="L433" s="33"/>
      <c r="M433" s="33"/>
      <c r="N433" s="33"/>
      <c r="O433" s="33"/>
      <c r="P433" s="33"/>
      <c r="Q433" s="33"/>
      <c r="R433" s="33"/>
      <c r="S433" s="33"/>
      <c r="T433" s="33"/>
      <c r="U433" s="33"/>
      <c r="V433" s="33"/>
      <c r="W433" s="33"/>
      <c r="X433" s="33"/>
      <c r="Y433" s="33"/>
      <c r="Z433" s="33"/>
      <c r="AA433" s="33"/>
      <c r="AB433" s="33"/>
    </row>
    <row r="434">
      <c r="A434" s="33"/>
      <c r="B434" s="33"/>
      <c r="C434" s="94"/>
      <c r="D434" s="33"/>
      <c r="E434" s="33"/>
      <c r="F434" s="33"/>
      <c r="G434" s="94"/>
      <c r="H434" s="33"/>
      <c r="I434" s="33"/>
      <c r="J434" s="33"/>
      <c r="K434" s="33"/>
      <c r="L434" s="33"/>
      <c r="M434" s="33"/>
      <c r="N434" s="33"/>
      <c r="O434" s="33"/>
      <c r="P434" s="33"/>
      <c r="Q434" s="33"/>
      <c r="R434" s="33"/>
      <c r="S434" s="33"/>
      <c r="T434" s="33"/>
      <c r="U434" s="33"/>
      <c r="V434" s="33"/>
      <c r="W434" s="33"/>
      <c r="X434" s="33"/>
      <c r="Y434" s="33"/>
      <c r="Z434" s="33"/>
      <c r="AA434" s="33"/>
      <c r="AB434" s="33"/>
    </row>
    <row r="435">
      <c r="A435" s="33"/>
      <c r="B435" s="33"/>
      <c r="C435" s="94"/>
      <c r="D435" s="33"/>
      <c r="E435" s="33"/>
      <c r="F435" s="33"/>
      <c r="G435" s="94"/>
      <c r="H435" s="33"/>
      <c r="I435" s="33"/>
      <c r="J435" s="33"/>
      <c r="K435" s="33"/>
      <c r="L435" s="33"/>
      <c r="M435" s="33"/>
      <c r="N435" s="33"/>
      <c r="O435" s="33"/>
      <c r="P435" s="33"/>
      <c r="Q435" s="33"/>
      <c r="R435" s="33"/>
      <c r="S435" s="33"/>
      <c r="T435" s="33"/>
      <c r="U435" s="33"/>
      <c r="V435" s="33"/>
      <c r="W435" s="33"/>
      <c r="X435" s="33"/>
      <c r="Y435" s="33"/>
      <c r="Z435" s="33"/>
      <c r="AA435" s="33"/>
      <c r="AB435" s="33"/>
    </row>
    <row r="436">
      <c r="A436" s="33"/>
      <c r="B436" s="33"/>
      <c r="C436" s="94"/>
      <c r="D436" s="33"/>
      <c r="E436" s="33"/>
      <c r="F436" s="33"/>
      <c r="G436" s="94"/>
      <c r="H436" s="33"/>
      <c r="I436" s="33"/>
      <c r="J436" s="33"/>
      <c r="K436" s="33"/>
      <c r="L436" s="33"/>
      <c r="M436" s="33"/>
      <c r="N436" s="33"/>
      <c r="O436" s="33"/>
      <c r="P436" s="33"/>
      <c r="Q436" s="33"/>
      <c r="R436" s="33"/>
      <c r="S436" s="33"/>
      <c r="T436" s="33"/>
      <c r="U436" s="33"/>
      <c r="V436" s="33"/>
      <c r="W436" s="33"/>
      <c r="X436" s="33"/>
      <c r="Y436" s="33"/>
      <c r="Z436" s="33"/>
      <c r="AA436" s="33"/>
      <c r="AB436" s="33"/>
    </row>
    <row r="437">
      <c r="A437" s="33"/>
      <c r="B437" s="33"/>
      <c r="C437" s="94"/>
      <c r="D437" s="33"/>
      <c r="E437" s="33"/>
      <c r="F437" s="33"/>
      <c r="G437" s="94"/>
      <c r="H437" s="33"/>
      <c r="I437" s="33"/>
      <c r="J437" s="33"/>
      <c r="K437" s="33"/>
      <c r="L437" s="33"/>
      <c r="M437" s="33"/>
      <c r="N437" s="33"/>
      <c r="O437" s="33"/>
      <c r="P437" s="33"/>
      <c r="Q437" s="33"/>
      <c r="R437" s="33"/>
      <c r="S437" s="33"/>
      <c r="T437" s="33"/>
      <c r="U437" s="33"/>
      <c r="V437" s="33"/>
      <c r="W437" s="33"/>
      <c r="X437" s="33"/>
      <c r="Y437" s="33"/>
      <c r="Z437" s="33"/>
      <c r="AA437" s="33"/>
      <c r="AB437" s="33"/>
    </row>
    <row r="438">
      <c r="A438" s="33"/>
      <c r="B438" s="33"/>
      <c r="C438" s="94"/>
      <c r="D438" s="33"/>
      <c r="E438" s="33"/>
      <c r="F438" s="33"/>
      <c r="G438" s="94"/>
      <c r="H438" s="33"/>
      <c r="I438" s="33"/>
      <c r="J438" s="33"/>
      <c r="K438" s="33"/>
      <c r="L438" s="33"/>
      <c r="M438" s="33"/>
      <c r="N438" s="33"/>
      <c r="O438" s="33"/>
      <c r="P438" s="33"/>
      <c r="Q438" s="33"/>
      <c r="R438" s="33"/>
      <c r="S438" s="33"/>
      <c r="T438" s="33"/>
      <c r="U438" s="33"/>
      <c r="V438" s="33"/>
      <c r="W438" s="33"/>
      <c r="X438" s="33"/>
      <c r="Y438" s="33"/>
      <c r="Z438" s="33"/>
      <c r="AA438" s="33"/>
      <c r="AB438" s="33"/>
    </row>
    <row r="439">
      <c r="A439" s="33"/>
      <c r="B439" s="33"/>
      <c r="C439" s="94"/>
      <c r="D439" s="33"/>
      <c r="E439" s="33"/>
      <c r="F439" s="33"/>
      <c r="G439" s="94"/>
      <c r="H439" s="33"/>
      <c r="I439" s="33"/>
      <c r="J439" s="33"/>
      <c r="K439" s="33"/>
      <c r="L439" s="33"/>
      <c r="M439" s="33"/>
      <c r="N439" s="33"/>
      <c r="O439" s="33"/>
      <c r="P439" s="33"/>
      <c r="Q439" s="33"/>
      <c r="R439" s="33"/>
      <c r="S439" s="33"/>
      <c r="T439" s="33"/>
      <c r="U439" s="33"/>
      <c r="V439" s="33"/>
      <c r="W439" s="33"/>
      <c r="X439" s="33"/>
      <c r="Y439" s="33"/>
      <c r="Z439" s="33"/>
      <c r="AA439" s="33"/>
      <c r="AB439" s="33"/>
    </row>
    <row r="440">
      <c r="A440" s="33"/>
      <c r="B440" s="33"/>
      <c r="C440" s="94"/>
      <c r="D440" s="33"/>
      <c r="E440" s="33"/>
      <c r="F440" s="33"/>
      <c r="G440" s="94"/>
      <c r="H440" s="33"/>
      <c r="I440" s="33"/>
      <c r="J440" s="33"/>
      <c r="K440" s="33"/>
      <c r="L440" s="33"/>
      <c r="M440" s="33"/>
      <c r="N440" s="33"/>
      <c r="O440" s="33"/>
      <c r="P440" s="33"/>
      <c r="Q440" s="33"/>
      <c r="R440" s="33"/>
      <c r="S440" s="33"/>
      <c r="T440" s="33"/>
      <c r="U440" s="33"/>
      <c r="V440" s="33"/>
      <c r="W440" s="33"/>
      <c r="X440" s="33"/>
      <c r="Y440" s="33"/>
      <c r="Z440" s="33"/>
      <c r="AA440" s="33"/>
      <c r="AB440" s="33"/>
    </row>
    <row r="441">
      <c r="A441" s="33"/>
      <c r="B441" s="33"/>
      <c r="C441" s="94"/>
      <c r="D441" s="33"/>
      <c r="E441" s="33"/>
      <c r="F441" s="33"/>
      <c r="G441" s="94"/>
      <c r="H441" s="33"/>
      <c r="I441" s="33"/>
      <c r="J441" s="33"/>
      <c r="K441" s="33"/>
      <c r="L441" s="33"/>
      <c r="M441" s="33"/>
      <c r="N441" s="33"/>
      <c r="O441" s="33"/>
      <c r="P441" s="33"/>
      <c r="Q441" s="33"/>
      <c r="R441" s="33"/>
      <c r="S441" s="33"/>
      <c r="T441" s="33"/>
      <c r="U441" s="33"/>
      <c r="V441" s="33"/>
      <c r="W441" s="33"/>
      <c r="X441" s="33"/>
      <c r="Y441" s="33"/>
      <c r="Z441" s="33"/>
      <c r="AA441" s="33"/>
      <c r="AB441" s="33"/>
    </row>
    <row r="442">
      <c r="A442" s="33"/>
      <c r="B442" s="33"/>
      <c r="C442" s="94"/>
      <c r="D442" s="33"/>
      <c r="E442" s="33"/>
      <c r="F442" s="33"/>
      <c r="G442" s="94"/>
      <c r="H442" s="33"/>
      <c r="I442" s="33"/>
      <c r="J442" s="33"/>
      <c r="K442" s="33"/>
      <c r="L442" s="33"/>
      <c r="M442" s="33"/>
      <c r="N442" s="33"/>
      <c r="O442" s="33"/>
      <c r="P442" s="33"/>
      <c r="Q442" s="33"/>
      <c r="R442" s="33"/>
      <c r="S442" s="33"/>
      <c r="T442" s="33"/>
      <c r="U442" s="33"/>
      <c r="V442" s="33"/>
      <c r="W442" s="33"/>
      <c r="X442" s="33"/>
      <c r="Y442" s="33"/>
      <c r="Z442" s="33"/>
      <c r="AA442" s="33"/>
      <c r="AB442" s="33"/>
    </row>
    <row r="443">
      <c r="A443" s="33"/>
      <c r="B443" s="33"/>
      <c r="C443" s="94"/>
      <c r="D443" s="33"/>
      <c r="E443" s="33"/>
      <c r="F443" s="33"/>
      <c r="G443" s="94"/>
      <c r="H443" s="33"/>
      <c r="I443" s="33"/>
      <c r="J443" s="33"/>
      <c r="K443" s="33"/>
      <c r="L443" s="33"/>
      <c r="M443" s="33"/>
      <c r="N443" s="33"/>
      <c r="O443" s="33"/>
      <c r="P443" s="33"/>
      <c r="Q443" s="33"/>
      <c r="R443" s="33"/>
      <c r="S443" s="33"/>
      <c r="T443" s="33"/>
      <c r="U443" s="33"/>
      <c r="V443" s="33"/>
      <c r="W443" s="33"/>
      <c r="X443" s="33"/>
      <c r="Y443" s="33"/>
      <c r="Z443" s="33"/>
      <c r="AA443" s="33"/>
      <c r="AB443" s="33"/>
    </row>
    <row r="444">
      <c r="A444" s="33"/>
      <c r="B444" s="33"/>
      <c r="C444" s="94"/>
      <c r="D444" s="33"/>
      <c r="E444" s="33"/>
      <c r="F444" s="33"/>
      <c r="G444" s="94"/>
      <c r="H444" s="33"/>
      <c r="I444" s="33"/>
      <c r="J444" s="33"/>
      <c r="K444" s="33"/>
      <c r="L444" s="33"/>
      <c r="M444" s="33"/>
      <c r="N444" s="33"/>
      <c r="O444" s="33"/>
      <c r="P444" s="33"/>
      <c r="Q444" s="33"/>
      <c r="R444" s="33"/>
      <c r="S444" s="33"/>
      <c r="T444" s="33"/>
      <c r="U444" s="33"/>
      <c r="V444" s="33"/>
      <c r="W444" s="33"/>
      <c r="X444" s="33"/>
      <c r="Y444" s="33"/>
      <c r="Z444" s="33"/>
      <c r="AA444" s="33"/>
      <c r="AB444" s="33"/>
    </row>
    <row r="445">
      <c r="A445" s="33"/>
      <c r="B445" s="33"/>
      <c r="C445" s="94"/>
      <c r="D445" s="33"/>
      <c r="E445" s="33"/>
      <c r="F445" s="33"/>
      <c r="G445" s="94"/>
      <c r="H445" s="33"/>
      <c r="I445" s="33"/>
      <c r="J445" s="33"/>
      <c r="K445" s="33"/>
      <c r="L445" s="33"/>
      <c r="M445" s="33"/>
      <c r="N445" s="33"/>
      <c r="O445" s="33"/>
      <c r="P445" s="33"/>
      <c r="Q445" s="33"/>
      <c r="R445" s="33"/>
      <c r="S445" s="33"/>
      <c r="T445" s="33"/>
      <c r="U445" s="33"/>
      <c r="V445" s="33"/>
      <c r="W445" s="33"/>
      <c r="X445" s="33"/>
      <c r="Y445" s="33"/>
      <c r="Z445" s="33"/>
      <c r="AA445" s="33"/>
      <c r="AB445" s="33"/>
    </row>
    <row r="446">
      <c r="A446" s="33"/>
      <c r="B446" s="33"/>
      <c r="C446" s="94"/>
      <c r="D446" s="33"/>
      <c r="E446" s="33"/>
      <c r="F446" s="33"/>
      <c r="G446" s="94"/>
      <c r="H446" s="33"/>
      <c r="I446" s="33"/>
      <c r="J446" s="33"/>
      <c r="K446" s="33"/>
      <c r="L446" s="33"/>
      <c r="M446" s="33"/>
      <c r="N446" s="33"/>
      <c r="O446" s="33"/>
      <c r="P446" s="33"/>
      <c r="Q446" s="33"/>
      <c r="R446" s="33"/>
      <c r="S446" s="33"/>
      <c r="T446" s="33"/>
      <c r="U446" s="33"/>
      <c r="V446" s="33"/>
      <c r="W446" s="33"/>
      <c r="X446" s="33"/>
      <c r="Y446" s="33"/>
      <c r="Z446" s="33"/>
      <c r="AA446" s="33"/>
      <c r="AB446" s="33"/>
    </row>
    <row r="447">
      <c r="A447" s="33"/>
      <c r="B447" s="33"/>
      <c r="C447" s="94"/>
      <c r="D447" s="33"/>
      <c r="E447" s="33"/>
      <c r="F447" s="33"/>
      <c r="G447" s="94"/>
      <c r="H447" s="33"/>
      <c r="I447" s="33"/>
      <c r="J447" s="33"/>
      <c r="K447" s="33"/>
      <c r="L447" s="33"/>
      <c r="M447" s="33"/>
      <c r="N447" s="33"/>
      <c r="O447" s="33"/>
      <c r="P447" s="33"/>
      <c r="Q447" s="33"/>
      <c r="R447" s="33"/>
      <c r="S447" s="33"/>
      <c r="T447" s="33"/>
      <c r="U447" s="33"/>
      <c r="V447" s="33"/>
      <c r="W447" s="33"/>
      <c r="X447" s="33"/>
      <c r="Y447" s="33"/>
      <c r="Z447" s="33"/>
      <c r="AA447" s="33"/>
      <c r="AB447" s="33"/>
    </row>
    <row r="448">
      <c r="A448" s="33"/>
      <c r="B448" s="33"/>
      <c r="C448" s="94"/>
      <c r="D448" s="33"/>
      <c r="E448" s="33"/>
      <c r="F448" s="33"/>
      <c r="G448" s="94"/>
      <c r="H448" s="33"/>
      <c r="I448" s="33"/>
      <c r="J448" s="33"/>
      <c r="K448" s="33"/>
      <c r="L448" s="33"/>
      <c r="M448" s="33"/>
      <c r="N448" s="33"/>
      <c r="O448" s="33"/>
      <c r="P448" s="33"/>
      <c r="Q448" s="33"/>
      <c r="R448" s="33"/>
      <c r="S448" s="33"/>
      <c r="T448" s="33"/>
      <c r="U448" s="33"/>
      <c r="V448" s="33"/>
      <c r="W448" s="33"/>
      <c r="X448" s="33"/>
      <c r="Y448" s="33"/>
      <c r="Z448" s="33"/>
      <c r="AA448" s="33"/>
      <c r="AB448" s="33"/>
    </row>
    <row r="449">
      <c r="A449" s="33"/>
      <c r="B449" s="33"/>
      <c r="C449" s="94"/>
      <c r="D449" s="33"/>
      <c r="E449" s="33"/>
      <c r="F449" s="33"/>
      <c r="G449" s="94"/>
      <c r="H449" s="33"/>
      <c r="I449" s="33"/>
      <c r="J449" s="33"/>
      <c r="K449" s="33"/>
      <c r="L449" s="33"/>
      <c r="M449" s="33"/>
      <c r="N449" s="33"/>
      <c r="O449" s="33"/>
      <c r="P449" s="33"/>
      <c r="Q449" s="33"/>
      <c r="R449" s="33"/>
      <c r="S449" s="33"/>
      <c r="T449" s="33"/>
      <c r="U449" s="33"/>
      <c r="V449" s="33"/>
      <c r="W449" s="33"/>
      <c r="X449" s="33"/>
      <c r="Y449" s="33"/>
      <c r="Z449" s="33"/>
      <c r="AA449" s="33"/>
      <c r="AB449" s="33"/>
    </row>
    <row r="450">
      <c r="A450" s="33"/>
      <c r="B450" s="33"/>
      <c r="C450" s="94"/>
      <c r="D450" s="33"/>
      <c r="E450" s="33"/>
      <c r="F450" s="33"/>
      <c r="G450" s="94"/>
      <c r="H450" s="33"/>
      <c r="I450" s="33"/>
      <c r="J450" s="33"/>
      <c r="K450" s="33"/>
      <c r="L450" s="33"/>
      <c r="M450" s="33"/>
      <c r="N450" s="33"/>
      <c r="O450" s="33"/>
      <c r="P450" s="33"/>
      <c r="Q450" s="33"/>
      <c r="R450" s="33"/>
      <c r="S450" s="33"/>
      <c r="T450" s="33"/>
      <c r="U450" s="33"/>
      <c r="V450" s="33"/>
      <c r="W450" s="33"/>
      <c r="X450" s="33"/>
      <c r="Y450" s="33"/>
      <c r="Z450" s="33"/>
      <c r="AA450" s="33"/>
      <c r="AB450" s="33"/>
    </row>
    <row r="451">
      <c r="A451" s="33"/>
      <c r="B451" s="33"/>
      <c r="C451" s="94"/>
      <c r="D451" s="33"/>
      <c r="E451" s="33"/>
      <c r="F451" s="33"/>
      <c r="G451" s="94"/>
      <c r="H451" s="33"/>
      <c r="I451" s="33"/>
      <c r="J451" s="33"/>
      <c r="K451" s="33"/>
      <c r="L451" s="33"/>
      <c r="M451" s="33"/>
      <c r="N451" s="33"/>
      <c r="O451" s="33"/>
      <c r="P451" s="33"/>
      <c r="Q451" s="33"/>
      <c r="R451" s="33"/>
      <c r="S451" s="33"/>
      <c r="T451" s="33"/>
      <c r="U451" s="33"/>
      <c r="V451" s="33"/>
      <c r="W451" s="33"/>
      <c r="X451" s="33"/>
      <c r="Y451" s="33"/>
      <c r="Z451" s="33"/>
      <c r="AA451" s="33"/>
      <c r="AB451" s="33"/>
    </row>
    <row r="452">
      <c r="A452" s="33"/>
      <c r="B452" s="33"/>
      <c r="C452" s="94"/>
      <c r="D452" s="33"/>
      <c r="E452" s="33"/>
      <c r="F452" s="33"/>
      <c r="G452" s="94"/>
      <c r="H452" s="33"/>
      <c r="I452" s="33"/>
      <c r="J452" s="33"/>
      <c r="K452" s="33"/>
      <c r="L452" s="33"/>
      <c r="M452" s="33"/>
      <c r="N452" s="33"/>
      <c r="O452" s="33"/>
      <c r="P452" s="33"/>
      <c r="Q452" s="33"/>
      <c r="R452" s="33"/>
      <c r="S452" s="33"/>
      <c r="T452" s="33"/>
      <c r="U452" s="33"/>
      <c r="V452" s="33"/>
      <c r="W452" s="33"/>
      <c r="X452" s="33"/>
      <c r="Y452" s="33"/>
      <c r="Z452" s="33"/>
      <c r="AA452" s="33"/>
      <c r="AB452" s="33"/>
    </row>
    <row r="453">
      <c r="A453" s="33"/>
      <c r="B453" s="33"/>
      <c r="C453" s="94"/>
      <c r="D453" s="33"/>
      <c r="E453" s="33"/>
      <c r="F453" s="33"/>
      <c r="G453" s="94"/>
      <c r="H453" s="33"/>
      <c r="I453" s="33"/>
      <c r="J453" s="33"/>
      <c r="K453" s="33"/>
      <c r="L453" s="33"/>
      <c r="M453" s="33"/>
      <c r="N453" s="33"/>
      <c r="O453" s="33"/>
      <c r="P453" s="33"/>
      <c r="Q453" s="33"/>
      <c r="R453" s="33"/>
      <c r="S453" s="33"/>
      <c r="T453" s="33"/>
      <c r="U453" s="33"/>
      <c r="V453" s="33"/>
      <c r="W453" s="33"/>
      <c r="X453" s="33"/>
      <c r="Y453" s="33"/>
      <c r="Z453" s="33"/>
      <c r="AA453" s="33"/>
      <c r="AB453" s="33"/>
    </row>
    <row r="454">
      <c r="A454" s="33"/>
      <c r="B454" s="33"/>
      <c r="C454" s="94"/>
      <c r="D454" s="33"/>
      <c r="E454" s="33"/>
      <c r="F454" s="33"/>
      <c r="G454" s="94"/>
      <c r="H454" s="33"/>
      <c r="I454" s="33"/>
      <c r="J454" s="33"/>
      <c r="K454" s="33"/>
      <c r="L454" s="33"/>
      <c r="M454" s="33"/>
      <c r="N454" s="33"/>
      <c r="O454" s="33"/>
      <c r="P454" s="33"/>
      <c r="Q454" s="33"/>
      <c r="R454" s="33"/>
      <c r="S454" s="33"/>
      <c r="T454" s="33"/>
      <c r="U454" s="33"/>
      <c r="V454" s="33"/>
      <c r="W454" s="33"/>
      <c r="X454" s="33"/>
      <c r="Y454" s="33"/>
      <c r="Z454" s="33"/>
      <c r="AA454" s="33"/>
      <c r="AB454" s="33"/>
    </row>
    <row r="455">
      <c r="A455" s="33"/>
      <c r="B455" s="33"/>
      <c r="C455" s="94"/>
      <c r="D455" s="33"/>
      <c r="E455" s="33"/>
      <c r="F455" s="33"/>
      <c r="G455" s="94"/>
      <c r="H455" s="33"/>
      <c r="I455" s="33"/>
      <c r="J455" s="33"/>
      <c r="K455" s="33"/>
      <c r="L455" s="33"/>
      <c r="M455" s="33"/>
      <c r="N455" s="33"/>
      <c r="O455" s="33"/>
      <c r="P455" s="33"/>
      <c r="Q455" s="33"/>
      <c r="R455" s="33"/>
      <c r="S455" s="33"/>
      <c r="T455" s="33"/>
      <c r="U455" s="33"/>
      <c r="V455" s="33"/>
      <c r="W455" s="33"/>
      <c r="X455" s="33"/>
      <c r="Y455" s="33"/>
      <c r="Z455" s="33"/>
      <c r="AA455" s="33"/>
      <c r="AB455" s="33"/>
    </row>
    <row r="456">
      <c r="A456" s="33"/>
      <c r="B456" s="33"/>
      <c r="C456" s="94"/>
      <c r="D456" s="33"/>
      <c r="E456" s="33"/>
      <c r="F456" s="33"/>
      <c r="G456" s="94"/>
      <c r="H456" s="33"/>
      <c r="I456" s="33"/>
      <c r="J456" s="33"/>
      <c r="K456" s="33"/>
      <c r="L456" s="33"/>
      <c r="M456" s="33"/>
      <c r="N456" s="33"/>
      <c r="O456" s="33"/>
      <c r="P456" s="33"/>
      <c r="Q456" s="33"/>
      <c r="R456" s="33"/>
      <c r="S456" s="33"/>
      <c r="T456" s="33"/>
      <c r="U456" s="33"/>
      <c r="V456" s="33"/>
      <c r="W456" s="33"/>
      <c r="X456" s="33"/>
      <c r="Y456" s="33"/>
      <c r="Z456" s="33"/>
      <c r="AA456" s="33"/>
      <c r="AB456" s="33"/>
    </row>
    <row r="457">
      <c r="A457" s="33"/>
      <c r="B457" s="33"/>
      <c r="C457" s="94"/>
      <c r="D457" s="33"/>
      <c r="E457" s="33"/>
      <c r="F457" s="33"/>
      <c r="G457" s="94"/>
      <c r="H457" s="33"/>
      <c r="I457" s="33"/>
      <c r="J457" s="33"/>
      <c r="K457" s="33"/>
      <c r="L457" s="33"/>
      <c r="M457" s="33"/>
      <c r="N457" s="33"/>
      <c r="O457" s="33"/>
      <c r="P457" s="33"/>
      <c r="Q457" s="33"/>
      <c r="R457" s="33"/>
      <c r="S457" s="33"/>
      <c r="T457" s="33"/>
      <c r="U457" s="33"/>
      <c r="V457" s="33"/>
      <c r="W457" s="33"/>
      <c r="X457" s="33"/>
      <c r="Y457" s="33"/>
      <c r="Z457" s="33"/>
      <c r="AA457" s="33"/>
      <c r="AB457" s="33"/>
    </row>
    <row r="458">
      <c r="A458" s="33"/>
      <c r="B458" s="33"/>
      <c r="C458" s="94"/>
      <c r="D458" s="33"/>
      <c r="E458" s="33"/>
      <c r="F458" s="33"/>
      <c r="G458" s="94"/>
      <c r="H458" s="33"/>
      <c r="I458" s="33"/>
      <c r="J458" s="33"/>
      <c r="K458" s="33"/>
      <c r="L458" s="33"/>
      <c r="M458" s="33"/>
      <c r="N458" s="33"/>
      <c r="O458" s="33"/>
      <c r="P458" s="33"/>
      <c r="Q458" s="33"/>
      <c r="R458" s="33"/>
      <c r="S458" s="33"/>
      <c r="T458" s="33"/>
      <c r="U458" s="33"/>
      <c r="V458" s="33"/>
      <c r="W458" s="33"/>
      <c r="X458" s="33"/>
      <c r="Y458" s="33"/>
      <c r="Z458" s="33"/>
      <c r="AA458" s="33"/>
      <c r="AB458" s="33"/>
    </row>
    <row r="459">
      <c r="A459" s="33"/>
      <c r="B459" s="33"/>
      <c r="C459" s="94"/>
      <c r="D459" s="33"/>
      <c r="E459" s="33"/>
      <c r="F459" s="33"/>
      <c r="G459" s="94"/>
      <c r="H459" s="33"/>
      <c r="I459" s="33"/>
      <c r="J459" s="33"/>
      <c r="K459" s="33"/>
      <c r="L459" s="33"/>
      <c r="M459" s="33"/>
      <c r="N459" s="33"/>
      <c r="O459" s="33"/>
      <c r="P459" s="33"/>
      <c r="Q459" s="33"/>
      <c r="R459" s="33"/>
      <c r="S459" s="33"/>
      <c r="T459" s="33"/>
      <c r="U459" s="33"/>
      <c r="V459" s="33"/>
      <c r="W459" s="33"/>
      <c r="X459" s="33"/>
      <c r="Y459" s="33"/>
      <c r="Z459" s="33"/>
      <c r="AA459" s="33"/>
      <c r="AB459" s="33"/>
    </row>
    <row r="460">
      <c r="A460" s="33"/>
      <c r="B460" s="33"/>
      <c r="C460" s="94"/>
      <c r="D460" s="33"/>
      <c r="E460" s="33"/>
      <c r="F460" s="33"/>
      <c r="G460" s="94"/>
      <c r="H460" s="33"/>
      <c r="I460" s="33"/>
      <c r="J460" s="33"/>
      <c r="K460" s="33"/>
      <c r="L460" s="33"/>
      <c r="M460" s="33"/>
      <c r="N460" s="33"/>
      <c r="O460" s="33"/>
      <c r="P460" s="33"/>
      <c r="Q460" s="33"/>
      <c r="R460" s="33"/>
      <c r="S460" s="33"/>
      <c r="T460" s="33"/>
      <c r="U460" s="33"/>
      <c r="V460" s="33"/>
      <c r="W460" s="33"/>
      <c r="X460" s="33"/>
      <c r="Y460" s="33"/>
      <c r="Z460" s="33"/>
      <c r="AA460" s="33"/>
      <c r="AB460" s="33"/>
    </row>
    <row r="461">
      <c r="A461" s="33"/>
      <c r="B461" s="33"/>
      <c r="C461" s="94"/>
      <c r="D461" s="33"/>
      <c r="E461" s="33"/>
      <c r="F461" s="33"/>
      <c r="G461" s="94"/>
      <c r="H461" s="33"/>
      <c r="I461" s="33"/>
      <c r="J461" s="33"/>
      <c r="K461" s="33"/>
      <c r="L461" s="33"/>
      <c r="M461" s="33"/>
      <c r="N461" s="33"/>
      <c r="O461" s="33"/>
      <c r="P461" s="33"/>
      <c r="Q461" s="33"/>
      <c r="R461" s="33"/>
      <c r="S461" s="33"/>
      <c r="T461" s="33"/>
      <c r="U461" s="33"/>
      <c r="V461" s="33"/>
      <c r="W461" s="33"/>
      <c r="X461" s="33"/>
      <c r="Y461" s="33"/>
      <c r="Z461" s="33"/>
      <c r="AA461" s="33"/>
      <c r="AB461" s="33"/>
    </row>
    <row r="462">
      <c r="A462" s="33"/>
      <c r="B462" s="33"/>
      <c r="C462" s="94"/>
      <c r="D462" s="33"/>
      <c r="E462" s="33"/>
      <c r="F462" s="33"/>
      <c r="G462" s="94"/>
      <c r="H462" s="33"/>
      <c r="I462" s="33"/>
      <c r="J462" s="33"/>
      <c r="K462" s="33"/>
      <c r="L462" s="33"/>
      <c r="M462" s="33"/>
      <c r="N462" s="33"/>
      <c r="O462" s="33"/>
      <c r="P462" s="33"/>
      <c r="Q462" s="33"/>
      <c r="R462" s="33"/>
      <c r="S462" s="33"/>
      <c r="T462" s="33"/>
      <c r="U462" s="33"/>
      <c r="V462" s="33"/>
      <c r="W462" s="33"/>
      <c r="X462" s="33"/>
      <c r="Y462" s="33"/>
      <c r="Z462" s="33"/>
      <c r="AA462" s="33"/>
      <c r="AB462" s="33"/>
    </row>
    <row r="463">
      <c r="A463" s="33"/>
      <c r="B463" s="33"/>
      <c r="C463" s="94"/>
      <c r="D463" s="33"/>
      <c r="E463" s="33"/>
      <c r="F463" s="33"/>
      <c r="G463" s="94"/>
      <c r="H463" s="33"/>
      <c r="I463" s="33"/>
      <c r="J463" s="33"/>
      <c r="K463" s="33"/>
      <c r="L463" s="33"/>
      <c r="M463" s="33"/>
      <c r="N463" s="33"/>
      <c r="O463" s="33"/>
      <c r="P463" s="33"/>
      <c r="Q463" s="33"/>
      <c r="R463" s="33"/>
      <c r="S463" s="33"/>
      <c r="T463" s="33"/>
      <c r="U463" s="33"/>
      <c r="V463" s="33"/>
      <c r="W463" s="33"/>
      <c r="X463" s="33"/>
      <c r="Y463" s="33"/>
      <c r="Z463" s="33"/>
      <c r="AA463" s="33"/>
      <c r="AB463" s="33"/>
    </row>
    <row r="464">
      <c r="A464" s="33"/>
      <c r="B464" s="33"/>
      <c r="C464" s="94"/>
      <c r="D464" s="33"/>
      <c r="E464" s="33"/>
      <c r="F464" s="33"/>
      <c r="G464" s="94"/>
      <c r="H464" s="33"/>
      <c r="I464" s="33"/>
      <c r="J464" s="33"/>
      <c r="K464" s="33"/>
      <c r="L464" s="33"/>
      <c r="M464" s="33"/>
      <c r="N464" s="33"/>
      <c r="O464" s="33"/>
      <c r="P464" s="33"/>
      <c r="Q464" s="33"/>
      <c r="R464" s="33"/>
      <c r="S464" s="33"/>
      <c r="T464" s="33"/>
      <c r="U464" s="33"/>
      <c r="V464" s="33"/>
      <c r="W464" s="33"/>
      <c r="X464" s="33"/>
      <c r="Y464" s="33"/>
      <c r="Z464" s="33"/>
      <c r="AA464" s="33"/>
      <c r="AB464" s="33"/>
    </row>
    <row r="465">
      <c r="A465" s="33"/>
      <c r="B465" s="33"/>
      <c r="C465" s="94"/>
      <c r="D465" s="33"/>
      <c r="E465" s="33"/>
      <c r="F465" s="33"/>
      <c r="G465" s="94"/>
      <c r="H465" s="33"/>
      <c r="I465" s="33"/>
      <c r="J465" s="33"/>
      <c r="K465" s="33"/>
      <c r="L465" s="33"/>
      <c r="M465" s="33"/>
      <c r="N465" s="33"/>
      <c r="O465" s="33"/>
      <c r="P465" s="33"/>
      <c r="Q465" s="33"/>
      <c r="R465" s="33"/>
      <c r="S465" s="33"/>
      <c r="T465" s="33"/>
      <c r="U465" s="33"/>
      <c r="V465" s="33"/>
      <c r="W465" s="33"/>
      <c r="X465" s="33"/>
      <c r="Y465" s="33"/>
      <c r="Z465" s="33"/>
      <c r="AA465" s="33"/>
      <c r="AB465" s="33"/>
    </row>
    <row r="466">
      <c r="A466" s="33"/>
      <c r="B466" s="33"/>
      <c r="C466" s="94"/>
      <c r="D466" s="33"/>
      <c r="E466" s="33"/>
      <c r="F466" s="33"/>
      <c r="G466" s="94"/>
      <c r="H466" s="33"/>
      <c r="I466" s="33"/>
      <c r="J466" s="33"/>
      <c r="K466" s="33"/>
      <c r="L466" s="33"/>
      <c r="M466" s="33"/>
      <c r="N466" s="33"/>
      <c r="O466" s="33"/>
      <c r="P466" s="33"/>
      <c r="Q466" s="33"/>
      <c r="R466" s="33"/>
      <c r="S466" s="33"/>
      <c r="T466" s="33"/>
      <c r="U466" s="33"/>
      <c r="V466" s="33"/>
      <c r="W466" s="33"/>
      <c r="X466" s="33"/>
      <c r="Y466" s="33"/>
      <c r="Z466" s="33"/>
      <c r="AA466" s="33"/>
      <c r="AB466" s="33"/>
    </row>
    <row r="467">
      <c r="A467" s="33"/>
      <c r="B467" s="33"/>
      <c r="C467" s="94"/>
      <c r="D467" s="33"/>
      <c r="E467" s="33"/>
      <c r="F467" s="33"/>
      <c r="G467" s="94"/>
      <c r="H467" s="33"/>
      <c r="I467" s="33"/>
      <c r="J467" s="33"/>
      <c r="K467" s="33"/>
      <c r="L467" s="33"/>
      <c r="M467" s="33"/>
      <c r="N467" s="33"/>
      <c r="O467" s="33"/>
      <c r="P467" s="33"/>
      <c r="Q467" s="33"/>
      <c r="R467" s="33"/>
      <c r="S467" s="33"/>
      <c r="T467" s="33"/>
      <c r="U467" s="33"/>
      <c r="V467" s="33"/>
      <c r="W467" s="33"/>
      <c r="X467" s="33"/>
      <c r="Y467" s="33"/>
      <c r="Z467" s="33"/>
      <c r="AA467" s="33"/>
      <c r="AB467" s="33"/>
    </row>
    <row r="468">
      <c r="A468" s="33"/>
      <c r="B468" s="33"/>
      <c r="C468" s="94"/>
      <c r="D468" s="33"/>
      <c r="E468" s="33"/>
      <c r="F468" s="33"/>
      <c r="G468" s="94"/>
      <c r="H468" s="33"/>
      <c r="I468" s="33"/>
      <c r="J468" s="33"/>
      <c r="K468" s="33"/>
      <c r="L468" s="33"/>
      <c r="M468" s="33"/>
      <c r="N468" s="33"/>
      <c r="O468" s="33"/>
      <c r="P468" s="33"/>
      <c r="Q468" s="33"/>
      <c r="R468" s="33"/>
      <c r="S468" s="33"/>
      <c r="T468" s="33"/>
      <c r="U468" s="33"/>
      <c r="V468" s="33"/>
      <c r="W468" s="33"/>
      <c r="X468" s="33"/>
      <c r="Y468" s="33"/>
      <c r="Z468" s="33"/>
      <c r="AA468" s="33"/>
      <c r="AB468" s="33"/>
    </row>
    <row r="469">
      <c r="A469" s="33"/>
      <c r="B469" s="33"/>
      <c r="C469" s="94"/>
      <c r="D469" s="33"/>
      <c r="E469" s="33"/>
      <c r="F469" s="33"/>
      <c r="G469" s="94"/>
      <c r="H469" s="33"/>
      <c r="I469" s="33"/>
      <c r="J469" s="33"/>
      <c r="K469" s="33"/>
      <c r="L469" s="33"/>
      <c r="M469" s="33"/>
      <c r="N469" s="33"/>
      <c r="O469" s="33"/>
      <c r="P469" s="33"/>
      <c r="Q469" s="33"/>
      <c r="R469" s="33"/>
      <c r="S469" s="33"/>
      <c r="T469" s="33"/>
      <c r="U469" s="33"/>
      <c r="V469" s="33"/>
      <c r="W469" s="33"/>
      <c r="X469" s="33"/>
      <c r="Y469" s="33"/>
      <c r="Z469" s="33"/>
      <c r="AA469" s="33"/>
      <c r="AB469" s="33"/>
    </row>
    <row r="470">
      <c r="A470" s="33"/>
      <c r="B470" s="33"/>
      <c r="C470" s="94"/>
      <c r="D470" s="33"/>
      <c r="E470" s="33"/>
      <c r="F470" s="33"/>
      <c r="G470" s="94"/>
      <c r="H470" s="33"/>
      <c r="I470" s="33"/>
      <c r="J470" s="33"/>
      <c r="K470" s="33"/>
      <c r="L470" s="33"/>
      <c r="M470" s="33"/>
      <c r="N470" s="33"/>
      <c r="O470" s="33"/>
      <c r="P470" s="33"/>
      <c r="Q470" s="33"/>
      <c r="R470" s="33"/>
      <c r="S470" s="33"/>
      <c r="T470" s="33"/>
      <c r="U470" s="33"/>
      <c r="V470" s="33"/>
      <c r="W470" s="33"/>
      <c r="X470" s="33"/>
      <c r="Y470" s="33"/>
      <c r="Z470" s="33"/>
      <c r="AA470" s="33"/>
      <c r="AB470" s="33"/>
    </row>
    <row r="471">
      <c r="A471" s="33"/>
      <c r="B471" s="33"/>
      <c r="C471" s="94"/>
      <c r="D471" s="33"/>
      <c r="E471" s="33"/>
      <c r="F471" s="33"/>
      <c r="G471" s="94"/>
      <c r="H471" s="33"/>
      <c r="I471" s="33"/>
      <c r="J471" s="33"/>
      <c r="K471" s="33"/>
      <c r="L471" s="33"/>
      <c r="M471" s="33"/>
      <c r="N471" s="33"/>
      <c r="O471" s="33"/>
      <c r="P471" s="33"/>
      <c r="Q471" s="33"/>
      <c r="R471" s="33"/>
      <c r="S471" s="33"/>
      <c r="T471" s="33"/>
      <c r="U471" s="33"/>
      <c r="V471" s="33"/>
      <c r="W471" s="33"/>
      <c r="X471" s="33"/>
      <c r="Y471" s="33"/>
      <c r="Z471" s="33"/>
      <c r="AA471" s="33"/>
      <c r="AB471" s="33"/>
    </row>
    <row r="472">
      <c r="A472" s="33"/>
      <c r="B472" s="33"/>
      <c r="C472" s="94"/>
      <c r="D472" s="33"/>
      <c r="E472" s="33"/>
      <c r="F472" s="33"/>
      <c r="G472" s="94"/>
      <c r="H472" s="33"/>
      <c r="I472" s="33"/>
      <c r="J472" s="33"/>
      <c r="K472" s="33"/>
      <c r="L472" s="33"/>
      <c r="M472" s="33"/>
      <c r="N472" s="33"/>
      <c r="O472" s="33"/>
      <c r="P472" s="33"/>
      <c r="Q472" s="33"/>
      <c r="R472" s="33"/>
      <c r="S472" s="33"/>
      <c r="T472" s="33"/>
      <c r="U472" s="33"/>
      <c r="V472" s="33"/>
      <c r="W472" s="33"/>
      <c r="X472" s="33"/>
      <c r="Y472" s="33"/>
      <c r="Z472" s="33"/>
      <c r="AA472" s="33"/>
      <c r="AB472" s="33"/>
    </row>
    <row r="473">
      <c r="A473" s="33"/>
      <c r="B473" s="33"/>
      <c r="C473" s="94"/>
      <c r="D473" s="33"/>
      <c r="E473" s="33"/>
      <c r="F473" s="33"/>
      <c r="G473" s="94"/>
      <c r="H473" s="33"/>
      <c r="I473" s="33"/>
      <c r="J473" s="33"/>
      <c r="K473" s="33"/>
      <c r="L473" s="33"/>
      <c r="M473" s="33"/>
      <c r="N473" s="33"/>
      <c r="O473" s="33"/>
      <c r="P473" s="33"/>
      <c r="Q473" s="33"/>
      <c r="R473" s="33"/>
      <c r="S473" s="33"/>
      <c r="T473" s="33"/>
      <c r="U473" s="33"/>
      <c r="V473" s="33"/>
      <c r="W473" s="33"/>
      <c r="X473" s="33"/>
      <c r="Y473" s="33"/>
      <c r="Z473" s="33"/>
      <c r="AA473" s="33"/>
      <c r="AB473" s="33"/>
    </row>
    <row r="474">
      <c r="A474" s="33"/>
      <c r="B474" s="33"/>
      <c r="C474" s="94"/>
      <c r="D474" s="33"/>
      <c r="E474" s="33"/>
      <c r="F474" s="33"/>
      <c r="G474" s="94"/>
      <c r="H474" s="33"/>
      <c r="I474" s="33"/>
      <c r="J474" s="33"/>
      <c r="K474" s="33"/>
      <c r="L474" s="33"/>
      <c r="M474" s="33"/>
      <c r="N474" s="33"/>
      <c r="O474" s="33"/>
      <c r="P474" s="33"/>
      <c r="Q474" s="33"/>
      <c r="R474" s="33"/>
      <c r="S474" s="33"/>
      <c r="T474" s="33"/>
      <c r="U474" s="33"/>
      <c r="V474" s="33"/>
      <c r="W474" s="33"/>
      <c r="X474" s="33"/>
      <c r="Y474" s="33"/>
      <c r="Z474" s="33"/>
      <c r="AA474" s="33"/>
      <c r="AB474" s="33"/>
    </row>
    <row r="475">
      <c r="A475" s="33"/>
      <c r="B475" s="33"/>
      <c r="C475" s="94"/>
      <c r="D475" s="33"/>
      <c r="E475" s="33"/>
      <c r="F475" s="33"/>
      <c r="G475" s="94"/>
      <c r="H475" s="33"/>
      <c r="I475" s="33"/>
      <c r="J475" s="33"/>
      <c r="K475" s="33"/>
      <c r="L475" s="33"/>
      <c r="M475" s="33"/>
      <c r="N475" s="33"/>
      <c r="O475" s="33"/>
      <c r="P475" s="33"/>
      <c r="Q475" s="33"/>
      <c r="R475" s="33"/>
      <c r="S475" s="33"/>
      <c r="T475" s="33"/>
      <c r="U475" s="33"/>
      <c r="V475" s="33"/>
      <c r="W475" s="33"/>
      <c r="X475" s="33"/>
      <c r="Y475" s="33"/>
      <c r="Z475" s="33"/>
      <c r="AA475" s="33"/>
      <c r="AB475" s="33"/>
    </row>
    <row r="476">
      <c r="A476" s="33"/>
      <c r="B476" s="33"/>
      <c r="C476" s="94"/>
      <c r="D476" s="33"/>
      <c r="E476" s="33"/>
      <c r="F476" s="33"/>
      <c r="G476" s="94"/>
      <c r="H476" s="33"/>
      <c r="I476" s="33"/>
      <c r="J476" s="33"/>
      <c r="K476" s="33"/>
      <c r="L476" s="33"/>
      <c r="M476" s="33"/>
      <c r="N476" s="33"/>
      <c r="O476" s="33"/>
      <c r="P476" s="33"/>
      <c r="Q476" s="33"/>
      <c r="R476" s="33"/>
      <c r="S476" s="33"/>
      <c r="T476" s="33"/>
      <c r="U476" s="33"/>
      <c r="V476" s="33"/>
      <c r="W476" s="33"/>
      <c r="X476" s="33"/>
      <c r="Y476" s="33"/>
      <c r="Z476" s="33"/>
      <c r="AA476" s="33"/>
      <c r="AB476" s="33"/>
    </row>
    <row r="477">
      <c r="A477" s="33"/>
      <c r="B477" s="33"/>
      <c r="C477" s="94"/>
      <c r="D477" s="33"/>
      <c r="E477" s="33"/>
      <c r="F477" s="33"/>
      <c r="G477" s="94"/>
      <c r="H477" s="33"/>
      <c r="I477" s="33"/>
      <c r="J477" s="33"/>
      <c r="K477" s="33"/>
      <c r="L477" s="33"/>
      <c r="M477" s="33"/>
      <c r="N477" s="33"/>
      <c r="O477" s="33"/>
      <c r="P477" s="33"/>
      <c r="Q477" s="33"/>
      <c r="R477" s="33"/>
      <c r="S477" s="33"/>
      <c r="T477" s="33"/>
      <c r="U477" s="33"/>
      <c r="V477" s="33"/>
      <c r="W477" s="33"/>
      <c r="X477" s="33"/>
      <c r="Y477" s="33"/>
      <c r="Z477" s="33"/>
      <c r="AA477" s="33"/>
      <c r="AB477" s="33"/>
    </row>
    <row r="478">
      <c r="A478" s="33"/>
      <c r="B478" s="33"/>
      <c r="C478" s="94"/>
      <c r="D478" s="33"/>
      <c r="E478" s="33"/>
      <c r="F478" s="33"/>
      <c r="G478" s="94"/>
      <c r="H478" s="33"/>
      <c r="I478" s="33"/>
      <c r="J478" s="33"/>
      <c r="K478" s="33"/>
      <c r="L478" s="33"/>
      <c r="M478" s="33"/>
      <c r="N478" s="33"/>
      <c r="O478" s="33"/>
      <c r="P478" s="33"/>
      <c r="Q478" s="33"/>
      <c r="R478" s="33"/>
      <c r="S478" s="33"/>
      <c r="T478" s="33"/>
      <c r="U478" s="33"/>
      <c r="V478" s="33"/>
      <c r="W478" s="33"/>
      <c r="X478" s="33"/>
      <c r="Y478" s="33"/>
      <c r="Z478" s="33"/>
      <c r="AA478" s="33"/>
      <c r="AB478" s="33"/>
    </row>
    <row r="479">
      <c r="A479" s="33"/>
      <c r="B479" s="33"/>
      <c r="C479" s="94"/>
      <c r="D479" s="33"/>
      <c r="E479" s="33"/>
      <c r="F479" s="33"/>
      <c r="G479" s="94"/>
      <c r="H479" s="33"/>
      <c r="I479" s="33"/>
      <c r="J479" s="33"/>
      <c r="K479" s="33"/>
      <c r="L479" s="33"/>
      <c r="M479" s="33"/>
      <c r="N479" s="33"/>
      <c r="O479" s="33"/>
      <c r="P479" s="33"/>
      <c r="Q479" s="33"/>
      <c r="R479" s="33"/>
      <c r="S479" s="33"/>
      <c r="T479" s="33"/>
      <c r="U479" s="33"/>
      <c r="V479" s="33"/>
      <c r="W479" s="33"/>
      <c r="X479" s="33"/>
      <c r="Y479" s="33"/>
      <c r="Z479" s="33"/>
      <c r="AA479" s="33"/>
      <c r="AB479" s="33"/>
    </row>
    <row r="480">
      <c r="A480" s="33"/>
      <c r="B480" s="33"/>
      <c r="C480" s="94"/>
      <c r="D480" s="33"/>
      <c r="E480" s="33"/>
      <c r="F480" s="33"/>
      <c r="G480" s="94"/>
      <c r="H480" s="33"/>
      <c r="I480" s="33"/>
      <c r="J480" s="33"/>
      <c r="K480" s="33"/>
      <c r="L480" s="33"/>
      <c r="M480" s="33"/>
      <c r="N480" s="33"/>
      <c r="O480" s="33"/>
      <c r="P480" s="33"/>
      <c r="Q480" s="33"/>
      <c r="R480" s="33"/>
      <c r="S480" s="33"/>
      <c r="T480" s="33"/>
      <c r="U480" s="33"/>
      <c r="V480" s="33"/>
      <c r="W480" s="33"/>
      <c r="X480" s="33"/>
      <c r="Y480" s="33"/>
      <c r="Z480" s="33"/>
      <c r="AA480" s="33"/>
      <c r="AB480" s="33"/>
    </row>
    <row r="481">
      <c r="A481" s="33"/>
      <c r="B481" s="33"/>
      <c r="C481" s="94"/>
      <c r="D481" s="33"/>
      <c r="E481" s="33"/>
      <c r="F481" s="33"/>
      <c r="G481" s="94"/>
      <c r="H481" s="33"/>
      <c r="I481" s="33"/>
      <c r="J481" s="33"/>
      <c r="K481" s="33"/>
      <c r="L481" s="33"/>
      <c r="M481" s="33"/>
      <c r="N481" s="33"/>
      <c r="O481" s="33"/>
      <c r="P481" s="33"/>
      <c r="Q481" s="33"/>
      <c r="R481" s="33"/>
      <c r="S481" s="33"/>
      <c r="T481" s="33"/>
      <c r="U481" s="33"/>
      <c r="V481" s="33"/>
      <c r="W481" s="33"/>
      <c r="X481" s="33"/>
      <c r="Y481" s="33"/>
      <c r="Z481" s="33"/>
      <c r="AA481" s="33"/>
      <c r="AB481" s="33"/>
    </row>
    <row r="482">
      <c r="A482" s="33"/>
      <c r="B482" s="33"/>
      <c r="C482" s="94"/>
      <c r="D482" s="33"/>
      <c r="E482" s="33"/>
      <c r="F482" s="33"/>
      <c r="G482" s="94"/>
      <c r="H482" s="33"/>
      <c r="I482" s="33"/>
      <c r="J482" s="33"/>
      <c r="K482" s="33"/>
      <c r="L482" s="33"/>
      <c r="M482" s="33"/>
      <c r="N482" s="33"/>
      <c r="O482" s="33"/>
      <c r="P482" s="33"/>
      <c r="Q482" s="33"/>
      <c r="R482" s="33"/>
      <c r="S482" s="33"/>
      <c r="T482" s="33"/>
      <c r="U482" s="33"/>
      <c r="V482" s="33"/>
      <c r="W482" s="33"/>
      <c r="X482" s="33"/>
      <c r="Y482" s="33"/>
      <c r="Z482" s="33"/>
      <c r="AA482" s="33"/>
      <c r="AB482" s="33"/>
    </row>
    <row r="483">
      <c r="A483" s="33"/>
      <c r="B483" s="33"/>
      <c r="C483" s="94"/>
      <c r="D483" s="33"/>
      <c r="E483" s="33"/>
      <c r="F483" s="33"/>
      <c r="G483" s="94"/>
      <c r="H483" s="33"/>
      <c r="I483" s="33"/>
      <c r="J483" s="33"/>
      <c r="K483" s="33"/>
      <c r="L483" s="33"/>
      <c r="M483" s="33"/>
      <c r="N483" s="33"/>
      <c r="O483" s="33"/>
      <c r="P483" s="33"/>
      <c r="Q483" s="33"/>
      <c r="R483" s="33"/>
      <c r="S483" s="33"/>
      <c r="T483" s="33"/>
      <c r="U483" s="33"/>
      <c r="V483" s="33"/>
      <c r="W483" s="33"/>
      <c r="X483" s="33"/>
      <c r="Y483" s="33"/>
      <c r="Z483" s="33"/>
      <c r="AA483" s="33"/>
      <c r="AB483" s="33"/>
    </row>
    <row r="484">
      <c r="A484" s="33"/>
      <c r="B484" s="33"/>
      <c r="C484" s="94"/>
      <c r="D484" s="33"/>
      <c r="E484" s="33"/>
      <c r="F484" s="33"/>
      <c r="G484" s="94"/>
      <c r="H484" s="33"/>
      <c r="I484" s="33"/>
      <c r="J484" s="33"/>
      <c r="K484" s="33"/>
      <c r="L484" s="33"/>
      <c r="M484" s="33"/>
      <c r="N484" s="33"/>
      <c r="O484" s="33"/>
      <c r="P484" s="33"/>
      <c r="Q484" s="33"/>
      <c r="R484" s="33"/>
      <c r="S484" s="33"/>
      <c r="T484" s="33"/>
      <c r="U484" s="33"/>
      <c r="V484" s="33"/>
      <c r="W484" s="33"/>
      <c r="X484" s="33"/>
      <c r="Y484" s="33"/>
      <c r="Z484" s="33"/>
      <c r="AA484" s="33"/>
      <c r="AB484" s="33"/>
    </row>
    <row r="485">
      <c r="A485" s="33"/>
      <c r="B485" s="33"/>
      <c r="C485" s="94"/>
      <c r="D485" s="33"/>
      <c r="E485" s="33"/>
      <c r="F485" s="33"/>
      <c r="G485" s="94"/>
      <c r="H485" s="33"/>
      <c r="I485" s="33"/>
      <c r="J485" s="33"/>
      <c r="K485" s="33"/>
      <c r="L485" s="33"/>
      <c r="M485" s="33"/>
      <c r="N485" s="33"/>
      <c r="O485" s="33"/>
      <c r="P485" s="33"/>
      <c r="Q485" s="33"/>
      <c r="R485" s="33"/>
      <c r="S485" s="33"/>
      <c r="T485" s="33"/>
      <c r="U485" s="33"/>
      <c r="V485" s="33"/>
      <c r="W485" s="33"/>
      <c r="X485" s="33"/>
      <c r="Y485" s="33"/>
      <c r="Z485" s="33"/>
      <c r="AA485" s="33"/>
      <c r="AB485" s="33"/>
    </row>
    <row r="486">
      <c r="A486" s="33"/>
      <c r="B486" s="33"/>
      <c r="C486" s="94"/>
      <c r="D486" s="33"/>
      <c r="E486" s="33"/>
      <c r="F486" s="33"/>
      <c r="G486" s="94"/>
      <c r="H486" s="33"/>
      <c r="I486" s="33"/>
      <c r="J486" s="33"/>
      <c r="K486" s="33"/>
      <c r="L486" s="33"/>
      <c r="M486" s="33"/>
      <c r="N486" s="33"/>
      <c r="O486" s="33"/>
      <c r="P486" s="33"/>
      <c r="Q486" s="33"/>
      <c r="R486" s="33"/>
      <c r="S486" s="33"/>
      <c r="T486" s="33"/>
      <c r="U486" s="33"/>
      <c r="V486" s="33"/>
      <c r="W486" s="33"/>
      <c r="X486" s="33"/>
      <c r="Y486" s="33"/>
      <c r="Z486" s="33"/>
      <c r="AA486" s="33"/>
      <c r="AB486" s="33"/>
    </row>
    <row r="487">
      <c r="A487" s="33"/>
      <c r="B487" s="33"/>
      <c r="C487" s="94"/>
      <c r="D487" s="33"/>
      <c r="E487" s="33"/>
      <c r="F487" s="33"/>
      <c r="G487" s="94"/>
      <c r="H487" s="33"/>
      <c r="I487" s="33"/>
      <c r="J487" s="33"/>
      <c r="K487" s="33"/>
      <c r="L487" s="33"/>
      <c r="M487" s="33"/>
      <c r="N487" s="33"/>
      <c r="O487" s="33"/>
      <c r="P487" s="33"/>
      <c r="Q487" s="33"/>
      <c r="R487" s="33"/>
      <c r="S487" s="33"/>
      <c r="T487" s="33"/>
      <c r="U487" s="33"/>
      <c r="V487" s="33"/>
      <c r="W487" s="33"/>
      <c r="X487" s="33"/>
      <c r="Y487" s="33"/>
      <c r="Z487" s="33"/>
      <c r="AA487" s="33"/>
      <c r="AB487" s="33"/>
    </row>
    <row r="488">
      <c r="A488" s="33"/>
      <c r="B488" s="33"/>
      <c r="C488" s="94"/>
      <c r="D488" s="33"/>
      <c r="E488" s="33"/>
      <c r="F488" s="33"/>
      <c r="G488" s="94"/>
      <c r="H488" s="33"/>
      <c r="I488" s="33"/>
      <c r="J488" s="33"/>
      <c r="K488" s="33"/>
      <c r="L488" s="33"/>
      <c r="M488" s="33"/>
      <c r="N488" s="33"/>
      <c r="O488" s="33"/>
      <c r="P488" s="33"/>
      <c r="Q488" s="33"/>
      <c r="R488" s="33"/>
      <c r="S488" s="33"/>
      <c r="T488" s="33"/>
      <c r="U488" s="33"/>
      <c r="V488" s="33"/>
      <c r="W488" s="33"/>
      <c r="X488" s="33"/>
      <c r="Y488" s="33"/>
      <c r="Z488" s="33"/>
      <c r="AA488" s="33"/>
      <c r="AB488" s="33"/>
    </row>
    <row r="489">
      <c r="A489" s="33"/>
      <c r="B489" s="33"/>
      <c r="C489" s="94"/>
      <c r="D489" s="33"/>
      <c r="E489" s="33"/>
      <c r="F489" s="33"/>
      <c r="G489" s="94"/>
      <c r="H489" s="33"/>
      <c r="I489" s="33"/>
      <c r="J489" s="33"/>
      <c r="K489" s="33"/>
      <c r="L489" s="33"/>
      <c r="M489" s="33"/>
      <c r="N489" s="33"/>
      <c r="O489" s="33"/>
      <c r="P489" s="33"/>
      <c r="Q489" s="33"/>
      <c r="R489" s="33"/>
      <c r="S489" s="33"/>
      <c r="T489" s="33"/>
      <c r="U489" s="33"/>
      <c r="V489" s="33"/>
      <c r="W489" s="33"/>
      <c r="X489" s="33"/>
      <c r="Y489" s="33"/>
      <c r="Z489" s="33"/>
      <c r="AA489" s="33"/>
      <c r="AB489" s="33"/>
    </row>
    <row r="490">
      <c r="A490" s="33"/>
      <c r="B490" s="33"/>
      <c r="C490" s="94"/>
      <c r="D490" s="33"/>
      <c r="E490" s="33"/>
      <c r="F490" s="33"/>
      <c r="G490" s="94"/>
      <c r="H490" s="33"/>
      <c r="I490" s="33"/>
      <c r="J490" s="33"/>
      <c r="K490" s="33"/>
      <c r="L490" s="33"/>
      <c r="M490" s="33"/>
      <c r="N490" s="33"/>
      <c r="O490" s="33"/>
      <c r="P490" s="33"/>
      <c r="Q490" s="33"/>
      <c r="R490" s="33"/>
      <c r="S490" s="33"/>
      <c r="T490" s="33"/>
      <c r="U490" s="33"/>
      <c r="V490" s="33"/>
      <c r="W490" s="33"/>
      <c r="X490" s="33"/>
      <c r="Y490" s="33"/>
      <c r="Z490" s="33"/>
      <c r="AA490" s="33"/>
      <c r="AB490" s="33"/>
    </row>
    <row r="491">
      <c r="A491" s="33"/>
      <c r="B491" s="33"/>
      <c r="C491" s="94"/>
      <c r="D491" s="33"/>
      <c r="E491" s="33"/>
      <c r="F491" s="33"/>
      <c r="G491" s="94"/>
      <c r="H491" s="33"/>
      <c r="I491" s="33"/>
      <c r="J491" s="33"/>
      <c r="K491" s="33"/>
      <c r="L491" s="33"/>
      <c r="M491" s="33"/>
      <c r="N491" s="33"/>
      <c r="O491" s="33"/>
      <c r="P491" s="33"/>
      <c r="Q491" s="33"/>
      <c r="R491" s="33"/>
      <c r="S491" s="33"/>
      <c r="T491" s="33"/>
      <c r="U491" s="33"/>
      <c r="V491" s="33"/>
      <c r="W491" s="33"/>
      <c r="X491" s="33"/>
      <c r="Y491" s="33"/>
      <c r="Z491" s="33"/>
      <c r="AA491" s="33"/>
      <c r="AB491" s="33"/>
    </row>
    <row r="492">
      <c r="A492" s="33"/>
      <c r="B492" s="33"/>
      <c r="C492" s="94"/>
      <c r="D492" s="33"/>
      <c r="E492" s="33"/>
      <c r="F492" s="33"/>
      <c r="G492" s="94"/>
      <c r="H492" s="33"/>
      <c r="I492" s="33"/>
      <c r="J492" s="33"/>
      <c r="K492" s="33"/>
      <c r="L492" s="33"/>
      <c r="M492" s="33"/>
      <c r="N492" s="33"/>
      <c r="O492" s="33"/>
      <c r="P492" s="33"/>
      <c r="Q492" s="33"/>
      <c r="R492" s="33"/>
      <c r="S492" s="33"/>
      <c r="T492" s="33"/>
      <c r="U492" s="33"/>
      <c r="V492" s="33"/>
      <c r="W492" s="33"/>
      <c r="X492" s="33"/>
      <c r="Y492" s="33"/>
      <c r="Z492" s="33"/>
      <c r="AA492" s="33"/>
      <c r="AB492" s="33"/>
    </row>
    <row r="493">
      <c r="A493" s="33"/>
      <c r="B493" s="33"/>
      <c r="C493" s="94"/>
      <c r="D493" s="33"/>
      <c r="E493" s="33"/>
      <c r="F493" s="33"/>
      <c r="G493" s="94"/>
      <c r="H493" s="33"/>
      <c r="I493" s="33"/>
      <c r="J493" s="33"/>
      <c r="K493" s="33"/>
      <c r="L493" s="33"/>
      <c r="M493" s="33"/>
      <c r="N493" s="33"/>
      <c r="O493" s="33"/>
      <c r="P493" s="33"/>
      <c r="Q493" s="33"/>
      <c r="R493" s="33"/>
      <c r="S493" s="33"/>
      <c r="T493" s="33"/>
      <c r="U493" s="33"/>
      <c r="V493" s="33"/>
      <c r="W493" s="33"/>
      <c r="X493" s="33"/>
      <c r="Y493" s="33"/>
      <c r="Z493" s="33"/>
      <c r="AA493" s="33"/>
      <c r="AB493" s="33"/>
    </row>
    <row r="494">
      <c r="A494" s="33"/>
      <c r="B494" s="33"/>
      <c r="C494" s="94"/>
      <c r="D494" s="33"/>
      <c r="E494" s="33"/>
      <c r="F494" s="33"/>
      <c r="G494" s="94"/>
      <c r="H494" s="33"/>
      <c r="I494" s="33"/>
      <c r="J494" s="33"/>
      <c r="K494" s="33"/>
      <c r="L494" s="33"/>
      <c r="M494" s="33"/>
      <c r="N494" s="33"/>
      <c r="O494" s="33"/>
      <c r="P494" s="33"/>
      <c r="Q494" s="33"/>
      <c r="R494" s="33"/>
      <c r="S494" s="33"/>
      <c r="T494" s="33"/>
      <c r="U494" s="33"/>
      <c r="V494" s="33"/>
      <c r="W494" s="33"/>
      <c r="X494" s="33"/>
      <c r="Y494" s="33"/>
      <c r="Z494" s="33"/>
      <c r="AA494" s="33"/>
      <c r="AB494" s="33"/>
    </row>
    <row r="495">
      <c r="A495" s="33"/>
      <c r="B495" s="33"/>
      <c r="C495" s="94"/>
      <c r="D495" s="33"/>
      <c r="E495" s="33"/>
      <c r="F495" s="33"/>
      <c r="G495" s="94"/>
      <c r="H495" s="33"/>
      <c r="I495" s="33"/>
      <c r="J495" s="33"/>
      <c r="K495" s="33"/>
      <c r="L495" s="33"/>
      <c r="M495" s="33"/>
      <c r="N495" s="33"/>
      <c r="O495" s="33"/>
      <c r="P495" s="33"/>
      <c r="Q495" s="33"/>
      <c r="R495" s="33"/>
      <c r="S495" s="33"/>
      <c r="T495" s="33"/>
      <c r="U495" s="33"/>
      <c r="V495" s="33"/>
      <c r="W495" s="33"/>
      <c r="X495" s="33"/>
      <c r="Y495" s="33"/>
      <c r="Z495" s="33"/>
      <c r="AA495" s="33"/>
      <c r="AB495" s="33"/>
    </row>
    <row r="496">
      <c r="A496" s="33"/>
      <c r="B496" s="33"/>
      <c r="C496" s="94"/>
      <c r="D496" s="33"/>
      <c r="E496" s="33"/>
      <c r="F496" s="33"/>
      <c r="G496" s="94"/>
      <c r="H496" s="33"/>
      <c r="I496" s="33"/>
      <c r="J496" s="33"/>
      <c r="K496" s="33"/>
      <c r="L496" s="33"/>
      <c r="M496" s="33"/>
      <c r="N496" s="33"/>
      <c r="O496" s="33"/>
      <c r="P496" s="33"/>
      <c r="Q496" s="33"/>
      <c r="R496" s="33"/>
      <c r="S496" s="33"/>
      <c r="T496" s="33"/>
      <c r="U496" s="33"/>
      <c r="V496" s="33"/>
      <c r="W496" s="33"/>
      <c r="X496" s="33"/>
      <c r="Y496" s="33"/>
      <c r="Z496" s="33"/>
      <c r="AA496" s="33"/>
      <c r="AB496" s="33"/>
    </row>
    <row r="497">
      <c r="A497" s="33"/>
      <c r="B497" s="33"/>
      <c r="C497" s="94"/>
      <c r="D497" s="33"/>
      <c r="E497" s="33"/>
      <c r="F497" s="33"/>
      <c r="G497" s="94"/>
      <c r="H497" s="33"/>
      <c r="I497" s="33"/>
      <c r="J497" s="33"/>
      <c r="K497" s="33"/>
      <c r="L497" s="33"/>
      <c r="M497" s="33"/>
      <c r="N497" s="33"/>
      <c r="O497" s="33"/>
      <c r="P497" s="33"/>
      <c r="Q497" s="33"/>
      <c r="R497" s="33"/>
      <c r="S497" s="33"/>
      <c r="T497" s="33"/>
      <c r="U497" s="33"/>
      <c r="V497" s="33"/>
      <c r="W497" s="33"/>
      <c r="X497" s="33"/>
      <c r="Y497" s="33"/>
      <c r="Z497" s="33"/>
      <c r="AA497" s="33"/>
      <c r="AB497" s="33"/>
    </row>
    <row r="498">
      <c r="A498" s="33"/>
      <c r="B498" s="33"/>
      <c r="C498" s="94"/>
      <c r="D498" s="33"/>
      <c r="E498" s="33"/>
      <c r="F498" s="33"/>
      <c r="G498" s="94"/>
      <c r="H498" s="33"/>
      <c r="I498" s="33"/>
      <c r="J498" s="33"/>
      <c r="K498" s="33"/>
      <c r="L498" s="33"/>
      <c r="M498" s="33"/>
      <c r="N498" s="33"/>
      <c r="O498" s="33"/>
      <c r="P498" s="33"/>
      <c r="Q498" s="33"/>
      <c r="R498" s="33"/>
      <c r="S498" s="33"/>
      <c r="T498" s="33"/>
      <c r="U498" s="33"/>
      <c r="V498" s="33"/>
      <c r="W498" s="33"/>
      <c r="X498" s="33"/>
      <c r="Y498" s="33"/>
      <c r="Z498" s="33"/>
      <c r="AA498" s="33"/>
      <c r="AB498" s="33"/>
    </row>
    <row r="499">
      <c r="A499" s="33"/>
      <c r="B499" s="33"/>
      <c r="C499" s="94"/>
      <c r="D499" s="33"/>
      <c r="E499" s="33"/>
      <c r="F499" s="33"/>
      <c r="G499" s="94"/>
      <c r="H499" s="33"/>
      <c r="I499" s="33"/>
      <c r="J499" s="33"/>
      <c r="K499" s="33"/>
      <c r="L499" s="33"/>
      <c r="M499" s="33"/>
      <c r="N499" s="33"/>
      <c r="O499" s="33"/>
      <c r="P499" s="33"/>
      <c r="Q499" s="33"/>
      <c r="R499" s="33"/>
      <c r="S499" s="33"/>
      <c r="T499" s="33"/>
      <c r="U499" s="33"/>
      <c r="V499" s="33"/>
      <c r="W499" s="33"/>
      <c r="X499" s="33"/>
      <c r="Y499" s="33"/>
      <c r="Z499" s="33"/>
      <c r="AA499" s="33"/>
      <c r="AB499" s="33"/>
    </row>
    <row r="500">
      <c r="A500" s="33"/>
      <c r="B500" s="33"/>
      <c r="C500" s="94"/>
      <c r="D500" s="33"/>
      <c r="E500" s="33"/>
      <c r="F500" s="33"/>
      <c r="G500" s="94"/>
      <c r="H500" s="33"/>
      <c r="I500" s="33"/>
      <c r="J500" s="33"/>
      <c r="K500" s="33"/>
      <c r="L500" s="33"/>
      <c r="M500" s="33"/>
      <c r="N500" s="33"/>
      <c r="O500" s="33"/>
      <c r="P500" s="33"/>
      <c r="Q500" s="33"/>
      <c r="R500" s="33"/>
      <c r="S500" s="33"/>
      <c r="T500" s="33"/>
      <c r="U500" s="33"/>
      <c r="V500" s="33"/>
      <c r="W500" s="33"/>
      <c r="X500" s="33"/>
      <c r="Y500" s="33"/>
      <c r="Z500" s="33"/>
      <c r="AA500" s="33"/>
      <c r="AB500" s="33"/>
    </row>
    <row r="501">
      <c r="A501" s="33"/>
      <c r="B501" s="33"/>
      <c r="C501" s="94"/>
      <c r="D501" s="33"/>
      <c r="E501" s="33"/>
      <c r="F501" s="33"/>
      <c r="G501" s="94"/>
      <c r="H501" s="33"/>
      <c r="I501" s="33"/>
      <c r="J501" s="33"/>
      <c r="K501" s="33"/>
      <c r="L501" s="33"/>
      <c r="M501" s="33"/>
      <c r="N501" s="33"/>
      <c r="O501" s="33"/>
      <c r="P501" s="33"/>
      <c r="Q501" s="33"/>
      <c r="R501" s="33"/>
      <c r="S501" s="33"/>
      <c r="T501" s="33"/>
      <c r="U501" s="33"/>
      <c r="V501" s="33"/>
      <c r="W501" s="33"/>
      <c r="X501" s="33"/>
      <c r="Y501" s="33"/>
      <c r="Z501" s="33"/>
      <c r="AA501" s="33"/>
      <c r="AB501" s="33"/>
    </row>
    <row r="502">
      <c r="A502" s="33"/>
      <c r="B502" s="33"/>
      <c r="C502" s="94"/>
      <c r="D502" s="33"/>
      <c r="E502" s="33"/>
      <c r="F502" s="33"/>
      <c r="G502" s="94"/>
      <c r="H502" s="33"/>
      <c r="I502" s="33"/>
      <c r="J502" s="33"/>
      <c r="K502" s="33"/>
      <c r="L502" s="33"/>
      <c r="M502" s="33"/>
      <c r="N502" s="33"/>
      <c r="O502" s="33"/>
      <c r="P502" s="33"/>
      <c r="Q502" s="33"/>
      <c r="R502" s="33"/>
      <c r="S502" s="33"/>
      <c r="T502" s="33"/>
      <c r="U502" s="33"/>
      <c r="V502" s="33"/>
      <c r="W502" s="33"/>
      <c r="X502" s="33"/>
      <c r="Y502" s="33"/>
      <c r="Z502" s="33"/>
      <c r="AA502" s="33"/>
      <c r="AB502" s="33"/>
    </row>
    <row r="503">
      <c r="A503" s="33"/>
      <c r="B503" s="33"/>
      <c r="C503" s="94"/>
      <c r="D503" s="33"/>
      <c r="E503" s="33"/>
      <c r="F503" s="33"/>
      <c r="G503" s="94"/>
      <c r="H503" s="33"/>
      <c r="I503" s="33"/>
      <c r="J503" s="33"/>
      <c r="K503" s="33"/>
      <c r="L503" s="33"/>
      <c r="M503" s="33"/>
      <c r="N503" s="33"/>
      <c r="O503" s="33"/>
      <c r="P503" s="33"/>
      <c r="Q503" s="33"/>
      <c r="R503" s="33"/>
      <c r="S503" s="33"/>
      <c r="T503" s="33"/>
      <c r="U503" s="33"/>
      <c r="V503" s="33"/>
      <c r="W503" s="33"/>
      <c r="X503" s="33"/>
      <c r="Y503" s="33"/>
      <c r="Z503" s="33"/>
      <c r="AA503" s="33"/>
      <c r="AB503" s="33"/>
    </row>
    <row r="504">
      <c r="A504" s="33"/>
      <c r="B504" s="33"/>
      <c r="C504" s="94"/>
      <c r="D504" s="33"/>
      <c r="E504" s="33"/>
      <c r="F504" s="33"/>
      <c r="G504" s="94"/>
      <c r="H504" s="33"/>
      <c r="I504" s="33"/>
      <c r="J504" s="33"/>
      <c r="K504" s="33"/>
      <c r="L504" s="33"/>
      <c r="M504" s="33"/>
      <c r="N504" s="33"/>
      <c r="O504" s="33"/>
      <c r="P504" s="33"/>
      <c r="Q504" s="33"/>
      <c r="R504" s="33"/>
      <c r="S504" s="33"/>
      <c r="T504" s="33"/>
      <c r="U504" s="33"/>
      <c r="V504" s="33"/>
      <c r="W504" s="33"/>
      <c r="X504" s="33"/>
      <c r="Y504" s="33"/>
      <c r="Z504" s="33"/>
      <c r="AA504" s="33"/>
      <c r="AB504" s="33"/>
    </row>
    <row r="505">
      <c r="A505" s="33"/>
      <c r="B505" s="33"/>
      <c r="C505" s="94"/>
      <c r="D505" s="33"/>
      <c r="E505" s="33"/>
      <c r="F505" s="33"/>
      <c r="G505" s="94"/>
      <c r="H505" s="33"/>
      <c r="I505" s="33"/>
      <c r="J505" s="33"/>
      <c r="K505" s="33"/>
      <c r="L505" s="33"/>
      <c r="M505" s="33"/>
      <c r="N505" s="33"/>
      <c r="O505" s="33"/>
      <c r="P505" s="33"/>
      <c r="Q505" s="33"/>
      <c r="R505" s="33"/>
      <c r="S505" s="33"/>
      <c r="T505" s="33"/>
      <c r="U505" s="33"/>
      <c r="V505" s="33"/>
      <c r="W505" s="33"/>
      <c r="X505" s="33"/>
      <c r="Y505" s="33"/>
      <c r="Z505" s="33"/>
      <c r="AA505" s="33"/>
      <c r="AB505" s="33"/>
    </row>
    <row r="506">
      <c r="A506" s="33"/>
      <c r="B506" s="33"/>
      <c r="C506" s="94"/>
      <c r="D506" s="33"/>
      <c r="E506" s="33"/>
      <c r="F506" s="33"/>
      <c r="G506" s="94"/>
      <c r="H506" s="33"/>
      <c r="I506" s="33"/>
      <c r="J506" s="33"/>
      <c r="K506" s="33"/>
      <c r="L506" s="33"/>
      <c r="M506" s="33"/>
      <c r="N506" s="33"/>
      <c r="O506" s="33"/>
      <c r="P506" s="33"/>
      <c r="Q506" s="33"/>
      <c r="R506" s="33"/>
      <c r="S506" s="33"/>
      <c r="T506" s="33"/>
      <c r="U506" s="33"/>
      <c r="V506" s="33"/>
      <c r="W506" s="33"/>
      <c r="X506" s="33"/>
      <c r="Y506" s="33"/>
      <c r="Z506" s="33"/>
      <c r="AA506" s="33"/>
      <c r="AB506" s="33"/>
    </row>
    <row r="507">
      <c r="A507" s="33"/>
      <c r="B507" s="33"/>
      <c r="C507" s="94"/>
      <c r="D507" s="33"/>
      <c r="E507" s="33"/>
      <c r="F507" s="33"/>
      <c r="G507" s="94"/>
      <c r="H507" s="33"/>
      <c r="I507" s="33"/>
      <c r="J507" s="33"/>
      <c r="K507" s="33"/>
      <c r="L507" s="33"/>
      <c r="M507" s="33"/>
      <c r="N507" s="33"/>
      <c r="O507" s="33"/>
      <c r="P507" s="33"/>
      <c r="Q507" s="33"/>
      <c r="R507" s="33"/>
      <c r="S507" s="33"/>
      <c r="T507" s="33"/>
      <c r="U507" s="33"/>
      <c r="V507" s="33"/>
      <c r="W507" s="33"/>
      <c r="X507" s="33"/>
      <c r="Y507" s="33"/>
      <c r="Z507" s="33"/>
      <c r="AA507" s="33"/>
      <c r="AB507" s="33"/>
    </row>
    <row r="508">
      <c r="A508" s="33"/>
      <c r="B508" s="33"/>
      <c r="C508" s="94"/>
      <c r="D508" s="33"/>
      <c r="E508" s="33"/>
      <c r="F508" s="33"/>
      <c r="G508" s="94"/>
      <c r="H508" s="33"/>
      <c r="I508" s="33"/>
      <c r="J508" s="33"/>
      <c r="K508" s="33"/>
      <c r="L508" s="33"/>
      <c r="M508" s="33"/>
      <c r="N508" s="33"/>
      <c r="O508" s="33"/>
      <c r="P508" s="33"/>
      <c r="Q508" s="33"/>
      <c r="R508" s="33"/>
      <c r="S508" s="33"/>
      <c r="T508" s="33"/>
      <c r="U508" s="33"/>
      <c r="V508" s="33"/>
      <c r="W508" s="33"/>
      <c r="X508" s="33"/>
      <c r="Y508" s="33"/>
      <c r="Z508" s="33"/>
      <c r="AA508" s="33"/>
      <c r="AB508" s="33"/>
    </row>
    <row r="509">
      <c r="A509" s="33"/>
      <c r="B509" s="33"/>
      <c r="C509" s="94"/>
      <c r="D509" s="33"/>
      <c r="E509" s="33"/>
      <c r="F509" s="33"/>
      <c r="G509" s="94"/>
      <c r="H509" s="33"/>
      <c r="I509" s="33"/>
      <c r="J509" s="33"/>
      <c r="K509" s="33"/>
      <c r="L509" s="33"/>
      <c r="M509" s="33"/>
      <c r="N509" s="33"/>
      <c r="O509" s="33"/>
      <c r="P509" s="33"/>
      <c r="Q509" s="33"/>
      <c r="R509" s="33"/>
      <c r="S509" s="33"/>
      <c r="T509" s="33"/>
      <c r="U509" s="33"/>
      <c r="V509" s="33"/>
      <c r="W509" s="33"/>
      <c r="X509" s="33"/>
      <c r="Y509" s="33"/>
      <c r="Z509" s="33"/>
      <c r="AA509" s="33"/>
      <c r="AB509" s="33"/>
    </row>
    <row r="510">
      <c r="A510" s="33"/>
      <c r="B510" s="33"/>
      <c r="C510" s="94"/>
      <c r="D510" s="33"/>
      <c r="E510" s="33"/>
      <c r="F510" s="33"/>
      <c r="G510" s="94"/>
      <c r="H510" s="33"/>
      <c r="I510" s="33"/>
      <c r="J510" s="33"/>
      <c r="K510" s="33"/>
      <c r="L510" s="33"/>
      <c r="M510" s="33"/>
      <c r="N510" s="33"/>
      <c r="O510" s="33"/>
      <c r="P510" s="33"/>
      <c r="Q510" s="33"/>
      <c r="R510" s="33"/>
      <c r="S510" s="33"/>
      <c r="T510" s="33"/>
      <c r="U510" s="33"/>
      <c r="V510" s="33"/>
      <c r="W510" s="33"/>
      <c r="X510" s="33"/>
      <c r="Y510" s="33"/>
      <c r="Z510" s="33"/>
      <c r="AA510" s="33"/>
      <c r="AB510" s="33"/>
    </row>
    <row r="511">
      <c r="A511" s="33"/>
      <c r="B511" s="33"/>
      <c r="C511" s="94"/>
      <c r="D511" s="33"/>
      <c r="E511" s="33"/>
      <c r="F511" s="33"/>
      <c r="G511" s="94"/>
      <c r="H511" s="33"/>
      <c r="I511" s="33"/>
      <c r="J511" s="33"/>
      <c r="K511" s="33"/>
      <c r="L511" s="33"/>
      <c r="M511" s="33"/>
      <c r="N511" s="33"/>
      <c r="O511" s="33"/>
      <c r="P511" s="33"/>
      <c r="Q511" s="33"/>
      <c r="R511" s="33"/>
      <c r="S511" s="33"/>
      <c r="T511" s="33"/>
      <c r="U511" s="33"/>
      <c r="V511" s="33"/>
      <c r="W511" s="33"/>
      <c r="X511" s="33"/>
      <c r="Y511" s="33"/>
      <c r="Z511" s="33"/>
      <c r="AA511" s="33"/>
      <c r="AB511" s="33"/>
    </row>
    <row r="512">
      <c r="A512" s="33"/>
      <c r="B512" s="33"/>
      <c r="C512" s="94"/>
      <c r="D512" s="33"/>
      <c r="E512" s="33"/>
      <c r="F512" s="33"/>
      <c r="G512" s="94"/>
      <c r="H512" s="33"/>
      <c r="I512" s="33"/>
      <c r="J512" s="33"/>
      <c r="K512" s="33"/>
      <c r="L512" s="33"/>
      <c r="M512" s="33"/>
      <c r="N512" s="33"/>
      <c r="O512" s="33"/>
      <c r="P512" s="33"/>
      <c r="Q512" s="33"/>
      <c r="R512" s="33"/>
      <c r="S512" s="33"/>
      <c r="T512" s="33"/>
      <c r="U512" s="33"/>
      <c r="V512" s="33"/>
      <c r="W512" s="33"/>
      <c r="X512" s="33"/>
      <c r="Y512" s="33"/>
      <c r="Z512" s="33"/>
      <c r="AA512" s="33"/>
      <c r="AB512" s="33"/>
    </row>
    <row r="513">
      <c r="A513" s="33"/>
      <c r="B513" s="33"/>
      <c r="C513" s="94"/>
      <c r="D513" s="33"/>
      <c r="E513" s="33"/>
      <c r="F513" s="33"/>
      <c r="G513" s="94"/>
      <c r="H513" s="33"/>
      <c r="I513" s="33"/>
      <c r="J513" s="33"/>
      <c r="K513" s="33"/>
      <c r="L513" s="33"/>
      <c r="M513" s="33"/>
      <c r="N513" s="33"/>
      <c r="O513" s="33"/>
      <c r="P513" s="33"/>
      <c r="Q513" s="33"/>
      <c r="R513" s="33"/>
      <c r="S513" s="33"/>
      <c r="T513" s="33"/>
      <c r="U513" s="33"/>
      <c r="V513" s="33"/>
      <c r="W513" s="33"/>
      <c r="X513" s="33"/>
      <c r="Y513" s="33"/>
      <c r="Z513" s="33"/>
      <c r="AA513" s="33"/>
      <c r="AB513" s="33"/>
    </row>
    <row r="514">
      <c r="A514" s="33"/>
      <c r="B514" s="33"/>
      <c r="C514" s="94"/>
      <c r="D514" s="33"/>
      <c r="E514" s="33"/>
      <c r="F514" s="33"/>
      <c r="G514" s="94"/>
      <c r="H514" s="33"/>
      <c r="I514" s="33"/>
      <c r="J514" s="33"/>
      <c r="K514" s="33"/>
      <c r="L514" s="33"/>
      <c r="M514" s="33"/>
      <c r="N514" s="33"/>
      <c r="O514" s="33"/>
      <c r="P514" s="33"/>
      <c r="Q514" s="33"/>
      <c r="R514" s="33"/>
      <c r="S514" s="33"/>
      <c r="T514" s="33"/>
      <c r="U514" s="33"/>
      <c r="V514" s="33"/>
      <c r="W514" s="33"/>
      <c r="X514" s="33"/>
      <c r="Y514" s="33"/>
      <c r="Z514" s="33"/>
      <c r="AA514" s="33"/>
      <c r="AB514" s="33"/>
    </row>
    <row r="515">
      <c r="A515" s="33"/>
      <c r="B515" s="33"/>
      <c r="C515" s="94"/>
      <c r="D515" s="33"/>
      <c r="E515" s="33"/>
      <c r="F515" s="33"/>
      <c r="G515" s="94"/>
      <c r="H515" s="33"/>
      <c r="I515" s="33"/>
      <c r="J515" s="33"/>
      <c r="K515" s="33"/>
      <c r="L515" s="33"/>
      <c r="M515" s="33"/>
      <c r="N515" s="33"/>
      <c r="O515" s="33"/>
      <c r="P515" s="33"/>
      <c r="Q515" s="33"/>
      <c r="R515" s="33"/>
      <c r="S515" s="33"/>
      <c r="T515" s="33"/>
      <c r="U515" s="33"/>
      <c r="V515" s="33"/>
      <c r="W515" s="33"/>
      <c r="X515" s="33"/>
      <c r="Y515" s="33"/>
      <c r="Z515" s="33"/>
      <c r="AA515" s="33"/>
      <c r="AB515" s="33"/>
    </row>
    <row r="516">
      <c r="A516" s="33"/>
      <c r="B516" s="33"/>
      <c r="C516" s="94"/>
      <c r="D516" s="33"/>
      <c r="E516" s="33"/>
      <c r="F516" s="33"/>
      <c r="G516" s="94"/>
      <c r="H516" s="33"/>
      <c r="I516" s="33"/>
      <c r="J516" s="33"/>
      <c r="K516" s="33"/>
      <c r="L516" s="33"/>
      <c r="M516" s="33"/>
      <c r="N516" s="33"/>
      <c r="O516" s="33"/>
      <c r="P516" s="33"/>
      <c r="Q516" s="33"/>
      <c r="R516" s="33"/>
      <c r="S516" s="33"/>
      <c r="T516" s="33"/>
      <c r="U516" s="33"/>
      <c r="V516" s="33"/>
      <c r="W516" s="33"/>
      <c r="X516" s="33"/>
      <c r="Y516" s="33"/>
      <c r="Z516" s="33"/>
      <c r="AA516" s="33"/>
      <c r="AB516" s="33"/>
    </row>
    <row r="517">
      <c r="A517" s="33"/>
      <c r="B517" s="33"/>
      <c r="C517" s="94"/>
      <c r="D517" s="33"/>
      <c r="E517" s="33"/>
      <c r="F517" s="33"/>
      <c r="G517" s="94"/>
      <c r="H517" s="33"/>
      <c r="I517" s="33"/>
      <c r="J517" s="33"/>
      <c r="K517" s="33"/>
      <c r="L517" s="33"/>
      <c r="M517" s="33"/>
      <c r="N517" s="33"/>
      <c r="O517" s="33"/>
      <c r="P517" s="33"/>
      <c r="Q517" s="33"/>
      <c r="R517" s="33"/>
      <c r="S517" s="33"/>
      <c r="T517" s="33"/>
      <c r="U517" s="33"/>
      <c r="V517" s="33"/>
      <c r="W517" s="33"/>
      <c r="X517" s="33"/>
      <c r="Y517" s="33"/>
      <c r="Z517" s="33"/>
      <c r="AA517" s="33"/>
      <c r="AB517" s="33"/>
    </row>
    <row r="518">
      <c r="A518" s="33"/>
      <c r="B518" s="33"/>
      <c r="C518" s="94"/>
      <c r="D518" s="33"/>
      <c r="E518" s="33"/>
      <c r="F518" s="33"/>
      <c r="G518" s="94"/>
      <c r="H518" s="33"/>
      <c r="I518" s="33"/>
      <c r="J518" s="33"/>
      <c r="K518" s="33"/>
      <c r="L518" s="33"/>
      <c r="M518" s="33"/>
      <c r="N518" s="33"/>
      <c r="O518" s="33"/>
      <c r="P518" s="33"/>
      <c r="Q518" s="33"/>
      <c r="R518" s="33"/>
      <c r="S518" s="33"/>
      <c r="T518" s="33"/>
      <c r="U518" s="33"/>
      <c r="V518" s="33"/>
      <c r="W518" s="33"/>
      <c r="X518" s="33"/>
      <c r="Y518" s="33"/>
      <c r="Z518" s="33"/>
      <c r="AA518" s="33"/>
      <c r="AB518" s="33"/>
    </row>
    <row r="519">
      <c r="A519" s="33"/>
      <c r="B519" s="33"/>
      <c r="C519" s="94"/>
      <c r="D519" s="33"/>
      <c r="E519" s="33"/>
      <c r="F519" s="33"/>
      <c r="G519" s="94"/>
      <c r="H519" s="33"/>
      <c r="I519" s="33"/>
      <c r="J519" s="33"/>
      <c r="K519" s="33"/>
      <c r="L519" s="33"/>
      <c r="M519" s="33"/>
      <c r="N519" s="33"/>
      <c r="O519" s="33"/>
      <c r="P519" s="33"/>
      <c r="Q519" s="33"/>
      <c r="R519" s="33"/>
      <c r="S519" s="33"/>
      <c r="T519" s="33"/>
      <c r="U519" s="33"/>
      <c r="V519" s="33"/>
      <c r="W519" s="33"/>
      <c r="X519" s="33"/>
      <c r="Y519" s="33"/>
      <c r="Z519" s="33"/>
      <c r="AA519" s="33"/>
      <c r="AB519" s="33"/>
    </row>
    <row r="520">
      <c r="A520" s="33"/>
      <c r="B520" s="33"/>
      <c r="C520" s="94"/>
      <c r="D520" s="33"/>
      <c r="E520" s="33"/>
      <c r="F520" s="33"/>
      <c r="G520" s="94"/>
      <c r="H520" s="33"/>
      <c r="I520" s="33"/>
      <c r="J520" s="33"/>
      <c r="K520" s="33"/>
      <c r="L520" s="33"/>
      <c r="M520" s="33"/>
      <c r="N520" s="33"/>
      <c r="O520" s="33"/>
      <c r="P520" s="33"/>
      <c r="Q520" s="33"/>
      <c r="R520" s="33"/>
      <c r="S520" s="33"/>
      <c r="T520" s="33"/>
      <c r="U520" s="33"/>
      <c r="V520" s="33"/>
      <c r="W520" s="33"/>
      <c r="X520" s="33"/>
      <c r="Y520" s="33"/>
      <c r="Z520" s="33"/>
      <c r="AA520" s="33"/>
      <c r="AB520" s="33"/>
    </row>
    <row r="521">
      <c r="A521" s="33"/>
      <c r="B521" s="33"/>
      <c r="C521" s="94"/>
      <c r="D521" s="33"/>
      <c r="E521" s="33"/>
      <c r="F521" s="33"/>
      <c r="G521" s="94"/>
      <c r="H521" s="33"/>
      <c r="I521" s="33"/>
      <c r="J521" s="33"/>
      <c r="K521" s="33"/>
      <c r="L521" s="33"/>
      <c r="M521" s="33"/>
      <c r="N521" s="33"/>
      <c r="O521" s="33"/>
      <c r="P521" s="33"/>
      <c r="Q521" s="33"/>
      <c r="R521" s="33"/>
      <c r="S521" s="33"/>
      <c r="T521" s="33"/>
      <c r="U521" s="33"/>
      <c r="V521" s="33"/>
      <c r="W521" s="33"/>
      <c r="X521" s="33"/>
      <c r="Y521" s="33"/>
      <c r="Z521" s="33"/>
      <c r="AA521" s="33"/>
      <c r="AB521" s="33"/>
    </row>
    <row r="522">
      <c r="A522" s="33"/>
      <c r="B522" s="33"/>
      <c r="C522" s="94"/>
      <c r="D522" s="33"/>
      <c r="E522" s="33"/>
      <c r="F522" s="33"/>
      <c r="G522" s="94"/>
      <c r="H522" s="33"/>
      <c r="I522" s="33"/>
      <c r="J522" s="33"/>
      <c r="K522" s="33"/>
      <c r="L522" s="33"/>
      <c r="M522" s="33"/>
      <c r="N522" s="33"/>
      <c r="O522" s="33"/>
      <c r="P522" s="33"/>
      <c r="Q522" s="33"/>
      <c r="R522" s="33"/>
      <c r="S522" s="33"/>
      <c r="T522" s="33"/>
      <c r="U522" s="33"/>
      <c r="V522" s="33"/>
      <c r="W522" s="33"/>
      <c r="X522" s="33"/>
      <c r="Y522" s="33"/>
      <c r="Z522" s="33"/>
      <c r="AA522" s="33"/>
      <c r="AB522" s="33"/>
    </row>
    <row r="523">
      <c r="A523" s="33"/>
      <c r="B523" s="33"/>
      <c r="C523" s="94"/>
      <c r="D523" s="33"/>
      <c r="E523" s="33"/>
      <c r="F523" s="33"/>
      <c r="G523" s="94"/>
      <c r="H523" s="33"/>
      <c r="I523" s="33"/>
      <c r="J523" s="33"/>
      <c r="K523" s="33"/>
      <c r="L523" s="33"/>
      <c r="M523" s="33"/>
      <c r="N523" s="33"/>
      <c r="O523" s="33"/>
      <c r="P523" s="33"/>
      <c r="Q523" s="33"/>
      <c r="R523" s="33"/>
      <c r="S523" s="33"/>
      <c r="T523" s="33"/>
      <c r="U523" s="33"/>
      <c r="V523" s="33"/>
      <c r="W523" s="33"/>
      <c r="X523" s="33"/>
      <c r="Y523" s="33"/>
      <c r="Z523" s="33"/>
      <c r="AA523" s="33"/>
      <c r="AB523" s="33"/>
    </row>
    <row r="524">
      <c r="A524" s="33"/>
      <c r="B524" s="33"/>
      <c r="C524" s="94"/>
      <c r="D524" s="33"/>
      <c r="E524" s="33"/>
      <c r="F524" s="33"/>
      <c r="G524" s="94"/>
      <c r="H524" s="33"/>
      <c r="I524" s="33"/>
      <c r="J524" s="33"/>
      <c r="K524" s="33"/>
      <c r="L524" s="33"/>
      <c r="M524" s="33"/>
      <c r="N524" s="33"/>
      <c r="O524" s="33"/>
      <c r="P524" s="33"/>
      <c r="Q524" s="33"/>
      <c r="R524" s="33"/>
      <c r="S524" s="33"/>
      <c r="T524" s="33"/>
      <c r="U524" s="33"/>
      <c r="V524" s="33"/>
      <c r="W524" s="33"/>
      <c r="X524" s="33"/>
      <c r="Y524" s="33"/>
      <c r="Z524" s="33"/>
      <c r="AA524" s="33"/>
      <c r="AB524" s="33"/>
    </row>
    <row r="525">
      <c r="A525" s="33"/>
      <c r="B525" s="33"/>
      <c r="C525" s="94"/>
      <c r="D525" s="33"/>
      <c r="E525" s="33"/>
      <c r="F525" s="33"/>
      <c r="G525" s="94"/>
      <c r="H525" s="33"/>
      <c r="I525" s="33"/>
      <c r="J525" s="33"/>
      <c r="K525" s="33"/>
      <c r="L525" s="33"/>
      <c r="M525" s="33"/>
      <c r="N525" s="33"/>
      <c r="O525" s="33"/>
      <c r="P525" s="33"/>
      <c r="Q525" s="33"/>
      <c r="R525" s="33"/>
      <c r="S525" s="33"/>
      <c r="T525" s="33"/>
      <c r="U525" s="33"/>
      <c r="V525" s="33"/>
      <c r="W525" s="33"/>
      <c r="X525" s="33"/>
      <c r="Y525" s="33"/>
      <c r="Z525" s="33"/>
      <c r="AA525" s="33"/>
      <c r="AB525" s="33"/>
    </row>
    <row r="526">
      <c r="A526" s="33"/>
      <c r="B526" s="33"/>
      <c r="C526" s="94"/>
      <c r="D526" s="33"/>
      <c r="E526" s="33"/>
      <c r="F526" s="33"/>
      <c r="G526" s="94"/>
      <c r="H526" s="33"/>
      <c r="I526" s="33"/>
      <c r="J526" s="33"/>
      <c r="K526" s="33"/>
      <c r="L526" s="33"/>
      <c r="M526" s="33"/>
      <c r="N526" s="33"/>
      <c r="O526" s="33"/>
      <c r="P526" s="33"/>
      <c r="Q526" s="33"/>
      <c r="R526" s="33"/>
      <c r="S526" s="33"/>
      <c r="T526" s="33"/>
      <c r="U526" s="33"/>
      <c r="V526" s="33"/>
      <c r="W526" s="33"/>
      <c r="X526" s="33"/>
      <c r="Y526" s="33"/>
      <c r="Z526" s="33"/>
      <c r="AA526" s="33"/>
      <c r="AB526" s="33"/>
    </row>
    <row r="527">
      <c r="A527" s="33"/>
      <c r="B527" s="33"/>
      <c r="C527" s="94"/>
      <c r="D527" s="33"/>
      <c r="E527" s="33"/>
      <c r="F527" s="33"/>
      <c r="G527" s="94"/>
      <c r="H527" s="33"/>
      <c r="I527" s="33"/>
      <c r="J527" s="33"/>
      <c r="K527" s="33"/>
      <c r="L527" s="33"/>
      <c r="M527" s="33"/>
      <c r="N527" s="33"/>
      <c r="O527" s="33"/>
      <c r="P527" s="33"/>
      <c r="Q527" s="33"/>
      <c r="R527" s="33"/>
      <c r="S527" s="33"/>
      <c r="T527" s="33"/>
      <c r="U527" s="33"/>
      <c r="V527" s="33"/>
      <c r="W527" s="33"/>
      <c r="X527" s="33"/>
      <c r="Y527" s="33"/>
      <c r="Z527" s="33"/>
      <c r="AA527" s="33"/>
      <c r="AB527" s="33"/>
    </row>
    <row r="528">
      <c r="A528" s="33"/>
      <c r="B528" s="33"/>
      <c r="C528" s="94"/>
      <c r="D528" s="33"/>
      <c r="E528" s="33"/>
      <c r="F528" s="33"/>
      <c r="G528" s="94"/>
      <c r="H528" s="33"/>
      <c r="I528" s="33"/>
      <c r="J528" s="33"/>
      <c r="K528" s="33"/>
      <c r="L528" s="33"/>
      <c r="M528" s="33"/>
      <c r="N528" s="33"/>
      <c r="O528" s="33"/>
      <c r="P528" s="33"/>
      <c r="Q528" s="33"/>
      <c r="R528" s="33"/>
      <c r="S528" s="33"/>
      <c r="T528" s="33"/>
      <c r="U528" s="33"/>
      <c r="V528" s="33"/>
      <c r="W528" s="33"/>
      <c r="X528" s="33"/>
      <c r="Y528" s="33"/>
      <c r="Z528" s="33"/>
      <c r="AA528" s="33"/>
      <c r="AB528" s="33"/>
    </row>
    <row r="529">
      <c r="A529" s="33"/>
      <c r="B529" s="33"/>
      <c r="C529" s="94"/>
      <c r="D529" s="33"/>
      <c r="E529" s="33"/>
      <c r="F529" s="33"/>
      <c r="G529" s="94"/>
      <c r="H529" s="33"/>
      <c r="I529" s="33"/>
      <c r="J529" s="33"/>
      <c r="K529" s="33"/>
      <c r="L529" s="33"/>
      <c r="M529" s="33"/>
      <c r="N529" s="33"/>
      <c r="O529" s="33"/>
      <c r="P529" s="33"/>
      <c r="Q529" s="33"/>
      <c r="R529" s="33"/>
      <c r="S529" s="33"/>
      <c r="T529" s="33"/>
      <c r="U529" s="33"/>
      <c r="V529" s="33"/>
      <c r="W529" s="33"/>
      <c r="X529" s="33"/>
      <c r="Y529" s="33"/>
      <c r="Z529" s="33"/>
      <c r="AA529" s="33"/>
      <c r="AB529" s="33"/>
    </row>
    <row r="530">
      <c r="A530" s="33"/>
      <c r="B530" s="33"/>
      <c r="C530" s="94"/>
      <c r="D530" s="33"/>
      <c r="E530" s="33"/>
      <c r="F530" s="33"/>
      <c r="G530" s="94"/>
      <c r="H530" s="33"/>
      <c r="I530" s="33"/>
      <c r="J530" s="33"/>
      <c r="K530" s="33"/>
      <c r="L530" s="33"/>
      <c r="M530" s="33"/>
      <c r="N530" s="33"/>
      <c r="O530" s="33"/>
      <c r="P530" s="33"/>
      <c r="Q530" s="33"/>
      <c r="R530" s="33"/>
      <c r="S530" s="33"/>
      <c r="T530" s="33"/>
      <c r="U530" s="33"/>
      <c r="V530" s="33"/>
      <c r="W530" s="33"/>
      <c r="X530" s="33"/>
      <c r="Y530" s="33"/>
      <c r="Z530" s="33"/>
      <c r="AA530" s="33"/>
      <c r="AB530" s="33"/>
    </row>
    <row r="531">
      <c r="A531" s="33"/>
      <c r="B531" s="33"/>
      <c r="C531" s="94"/>
      <c r="D531" s="33"/>
      <c r="E531" s="33"/>
      <c r="F531" s="33"/>
      <c r="G531" s="94"/>
      <c r="H531" s="33"/>
      <c r="I531" s="33"/>
      <c r="J531" s="33"/>
      <c r="K531" s="33"/>
      <c r="L531" s="33"/>
      <c r="M531" s="33"/>
      <c r="N531" s="33"/>
      <c r="O531" s="33"/>
      <c r="P531" s="33"/>
      <c r="Q531" s="33"/>
      <c r="R531" s="33"/>
      <c r="S531" s="33"/>
      <c r="T531" s="33"/>
      <c r="U531" s="33"/>
      <c r="V531" s="33"/>
      <c r="W531" s="33"/>
      <c r="X531" s="33"/>
      <c r="Y531" s="33"/>
      <c r="Z531" s="33"/>
      <c r="AA531" s="33"/>
      <c r="AB531" s="33"/>
    </row>
    <row r="532">
      <c r="A532" s="33"/>
      <c r="B532" s="33"/>
      <c r="C532" s="94"/>
      <c r="D532" s="33"/>
      <c r="E532" s="33"/>
      <c r="F532" s="33"/>
      <c r="G532" s="94"/>
      <c r="H532" s="33"/>
      <c r="I532" s="33"/>
      <c r="J532" s="33"/>
      <c r="K532" s="33"/>
      <c r="L532" s="33"/>
      <c r="M532" s="33"/>
      <c r="N532" s="33"/>
      <c r="O532" s="33"/>
      <c r="P532" s="33"/>
      <c r="Q532" s="33"/>
      <c r="R532" s="33"/>
      <c r="S532" s="33"/>
      <c r="T532" s="33"/>
      <c r="U532" s="33"/>
      <c r="V532" s="33"/>
      <c r="W532" s="33"/>
      <c r="X532" s="33"/>
      <c r="Y532" s="33"/>
      <c r="Z532" s="33"/>
      <c r="AA532" s="33"/>
      <c r="AB532" s="33"/>
    </row>
    <row r="533">
      <c r="A533" s="33"/>
      <c r="B533" s="33"/>
      <c r="C533" s="94"/>
      <c r="D533" s="33"/>
      <c r="E533" s="33"/>
      <c r="F533" s="33"/>
      <c r="G533" s="94"/>
      <c r="H533" s="33"/>
      <c r="I533" s="33"/>
      <c r="J533" s="33"/>
      <c r="K533" s="33"/>
      <c r="L533" s="33"/>
      <c r="M533" s="33"/>
      <c r="N533" s="33"/>
      <c r="O533" s="33"/>
      <c r="P533" s="33"/>
      <c r="Q533" s="33"/>
      <c r="R533" s="33"/>
      <c r="S533" s="33"/>
      <c r="T533" s="33"/>
      <c r="U533" s="33"/>
      <c r="V533" s="33"/>
      <c r="W533" s="33"/>
      <c r="X533" s="33"/>
      <c r="Y533" s="33"/>
      <c r="Z533" s="33"/>
      <c r="AA533" s="33"/>
      <c r="AB533" s="33"/>
    </row>
    <row r="534">
      <c r="A534" s="33"/>
      <c r="B534" s="33"/>
      <c r="C534" s="94"/>
      <c r="D534" s="33"/>
      <c r="E534" s="33"/>
      <c r="F534" s="33"/>
      <c r="G534" s="94"/>
      <c r="H534" s="33"/>
      <c r="I534" s="33"/>
      <c r="J534" s="33"/>
      <c r="K534" s="33"/>
      <c r="L534" s="33"/>
      <c r="M534" s="33"/>
      <c r="N534" s="33"/>
      <c r="O534" s="33"/>
      <c r="P534" s="33"/>
      <c r="Q534" s="33"/>
      <c r="R534" s="33"/>
      <c r="S534" s="33"/>
      <c r="T534" s="33"/>
      <c r="U534" s="33"/>
      <c r="V534" s="33"/>
      <c r="W534" s="33"/>
      <c r="X534" s="33"/>
      <c r="Y534" s="33"/>
      <c r="Z534" s="33"/>
      <c r="AA534" s="33"/>
      <c r="AB534" s="33"/>
    </row>
    <row r="535">
      <c r="A535" s="33"/>
      <c r="B535" s="33"/>
      <c r="C535" s="94"/>
      <c r="D535" s="33"/>
      <c r="E535" s="33"/>
      <c r="F535" s="33"/>
      <c r="G535" s="94"/>
      <c r="H535" s="33"/>
      <c r="I535" s="33"/>
      <c r="J535" s="33"/>
      <c r="K535" s="33"/>
      <c r="L535" s="33"/>
      <c r="M535" s="33"/>
      <c r="N535" s="33"/>
      <c r="O535" s="33"/>
      <c r="P535" s="33"/>
      <c r="Q535" s="33"/>
      <c r="R535" s="33"/>
      <c r="S535" s="33"/>
      <c r="T535" s="33"/>
      <c r="U535" s="33"/>
      <c r="V535" s="33"/>
      <c r="W535" s="33"/>
      <c r="X535" s="33"/>
      <c r="Y535" s="33"/>
      <c r="Z535" s="33"/>
      <c r="AA535" s="33"/>
      <c r="AB535" s="33"/>
    </row>
    <row r="536">
      <c r="A536" s="33"/>
      <c r="B536" s="33"/>
      <c r="C536" s="94"/>
      <c r="D536" s="33"/>
      <c r="E536" s="33"/>
      <c r="F536" s="33"/>
      <c r="G536" s="94"/>
      <c r="H536" s="33"/>
      <c r="I536" s="33"/>
      <c r="J536" s="33"/>
      <c r="K536" s="33"/>
      <c r="L536" s="33"/>
      <c r="M536" s="33"/>
      <c r="N536" s="33"/>
      <c r="O536" s="33"/>
      <c r="P536" s="33"/>
      <c r="Q536" s="33"/>
      <c r="R536" s="33"/>
      <c r="S536" s="33"/>
      <c r="T536" s="33"/>
      <c r="U536" s="33"/>
      <c r="V536" s="33"/>
      <c r="W536" s="33"/>
      <c r="X536" s="33"/>
      <c r="Y536" s="33"/>
      <c r="Z536" s="33"/>
      <c r="AA536" s="33"/>
      <c r="AB536" s="33"/>
    </row>
    <row r="537">
      <c r="A537" s="33"/>
      <c r="B537" s="33"/>
      <c r="C537" s="94"/>
      <c r="D537" s="33"/>
      <c r="E537" s="33"/>
      <c r="F537" s="33"/>
      <c r="G537" s="94"/>
      <c r="H537" s="33"/>
      <c r="I537" s="33"/>
      <c r="J537" s="33"/>
      <c r="K537" s="33"/>
      <c r="L537" s="33"/>
      <c r="M537" s="33"/>
      <c r="N537" s="33"/>
      <c r="O537" s="33"/>
      <c r="P537" s="33"/>
      <c r="Q537" s="33"/>
      <c r="R537" s="33"/>
      <c r="S537" s="33"/>
      <c r="T537" s="33"/>
      <c r="U537" s="33"/>
      <c r="V537" s="33"/>
      <c r="W537" s="33"/>
      <c r="X537" s="33"/>
      <c r="Y537" s="33"/>
      <c r="Z537" s="33"/>
      <c r="AA537" s="33"/>
      <c r="AB537" s="33"/>
    </row>
    <row r="538">
      <c r="A538" s="33"/>
      <c r="B538" s="33"/>
      <c r="C538" s="94"/>
      <c r="D538" s="33"/>
      <c r="E538" s="33"/>
      <c r="F538" s="33"/>
      <c r="G538" s="94"/>
      <c r="H538" s="33"/>
      <c r="I538" s="33"/>
      <c r="J538" s="33"/>
      <c r="K538" s="33"/>
      <c r="L538" s="33"/>
      <c r="M538" s="33"/>
      <c r="N538" s="33"/>
      <c r="O538" s="33"/>
      <c r="P538" s="33"/>
      <c r="Q538" s="33"/>
      <c r="R538" s="33"/>
      <c r="S538" s="33"/>
      <c r="T538" s="33"/>
      <c r="U538" s="33"/>
      <c r="V538" s="33"/>
      <c r="W538" s="33"/>
      <c r="X538" s="33"/>
      <c r="Y538" s="33"/>
      <c r="Z538" s="33"/>
      <c r="AA538" s="33"/>
      <c r="AB538" s="33"/>
    </row>
    <row r="539">
      <c r="A539" s="33"/>
      <c r="B539" s="33"/>
      <c r="C539" s="94"/>
      <c r="D539" s="33"/>
      <c r="E539" s="33"/>
      <c r="F539" s="33"/>
      <c r="G539" s="94"/>
      <c r="H539" s="33"/>
      <c r="I539" s="33"/>
      <c r="J539" s="33"/>
      <c r="K539" s="33"/>
      <c r="L539" s="33"/>
      <c r="M539" s="33"/>
      <c r="N539" s="33"/>
      <c r="O539" s="33"/>
      <c r="P539" s="33"/>
      <c r="Q539" s="33"/>
      <c r="R539" s="33"/>
      <c r="S539" s="33"/>
      <c r="T539" s="33"/>
      <c r="U539" s="33"/>
      <c r="V539" s="33"/>
      <c r="W539" s="33"/>
      <c r="X539" s="33"/>
      <c r="Y539" s="33"/>
      <c r="Z539" s="33"/>
      <c r="AA539" s="33"/>
      <c r="AB539" s="33"/>
    </row>
    <row r="540">
      <c r="A540" s="33"/>
      <c r="B540" s="33"/>
      <c r="C540" s="94"/>
      <c r="D540" s="33"/>
      <c r="E540" s="33"/>
      <c r="F540" s="33"/>
      <c r="G540" s="94"/>
      <c r="H540" s="33"/>
      <c r="I540" s="33"/>
      <c r="J540" s="33"/>
      <c r="K540" s="33"/>
      <c r="L540" s="33"/>
      <c r="M540" s="33"/>
      <c r="N540" s="33"/>
      <c r="O540" s="33"/>
      <c r="P540" s="33"/>
      <c r="Q540" s="33"/>
      <c r="R540" s="33"/>
      <c r="S540" s="33"/>
      <c r="T540" s="33"/>
      <c r="U540" s="33"/>
      <c r="V540" s="33"/>
      <c r="W540" s="33"/>
      <c r="X540" s="33"/>
      <c r="Y540" s="33"/>
      <c r="Z540" s="33"/>
      <c r="AA540" s="33"/>
      <c r="AB540" s="33"/>
    </row>
    <row r="541">
      <c r="A541" s="33"/>
      <c r="B541" s="33"/>
      <c r="C541" s="94"/>
      <c r="D541" s="33"/>
      <c r="E541" s="33"/>
      <c r="F541" s="33"/>
      <c r="G541" s="94"/>
      <c r="H541" s="33"/>
      <c r="I541" s="33"/>
      <c r="J541" s="33"/>
      <c r="K541" s="33"/>
      <c r="L541" s="33"/>
      <c r="M541" s="33"/>
      <c r="N541" s="33"/>
      <c r="O541" s="33"/>
      <c r="P541" s="33"/>
      <c r="Q541" s="33"/>
      <c r="R541" s="33"/>
      <c r="S541" s="33"/>
      <c r="T541" s="33"/>
      <c r="U541" s="33"/>
      <c r="V541" s="33"/>
      <c r="W541" s="33"/>
      <c r="X541" s="33"/>
      <c r="Y541" s="33"/>
      <c r="Z541" s="33"/>
      <c r="AA541" s="33"/>
      <c r="AB541" s="33"/>
    </row>
    <row r="542">
      <c r="A542" s="33"/>
      <c r="B542" s="33"/>
      <c r="C542" s="94"/>
      <c r="D542" s="33"/>
      <c r="E542" s="33"/>
      <c r="F542" s="33"/>
      <c r="G542" s="94"/>
      <c r="H542" s="33"/>
      <c r="I542" s="33"/>
      <c r="J542" s="33"/>
      <c r="K542" s="33"/>
      <c r="L542" s="33"/>
      <c r="M542" s="33"/>
      <c r="N542" s="33"/>
      <c r="O542" s="33"/>
      <c r="P542" s="33"/>
      <c r="Q542" s="33"/>
      <c r="R542" s="33"/>
      <c r="S542" s="33"/>
      <c r="T542" s="33"/>
      <c r="U542" s="33"/>
      <c r="V542" s="33"/>
      <c r="W542" s="33"/>
      <c r="X542" s="33"/>
      <c r="Y542" s="33"/>
      <c r="Z542" s="33"/>
      <c r="AA542" s="33"/>
      <c r="AB542" s="33"/>
    </row>
    <row r="543">
      <c r="A543" s="33"/>
      <c r="B543" s="33"/>
      <c r="C543" s="94"/>
      <c r="D543" s="33"/>
      <c r="E543" s="33"/>
      <c r="F543" s="33"/>
      <c r="G543" s="94"/>
      <c r="H543" s="33"/>
      <c r="I543" s="33"/>
      <c r="J543" s="33"/>
      <c r="K543" s="33"/>
      <c r="L543" s="33"/>
      <c r="M543" s="33"/>
      <c r="N543" s="33"/>
      <c r="O543" s="33"/>
      <c r="P543" s="33"/>
      <c r="Q543" s="33"/>
      <c r="R543" s="33"/>
      <c r="S543" s="33"/>
      <c r="T543" s="33"/>
      <c r="U543" s="33"/>
      <c r="V543" s="33"/>
      <c r="W543" s="33"/>
      <c r="X543" s="33"/>
      <c r="Y543" s="33"/>
      <c r="Z543" s="33"/>
      <c r="AA543" s="33"/>
      <c r="AB543" s="33"/>
    </row>
    <row r="544">
      <c r="A544" s="33"/>
      <c r="B544" s="33"/>
      <c r="C544" s="94"/>
      <c r="D544" s="33"/>
      <c r="E544" s="33"/>
      <c r="F544" s="33"/>
      <c r="G544" s="94"/>
      <c r="H544" s="33"/>
      <c r="I544" s="33"/>
      <c r="J544" s="33"/>
      <c r="K544" s="33"/>
      <c r="L544" s="33"/>
      <c r="M544" s="33"/>
      <c r="N544" s="33"/>
      <c r="O544" s="33"/>
      <c r="P544" s="33"/>
      <c r="Q544" s="33"/>
      <c r="R544" s="33"/>
      <c r="S544" s="33"/>
      <c r="T544" s="33"/>
      <c r="U544" s="33"/>
      <c r="V544" s="33"/>
      <c r="W544" s="33"/>
      <c r="X544" s="33"/>
      <c r="Y544" s="33"/>
      <c r="Z544" s="33"/>
      <c r="AA544" s="33"/>
      <c r="AB544" s="33"/>
    </row>
    <row r="545">
      <c r="A545" s="33"/>
      <c r="B545" s="33"/>
      <c r="C545" s="94"/>
      <c r="D545" s="33"/>
      <c r="E545" s="33"/>
      <c r="F545" s="33"/>
      <c r="G545" s="94"/>
      <c r="H545" s="33"/>
      <c r="I545" s="33"/>
      <c r="J545" s="33"/>
      <c r="K545" s="33"/>
      <c r="L545" s="33"/>
      <c r="M545" s="33"/>
      <c r="N545" s="33"/>
      <c r="O545" s="33"/>
      <c r="P545" s="33"/>
      <c r="Q545" s="33"/>
      <c r="R545" s="33"/>
      <c r="S545" s="33"/>
      <c r="T545" s="33"/>
      <c r="U545" s="33"/>
      <c r="V545" s="33"/>
      <c r="W545" s="33"/>
      <c r="X545" s="33"/>
      <c r="Y545" s="33"/>
      <c r="Z545" s="33"/>
      <c r="AA545" s="33"/>
      <c r="AB545" s="33"/>
    </row>
    <row r="546">
      <c r="A546" s="33"/>
      <c r="B546" s="33"/>
      <c r="C546" s="94"/>
      <c r="D546" s="33"/>
      <c r="E546" s="33"/>
      <c r="F546" s="33"/>
      <c r="G546" s="94"/>
      <c r="H546" s="33"/>
      <c r="I546" s="33"/>
      <c r="J546" s="33"/>
      <c r="K546" s="33"/>
      <c r="L546" s="33"/>
      <c r="M546" s="33"/>
      <c r="N546" s="33"/>
      <c r="O546" s="33"/>
      <c r="P546" s="33"/>
      <c r="Q546" s="33"/>
      <c r="R546" s="33"/>
      <c r="S546" s="33"/>
      <c r="T546" s="33"/>
      <c r="U546" s="33"/>
      <c r="V546" s="33"/>
      <c r="W546" s="33"/>
      <c r="X546" s="33"/>
      <c r="Y546" s="33"/>
      <c r="Z546" s="33"/>
      <c r="AA546" s="33"/>
      <c r="AB546" s="33"/>
    </row>
    <row r="547">
      <c r="A547" s="33"/>
      <c r="B547" s="33"/>
      <c r="C547" s="94"/>
      <c r="D547" s="33"/>
      <c r="E547" s="33"/>
      <c r="F547" s="33"/>
      <c r="G547" s="94"/>
      <c r="H547" s="33"/>
      <c r="I547" s="33"/>
      <c r="J547" s="33"/>
      <c r="K547" s="33"/>
      <c r="L547" s="33"/>
      <c r="M547" s="33"/>
      <c r="N547" s="33"/>
      <c r="O547" s="33"/>
      <c r="P547" s="33"/>
      <c r="Q547" s="33"/>
      <c r="R547" s="33"/>
      <c r="S547" s="33"/>
      <c r="T547" s="33"/>
      <c r="U547" s="33"/>
      <c r="V547" s="33"/>
      <c r="W547" s="33"/>
      <c r="X547" s="33"/>
      <c r="Y547" s="33"/>
      <c r="Z547" s="33"/>
      <c r="AA547" s="33"/>
      <c r="AB547" s="33"/>
    </row>
    <row r="548">
      <c r="A548" s="33"/>
      <c r="B548" s="33"/>
      <c r="C548" s="94"/>
      <c r="D548" s="33"/>
      <c r="E548" s="33"/>
      <c r="F548" s="33"/>
      <c r="G548" s="94"/>
      <c r="H548" s="33"/>
      <c r="I548" s="33"/>
      <c r="J548" s="33"/>
      <c r="K548" s="33"/>
      <c r="L548" s="33"/>
      <c r="M548" s="33"/>
      <c r="N548" s="33"/>
      <c r="O548" s="33"/>
      <c r="P548" s="33"/>
      <c r="Q548" s="33"/>
      <c r="R548" s="33"/>
      <c r="S548" s="33"/>
      <c r="T548" s="33"/>
      <c r="U548" s="33"/>
      <c r="V548" s="33"/>
      <c r="W548" s="33"/>
      <c r="X548" s="33"/>
      <c r="Y548" s="33"/>
      <c r="Z548" s="33"/>
      <c r="AA548" s="33"/>
      <c r="AB548" s="33"/>
    </row>
    <row r="549">
      <c r="A549" s="33"/>
      <c r="B549" s="33"/>
      <c r="C549" s="94"/>
      <c r="D549" s="33"/>
      <c r="E549" s="33"/>
      <c r="F549" s="33"/>
      <c r="G549" s="94"/>
      <c r="H549" s="33"/>
      <c r="I549" s="33"/>
      <c r="J549" s="33"/>
      <c r="K549" s="33"/>
      <c r="L549" s="33"/>
      <c r="M549" s="33"/>
      <c r="N549" s="33"/>
      <c r="O549" s="33"/>
      <c r="P549" s="33"/>
      <c r="Q549" s="33"/>
      <c r="R549" s="33"/>
      <c r="S549" s="33"/>
      <c r="T549" s="33"/>
      <c r="U549" s="33"/>
      <c r="V549" s="33"/>
      <c r="W549" s="33"/>
      <c r="X549" s="33"/>
      <c r="Y549" s="33"/>
      <c r="Z549" s="33"/>
      <c r="AA549" s="33"/>
      <c r="AB549" s="33"/>
    </row>
    <row r="550">
      <c r="A550" s="33"/>
      <c r="B550" s="33"/>
      <c r="C550" s="94"/>
      <c r="D550" s="33"/>
      <c r="E550" s="33"/>
      <c r="F550" s="33"/>
      <c r="G550" s="94"/>
      <c r="H550" s="33"/>
      <c r="I550" s="33"/>
      <c r="J550" s="33"/>
      <c r="K550" s="33"/>
      <c r="L550" s="33"/>
      <c r="M550" s="33"/>
      <c r="N550" s="33"/>
      <c r="O550" s="33"/>
      <c r="P550" s="33"/>
      <c r="Q550" s="33"/>
      <c r="R550" s="33"/>
      <c r="S550" s="33"/>
      <c r="T550" s="33"/>
      <c r="U550" s="33"/>
      <c r="V550" s="33"/>
      <c r="W550" s="33"/>
      <c r="X550" s="33"/>
      <c r="Y550" s="33"/>
      <c r="Z550" s="33"/>
      <c r="AA550" s="33"/>
      <c r="AB550" s="33"/>
    </row>
    <row r="551">
      <c r="A551" s="33"/>
      <c r="B551" s="33"/>
      <c r="C551" s="94"/>
      <c r="D551" s="33"/>
      <c r="E551" s="33"/>
      <c r="F551" s="33"/>
      <c r="G551" s="94"/>
      <c r="H551" s="33"/>
      <c r="I551" s="33"/>
      <c r="J551" s="33"/>
      <c r="K551" s="33"/>
      <c r="L551" s="33"/>
      <c r="M551" s="33"/>
      <c r="N551" s="33"/>
      <c r="O551" s="33"/>
      <c r="P551" s="33"/>
      <c r="Q551" s="33"/>
      <c r="R551" s="33"/>
      <c r="S551" s="33"/>
      <c r="T551" s="33"/>
      <c r="U551" s="33"/>
      <c r="V551" s="33"/>
      <c r="W551" s="33"/>
      <c r="X551" s="33"/>
      <c r="Y551" s="33"/>
      <c r="Z551" s="33"/>
      <c r="AA551" s="33"/>
      <c r="AB551" s="33"/>
    </row>
    <row r="552">
      <c r="A552" s="33"/>
      <c r="B552" s="33"/>
      <c r="C552" s="94"/>
      <c r="D552" s="33"/>
      <c r="E552" s="33"/>
      <c r="F552" s="33"/>
      <c r="G552" s="94"/>
      <c r="H552" s="33"/>
      <c r="I552" s="33"/>
      <c r="J552" s="33"/>
      <c r="K552" s="33"/>
      <c r="L552" s="33"/>
      <c r="M552" s="33"/>
      <c r="N552" s="33"/>
      <c r="O552" s="33"/>
      <c r="P552" s="33"/>
      <c r="Q552" s="33"/>
      <c r="R552" s="33"/>
      <c r="S552" s="33"/>
      <c r="T552" s="33"/>
      <c r="U552" s="33"/>
      <c r="V552" s="33"/>
      <c r="W552" s="33"/>
      <c r="X552" s="33"/>
      <c r="Y552" s="33"/>
      <c r="Z552" s="33"/>
      <c r="AA552" s="33"/>
      <c r="AB552" s="33"/>
    </row>
    <row r="553">
      <c r="A553" s="33"/>
      <c r="B553" s="33"/>
      <c r="C553" s="94"/>
      <c r="D553" s="33"/>
      <c r="E553" s="33"/>
      <c r="F553" s="33"/>
      <c r="G553" s="94"/>
      <c r="H553" s="33"/>
      <c r="I553" s="33"/>
      <c r="J553" s="33"/>
      <c r="K553" s="33"/>
      <c r="L553" s="33"/>
      <c r="M553" s="33"/>
      <c r="N553" s="33"/>
      <c r="O553" s="33"/>
      <c r="P553" s="33"/>
      <c r="Q553" s="33"/>
      <c r="R553" s="33"/>
      <c r="S553" s="33"/>
      <c r="T553" s="33"/>
      <c r="U553" s="33"/>
      <c r="V553" s="33"/>
      <c r="W553" s="33"/>
      <c r="X553" s="33"/>
      <c r="Y553" s="33"/>
      <c r="Z553" s="33"/>
      <c r="AA553" s="33"/>
      <c r="AB553" s="33"/>
    </row>
    <row r="554">
      <c r="A554" s="33"/>
      <c r="B554" s="33"/>
      <c r="C554" s="94"/>
      <c r="D554" s="33"/>
      <c r="E554" s="33"/>
      <c r="F554" s="33"/>
      <c r="G554" s="94"/>
      <c r="H554" s="33"/>
      <c r="I554" s="33"/>
      <c r="J554" s="33"/>
      <c r="K554" s="33"/>
      <c r="L554" s="33"/>
      <c r="M554" s="33"/>
      <c r="N554" s="33"/>
      <c r="O554" s="33"/>
      <c r="P554" s="33"/>
      <c r="Q554" s="33"/>
      <c r="R554" s="33"/>
      <c r="S554" s="33"/>
      <c r="T554" s="33"/>
      <c r="U554" s="33"/>
      <c r="V554" s="33"/>
      <c r="W554" s="33"/>
      <c r="X554" s="33"/>
      <c r="Y554" s="33"/>
      <c r="Z554" s="33"/>
      <c r="AA554" s="33"/>
      <c r="AB554" s="33"/>
    </row>
    <row r="555">
      <c r="A555" s="33"/>
      <c r="B555" s="33"/>
      <c r="C555" s="94"/>
      <c r="D555" s="33"/>
      <c r="E555" s="33"/>
      <c r="F555" s="33"/>
      <c r="G555" s="94"/>
      <c r="H555" s="33"/>
      <c r="I555" s="33"/>
      <c r="J555" s="33"/>
      <c r="K555" s="33"/>
      <c r="L555" s="33"/>
      <c r="M555" s="33"/>
      <c r="N555" s="33"/>
      <c r="O555" s="33"/>
      <c r="P555" s="33"/>
      <c r="Q555" s="33"/>
      <c r="R555" s="33"/>
      <c r="S555" s="33"/>
      <c r="T555" s="33"/>
      <c r="U555" s="33"/>
      <c r="V555" s="33"/>
      <c r="W555" s="33"/>
      <c r="X555" s="33"/>
      <c r="Y555" s="33"/>
      <c r="Z555" s="33"/>
      <c r="AA555" s="33"/>
      <c r="AB555" s="33"/>
    </row>
    <row r="556">
      <c r="A556" s="33"/>
      <c r="B556" s="33"/>
      <c r="C556" s="94"/>
      <c r="D556" s="33"/>
      <c r="E556" s="33"/>
      <c r="F556" s="33"/>
      <c r="G556" s="94"/>
      <c r="H556" s="33"/>
      <c r="I556" s="33"/>
      <c r="J556" s="33"/>
      <c r="K556" s="33"/>
      <c r="L556" s="33"/>
      <c r="M556" s="33"/>
      <c r="N556" s="33"/>
      <c r="O556" s="33"/>
      <c r="P556" s="33"/>
      <c r="Q556" s="33"/>
      <c r="R556" s="33"/>
      <c r="S556" s="33"/>
      <c r="T556" s="33"/>
      <c r="U556" s="33"/>
      <c r="V556" s="33"/>
      <c r="W556" s="33"/>
      <c r="X556" s="33"/>
      <c r="Y556" s="33"/>
      <c r="Z556" s="33"/>
      <c r="AA556" s="33"/>
      <c r="AB556" s="33"/>
    </row>
    <row r="557">
      <c r="A557" s="33"/>
      <c r="B557" s="33"/>
      <c r="C557" s="94"/>
      <c r="D557" s="33"/>
      <c r="E557" s="33"/>
      <c r="F557" s="33"/>
      <c r="G557" s="94"/>
      <c r="H557" s="33"/>
      <c r="I557" s="33"/>
      <c r="J557" s="33"/>
      <c r="K557" s="33"/>
      <c r="L557" s="33"/>
      <c r="M557" s="33"/>
      <c r="N557" s="33"/>
      <c r="O557" s="33"/>
      <c r="P557" s="33"/>
      <c r="Q557" s="33"/>
      <c r="R557" s="33"/>
      <c r="S557" s="33"/>
      <c r="T557" s="33"/>
      <c r="U557" s="33"/>
      <c r="V557" s="33"/>
      <c r="W557" s="33"/>
      <c r="X557" s="33"/>
      <c r="Y557" s="33"/>
      <c r="Z557" s="33"/>
      <c r="AA557" s="33"/>
      <c r="AB557" s="33"/>
    </row>
    <row r="558">
      <c r="A558" s="33"/>
      <c r="B558" s="33"/>
      <c r="C558" s="94"/>
      <c r="D558" s="33"/>
      <c r="E558" s="33"/>
      <c r="F558" s="33"/>
      <c r="G558" s="94"/>
      <c r="H558" s="33"/>
      <c r="I558" s="33"/>
      <c r="J558" s="33"/>
      <c r="K558" s="33"/>
      <c r="L558" s="33"/>
      <c r="M558" s="33"/>
      <c r="N558" s="33"/>
      <c r="O558" s="33"/>
      <c r="P558" s="33"/>
      <c r="Q558" s="33"/>
      <c r="R558" s="33"/>
      <c r="S558" s="33"/>
      <c r="T558" s="33"/>
      <c r="U558" s="33"/>
      <c r="V558" s="33"/>
      <c r="W558" s="33"/>
      <c r="X558" s="33"/>
      <c r="Y558" s="33"/>
      <c r="Z558" s="33"/>
      <c r="AA558" s="33"/>
      <c r="AB558" s="33"/>
    </row>
    <row r="559">
      <c r="A559" s="33"/>
      <c r="B559" s="33"/>
      <c r="C559" s="94"/>
      <c r="D559" s="33"/>
      <c r="E559" s="33"/>
      <c r="F559" s="33"/>
      <c r="G559" s="94"/>
      <c r="H559" s="33"/>
      <c r="I559" s="33"/>
      <c r="J559" s="33"/>
      <c r="K559" s="33"/>
      <c r="L559" s="33"/>
      <c r="M559" s="33"/>
      <c r="N559" s="33"/>
      <c r="O559" s="33"/>
      <c r="P559" s="33"/>
      <c r="Q559" s="33"/>
      <c r="R559" s="33"/>
      <c r="S559" s="33"/>
      <c r="T559" s="33"/>
      <c r="U559" s="33"/>
      <c r="V559" s="33"/>
      <c r="W559" s="33"/>
      <c r="X559" s="33"/>
      <c r="Y559" s="33"/>
      <c r="Z559" s="33"/>
      <c r="AA559" s="33"/>
      <c r="AB559" s="33"/>
    </row>
    <row r="560">
      <c r="A560" s="33"/>
      <c r="B560" s="33"/>
      <c r="C560" s="94"/>
      <c r="D560" s="33"/>
      <c r="E560" s="33"/>
      <c r="F560" s="33"/>
      <c r="G560" s="94"/>
      <c r="H560" s="33"/>
      <c r="I560" s="33"/>
      <c r="J560" s="33"/>
      <c r="K560" s="33"/>
      <c r="L560" s="33"/>
      <c r="M560" s="33"/>
      <c r="N560" s="33"/>
      <c r="O560" s="33"/>
      <c r="P560" s="33"/>
      <c r="Q560" s="33"/>
      <c r="R560" s="33"/>
      <c r="S560" s="33"/>
      <c r="T560" s="33"/>
      <c r="U560" s="33"/>
      <c r="V560" s="33"/>
      <c r="W560" s="33"/>
      <c r="X560" s="33"/>
      <c r="Y560" s="33"/>
      <c r="Z560" s="33"/>
      <c r="AA560" s="33"/>
      <c r="AB560" s="33"/>
    </row>
    <row r="561">
      <c r="A561" s="33"/>
      <c r="B561" s="33"/>
      <c r="C561" s="94"/>
      <c r="D561" s="33"/>
      <c r="E561" s="33"/>
      <c r="F561" s="33"/>
      <c r="G561" s="94"/>
      <c r="H561" s="33"/>
      <c r="I561" s="33"/>
      <c r="J561" s="33"/>
      <c r="K561" s="33"/>
      <c r="L561" s="33"/>
      <c r="M561" s="33"/>
      <c r="N561" s="33"/>
      <c r="O561" s="33"/>
      <c r="P561" s="33"/>
      <c r="Q561" s="33"/>
      <c r="R561" s="33"/>
      <c r="S561" s="33"/>
      <c r="T561" s="33"/>
      <c r="U561" s="33"/>
      <c r="V561" s="33"/>
      <c r="W561" s="33"/>
      <c r="X561" s="33"/>
      <c r="Y561" s="33"/>
      <c r="Z561" s="33"/>
      <c r="AA561" s="33"/>
      <c r="AB561" s="33"/>
    </row>
    <row r="562">
      <c r="A562" s="33"/>
      <c r="B562" s="33"/>
      <c r="C562" s="94"/>
      <c r="D562" s="33"/>
      <c r="E562" s="33"/>
      <c r="F562" s="33"/>
      <c r="G562" s="94"/>
      <c r="H562" s="33"/>
      <c r="I562" s="33"/>
      <c r="J562" s="33"/>
      <c r="K562" s="33"/>
      <c r="L562" s="33"/>
      <c r="M562" s="33"/>
      <c r="N562" s="33"/>
      <c r="O562" s="33"/>
      <c r="P562" s="33"/>
      <c r="Q562" s="33"/>
      <c r="R562" s="33"/>
      <c r="S562" s="33"/>
      <c r="T562" s="33"/>
      <c r="U562" s="33"/>
      <c r="V562" s="33"/>
      <c r="W562" s="33"/>
      <c r="X562" s="33"/>
      <c r="Y562" s="33"/>
      <c r="Z562" s="33"/>
      <c r="AA562" s="33"/>
      <c r="AB562" s="33"/>
    </row>
    <row r="563">
      <c r="A563" s="33"/>
      <c r="B563" s="33"/>
      <c r="C563" s="94"/>
      <c r="D563" s="33"/>
      <c r="E563" s="33"/>
      <c r="F563" s="33"/>
      <c r="G563" s="94"/>
      <c r="H563" s="33"/>
      <c r="I563" s="33"/>
      <c r="J563" s="33"/>
      <c r="K563" s="33"/>
      <c r="L563" s="33"/>
      <c r="M563" s="33"/>
      <c r="N563" s="33"/>
      <c r="O563" s="33"/>
      <c r="P563" s="33"/>
      <c r="Q563" s="33"/>
      <c r="R563" s="33"/>
      <c r="S563" s="33"/>
      <c r="T563" s="33"/>
      <c r="U563" s="33"/>
      <c r="V563" s="33"/>
      <c r="W563" s="33"/>
      <c r="X563" s="33"/>
      <c r="Y563" s="33"/>
      <c r="Z563" s="33"/>
      <c r="AA563" s="33"/>
      <c r="AB563" s="33"/>
    </row>
    <row r="564">
      <c r="A564" s="33"/>
      <c r="B564" s="33"/>
      <c r="C564" s="94"/>
      <c r="D564" s="33"/>
      <c r="E564" s="33"/>
      <c r="F564" s="33"/>
      <c r="G564" s="94"/>
      <c r="H564" s="33"/>
      <c r="I564" s="33"/>
      <c r="J564" s="33"/>
      <c r="K564" s="33"/>
      <c r="L564" s="33"/>
      <c r="M564" s="33"/>
      <c r="N564" s="33"/>
      <c r="O564" s="33"/>
      <c r="P564" s="33"/>
      <c r="Q564" s="33"/>
      <c r="R564" s="33"/>
      <c r="S564" s="33"/>
      <c r="T564" s="33"/>
      <c r="U564" s="33"/>
      <c r="V564" s="33"/>
      <c r="W564" s="33"/>
      <c r="X564" s="33"/>
      <c r="Y564" s="33"/>
      <c r="Z564" s="33"/>
      <c r="AA564" s="33"/>
      <c r="AB564" s="33"/>
    </row>
    <row r="565">
      <c r="A565" s="33"/>
      <c r="B565" s="33"/>
      <c r="C565" s="94"/>
      <c r="D565" s="33"/>
      <c r="E565" s="33"/>
      <c r="F565" s="33"/>
      <c r="G565" s="94"/>
      <c r="H565" s="33"/>
      <c r="I565" s="33"/>
      <c r="J565" s="33"/>
      <c r="K565" s="33"/>
      <c r="L565" s="33"/>
      <c r="M565" s="33"/>
      <c r="N565" s="33"/>
      <c r="O565" s="33"/>
      <c r="P565" s="33"/>
      <c r="Q565" s="33"/>
      <c r="R565" s="33"/>
      <c r="S565" s="33"/>
      <c r="T565" s="33"/>
      <c r="U565" s="33"/>
      <c r="V565" s="33"/>
      <c r="W565" s="33"/>
      <c r="X565" s="33"/>
      <c r="Y565" s="33"/>
      <c r="Z565" s="33"/>
      <c r="AA565" s="33"/>
      <c r="AB565" s="33"/>
    </row>
    <row r="566">
      <c r="A566" s="33"/>
      <c r="B566" s="33"/>
      <c r="C566" s="94"/>
      <c r="D566" s="33"/>
      <c r="E566" s="33"/>
      <c r="F566" s="33"/>
      <c r="G566" s="94"/>
      <c r="H566" s="33"/>
      <c r="I566" s="33"/>
      <c r="J566" s="33"/>
      <c r="K566" s="33"/>
      <c r="L566" s="33"/>
      <c r="M566" s="33"/>
      <c r="N566" s="33"/>
      <c r="O566" s="33"/>
      <c r="P566" s="33"/>
      <c r="Q566" s="33"/>
      <c r="R566" s="33"/>
      <c r="S566" s="33"/>
      <c r="T566" s="33"/>
      <c r="U566" s="33"/>
      <c r="V566" s="33"/>
      <c r="W566" s="33"/>
      <c r="X566" s="33"/>
      <c r="Y566" s="33"/>
      <c r="Z566" s="33"/>
      <c r="AA566" s="33"/>
      <c r="AB566" s="33"/>
    </row>
    <row r="567">
      <c r="A567" s="33"/>
      <c r="B567" s="33"/>
      <c r="C567" s="94"/>
      <c r="D567" s="33"/>
      <c r="E567" s="33"/>
      <c r="F567" s="33"/>
      <c r="G567" s="94"/>
      <c r="H567" s="33"/>
      <c r="I567" s="33"/>
      <c r="J567" s="33"/>
      <c r="K567" s="33"/>
      <c r="L567" s="33"/>
      <c r="M567" s="33"/>
      <c r="N567" s="33"/>
      <c r="O567" s="33"/>
      <c r="P567" s="33"/>
      <c r="Q567" s="33"/>
      <c r="R567" s="33"/>
      <c r="S567" s="33"/>
      <c r="T567" s="33"/>
      <c r="U567" s="33"/>
      <c r="V567" s="33"/>
      <c r="W567" s="33"/>
      <c r="X567" s="33"/>
      <c r="Y567" s="33"/>
      <c r="Z567" s="33"/>
      <c r="AA567" s="33"/>
      <c r="AB567" s="33"/>
    </row>
    <row r="568">
      <c r="A568" s="33"/>
      <c r="B568" s="33"/>
      <c r="C568" s="94"/>
      <c r="D568" s="33"/>
      <c r="E568" s="33"/>
      <c r="F568" s="33"/>
      <c r="G568" s="94"/>
      <c r="H568" s="33"/>
      <c r="I568" s="33"/>
      <c r="J568" s="33"/>
      <c r="K568" s="33"/>
      <c r="L568" s="33"/>
      <c r="M568" s="33"/>
      <c r="N568" s="33"/>
      <c r="O568" s="33"/>
      <c r="P568" s="33"/>
      <c r="Q568" s="33"/>
      <c r="R568" s="33"/>
      <c r="S568" s="33"/>
      <c r="T568" s="33"/>
      <c r="U568" s="33"/>
      <c r="V568" s="33"/>
      <c r="W568" s="33"/>
      <c r="X568" s="33"/>
      <c r="Y568" s="33"/>
      <c r="Z568" s="33"/>
      <c r="AA568" s="33"/>
      <c r="AB568" s="33"/>
    </row>
    <row r="569">
      <c r="A569" s="33"/>
      <c r="B569" s="33"/>
      <c r="C569" s="94"/>
      <c r="D569" s="33"/>
      <c r="E569" s="33"/>
      <c r="F569" s="33"/>
      <c r="G569" s="94"/>
      <c r="H569" s="33"/>
      <c r="I569" s="33"/>
      <c r="J569" s="33"/>
      <c r="K569" s="33"/>
      <c r="L569" s="33"/>
      <c r="M569" s="33"/>
      <c r="N569" s="33"/>
      <c r="O569" s="33"/>
      <c r="P569" s="33"/>
      <c r="Q569" s="33"/>
      <c r="R569" s="33"/>
      <c r="S569" s="33"/>
      <c r="T569" s="33"/>
      <c r="U569" s="33"/>
      <c r="V569" s="33"/>
      <c r="W569" s="33"/>
      <c r="X569" s="33"/>
      <c r="Y569" s="33"/>
      <c r="Z569" s="33"/>
      <c r="AA569" s="33"/>
      <c r="AB569" s="33"/>
    </row>
    <row r="570">
      <c r="A570" s="33"/>
      <c r="B570" s="33"/>
      <c r="C570" s="94"/>
      <c r="D570" s="33"/>
      <c r="E570" s="33"/>
      <c r="F570" s="33"/>
      <c r="G570" s="94"/>
      <c r="H570" s="33"/>
      <c r="I570" s="33"/>
      <c r="J570" s="33"/>
      <c r="K570" s="33"/>
      <c r="L570" s="33"/>
      <c r="M570" s="33"/>
      <c r="N570" s="33"/>
      <c r="O570" s="33"/>
      <c r="P570" s="33"/>
      <c r="Q570" s="33"/>
      <c r="R570" s="33"/>
      <c r="S570" s="33"/>
      <c r="T570" s="33"/>
      <c r="U570" s="33"/>
      <c r="V570" s="33"/>
      <c r="W570" s="33"/>
      <c r="X570" s="33"/>
      <c r="Y570" s="33"/>
      <c r="Z570" s="33"/>
      <c r="AA570" s="33"/>
      <c r="AB570" s="33"/>
    </row>
    <row r="571">
      <c r="A571" s="33"/>
      <c r="B571" s="33"/>
      <c r="C571" s="94"/>
      <c r="D571" s="33"/>
      <c r="E571" s="33"/>
      <c r="F571" s="33"/>
      <c r="G571" s="94"/>
      <c r="H571" s="33"/>
      <c r="I571" s="33"/>
      <c r="J571" s="33"/>
      <c r="K571" s="33"/>
      <c r="L571" s="33"/>
      <c r="M571" s="33"/>
      <c r="N571" s="33"/>
      <c r="O571" s="33"/>
      <c r="P571" s="33"/>
      <c r="Q571" s="33"/>
      <c r="R571" s="33"/>
      <c r="S571" s="33"/>
      <c r="T571" s="33"/>
      <c r="U571" s="33"/>
      <c r="V571" s="33"/>
      <c r="W571" s="33"/>
      <c r="X571" s="33"/>
      <c r="Y571" s="33"/>
      <c r="Z571" s="33"/>
      <c r="AA571" s="33"/>
      <c r="AB571" s="33"/>
    </row>
    <row r="572">
      <c r="A572" s="33"/>
      <c r="B572" s="33"/>
      <c r="C572" s="94"/>
      <c r="D572" s="33"/>
      <c r="E572" s="33"/>
      <c r="F572" s="33"/>
      <c r="G572" s="94"/>
      <c r="H572" s="33"/>
      <c r="I572" s="33"/>
      <c r="J572" s="33"/>
      <c r="K572" s="33"/>
      <c r="L572" s="33"/>
      <c r="M572" s="33"/>
      <c r="N572" s="33"/>
      <c r="O572" s="33"/>
      <c r="P572" s="33"/>
      <c r="Q572" s="33"/>
      <c r="R572" s="33"/>
      <c r="S572" s="33"/>
      <c r="T572" s="33"/>
      <c r="U572" s="33"/>
      <c r="V572" s="33"/>
      <c r="W572" s="33"/>
      <c r="X572" s="33"/>
      <c r="Y572" s="33"/>
      <c r="Z572" s="33"/>
      <c r="AA572" s="33"/>
      <c r="AB572" s="33"/>
    </row>
    <row r="573">
      <c r="A573" s="33"/>
      <c r="B573" s="33"/>
      <c r="C573" s="94"/>
      <c r="D573" s="33"/>
      <c r="E573" s="33"/>
      <c r="F573" s="33"/>
      <c r="G573" s="94"/>
      <c r="H573" s="33"/>
      <c r="I573" s="33"/>
      <c r="J573" s="33"/>
      <c r="K573" s="33"/>
      <c r="L573" s="33"/>
      <c r="M573" s="33"/>
      <c r="N573" s="33"/>
      <c r="O573" s="33"/>
      <c r="P573" s="33"/>
      <c r="Q573" s="33"/>
      <c r="R573" s="33"/>
      <c r="S573" s="33"/>
      <c r="T573" s="33"/>
      <c r="U573" s="33"/>
      <c r="V573" s="33"/>
      <c r="W573" s="33"/>
      <c r="X573" s="33"/>
      <c r="Y573" s="33"/>
      <c r="Z573" s="33"/>
      <c r="AA573" s="33"/>
      <c r="AB573" s="33"/>
    </row>
    <row r="574">
      <c r="A574" s="33"/>
      <c r="B574" s="33"/>
      <c r="C574" s="94"/>
      <c r="D574" s="33"/>
      <c r="E574" s="33"/>
      <c r="F574" s="33"/>
      <c r="G574" s="94"/>
      <c r="H574" s="33"/>
      <c r="I574" s="33"/>
      <c r="J574" s="33"/>
      <c r="K574" s="33"/>
      <c r="L574" s="33"/>
      <c r="M574" s="33"/>
      <c r="N574" s="33"/>
      <c r="O574" s="33"/>
      <c r="P574" s="33"/>
      <c r="Q574" s="33"/>
      <c r="R574" s="33"/>
      <c r="S574" s="33"/>
      <c r="T574" s="33"/>
      <c r="U574" s="33"/>
      <c r="V574" s="33"/>
      <c r="W574" s="33"/>
      <c r="X574" s="33"/>
      <c r="Y574" s="33"/>
      <c r="Z574" s="33"/>
      <c r="AA574" s="33"/>
      <c r="AB574" s="33"/>
    </row>
    <row r="575">
      <c r="A575" s="33"/>
      <c r="B575" s="33"/>
      <c r="C575" s="94"/>
      <c r="D575" s="33"/>
      <c r="E575" s="33"/>
      <c r="F575" s="33"/>
      <c r="G575" s="94"/>
      <c r="H575" s="33"/>
      <c r="I575" s="33"/>
      <c r="J575" s="33"/>
      <c r="K575" s="33"/>
      <c r="L575" s="33"/>
      <c r="M575" s="33"/>
      <c r="N575" s="33"/>
      <c r="O575" s="33"/>
      <c r="P575" s="33"/>
      <c r="Q575" s="33"/>
      <c r="R575" s="33"/>
      <c r="S575" s="33"/>
      <c r="T575" s="33"/>
      <c r="U575" s="33"/>
      <c r="V575" s="33"/>
      <c r="W575" s="33"/>
      <c r="X575" s="33"/>
      <c r="Y575" s="33"/>
      <c r="Z575" s="33"/>
      <c r="AA575" s="33"/>
      <c r="AB575" s="33"/>
    </row>
    <row r="576">
      <c r="A576" s="33"/>
      <c r="B576" s="33"/>
      <c r="C576" s="94"/>
      <c r="D576" s="33"/>
      <c r="E576" s="33"/>
      <c r="F576" s="33"/>
      <c r="G576" s="94"/>
      <c r="H576" s="33"/>
      <c r="I576" s="33"/>
      <c r="J576" s="33"/>
      <c r="K576" s="33"/>
      <c r="L576" s="33"/>
      <c r="M576" s="33"/>
      <c r="N576" s="33"/>
      <c r="O576" s="33"/>
      <c r="P576" s="33"/>
      <c r="Q576" s="33"/>
      <c r="R576" s="33"/>
      <c r="S576" s="33"/>
      <c r="T576" s="33"/>
      <c r="U576" s="33"/>
      <c r="V576" s="33"/>
      <c r="W576" s="33"/>
      <c r="X576" s="33"/>
      <c r="Y576" s="33"/>
      <c r="Z576" s="33"/>
      <c r="AA576" s="33"/>
      <c r="AB576" s="33"/>
    </row>
    <row r="577">
      <c r="A577" s="33"/>
      <c r="B577" s="33"/>
      <c r="C577" s="94"/>
      <c r="D577" s="33"/>
      <c r="E577" s="33"/>
      <c r="F577" s="33"/>
      <c r="G577" s="94"/>
      <c r="H577" s="33"/>
      <c r="I577" s="33"/>
      <c r="J577" s="33"/>
      <c r="K577" s="33"/>
      <c r="L577" s="33"/>
      <c r="M577" s="33"/>
      <c r="N577" s="33"/>
      <c r="O577" s="33"/>
      <c r="P577" s="33"/>
      <c r="Q577" s="33"/>
      <c r="R577" s="33"/>
      <c r="S577" s="33"/>
      <c r="T577" s="33"/>
      <c r="U577" s="33"/>
      <c r="V577" s="33"/>
      <c r="W577" s="33"/>
      <c r="X577" s="33"/>
      <c r="Y577" s="33"/>
      <c r="Z577" s="33"/>
      <c r="AA577" s="33"/>
      <c r="AB577" s="33"/>
    </row>
    <row r="578">
      <c r="A578" s="33"/>
      <c r="B578" s="33"/>
      <c r="C578" s="94"/>
      <c r="D578" s="33"/>
      <c r="E578" s="33"/>
      <c r="F578" s="33"/>
      <c r="G578" s="94"/>
      <c r="H578" s="33"/>
      <c r="I578" s="33"/>
      <c r="J578" s="33"/>
      <c r="K578" s="33"/>
      <c r="L578" s="33"/>
      <c r="M578" s="33"/>
      <c r="N578" s="33"/>
      <c r="O578" s="33"/>
      <c r="P578" s="33"/>
      <c r="Q578" s="33"/>
      <c r="R578" s="33"/>
      <c r="S578" s="33"/>
      <c r="T578" s="33"/>
      <c r="U578" s="33"/>
      <c r="V578" s="33"/>
      <c r="W578" s="33"/>
      <c r="X578" s="33"/>
      <c r="Y578" s="33"/>
      <c r="Z578" s="33"/>
      <c r="AA578" s="33"/>
      <c r="AB578" s="33"/>
    </row>
    <row r="579">
      <c r="A579" s="33"/>
      <c r="B579" s="33"/>
      <c r="C579" s="94"/>
      <c r="D579" s="33"/>
      <c r="E579" s="33"/>
      <c r="F579" s="33"/>
      <c r="G579" s="94"/>
      <c r="H579" s="33"/>
      <c r="I579" s="33"/>
      <c r="J579" s="33"/>
      <c r="K579" s="33"/>
      <c r="L579" s="33"/>
      <c r="M579" s="33"/>
      <c r="N579" s="33"/>
      <c r="O579" s="33"/>
      <c r="P579" s="33"/>
      <c r="Q579" s="33"/>
      <c r="R579" s="33"/>
      <c r="S579" s="33"/>
      <c r="T579" s="33"/>
      <c r="U579" s="33"/>
      <c r="V579" s="33"/>
      <c r="W579" s="33"/>
      <c r="X579" s="33"/>
      <c r="Y579" s="33"/>
      <c r="Z579" s="33"/>
      <c r="AA579" s="33"/>
      <c r="AB579" s="33"/>
    </row>
    <row r="580">
      <c r="A580" s="33"/>
      <c r="B580" s="33"/>
      <c r="C580" s="94"/>
      <c r="D580" s="33"/>
      <c r="E580" s="33"/>
      <c r="F580" s="33"/>
      <c r="G580" s="94"/>
      <c r="H580" s="33"/>
      <c r="I580" s="33"/>
      <c r="J580" s="33"/>
      <c r="K580" s="33"/>
      <c r="L580" s="33"/>
      <c r="M580" s="33"/>
      <c r="N580" s="33"/>
      <c r="O580" s="33"/>
      <c r="P580" s="33"/>
      <c r="Q580" s="33"/>
      <c r="R580" s="33"/>
      <c r="S580" s="33"/>
      <c r="T580" s="33"/>
      <c r="U580" s="33"/>
      <c r="V580" s="33"/>
      <c r="W580" s="33"/>
      <c r="X580" s="33"/>
      <c r="Y580" s="33"/>
      <c r="Z580" s="33"/>
      <c r="AA580" s="33"/>
      <c r="AB580" s="33"/>
    </row>
    <row r="581">
      <c r="A581" s="33"/>
      <c r="B581" s="33"/>
      <c r="C581" s="94"/>
      <c r="D581" s="33"/>
      <c r="E581" s="33"/>
      <c r="F581" s="33"/>
      <c r="G581" s="94"/>
      <c r="H581" s="33"/>
      <c r="I581" s="33"/>
      <c r="J581" s="33"/>
      <c r="K581" s="33"/>
      <c r="L581" s="33"/>
      <c r="M581" s="33"/>
      <c r="N581" s="33"/>
      <c r="O581" s="33"/>
      <c r="P581" s="33"/>
      <c r="Q581" s="33"/>
      <c r="R581" s="33"/>
      <c r="S581" s="33"/>
      <c r="T581" s="33"/>
      <c r="U581" s="33"/>
      <c r="V581" s="33"/>
      <c r="W581" s="33"/>
      <c r="X581" s="33"/>
      <c r="Y581" s="33"/>
      <c r="Z581" s="33"/>
      <c r="AA581" s="33"/>
      <c r="AB581" s="33"/>
    </row>
    <row r="582">
      <c r="A582" s="33"/>
      <c r="B582" s="33"/>
      <c r="C582" s="94"/>
      <c r="D582" s="33"/>
      <c r="E582" s="33"/>
      <c r="F582" s="33"/>
      <c r="G582" s="94"/>
      <c r="H582" s="33"/>
      <c r="I582" s="33"/>
      <c r="J582" s="33"/>
      <c r="K582" s="33"/>
      <c r="L582" s="33"/>
      <c r="M582" s="33"/>
      <c r="N582" s="33"/>
      <c r="O582" s="33"/>
      <c r="P582" s="33"/>
      <c r="Q582" s="33"/>
      <c r="R582" s="33"/>
      <c r="S582" s="33"/>
      <c r="T582" s="33"/>
      <c r="U582" s="33"/>
      <c r="V582" s="33"/>
      <c r="W582" s="33"/>
      <c r="X582" s="33"/>
      <c r="Y582" s="33"/>
      <c r="Z582" s="33"/>
      <c r="AA582" s="33"/>
      <c r="AB582" s="33"/>
    </row>
    <row r="583">
      <c r="A583" s="33"/>
      <c r="B583" s="33"/>
      <c r="C583" s="94"/>
      <c r="D583" s="33"/>
      <c r="E583" s="33"/>
      <c r="F583" s="33"/>
      <c r="G583" s="94"/>
      <c r="H583" s="33"/>
      <c r="I583" s="33"/>
      <c r="J583" s="33"/>
      <c r="K583" s="33"/>
      <c r="L583" s="33"/>
      <c r="M583" s="33"/>
      <c r="N583" s="33"/>
      <c r="O583" s="33"/>
      <c r="P583" s="33"/>
      <c r="Q583" s="33"/>
      <c r="R583" s="33"/>
      <c r="S583" s="33"/>
      <c r="T583" s="33"/>
      <c r="U583" s="33"/>
      <c r="V583" s="33"/>
      <c r="W583" s="33"/>
      <c r="X583" s="33"/>
      <c r="Y583" s="33"/>
      <c r="Z583" s="33"/>
      <c r="AA583" s="33"/>
      <c r="AB583" s="33"/>
    </row>
    <row r="584">
      <c r="A584" s="33"/>
      <c r="B584" s="33"/>
      <c r="C584" s="94"/>
      <c r="D584" s="33"/>
      <c r="E584" s="33"/>
      <c r="F584" s="33"/>
      <c r="G584" s="94"/>
      <c r="H584" s="33"/>
      <c r="I584" s="33"/>
      <c r="J584" s="33"/>
      <c r="K584" s="33"/>
      <c r="L584" s="33"/>
      <c r="M584" s="33"/>
      <c r="N584" s="33"/>
      <c r="O584" s="33"/>
      <c r="P584" s="33"/>
      <c r="Q584" s="33"/>
      <c r="R584" s="33"/>
      <c r="S584" s="33"/>
      <c r="T584" s="33"/>
      <c r="U584" s="33"/>
      <c r="V584" s="33"/>
      <c r="W584" s="33"/>
      <c r="X584" s="33"/>
      <c r="Y584" s="33"/>
      <c r="Z584" s="33"/>
      <c r="AA584" s="33"/>
      <c r="AB584" s="33"/>
    </row>
    <row r="585">
      <c r="A585" s="33"/>
      <c r="B585" s="33"/>
      <c r="C585" s="94"/>
      <c r="D585" s="33"/>
      <c r="E585" s="33"/>
      <c r="F585" s="33"/>
      <c r="G585" s="94"/>
      <c r="H585" s="33"/>
      <c r="I585" s="33"/>
      <c r="J585" s="33"/>
      <c r="K585" s="33"/>
      <c r="L585" s="33"/>
      <c r="M585" s="33"/>
      <c r="N585" s="33"/>
      <c r="O585" s="33"/>
      <c r="P585" s="33"/>
      <c r="Q585" s="33"/>
      <c r="R585" s="33"/>
      <c r="S585" s="33"/>
      <c r="T585" s="33"/>
      <c r="U585" s="33"/>
      <c r="V585" s="33"/>
      <c r="W585" s="33"/>
      <c r="X585" s="33"/>
      <c r="Y585" s="33"/>
      <c r="Z585" s="33"/>
      <c r="AA585" s="33"/>
      <c r="AB585" s="33"/>
    </row>
    <row r="586">
      <c r="A586" s="33"/>
      <c r="B586" s="33"/>
      <c r="C586" s="94"/>
      <c r="D586" s="33"/>
      <c r="E586" s="33"/>
      <c r="F586" s="33"/>
      <c r="G586" s="94"/>
      <c r="H586" s="33"/>
      <c r="I586" s="33"/>
      <c r="J586" s="33"/>
      <c r="K586" s="33"/>
      <c r="L586" s="33"/>
      <c r="M586" s="33"/>
      <c r="N586" s="33"/>
      <c r="O586" s="33"/>
      <c r="P586" s="33"/>
      <c r="Q586" s="33"/>
      <c r="R586" s="33"/>
      <c r="S586" s="33"/>
      <c r="T586" s="33"/>
      <c r="U586" s="33"/>
      <c r="V586" s="33"/>
      <c r="W586" s="33"/>
      <c r="X586" s="33"/>
      <c r="Y586" s="33"/>
      <c r="Z586" s="33"/>
      <c r="AA586" s="33"/>
      <c r="AB586" s="33"/>
    </row>
    <row r="587">
      <c r="A587" s="33"/>
      <c r="B587" s="33"/>
      <c r="C587" s="94"/>
      <c r="D587" s="33"/>
      <c r="E587" s="33"/>
      <c r="F587" s="33"/>
      <c r="G587" s="94"/>
      <c r="H587" s="33"/>
      <c r="I587" s="33"/>
      <c r="J587" s="33"/>
      <c r="K587" s="33"/>
      <c r="L587" s="33"/>
      <c r="M587" s="33"/>
      <c r="N587" s="33"/>
      <c r="O587" s="33"/>
      <c r="P587" s="33"/>
      <c r="Q587" s="33"/>
      <c r="R587" s="33"/>
      <c r="S587" s="33"/>
      <c r="T587" s="33"/>
      <c r="U587" s="33"/>
      <c r="V587" s="33"/>
      <c r="W587" s="33"/>
      <c r="X587" s="33"/>
      <c r="Y587" s="33"/>
      <c r="Z587" s="33"/>
      <c r="AA587" s="33"/>
      <c r="AB587" s="33"/>
    </row>
    <row r="588">
      <c r="A588" s="33"/>
      <c r="B588" s="33"/>
      <c r="C588" s="94"/>
      <c r="D588" s="33"/>
      <c r="E588" s="33"/>
      <c r="F588" s="33"/>
      <c r="G588" s="94"/>
      <c r="H588" s="33"/>
      <c r="I588" s="33"/>
      <c r="J588" s="33"/>
      <c r="K588" s="33"/>
      <c r="L588" s="33"/>
      <c r="M588" s="33"/>
      <c r="N588" s="33"/>
      <c r="O588" s="33"/>
      <c r="P588" s="33"/>
      <c r="Q588" s="33"/>
      <c r="R588" s="33"/>
      <c r="S588" s="33"/>
      <c r="T588" s="33"/>
      <c r="U588" s="33"/>
      <c r="V588" s="33"/>
      <c r="W588" s="33"/>
      <c r="X588" s="33"/>
      <c r="Y588" s="33"/>
      <c r="Z588" s="33"/>
      <c r="AA588" s="33"/>
      <c r="AB588" s="33"/>
    </row>
    <row r="589">
      <c r="A589" s="33"/>
      <c r="B589" s="33"/>
      <c r="C589" s="94"/>
      <c r="D589" s="33"/>
      <c r="E589" s="33"/>
      <c r="F589" s="33"/>
      <c r="G589" s="94"/>
      <c r="H589" s="33"/>
      <c r="I589" s="33"/>
      <c r="J589" s="33"/>
      <c r="K589" s="33"/>
      <c r="L589" s="33"/>
      <c r="M589" s="33"/>
      <c r="N589" s="33"/>
      <c r="O589" s="33"/>
      <c r="P589" s="33"/>
      <c r="Q589" s="33"/>
      <c r="R589" s="33"/>
      <c r="S589" s="33"/>
      <c r="T589" s="33"/>
      <c r="U589" s="33"/>
      <c r="V589" s="33"/>
      <c r="W589" s="33"/>
      <c r="X589" s="33"/>
      <c r="Y589" s="33"/>
      <c r="Z589" s="33"/>
      <c r="AA589" s="33"/>
      <c r="AB589" s="33"/>
    </row>
    <row r="590">
      <c r="A590" s="33"/>
      <c r="B590" s="33"/>
      <c r="C590" s="94"/>
      <c r="D590" s="33"/>
      <c r="E590" s="33"/>
      <c r="F590" s="33"/>
      <c r="G590" s="94"/>
      <c r="H590" s="33"/>
      <c r="I590" s="33"/>
      <c r="J590" s="33"/>
      <c r="K590" s="33"/>
      <c r="L590" s="33"/>
      <c r="M590" s="33"/>
      <c r="N590" s="33"/>
      <c r="O590" s="33"/>
      <c r="P590" s="33"/>
      <c r="Q590" s="33"/>
      <c r="R590" s="33"/>
      <c r="S590" s="33"/>
      <c r="T590" s="33"/>
      <c r="U590" s="33"/>
      <c r="V590" s="33"/>
      <c r="W590" s="33"/>
      <c r="X590" s="33"/>
      <c r="Y590" s="33"/>
      <c r="Z590" s="33"/>
      <c r="AA590" s="33"/>
      <c r="AB590" s="33"/>
    </row>
    <row r="591">
      <c r="A591" s="33"/>
      <c r="B591" s="33"/>
      <c r="C591" s="94"/>
      <c r="D591" s="33"/>
      <c r="E591" s="33"/>
      <c r="F591" s="33"/>
      <c r="G591" s="94"/>
      <c r="H591" s="33"/>
      <c r="I591" s="33"/>
      <c r="J591" s="33"/>
      <c r="K591" s="33"/>
      <c r="L591" s="33"/>
      <c r="M591" s="33"/>
      <c r="N591" s="33"/>
      <c r="O591" s="33"/>
      <c r="P591" s="33"/>
      <c r="Q591" s="33"/>
      <c r="R591" s="33"/>
      <c r="S591" s="33"/>
      <c r="T591" s="33"/>
      <c r="U591" s="33"/>
      <c r="V591" s="33"/>
      <c r="W591" s="33"/>
      <c r="X591" s="33"/>
      <c r="Y591" s="33"/>
      <c r="Z591" s="33"/>
      <c r="AA591" s="33"/>
      <c r="AB591" s="33"/>
    </row>
    <row r="592">
      <c r="A592" s="33"/>
      <c r="B592" s="33"/>
      <c r="C592" s="94"/>
      <c r="D592" s="33"/>
      <c r="E592" s="33"/>
      <c r="F592" s="33"/>
      <c r="G592" s="94"/>
      <c r="H592" s="33"/>
      <c r="I592" s="33"/>
      <c r="J592" s="33"/>
      <c r="K592" s="33"/>
      <c r="L592" s="33"/>
      <c r="M592" s="33"/>
      <c r="N592" s="33"/>
      <c r="O592" s="33"/>
      <c r="P592" s="33"/>
      <c r="Q592" s="33"/>
      <c r="R592" s="33"/>
      <c r="S592" s="33"/>
      <c r="T592" s="33"/>
      <c r="U592" s="33"/>
      <c r="V592" s="33"/>
      <c r="W592" s="33"/>
      <c r="X592" s="33"/>
      <c r="Y592" s="33"/>
      <c r="Z592" s="33"/>
      <c r="AA592" s="33"/>
      <c r="AB592" s="33"/>
    </row>
    <row r="593">
      <c r="A593" s="33"/>
      <c r="B593" s="33"/>
      <c r="C593" s="94"/>
      <c r="D593" s="33"/>
      <c r="E593" s="33"/>
      <c r="F593" s="33"/>
      <c r="G593" s="94"/>
      <c r="H593" s="33"/>
      <c r="I593" s="33"/>
      <c r="J593" s="33"/>
      <c r="K593" s="33"/>
      <c r="L593" s="33"/>
      <c r="M593" s="33"/>
      <c r="N593" s="33"/>
      <c r="O593" s="33"/>
      <c r="P593" s="33"/>
      <c r="Q593" s="33"/>
      <c r="R593" s="33"/>
      <c r="S593" s="33"/>
      <c r="T593" s="33"/>
      <c r="U593" s="33"/>
      <c r="V593" s="33"/>
      <c r="W593" s="33"/>
      <c r="X593" s="33"/>
      <c r="Y593" s="33"/>
      <c r="Z593" s="33"/>
      <c r="AA593" s="33"/>
      <c r="AB593" s="33"/>
    </row>
    <row r="594">
      <c r="A594" s="33"/>
      <c r="B594" s="33"/>
      <c r="C594" s="94"/>
      <c r="D594" s="33"/>
      <c r="E594" s="33"/>
      <c r="F594" s="33"/>
      <c r="G594" s="94"/>
      <c r="H594" s="33"/>
      <c r="I594" s="33"/>
      <c r="J594" s="33"/>
      <c r="K594" s="33"/>
      <c r="L594" s="33"/>
      <c r="M594" s="33"/>
      <c r="N594" s="33"/>
      <c r="O594" s="33"/>
      <c r="P594" s="33"/>
      <c r="Q594" s="33"/>
      <c r="R594" s="33"/>
      <c r="S594" s="33"/>
      <c r="T594" s="33"/>
      <c r="U594" s="33"/>
      <c r="V594" s="33"/>
      <c r="W594" s="33"/>
      <c r="X594" s="33"/>
      <c r="Y594" s="33"/>
      <c r="Z594" s="33"/>
      <c r="AA594" s="33"/>
      <c r="AB594" s="33"/>
    </row>
    <row r="595">
      <c r="A595" s="33"/>
      <c r="B595" s="33"/>
      <c r="C595" s="94"/>
      <c r="D595" s="33"/>
      <c r="E595" s="33"/>
      <c r="F595" s="33"/>
      <c r="G595" s="94"/>
      <c r="H595" s="33"/>
      <c r="I595" s="33"/>
      <c r="J595" s="33"/>
      <c r="K595" s="33"/>
      <c r="L595" s="33"/>
      <c r="M595" s="33"/>
      <c r="N595" s="33"/>
      <c r="O595" s="33"/>
      <c r="P595" s="33"/>
      <c r="Q595" s="33"/>
      <c r="R595" s="33"/>
      <c r="S595" s="33"/>
      <c r="T595" s="33"/>
      <c r="U595" s="33"/>
      <c r="V595" s="33"/>
      <c r="W595" s="33"/>
      <c r="X595" s="33"/>
      <c r="Y595" s="33"/>
      <c r="Z595" s="33"/>
      <c r="AA595" s="33"/>
      <c r="AB595" s="33"/>
    </row>
    <row r="596">
      <c r="A596" s="33"/>
      <c r="B596" s="33"/>
      <c r="C596" s="94"/>
      <c r="D596" s="33"/>
      <c r="E596" s="33"/>
      <c r="F596" s="33"/>
      <c r="G596" s="94"/>
      <c r="H596" s="33"/>
      <c r="I596" s="33"/>
      <c r="J596" s="33"/>
      <c r="K596" s="33"/>
      <c r="L596" s="33"/>
      <c r="M596" s="33"/>
      <c r="N596" s="33"/>
      <c r="O596" s="33"/>
      <c r="P596" s="33"/>
      <c r="Q596" s="33"/>
      <c r="R596" s="33"/>
      <c r="S596" s="33"/>
      <c r="T596" s="33"/>
      <c r="U596" s="33"/>
      <c r="V596" s="33"/>
      <c r="W596" s="33"/>
      <c r="X596" s="33"/>
      <c r="Y596" s="33"/>
      <c r="Z596" s="33"/>
      <c r="AA596" s="33"/>
      <c r="AB596" s="33"/>
    </row>
    <row r="597">
      <c r="A597" s="33"/>
      <c r="B597" s="33"/>
      <c r="C597" s="94"/>
      <c r="D597" s="33"/>
      <c r="E597" s="33"/>
      <c r="F597" s="33"/>
      <c r="G597" s="94"/>
      <c r="H597" s="33"/>
      <c r="I597" s="33"/>
      <c r="J597" s="33"/>
      <c r="K597" s="33"/>
      <c r="L597" s="33"/>
      <c r="M597" s="33"/>
      <c r="N597" s="33"/>
      <c r="O597" s="33"/>
      <c r="P597" s="33"/>
      <c r="Q597" s="33"/>
      <c r="R597" s="33"/>
      <c r="S597" s="33"/>
      <c r="T597" s="33"/>
      <c r="U597" s="33"/>
      <c r="V597" s="33"/>
      <c r="W597" s="33"/>
      <c r="X597" s="33"/>
      <c r="Y597" s="33"/>
      <c r="Z597" s="33"/>
      <c r="AA597" s="33"/>
      <c r="AB597" s="33"/>
    </row>
    <row r="598">
      <c r="A598" s="33"/>
      <c r="B598" s="33"/>
      <c r="C598" s="94"/>
      <c r="D598" s="33"/>
      <c r="E598" s="33"/>
      <c r="F598" s="33"/>
      <c r="G598" s="94"/>
      <c r="H598" s="33"/>
      <c r="I598" s="33"/>
      <c r="J598" s="33"/>
      <c r="K598" s="33"/>
      <c r="L598" s="33"/>
      <c r="M598" s="33"/>
      <c r="N598" s="33"/>
      <c r="O598" s="33"/>
      <c r="P598" s="33"/>
      <c r="Q598" s="33"/>
      <c r="R598" s="33"/>
      <c r="S598" s="33"/>
      <c r="T598" s="33"/>
      <c r="U598" s="33"/>
      <c r="V598" s="33"/>
      <c r="W598" s="33"/>
      <c r="X598" s="33"/>
      <c r="Y598" s="33"/>
      <c r="Z598" s="33"/>
      <c r="AA598" s="33"/>
      <c r="AB598" s="33"/>
    </row>
    <row r="599">
      <c r="A599" s="33"/>
      <c r="B599" s="33"/>
      <c r="C599" s="94"/>
      <c r="D599" s="33"/>
      <c r="E599" s="33"/>
      <c r="F599" s="33"/>
      <c r="G599" s="94"/>
      <c r="H599" s="33"/>
      <c r="I599" s="33"/>
      <c r="J599" s="33"/>
      <c r="K599" s="33"/>
      <c r="L599" s="33"/>
      <c r="M599" s="33"/>
      <c r="N599" s="33"/>
      <c r="O599" s="33"/>
      <c r="P599" s="33"/>
      <c r="Q599" s="33"/>
      <c r="R599" s="33"/>
      <c r="S599" s="33"/>
      <c r="T599" s="33"/>
      <c r="U599" s="33"/>
      <c r="V599" s="33"/>
      <c r="W599" s="33"/>
      <c r="X599" s="33"/>
      <c r="Y599" s="33"/>
      <c r="Z599" s="33"/>
      <c r="AA599" s="33"/>
      <c r="AB599" s="33"/>
    </row>
    <row r="600">
      <c r="A600" s="33"/>
      <c r="B600" s="33"/>
      <c r="C600" s="94"/>
      <c r="D600" s="33"/>
      <c r="E600" s="33"/>
      <c r="F600" s="33"/>
      <c r="G600" s="94"/>
      <c r="H600" s="33"/>
      <c r="I600" s="33"/>
      <c r="J600" s="33"/>
      <c r="K600" s="33"/>
      <c r="L600" s="33"/>
      <c r="M600" s="33"/>
      <c r="N600" s="33"/>
      <c r="O600" s="33"/>
      <c r="P600" s="33"/>
      <c r="Q600" s="33"/>
      <c r="R600" s="33"/>
      <c r="S600" s="33"/>
      <c r="T600" s="33"/>
      <c r="U600" s="33"/>
      <c r="V600" s="33"/>
      <c r="W600" s="33"/>
      <c r="X600" s="33"/>
      <c r="Y600" s="33"/>
      <c r="Z600" s="33"/>
      <c r="AA600" s="33"/>
      <c r="AB600" s="33"/>
    </row>
    <row r="601">
      <c r="A601" s="33"/>
      <c r="B601" s="33"/>
      <c r="C601" s="94"/>
      <c r="D601" s="33"/>
      <c r="E601" s="33"/>
      <c r="F601" s="33"/>
      <c r="G601" s="94"/>
      <c r="H601" s="33"/>
      <c r="I601" s="33"/>
      <c r="J601" s="33"/>
      <c r="K601" s="33"/>
      <c r="L601" s="33"/>
      <c r="M601" s="33"/>
      <c r="N601" s="33"/>
      <c r="O601" s="33"/>
      <c r="P601" s="33"/>
      <c r="Q601" s="33"/>
      <c r="R601" s="33"/>
      <c r="S601" s="33"/>
      <c r="T601" s="33"/>
      <c r="U601" s="33"/>
      <c r="V601" s="33"/>
      <c r="W601" s="33"/>
      <c r="X601" s="33"/>
      <c r="Y601" s="33"/>
      <c r="Z601" s="33"/>
      <c r="AA601" s="33"/>
      <c r="AB601" s="33"/>
    </row>
    <row r="602">
      <c r="A602" s="33"/>
      <c r="B602" s="33"/>
      <c r="C602" s="94"/>
      <c r="D602" s="33"/>
      <c r="E602" s="33"/>
      <c r="F602" s="33"/>
      <c r="G602" s="94"/>
      <c r="H602" s="33"/>
      <c r="I602" s="33"/>
      <c r="J602" s="33"/>
      <c r="K602" s="33"/>
      <c r="L602" s="33"/>
      <c r="M602" s="33"/>
      <c r="N602" s="33"/>
      <c r="O602" s="33"/>
      <c r="P602" s="33"/>
      <c r="Q602" s="33"/>
      <c r="R602" s="33"/>
      <c r="S602" s="33"/>
      <c r="T602" s="33"/>
      <c r="U602" s="33"/>
      <c r="V602" s="33"/>
      <c r="W602" s="33"/>
      <c r="X602" s="33"/>
      <c r="Y602" s="33"/>
      <c r="Z602" s="33"/>
      <c r="AA602" s="33"/>
      <c r="AB602" s="33"/>
    </row>
    <row r="603">
      <c r="A603" s="33"/>
      <c r="B603" s="33"/>
      <c r="C603" s="94"/>
      <c r="D603" s="33"/>
      <c r="E603" s="33"/>
      <c r="F603" s="33"/>
      <c r="G603" s="94"/>
      <c r="H603" s="33"/>
      <c r="I603" s="33"/>
      <c r="J603" s="33"/>
      <c r="K603" s="33"/>
      <c r="L603" s="33"/>
      <c r="M603" s="33"/>
      <c r="N603" s="33"/>
      <c r="O603" s="33"/>
      <c r="P603" s="33"/>
      <c r="Q603" s="33"/>
      <c r="R603" s="33"/>
      <c r="S603" s="33"/>
      <c r="T603" s="33"/>
      <c r="U603" s="33"/>
      <c r="V603" s="33"/>
      <c r="W603" s="33"/>
      <c r="X603" s="33"/>
      <c r="Y603" s="33"/>
      <c r="Z603" s="33"/>
      <c r="AA603" s="33"/>
      <c r="AB603" s="33"/>
    </row>
    <row r="604">
      <c r="A604" s="33"/>
      <c r="B604" s="33"/>
      <c r="C604" s="94"/>
      <c r="D604" s="33"/>
      <c r="E604" s="33"/>
      <c r="F604" s="33"/>
      <c r="G604" s="94"/>
      <c r="H604" s="33"/>
      <c r="I604" s="33"/>
      <c r="J604" s="33"/>
      <c r="K604" s="33"/>
      <c r="L604" s="33"/>
      <c r="M604" s="33"/>
      <c r="N604" s="33"/>
      <c r="O604" s="33"/>
      <c r="P604" s="33"/>
      <c r="Q604" s="33"/>
      <c r="R604" s="33"/>
      <c r="S604" s="33"/>
      <c r="T604" s="33"/>
      <c r="U604" s="33"/>
      <c r="V604" s="33"/>
      <c r="W604" s="33"/>
      <c r="X604" s="33"/>
      <c r="Y604" s="33"/>
      <c r="Z604" s="33"/>
      <c r="AA604" s="33"/>
      <c r="AB604" s="33"/>
    </row>
    <row r="605">
      <c r="A605" s="33"/>
      <c r="B605" s="33"/>
      <c r="C605" s="94"/>
      <c r="D605" s="33"/>
      <c r="E605" s="33"/>
      <c r="F605" s="33"/>
      <c r="G605" s="94"/>
      <c r="H605" s="33"/>
      <c r="I605" s="33"/>
      <c r="J605" s="33"/>
      <c r="K605" s="33"/>
      <c r="L605" s="33"/>
      <c r="M605" s="33"/>
      <c r="N605" s="33"/>
      <c r="O605" s="33"/>
      <c r="P605" s="33"/>
      <c r="Q605" s="33"/>
      <c r="R605" s="33"/>
      <c r="S605" s="33"/>
      <c r="T605" s="33"/>
      <c r="U605" s="33"/>
      <c r="V605" s="33"/>
      <c r="W605" s="33"/>
      <c r="X605" s="33"/>
      <c r="Y605" s="33"/>
      <c r="Z605" s="33"/>
      <c r="AA605" s="33"/>
      <c r="AB605" s="33"/>
    </row>
    <row r="606">
      <c r="A606" s="33"/>
      <c r="B606" s="33"/>
      <c r="C606" s="94"/>
      <c r="D606" s="33"/>
      <c r="E606" s="33"/>
      <c r="F606" s="33"/>
      <c r="G606" s="94"/>
      <c r="H606" s="33"/>
      <c r="I606" s="33"/>
      <c r="J606" s="33"/>
      <c r="K606" s="33"/>
      <c r="L606" s="33"/>
      <c r="M606" s="33"/>
      <c r="N606" s="33"/>
      <c r="O606" s="33"/>
      <c r="P606" s="33"/>
      <c r="Q606" s="33"/>
      <c r="R606" s="33"/>
      <c r="S606" s="33"/>
      <c r="T606" s="33"/>
      <c r="U606" s="33"/>
      <c r="V606" s="33"/>
      <c r="W606" s="33"/>
      <c r="X606" s="33"/>
      <c r="Y606" s="33"/>
      <c r="Z606" s="33"/>
      <c r="AA606" s="33"/>
      <c r="AB606" s="33"/>
    </row>
    <row r="607">
      <c r="A607" s="33"/>
      <c r="B607" s="33"/>
      <c r="C607" s="94"/>
      <c r="D607" s="33"/>
      <c r="E607" s="33"/>
      <c r="F607" s="33"/>
      <c r="G607" s="94"/>
      <c r="H607" s="33"/>
      <c r="I607" s="33"/>
      <c r="J607" s="33"/>
      <c r="K607" s="33"/>
      <c r="L607" s="33"/>
      <c r="M607" s="33"/>
      <c r="N607" s="33"/>
      <c r="O607" s="33"/>
      <c r="P607" s="33"/>
      <c r="Q607" s="33"/>
      <c r="R607" s="33"/>
      <c r="S607" s="33"/>
      <c r="T607" s="33"/>
      <c r="U607" s="33"/>
      <c r="V607" s="33"/>
      <c r="W607" s="33"/>
      <c r="X607" s="33"/>
      <c r="Y607" s="33"/>
      <c r="Z607" s="33"/>
      <c r="AA607" s="33"/>
      <c r="AB607" s="33"/>
    </row>
    <row r="608">
      <c r="A608" s="33"/>
      <c r="B608" s="33"/>
      <c r="C608" s="94"/>
      <c r="D608" s="33"/>
      <c r="E608" s="33"/>
      <c r="F608" s="33"/>
      <c r="G608" s="94"/>
      <c r="H608" s="33"/>
      <c r="I608" s="33"/>
      <c r="J608" s="33"/>
      <c r="K608" s="33"/>
      <c r="L608" s="33"/>
      <c r="M608" s="33"/>
      <c r="N608" s="33"/>
      <c r="O608" s="33"/>
      <c r="P608" s="33"/>
      <c r="Q608" s="33"/>
      <c r="R608" s="33"/>
      <c r="S608" s="33"/>
      <c r="T608" s="33"/>
      <c r="U608" s="33"/>
      <c r="V608" s="33"/>
      <c r="W608" s="33"/>
      <c r="X608" s="33"/>
      <c r="Y608" s="33"/>
      <c r="Z608" s="33"/>
      <c r="AA608" s="33"/>
      <c r="AB608" s="33"/>
    </row>
    <row r="609">
      <c r="A609" s="33"/>
      <c r="B609" s="33"/>
      <c r="C609" s="94"/>
      <c r="D609" s="33"/>
      <c r="E609" s="33"/>
      <c r="F609" s="33"/>
      <c r="G609" s="94"/>
      <c r="H609" s="33"/>
      <c r="I609" s="33"/>
      <c r="J609" s="33"/>
      <c r="K609" s="33"/>
      <c r="L609" s="33"/>
      <c r="M609" s="33"/>
      <c r="N609" s="33"/>
      <c r="O609" s="33"/>
      <c r="P609" s="33"/>
      <c r="Q609" s="33"/>
      <c r="R609" s="33"/>
      <c r="S609" s="33"/>
      <c r="T609" s="33"/>
      <c r="U609" s="33"/>
      <c r="V609" s="33"/>
      <c r="W609" s="33"/>
      <c r="X609" s="33"/>
      <c r="Y609" s="33"/>
      <c r="Z609" s="33"/>
      <c r="AA609" s="33"/>
      <c r="AB609" s="33"/>
    </row>
    <row r="610">
      <c r="A610" s="33"/>
      <c r="B610" s="33"/>
      <c r="C610" s="94"/>
      <c r="D610" s="33"/>
      <c r="E610" s="33"/>
      <c r="F610" s="33"/>
      <c r="G610" s="94"/>
      <c r="H610" s="33"/>
      <c r="I610" s="33"/>
      <c r="J610" s="33"/>
      <c r="K610" s="33"/>
      <c r="L610" s="33"/>
      <c r="M610" s="33"/>
      <c r="N610" s="33"/>
      <c r="O610" s="33"/>
      <c r="P610" s="33"/>
      <c r="Q610" s="33"/>
      <c r="R610" s="33"/>
      <c r="S610" s="33"/>
      <c r="T610" s="33"/>
      <c r="U610" s="33"/>
      <c r="V610" s="33"/>
      <c r="W610" s="33"/>
      <c r="X610" s="33"/>
      <c r="Y610" s="33"/>
      <c r="Z610" s="33"/>
      <c r="AA610" s="33"/>
      <c r="AB610" s="33"/>
    </row>
    <row r="611">
      <c r="A611" s="33"/>
      <c r="B611" s="33"/>
      <c r="C611" s="94"/>
      <c r="D611" s="33"/>
      <c r="E611" s="33"/>
      <c r="F611" s="33"/>
      <c r="G611" s="94"/>
      <c r="H611" s="33"/>
      <c r="I611" s="33"/>
      <c r="J611" s="33"/>
      <c r="K611" s="33"/>
      <c r="L611" s="33"/>
      <c r="M611" s="33"/>
      <c r="N611" s="33"/>
      <c r="O611" s="33"/>
      <c r="P611" s="33"/>
      <c r="Q611" s="33"/>
      <c r="R611" s="33"/>
      <c r="S611" s="33"/>
      <c r="T611" s="33"/>
      <c r="U611" s="33"/>
      <c r="V611" s="33"/>
      <c r="W611" s="33"/>
      <c r="X611" s="33"/>
      <c r="Y611" s="33"/>
      <c r="Z611" s="33"/>
      <c r="AA611" s="33"/>
      <c r="AB611" s="33"/>
    </row>
    <row r="612">
      <c r="A612" s="33"/>
      <c r="B612" s="33"/>
      <c r="C612" s="94"/>
      <c r="D612" s="33"/>
      <c r="E612" s="33"/>
      <c r="F612" s="33"/>
      <c r="G612" s="94"/>
      <c r="H612" s="33"/>
      <c r="I612" s="33"/>
      <c r="J612" s="33"/>
      <c r="K612" s="33"/>
      <c r="L612" s="33"/>
      <c r="M612" s="33"/>
      <c r="N612" s="33"/>
      <c r="O612" s="33"/>
      <c r="P612" s="33"/>
      <c r="Q612" s="33"/>
      <c r="R612" s="33"/>
      <c r="S612" s="33"/>
      <c r="T612" s="33"/>
      <c r="U612" s="33"/>
      <c r="V612" s="33"/>
      <c r="W612" s="33"/>
      <c r="X612" s="33"/>
      <c r="Y612" s="33"/>
      <c r="Z612" s="33"/>
      <c r="AA612" s="33"/>
      <c r="AB612" s="33"/>
    </row>
    <row r="613">
      <c r="A613" s="33"/>
      <c r="B613" s="33"/>
      <c r="C613" s="94"/>
      <c r="D613" s="33"/>
      <c r="E613" s="33"/>
      <c r="F613" s="33"/>
      <c r="G613" s="94"/>
      <c r="H613" s="33"/>
      <c r="I613" s="33"/>
      <c r="J613" s="33"/>
      <c r="K613" s="33"/>
      <c r="L613" s="33"/>
      <c r="M613" s="33"/>
      <c r="N613" s="33"/>
      <c r="O613" s="33"/>
      <c r="P613" s="33"/>
      <c r="Q613" s="33"/>
      <c r="R613" s="33"/>
      <c r="S613" s="33"/>
      <c r="T613" s="33"/>
      <c r="U613" s="33"/>
      <c r="V613" s="33"/>
      <c r="W613" s="33"/>
      <c r="X613" s="33"/>
      <c r="Y613" s="33"/>
      <c r="Z613" s="33"/>
      <c r="AA613" s="33"/>
      <c r="AB613" s="33"/>
    </row>
    <row r="614">
      <c r="A614" s="33"/>
      <c r="B614" s="33"/>
      <c r="C614" s="94"/>
      <c r="D614" s="33"/>
      <c r="E614" s="33"/>
      <c r="F614" s="33"/>
      <c r="G614" s="94"/>
      <c r="H614" s="33"/>
      <c r="I614" s="33"/>
      <c r="J614" s="33"/>
      <c r="K614" s="33"/>
      <c r="L614" s="33"/>
      <c r="M614" s="33"/>
      <c r="N614" s="33"/>
      <c r="O614" s="33"/>
      <c r="P614" s="33"/>
      <c r="Q614" s="33"/>
      <c r="R614" s="33"/>
      <c r="S614" s="33"/>
      <c r="T614" s="33"/>
      <c r="U614" s="33"/>
      <c r="V614" s="33"/>
      <c r="W614" s="33"/>
      <c r="X614" s="33"/>
      <c r="Y614" s="33"/>
      <c r="Z614" s="33"/>
      <c r="AA614" s="33"/>
      <c r="AB614" s="33"/>
    </row>
    <row r="615">
      <c r="A615" s="33"/>
      <c r="B615" s="33"/>
      <c r="C615" s="94"/>
      <c r="D615" s="33"/>
      <c r="E615" s="33"/>
      <c r="F615" s="33"/>
      <c r="G615" s="94"/>
      <c r="H615" s="33"/>
      <c r="I615" s="33"/>
      <c r="J615" s="33"/>
      <c r="K615" s="33"/>
      <c r="L615" s="33"/>
      <c r="M615" s="33"/>
      <c r="N615" s="33"/>
      <c r="O615" s="33"/>
      <c r="P615" s="33"/>
      <c r="Q615" s="33"/>
      <c r="R615" s="33"/>
      <c r="S615" s="33"/>
      <c r="T615" s="33"/>
      <c r="U615" s="33"/>
      <c r="V615" s="33"/>
      <c r="W615" s="33"/>
      <c r="X615" s="33"/>
      <c r="Y615" s="33"/>
      <c r="Z615" s="33"/>
      <c r="AA615" s="33"/>
      <c r="AB615" s="33"/>
    </row>
    <row r="616">
      <c r="A616" s="33"/>
      <c r="B616" s="33"/>
      <c r="C616" s="94"/>
      <c r="D616" s="33"/>
      <c r="E616" s="33"/>
      <c r="F616" s="33"/>
      <c r="G616" s="94"/>
      <c r="H616" s="33"/>
      <c r="I616" s="33"/>
      <c r="J616" s="33"/>
      <c r="K616" s="33"/>
      <c r="L616" s="33"/>
      <c r="M616" s="33"/>
      <c r="N616" s="33"/>
      <c r="O616" s="33"/>
      <c r="P616" s="33"/>
      <c r="Q616" s="33"/>
      <c r="R616" s="33"/>
      <c r="S616" s="33"/>
      <c r="T616" s="33"/>
      <c r="U616" s="33"/>
      <c r="V616" s="33"/>
      <c r="W616" s="33"/>
      <c r="X616" s="33"/>
      <c r="Y616" s="33"/>
      <c r="Z616" s="33"/>
      <c r="AA616" s="33"/>
      <c r="AB616" s="33"/>
    </row>
    <row r="617">
      <c r="A617" s="33"/>
      <c r="B617" s="33"/>
      <c r="C617" s="94"/>
      <c r="D617" s="33"/>
      <c r="E617" s="33"/>
      <c r="F617" s="33"/>
      <c r="G617" s="94"/>
      <c r="H617" s="33"/>
      <c r="I617" s="33"/>
      <c r="J617" s="33"/>
      <c r="K617" s="33"/>
      <c r="L617" s="33"/>
      <c r="M617" s="33"/>
      <c r="N617" s="33"/>
      <c r="O617" s="33"/>
      <c r="P617" s="33"/>
      <c r="Q617" s="33"/>
      <c r="R617" s="33"/>
      <c r="S617" s="33"/>
      <c r="T617" s="33"/>
      <c r="U617" s="33"/>
      <c r="V617" s="33"/>
      <c r="W617" s="33"/>
      <c r="X617" s="33"/>
      <c r="Y617" s="33"/>
      <c r="Z617" s="33"/>
      <c r="AA617" s="33"/>
      <c r="AB617" s="33"/>
    </row>
    <row r="618">
      <c r="A618" s="33"/>
      <c r="B618" s="33"/>
      <c r="C618" s="94"/>
      <c r="D618" s="33"/>
      <c r="E618" s="33"/>
      <c r="F618" s="33"/>
      <c r="G618" s="94"/>
      <c r="H618" s="33"/>
      <c r="I618" s="33"/>
      <c r="J618" s="33"/>
      <c r="K618" s="33"/>
      <c r="L618" s="33"/>
      <c r="M618" s="33"/>
      <c r="N618" s="33"/>
      <c r="O618" s="33"/>
      <c r="P618" s="33"/>
      <c r="Q618" s="33"/>
      <c r="R618" s="33"/>
      <c r="S618" s="33"/>
      <c r="T618" s="33"/>
      <c r="U618" s="33"/>
      <c r="V618" s="33"/>
      <c r="W618" s="33"/>
      <c r="X618" s="33"/>
      <c r="Y618" s="33"/>
      <c r="Z618" s="33"/>
      <c r="AA618" s="33"/>
      <c r="AB618" s="33"/>
    </row>
    <row r="619">
      <c r="A619" s="33"/>
      <c r="B619" s="33"/>
      <c r="C619" s="94"/>
      <c r="D619" s="33"/>
      <c r="E619" s="33"/>
      <c r="F619" s="33"/>
      <c r="G619" s="94"/>
      <c r="H619" s="33"/>
      <c r="I619" s="33"/>
      <c r="J619" s="33"/>
      <c r="K619" s="33"/>
      <c r="L619" s="33"/>
      <c r="M619" s="33"/>
      <c r="N619" s="33"/>
      <c r="O619" s="33"/>
      <c r="P619" s="33"/>
      <c r="Q619" s="33"/>
      <c r="R619" s="33"/>
      <c r="S619" s="33"/>
      <c r="T619" s="33"/>
      <c r="U619" s="33"/>
      <c r="V619" s="33"/>
      <c r="W619" s="33"/>
      <c r="X619" s="33"/>
      <c r="Y619" s="33"/>
      <c r="Z619" s="33"/>
      <c r="AA619" s="33"/>
      <c r="AB619" s="33"/>
    </row>
    <row r="620">
      <c r="A620" s="33"/>
      <c r="B620" s="33"/>
      <c r="C620" s="94"/>
      <c r="D620" s="33"/>
      <c r="E620" s="33"/>
      <c r="F620" s="33"/>
      <c r="G620" s="94"/>
      <c r="H620" s="33"/>
      <c r="I620" s="33"/>
      <c r="J620" s="33"/>
      <c r="K620" s="33"/>
      <c r="L620" s="33"/>
      <c r="M620" s="33"/>
      <c r="N620" s="33"/>
      <c r="O620" s="33"/>
      <c r="P620" s="33"/>
      <c r="Q620" s="33"/>
      <c r="R620" s="33"/>
      <c r="S620" s="33"/>
      <c r="T620" s="33"/>
      <c r="U620" s="33"/>
      <c r="V620" s="33"/>
      <c r="W620" s="33"/>
      <c r="X620" s="33"/>
      <c r="Y620" s="33"/>
      <c r="Z620" s="33"/>
      <c r="AA620" s="33"/>
      <c r="AB620" s="33"/>
    </row>
    <row r="621">
      <c r="A621" s="33"/>
      <c r="B621" s="33"/>
      <c r="C621" s="94"/>
      <c r="D621" s="33"/>
      <c r="E621" s="33"/>
      <c r="F621" s="33"/>
      <c r="G621" s="94"/>
      <c r="H621" s="33"/>
      <c r="I621" s="33"/>
      <c r="J621" s="33"/>
      <c r="K621" s="33"/>
      <c r="L621" s="33"/>
      <c r="M621" s="33"/>
      <c r="N621" s="33"/>
      <c r="O621" s="33"/>
      <c r="P621" s="33"/>
      <c r="Q621" s="33"/>
      <c r="R621" s="33"/>
      <c r="S621" s="33"/>
      <c r="T621" s="33"/>
      <c r="U621" s="33"/>
      <c r="V621" s="33"/>
      <c r="W621" s="33"/>
      <c r="X621" s="33"/>
      <c r="Y621" s="33"/>
      <c r="Z621" s="33"/>
      <c r="AA621" s="33"/>
      <c r="AB621" s="33"/>
    </row>
    <row r="622">
      <c r="A622" s="33"/>
      <c r="B622" s="33"/>
      <c r="C622" s="94"/>
      <c r="D622" s="33"/>
      <c r="E622" s="33"/>
      <c r="F622" s="33"/>
      <c r="G622" s="94"/>
      <c r="H622" s="33"/>
      <c r="I622" s="33"/>
      <c r="J622" s="33"/>
      <c r="K622" s="33"/>
      <c r="L622" s="33"/>
      <c r="M622" s="33"/>
      <c r="N622" s="33"/>
      <c r="O622" s="33"/>
      <c r="P622" s="33"/>
      <c r="Q622" s="33"/>
      <c r="R622" s="33"/>
      <c r="S622" s="33"/>
      <c r="T622" s="33"/>
      <c r="U622" s="33"/>
      <c r="V622" s="33"/>
      <c r="W622" s="33"/>
      <c r="X622" s="33"/>
      <c r="Y622" s="33"/>
      <c r="Z622" s="33"/>
      <c r="AA622" s="33"/>
      <c r="AB622" s="33"/>
    </row>
    <row r="623">
      <c r="A623" s="33"/>
      <c r="B623" s="33"/>
      <c r="C623" s="94"/>
      <c r="D623" s="33"/>
      <c r="E623" s="33"/>
      <c r="F623" s="33"/>
      <c r="G623" s="94"/>
      <c r="H623" s="33"/>
      <c r="I623" s="33"/>
      <c r="J623" s="33"/>
      <c r="K623" s="33"/>
      <c r="L623" s="33"/>
      <c r="M623" s="33"/>
      <c r="N623" s="33"/>
      <c r="O623" s="33"/>
      <c r="P623" s="33"/>
      <c r="Q623" s="33"/>
      <c r="R623" s="33"/>
      <c r="S623" s="33"/>
      <c r="T623" s="33"/>
      <c r="U623" s="33"/>
      <c r="V623" s="33"/>
      <c r="W623" s="33"/>
      <c r="X623" s="33"/>
      <c r="Y623" s="33"/>
      <c r="Z623" s="33"/>
      <c r="AA623" s="33"/>
      <c r="AB623" s="33"/>
    </row>
    <row r="624">
      <c r="A624" s="33"/>
      <c r="B624" s="33"/>
      <c r="C624" s="94"/>
      <c r="D624" s="33"/>
      <c r="E624" s="33"/>
      <c r="F624" s="33"/>
      <c r="G624" s="94"/>
      <c r="H624" s="33"/>
      <c r="I624" s="33"/>
      <c r="J624" s="33"/>
      <c r="K624" s="33"/>
      <c r="L624" s="33"/>
      <c r="M624" s="33"/>
      <c r="N624" s="33"/>
      <c r="O624" s="33"/>
      <c r="P624" s="33"/>
      <c r="Q624" s="33"/>
      <c r="R624" s="33"/>
      <c r="S624" s="33"/>
      <c r="T624" s="33"/>
      <c r="U624" s="33"/>
      <c r="V624" s="33"/>
      <c r="W624" s="33"/>
      <c r="X624" s="33"/>
      <c r="Y624" s="33"/>
      <c r="Z624" s="33"/>
      <c r="AA624" s="33"/>
      <c r="AB624" s="33"/>
    </row>
    <row r="625">
      <c r="A625" s="33"/>
      <c r="B625" s="33"/>
      <c r="C625" s="94"/>
      <c r="D625" s="33"/>
      <c r="E625" s="33"/>
      <c r="F625" s="33"/>
      <c r="G625" s="94"/>
      <c r="H625" s="33"/>
      <c r="I625" s="33"/>
      <c r="J625" s="33"/>
      <c r="K625" s="33"/>
      <c r="L625" s="33"/>
      <c r="M625" s="33"/>
      <c r="N625" s="33"/>
      <c r="O625" s="33"/>
      <c r="P625" s="33"/>
      <c r="Q625" s="33"/>
      <c r="R625" s="33"/>
      <c r="S625" s="33"/>
      <c r="T625" s="33"/>
      <c r="U625" s="33"/>
      <c r="V625" s="33"/>
      <c r="W625" s="33"/>
      <c r="X625" s="33"/>
      <c r="Y625" s="33"/>
      <c r="Z625" s="33"/>
      <c r="AA625" s="33"/>
      <c r="AB625" s="33"/>
    </row>
    <row r="626">
      <c r="A626" s="33"/>
      <c r="B626" s="33"/>
      <c r="C626" s="94"/>
      <c r="D626" s="33"/>
      <c r="E626" s="33"/>
      <c r="F626" s="33"/>
      <c r="G626" s="94"/>
      <c r="H626" s="33"/>
      <c r="I626" s="33"/>
      <c r="J626" s="33"/>
      <c r="K626" s="33"/>
      <c r="L626" s="33"/>
      <c r="M626" s="33"/>
      <c r="N626" s="33"/>
      <c r="O626" s="33"/>
      <c r="P626" s="33"/>
      <c r="Q626" s="33"/>
      <c r="R626" s="33"/>
      <c r="S626" s="33"/>
      <c r="T626" s="33"/>
      <c r="U626" s="33"/>
      <c r="V626" s="33"/>
      <c r="W626" s="33"/>
      <c r="X626" s="33"/>
      <c r="Y626" s="33"/>
      <c r="Z626" s="33"/>
      <c r="AA626" s="33"/>
      <c r="AB626" s="33"/>
    </row>
    <row r="627">
      <c r="A627" s="33"/>
      <c r="B627" s="33"/>
      <c r="C627" s="94"/>
      <c r="D627" s="33"/>
      <c r="E627" s="33"/>
      <c r="F627" s="33"/>
      <c r="G627" s="94"/>
      <c r="H627" s="33"/>
      <c r="I627" s="33"/>
      <c r="J627" s="33"/>
      <c r="K627" s="33"/>
      <c r="L627" s="33"/>
      <c r="M627" s="33"/>
      <c r="N627" s="33"/>
      <c r="O627" s="33"/>
      <c r="P627" s="33"/>
      <c r="Q627" s="33"/>
      <c r="R627" s="33"/>
      <c r="S627" s="33"/>
      <c r="T627" s="33"/>
      <c r="U627" s="33"/>
      <c r="V627" s="33"/>
      <c r="W627" s="33"/>
      <c r="X627" s="33"/>
      <c r="Y627" s="33"/>
      <c r="Z627" s="33"/>
      <c r="AA627" s="33"/>
      <c r="AB627" s="33"/>
    </row>
    <row r="628">
      <c r="A628" s="33"/>
      <c r="B628" s="33"/>
      <c r="C628" s="94"/>
      <c r="D628" s="33"/>
      <c r="E628" s="33"/>
      <c r="F628" s="33"/>
      <c r="G628" s="94"/>
      <c r="H628" s="33"/>
      <c r="I628" s="33"/>
      <c r="J628" s="33"/>
      <c r="K628" s="33"/>
      <c r="L628" s="33"/>
      <c r="M628" s="33"/>
      <c r="N628" s="33"/>
      <c r="O628" s="33"/>
      <c r="P628" s="33"/>
      <c r="Q628" s="33"/>
      <c r="R628" s="33"/>
      <c r="S628" s="33"/>
      <c r="T628" s="33"/>
      <c r="U628" s="33"/>
      <c r="V628" s="33"/>
      <c r="W628" s="33"/>
      <c r="X628" s="33"/>
      <c r="Y628" s="33"/>
      <c r="Z628" s="33"/>
      <c r="AA628" s="33"/>
      <c r="AB628" s="33"/>
    </row>
    <row r="629">
      <c r="A629" s="33"/>
      <c r="B629" s="33"/>
      <c r="C629" s="94"/>
      <c r="D629" s="33"/>
      <c r="E629" s="33"/>
      <c r="F629" s="33"/>
      <c r="G629" s="94"/>
      <c r="H629" s="33"/>
      <c r="I629" s="33"/>
      <c r="J629" s="33"/>
      <c r="K629" s="33"/>
      <c r="L629" s="33"/>
      <c r="M629" s="33"/>
      <c r="N629" s="33"/>
      <c r="O629" s="33"/>
      <c r="P629" s="33"/>
      <c r="Q629" s="33"/>
      <c r="R629" s="33"/>
      <c r="S629" s="33"/>
      <c r="T629" s="33"/>
      <c r="U629" s="33"/>
      <c r="V629" s="33"/>
      <c r="W629" s="33"/>
      <c r="X629" s="33"/>
      <c r="Y629" s="33"/>
      <c r="Z629" s="33"/>
      <c r="AA629" s="33"/>
      <c r="AB629" s="33"/>
    </row>
    <row r="630">
      <c r="A630" s="33"/>
      <c r="B630" s="33"/>
      <c r="C630" s="94"/>
      <c r="D630" s="33"/>
      <c r="E630" s="33"/>
      <c r="F630" s="33"/>
      <c r="G630" s="94"/>
      <c r="H630" s="33"/>
      <c r="I630" s="33"/>
      <c r="J630" s="33"/>
      <c r="K630" s="33"/>
      <c r="L630" s="33"/>
      <c r="M630" s="33"/>
      <c r="N630" s="33"/>
      <c r="O630" s="33"/>
      <c r="P630" s="33"/>
      <c r="Q630" s="33"/>
      <c r="R630" s="33"/>
      <c r="S630" s="33"/>
      <c r="T630" s="33"/>
      <c r="U630" s="33"/>
      <c r="V630" s="33"/>
      <c r="W630" s="33"/>
      <c r="X630" s="33"/>
      <c r="Y630" s="33"/>
      <c r="Z630" s="33"/>
      <c r="AA630" s="33"/>
      <c r="AB630" s="33"/>
    </row>
    <row r="631">
      <c r="A631" s="33"/>
      <c r="B631" s="33"/>
      <c r="C631" s="94"/>
      <c r="D631" s="33"/>
      <c r="E631" s="33"/>
      <c r="F631" s="33"/>
      <c r="G631" s="94"/>
      <c r="H631" s="33"/>
      <c r="I631" s="33"/>
      <c r="J631" s="33"/>
      <c r="K631" s="33"/>
      <c r="L631" s="33"/>
      <c r="M631" s="33"/>
      <c r="N631" s="33"/>
      <c r="O631" s="33"/>
      <c r="P631" s="33"/>
      <c r="Q631" s="33"/>
      <c r="R631" s="33"/>
      <c r="S631" s="33"/>
      <c r="T631" s="33"/>
      <c r="U631" s="33"/>
      <c r="V631" s="33"/>
      <c r="W631" s="33"/>
      <c r="X631" s="33"/>
      <c r="Y631" s="33"/>
      <c r="Z631" s="33"/>
      <c r="AA631" s="33"/>
      <c r="AB631" s="33"/>
    </row>
    <row r="632">
      <c r="A632" s="33"/>
      <c r="B632" s="33"/>
      <c r="C632" s="94"/>
      <c r="D632" s="33"/>
      <c r="E632" s="33"/>
      <c r="F632" s="33"/>
      <c r="G632" s="94"/>
      <c r="H632" s="33"/>
      <c r="I632" s="33"/>
      <c r="J632" s="33"/>
      <c r="K632" s="33"/>
      <c r="L632" s="33"/>
      <c r="M632" s="33"/>
      <c r="N632" s="33"/>
      <c r="O632" s="33"/>
      <c r="P632" s="33"/>
      <c r="Q632" s="33"/>
      <c r="R632" s="33"/>
      <c r="S632" s="33"/>
      <c r="T632" s="33"/>
      <c r="U632" s="33"/>
      <c r="V632" s="33"/>
      <c r="W632" s="33"/>
      <c r="X632" s="33"/>
      <c r="Y632" s="33"/>
      <c r="Z632" s="33"/>
      <c r="AA632" s="33"/>
      <c r="AB632" s="33"/>
    </row>
    <row r="633">
      <c r="A633" s="33"/>
      <c r="B633" s="33"/>
      <c r="C633" s="94"/>
      <c r="D633" s="33"/>
      <c r="E633" s="33"/>
      <c r="F633" s="33"/>
      <c r="G633" s="94"/>
      <c r="H633" s="33"/>
      <c r="I633" s="33"/>
      <c r="J633" s="33"/>
      <c r="K633" s="33"/>
      <c r="L633" s="33"/>
      <c r="M633" s="33"/>
      <c r="N633" s="33"/>
      <c r="O633" s="33"/>
      <c r="P633" s="33"/>
      <c r="Q633" s="33"/>
      <c r="R633" s="33"/>
      <c r="S633" s="33"/>
      <c r="T633" s="33"/>
      <c r="U633" s="33"/>
      <c r="V633" s="33"/>
      <c r="W633" s="33"/>
      <c r="X633" s="33"/>
      <c r="Y633" s="33"/>
      <c r="Z633" s="33"/>
      <c r="AA633" s="33"/>
      <c r="AB633" s="33"/>
    </row>
    <row r="634">
      <c r="A634" s="33"/>
      <c r="B634" s="33"/>
      <c r="C634" s="94"/>
      <c r="D634" s="33"/>
      <c r="E634" s="33"/>
      <c r="F634" s="33"/>
      <c r="G634" s="94"/>
      <c r="H634" s="33"/>
      <c r="I634" s="33"/>
      <c r="J634" s="33"/>
      <c r="K634" s="33"/>
      <c r="L634" s="33"/>
      <c r="M634" s="33"/>
      <c r="N634" s="33"/>
      <c r="O634" s="33"/>
      <c r="P634" s="33"/>
      <c r="Q634" s="33"/>
      <c r="R634" s="33"/>
      <c r="S634" s="33"/>
      <c r="T634" s="33"/>
      <c r="U634" s="33"/>
      <c r="V634" s="33"/>
      <c r="W634" s="33"/>
      <c r="X634" s="33"/>
      <c r="Y634" s="33"/>
      <c r="Z634" s="33"/>
      <c r="AA634" s="33"/>
      <c r="AB634" s="33"/>
    </row>
    <row r="635">
      <c r="A635" s="33"/>
      <c r="B635" s="33"/>
      <c r="C635" s="94"/>
      <c r="D635" s="33"/>
      <c r="E635" s="33"/>
      <c r="F635" s="33"/>
      <c r="G635" s="94"/>
      <c r="H635" s="33"/>
      <c r="I635" s="33"/>
      <c r="J635" s="33"/>
      <c r="K635" s="33"/>
      <c r="L635" s="33"/>
      <c r="M635" s="33"/>
      <c r="N635" s="33"/>
      <c r="O635" s="33"/>
      <c r="P635" s="33"/>
      <c r="Q635" s="33"/>
      <c r="R635" s="33"/>
      <c r="S635" s="33"/>
      <c r="T635" s="33"/>
      <c r="U635" s="33"/>
      <c r="V635" s="33"/>
      <c r="W635" s="33"/>
      <c r="X635" s="33"/>
      <c r="Y635" s="33"/>
      <c r="Z635" s="33"/>
      <c r="AA635" s="33"/>
      <c r="AB635" s="33"/>
    </row>
    <row r="636">
      <c r="A636" s="33"/>
      <c r="B636" s="33"/>
      <c r="C636" s="94"/>
      <c r="D636" s="33"/>
      <c r="E636" s="33"/>
      <c r="F636" s="33"/>
      <c r="G636" s="94"/>
      <c r="H636" s="33"/>
      <c r="I636" s="33"/>
      <c r="J636" s="33"/>
      <c r="K636" s="33"/>
      <c r="L636" s="33"/>
      <c r="M636" s="33"/>
      <c r="N636" s="33"/>
      <c r="O636" s="33"/>
      <c r="P636" s="33"/>
      <c r="Q636" s="33"/>
      <c r="R636" s="33"/>
      <c r="S636" s="33"/>
      <c r="T636" s="33"/>
      <c r="U636" s="33"/>
      <c r="V636" s="33"/>
      <c r="W636" s="33"/>
      <c r="X636" s="33"/>
      <c r="Y636" s="33"/>
      <c r="Z636" s="33"/>
      <c r="AA636" s="33"/>
      <c r="AB636" s="33"/>
    </row>
    <row r="637">
      <c r="A637" s="33"/>
      <c r="B637" s="33"/>
      <c r="C637" s="94"/>
      <c r="D637" s="33"/>
      <c r="E637" s="33"/>
      <c r="F637" s="33"/>
      <c r="G637" s="94"/>
      <c r="H637" s="33"/>
      <c r="I637" s="33"/>
      <c r="J637" s="33"/>
      <c r="K637" s="33"/>
      <c r="L637" s="33"/>
      <c r="M637" s="33"/>
      <c r="N637" s="33"/>
      <c r="O637" s="33"/>
      <c r="P637" s="33"/>
      <c r="Q637" s="33"/>
      <c r="R637" s="33"/>
      <c r="S637" s="33"/>
      <c r="T637" s="33"/>
      <c r="U637" s="33"/>
      <c r="V637" s="33"/>
      <c r="W637" s="33"/>
      <c r="X637" s="33"/>
      <c r="Y637" s="33"/>
      <c r="Z637" s="33"/>
      <c r="AA637" s="33"/>
      <c r="AB637" s="33"/>
    </row>
    <row r="638">
      <c r="A638" s="33"/>
      <c r="B638" s="33"/>
      <c r="C638" s="94"/>
      <c r="D638" s="33"/>
      <c r="E638" s="33"/>
      <c r="F638" s="33"/>
      <c r="G638" s="94"/>
      <c r="H638" s="33"/>
      <c r="I638" s="33"/>
      <c r="J638" s="33"/>
      <c r="K638" s="33"/>
      <c r="L638" s="33"/>
      <c r="M638" s="33"/>
      <c r="N638" s="33"/>
      <c r="O638" s="33"/>
      <c r="P638" s="33"/>
      <c r="Q638" s="33"/>
      <c r="R638" s="33"/>
      <c r="S638" s="33"/>
      <c r="T638" s="33"/>
      <c r="U638" s="33"/>
      <c r="V638" s="33"/>
      <c r="W638" s="33"/>
      <c r="X638" s="33"/>
      <c r="Y638" s="33"/>
      <c r="Z638" s="33"/>
      <c r="AA638" s="33"/>
      <c r="AB638" s="33"/>
    </row>
    <row r="639">
      <c r="A639" s="33"/>
      <c r="B639" s="33"/>
      <c r="C639" s="94"/>
      <c r="D639" s="33"/>
      <c r="E639" s="33"/>
      <c r="F639" s="33"/>
      <c r="G639" s="94"/>
      <c r="H639" s="33"/>
      <c r="I639" s="33"/>
      <c r="J639" s="33"/>
      <c r="K639" s="33"/>
      <c r="L639" s="33"/>
      <c r="M639" s="33"/>
      <c r="N639" s="33"/>
      <c r="O639" s="33"/>
      <c r="P639" s="33"/>
      <c r="Q639" s="33"/>
      <c r="R639" s="33"/>
      <c r="S639" s="33"/>
      <c r="T639" s="33"/>
      <c r="U639" s="33"/>
      <c r="V639" s="33"/>
      <c r="W639" s="33"/>
      <c r="X639" s="33"/>
      <c r="Y639" s="33"/>
      <c r="Z639" s="33"/>
      <c r="AA639" s="33"/>
      <c r="AB639" s="33"/>
    </row>
    <row r="640">
      <c r="A640" s="33"/>
      <c r="B640" s="33"/>
      <c r="C640" s="94"/>
      <c r="D640" s="33"/>
      <c r="E640" s="33"/>
      <c r="F640" s="33"/>
      <c r="G640" s="94"/>
      <c r="H640" s="33"/>
      <c r="I640" s="33"/>
      <c r="J640" s="33"/>
      <c r="K640" s="33"/>
      <c r="L640" s="33"/>
      <c r="M640" s="33"/>
      <c r="N640" s="33"/>
      <c r="O640" s="33"/>
      <c r="P640" s="33"/>
      <c r="Q640" s="33"/>
      <c r="R640" s="33"/>
      <c r="S640" s="33"/>
      <c r="T640" s="33"/>
      <c r="U640" s="33"/>
      <c r="V640" s="33"/>
      <c r="W640" s="33"/>
      <c r="X640" s="33"/>
      <c r="Y640" s="33"/>
      <c r="Z640" s="33"/>
      <c r="AA640" s="33"/>
      <c r="AB640" s="33"/>
    </row>
    <row r="641">
      <c r="A641" s="33"/>
      <c r="B641" s="33"/>
      <c r="C641" s="94"/>
      <c r="D641" s="33"/>
      <c r="E641" s="33"/>
      <c r="F641" s="33"/>
      <c r="G641" s="94"/>
      <c r="H641" s="33"/>
      <c r="I641" s="33"/>
      <c r="J641" s="33"/>
      <c r="K641" s="33"/>
      <c r="L641" s="33"/>
      <c r="M641" s="33"/>
      <c r="N641" s="33"/>
      <c r="O641" s="33"/>
      <c r="P641" s="33"/>
      <c r="Q641" s="33"/>
      <c r="R641" s="33"/>
      <c r="S641" s="33"/>
      <c r="T641" s="33"/>
      <c r="U641" s="33"/>
      <c r="V641" s="33"/>
      <c r="W641" s="33"/>
      <c r="X641" s="33"/>
      <c r="Y641" s="33"/>
      <c r="Z641" s="33"/>
      <c r="AA641" s="33"/>
      <c r="AB641" s="33"/>
    </row>
    <row r="642">
      <c r="A642" s="33"/>
      <c r="B642" s="33"/>
      <c r="C642" s="94"/>
      <c r="D642" s="33"/>
      <c r="E642" s="33"/>
      <c r="F642" s="33"/>
      <c r="G642" s="94"/>
      <c r="H642" s="33"/>
      <c r="I642" s="33"/>
      <c r="J642" s="33"/>
      <c r="K642" s="33"/>
      <c r="L642" s="33"/>
      <c r="M642" s="33"/>
      <c r="N642" s="33"/>
      <c r="O642" s="33"/>
      <c r="P642" s="33"/>
      <c r="Q642" s="33"/>
      <c r="R642" s="33"/>
      <c r="S642" s="33"/>
      <c r="T642" s="33"/>
      <c r="U642" s="33"/>
      <c r="V642" s="33"/>
      <c r="W642" s="33"/>
      <c r="X642" s="33"/>
      <c r="Y642" s="33"/>
      <c r="Z642" s="33"/>
      <c r="AA642" s="33"/>
      <c r="AB642" s="33"/>
    </row>
    <row r="643">
      <c r="A643" s="33"/>
      <c r="B643" s="33"/>
      <c r="C643" s="94"/>
      <c r="D643" s="33"/>
      <c r="E643" s="33"/>
      <c r="F643" s="33"/>
      <c r="G643" s="94"/>
      <c r="H643" s="33"/>
      <c r="I643" s="33"/>
      <c r="J643" s="33"/>
      <c r="K643" s="33"/>
      <c r="L643" s="33"/>
      <c r="M643" s="33"/>
      <c r="N643" s="33"/>
      <c r="O643" s="33"/>
      <c r="P643" s="33"/>
      <c r="Q643" s="33"/>
      <c r="R643" s="33"/>
      <c r="S643" s="33"/>
      <c r="T643" s="33"/>
      <c r="U643" s="33"/>
      <c r="V643" s="33"/>
      <c r="W643" s="33"/>
      <c r="X643" s="33"/>
      <c r="Y643" s="33"/>
      <c r="Z643" s="33"/>
      <c r="AA643" s="33"/>
      <c r="AB643" s="33"/>
    </row>
    <row r="644">
      <c r="A644" s="33"/>
      <c r="B644" s="33"/>
      <c r="C644" s="94"/>
      <c r="D644" s="33"/>
      <c r="E644" s="33"/>
      <c r="F644" s="33"/>
      <c r="G644" s="94"/>
      <c r="H644" s="33"/>
      <c r="I644" s="33"/>
      <c r="J644" s="33"/>
      <c r="K644" s="33"/>
      <c r="L644" s="33"/>
      <c r="M644" s="33"/>
      <c r="N644" s="33"/>
      <c r="O644" s="33"/>
      <c r="P644" s="33"/>
      <c r="Q644" s="33"/>
      <c r="R644" s="33"/>
      <c r="S644" s="33"/>
      <c r="T644" s="33"/>
      <c r="U644" s="33"/>
      <c r="V644" s="33"/>
      <c r="W644" s="33"/>
      <c r="X644" s="33"/>
      <c r="Y644" s="33"/>
      <c r="Z644" s="33"/>
      <c r="AA644" s="33"/>
      <c r="AB644" s="33"/>
    </row>
    <row r="645">
      <c r="A645" s="33"/>
      <c r="B645" s="33"/>
      <c r="C645" s="94"/>
      <c r="D645" s="33"/>
      <c r="E645" s="33"/>
      <c r="F645" s="33"/>
      <c r="G645" s="94"/>
      <c r="H645" s="33"/>
      <c r="I645" s="33"/>
      <c r="J645" s="33"/>
      <c r="K645" s="33"/>
      <c r="L645" s="33"/>
      <c r="M645" s="33"/>
      <c r="N645" s="33"/>
      <c r="O645" s="33"/>
      <c r="P645" s="33"/>
      <c r="Q645" s="33"/>
      <c r="R645" s="33"/>
      <c r="S645" s="33"/>
      <c r="T645" s="33"/>
      <c r="U645" s="33"/>
      <c r="V645" s="33"/>
      <c r="W645" s="33"/>
      <c r="X645" s="33"/>
      <c r="Y645" s="33"/>
      <c r="Z645" s="33"/>
      <c r="AA645" s="33"/>
      <c r="AB645" s="33"/>
    </row>
    <row r="646">
      <c r="A646" s="33"/>
      <c r="B646" s="33"/>
      <c r="C646" s="94"/>
      <c r="D646" s="33"/>
      <c r="E646" s="33"/>
      <c r="F646" s="33"/>
      <c r="G646" s="94"/>
      <c r="H646" s="33"/>
      <c r="I646" s="33"/>
      <c r="J646" s="33"/>
      <c r="K646" s="33"/>
      <c r="L646" s="33"/>
      <c r="M646" s="33"/>
      <c r="N646" s="33"/>
      <c r="O646" s="33"/>
      <c r="P646" s="33"/>
      <c r="Q646" s="33"/>
      <c r="R646" s="33"/>
      <c r="S646" s="33"/>
      <c r="T646" s="33"/>
      <c r="U646" s="33"/>
      <c r="V646" s="33"/>
      <c r="W646" s="33"/>
      <c r="X646" s="33"/>
      <c r="Y646" s="33"/>
      <c r="Z646" s="33"/>
      <c r="AA646" s="33"/>
      <c r="AB646" s="33"/>
    </row>
    <row r="647">
      <c r="A647" s="33"/>
      <c r="B647" s="33"/>
      <c r="C647" s="94"/>
      <c r="D647" s="33"/>
      <c r="E647" s="33"/>
      <c r="F647" s="33"/>
      <c r="G647" s="94"/>
      <c r="H647" s="33"/>
      <c r="I647" s="33"/>
      <c r="J647" s="33"/>
      <c r="K647" s="33"/>
      <c r="L647" s="33"/>
      <c r="M647" s="33"/>
      <c r="N647" s="33"/>
      <c r="O647" s="33"/>
      <c r="P647" s="33"/>
      <c r="Q647" s="33"/>
      <c r="R647" s="33"/>
      <c r="S647" s="33"/>
      <c r="T647" s="33"/>
      <c r="U647" s="33"/>
      <c r="V647" s="33"/>
      <c r="W647" s="33"/>
      <c r="X647" s="33"/>
      <c r="Y647" s="33"/>
      <c r="Z647" s="33"/>
      <c r="AA647" s="33"/>
      <c r="AB647" s="33"/>
    </row>
    <row r="648">
      <c r="A648" s="33"/>
      <c r="B648" s="33"/>
      <c r="C648" s="94"/>
      <c r="D648" s="33"/>
      <c r="E648" s="33"/>
      <c r="F648" s="33"/>
      <c r="G648" s="94"/>
      <c r="H648" s="33"/>
      <c r="I648" s="33"/>
      <c r="J648" s="33"/>
      <c r="K648" s="33"/>
      <c r="L648" s="33"/>
      <c r="M648" s="33"/>
      <c r="N648" s="33"/>
      <c r="O648" s="33"/>
      <c r="P648" s="33"/>
      <c r="Q648" s="33"/>
      <c r="R648" s="33"/>
      <c r="S648" s="33"/>
      <c r="T648" s="33"/>
      <c r="U648" s="33"/>
      <c r="V648" s="33"/>
      <c r="W648" s="33"/>
      <c r="X648" s="33"/>
      <c r="Y648" s="33"/>
      <c r="Z648" s="33"/>
      <c r="AA648" s="33"/>
      <c r="AB648" s="33"/>
    </row>
    <row r="649">
      <c r="A649" s="33"/>
      <c r="B649" s="33"/>
      <c r="C649" s="94"/>
      <c r="D649" s="33"/>
      <c r="E649" s="33"/>
      <c r="F649" s="33"/>
      <c r="G649" s="94"/>
      <c r="H649" s="33"/>
      <c r="I649" s="33"/>
      <c r="J649" s="33"/>
      <c r="K649" s="33"/>
      <c r="L649" s="33"/>
      <c r="M649" s="33"/>
      <c r="N649" s="33"/>
      <c r="O649" s="33"/>
      <c r="P649" s="33"/>
      <c r="Q649" s="33"/>
      <c r="R649" s="33"/>
      <c r="S649" s="33"/>
      <c r="T649" s="33"/>
      <c r="U649" s="33"/>
      <c r="V649" s="33"/>
      <c r="W649" s="33"/>
      <c r="X649" s="33"/>
      <c r="Y649" s="33"/>
      <c r="Z649" s="33"/>
      <c r="AA649" s="33"/>
      <c r="AB649" s="33"/>
    </row>
    <row r="650">
      <c r="A650" s="33"/>
      <c r="B650" s="33"/>
      <c r="C650" s="94"/>
      <c r="D650" s="33"/>
      <c r="E650" s="33"/>
      <c r="F650" s="33"/>
      <c r="G650" s="94"/>
      <c r="H650" s="33"/>
      <c r="I650" s="33"/>
      <c r="J650" s="33"/>
      <c r="K650" s="33"/>
      <c r="L650" s="33"/>
      <c r="M650" s="33"/>
      <c r="N650" s="33"/>
      <c r="O650" s="33"/>
      <c r="P650" s="33"/>
      <c r="Q650" s="33"/>
      <c r="R650" s="33"/>
      <c r="S650" s="33"/>
      <c r="T650" s="33"/>
      <c r="U650" s="33"/>
      <c r="V650" s="33"/>
      <c r="W650" s="33"/>
      <c r="X650" s="33"/>
      <c r="Y650" s="33"/>
      <c r="Z650" s="33"/>
      <c r="AA650" s="33"/>
      <c r="AB650" s="33"/>
    </row>
    <row r="651">
      <c r="A651" s="33"/>
      <c r="B651" s="33"/>
      <c r="C651" s="94"/>
      <c r="D651" s="33"/>
      <c r="E651" s="33"/>
      <c r="F651" s="33"/>
      <c r="G651" s="94"/>
      <c r="H651" s="33"/>
      <c r="I651" s="33"/>
      <c r="J651" s="33"/>
      <c r="K651" s="33"/>
      <c r="L651" s="33"/>
      <c r="M651" s="33"/>
      <c r="N651" s="33"/>
      <c r="O651" s="33"/>
      <c r="P651" s="33"/>
      <c r="Q651" s="33"/>
      <c r="R651" s="33"/>
      <c r="S651" s="33"/>
      <c r="T651" s="33"/>
      <c r="U651" s="33"/>
      <c r="V651" s="33"/>
      <c r="W651" s="33"/>
      <c r="X651" s="33"/>
      <c r="Y651" s="33"/>
      <c r="Z651" s="33"/>
      <c r="AA651" s="33"/>
      <c r="AB651" s="33"/>
    </row>
    <row r="652">
      <c r="A652" s="33"/>
      <c r="B652" s="33"/>
      <c r="C652" s="94"/>
      <c r="D652" s="33"/>
      <c r="E652" s="33"/>
      <c r="F652" s="33"/>
      <c r="G652" s="94"/>
      <c r="H652" s="33"/>
      <c r="I652" s="33"/>
      <c r="J652" s="33"/>
      <c r="K652" s="33"/>
      <c r="L652" s="33"/>
      <c r="M652" s="33"/>
      <c r="N652" s="33"/>
      <c r="O652" s="33"/>
      <c r="P652" s="33"/>
      <c r="Q652" s="33"/>
      <c r="R652" s="33"/>
      <c r="S652" s="33"/>
      <c r="T652" s="33"/>
      <c r="U652" s="33"/>
      <c r="V652" s="33"/>
      <c r="W652" s="33"/>
      <c r="X652" s="33"/>
      <c r="Y652" s="33"/>
      <c r="Z652" s="33"/>
      <c r="AA652" s="33"/>
      <c r="AB652" s="33"/>
    </row>
    <row r="653">
      <c r="A653" s="33"/>
      <c r="B653" s="33"/>
      <c r="C653" s="94"/>
      <c r="D653" s="33"/>
      <c r="E653" s="33"/>
      <c r="F653" s="33"/>
      <c r="G653" s="94"/>
      <c r="H653" s="33"/>
      <c r="I653" s="33"/>
      <c r="J653" s="33"/>
      <c r="K653" s="33"/>
      <c r="L653" s="33"/>
      <c r="M653" s="33"/>
      <c r="N653" s="33"/>
      <c r="O653" s="33"/>
      <c r="P653" s="33"/>
      <c r="Q653" s="33"/>
      <c r="R653" s="33"/>
      <c r="S653" s="33"/>
      <c r="T653" s="33"/>
      <c r="U653" s="33"/>
      <c r="V653" s="33"/>
      <c r="W653" s="33"/>
      <c r="X653" s="33"/>
      <c r="Y653" s="33"/>
      <c r="Z653" s="33"/>
      <c r="AA653" s="33"/>
      <c r="AB653" s="33"/>
    </row>
    <row r="654">
      <c r="A654" s="33"/>
      <c r="B654" s="33"/>
      <c r="C654" s="94"/>
      <c r="D654" s="33"/>
      <c r="E654" s="33"/>
      <c r="F654" s="33"/>
      <c r="G654" s="94"/>
      <c r="H654" s="33"/>
      <c r="I654" s="33"/>
      <c r="J654" s="33"/>
      <c r="K654" s="33"/>
      <c r="L654" s="33"/>
      <c r="M654" s="33"/>
      <c r="N654" s="33"/>
      <c r="O654" s="33"/>
      <c r="P654" s="33"/>
      <c r="Q654" s="33"/>
      <c r="R654" s="33"/>
      <c r="S654" s="33"/>
      <c r="T654" s="33"/>
      <c r="U654" s="33"/>
      <c r="V654" s="33"/>
      <c r="W654" s="33"/>
      <c r="X654" s="33"/>
      <c r="Y654" s="33"/>
      <c r="Z654" s="33"/>
      <c r="AA654" s="33"/>
      <c r="AB654" s="33"/>
    </row>
    <row r="655">
      <c r="A655" s="33"/>
      <c r="B655" s="33"/>
      <c r="C655" s="94"/>
      <c r="D655" s="33"/>
      <c r="E655" s="33"/>
      <c r="F655" s="33"/>
      <c r="G655" s="94"/>
      <c r="H655" s="33"/>
      <c r="I655" s="33"/>
      <c r="J655" s="33"/>
      <c r="K655" s="33"/>
      <c r="L655" s="33"/>
      <c r="M655" s="33"/>
      <c r="N655" s="33"/>
      <c r="O655" s="33"/>
      <c r="P655" s="33"/>
      <c r="Q655" s="33"/>
      <c r="R655" s="33"/>
      <c r="S655" s="33"/>
      <c r="T655" s="33"/>
      <c r="U655" s="33"/>
      <c r="V655" s="33"/>
      <c r="W655" s="33"/>
      <c r="X655" s="33"/>
      <c r="Y655" s="33"/>
      <c r="Z655" s="33"/>
      <c r="AA655" s="33"/>
      <c r="AB655" s="33"/>
    </row>
    <row r="656">
      <c r="A656" s="33"/>
      <c r="B656" s="33"/>
      <c r="C656" s="94"/>
      <c r="D656" s="33"/>
      <c r="E656" s="33"/>
      <c r="F656" s="33"/>
      <c r="G656" s="94"/>
      <c r="H656" s="33"/>
      <c r="I656" s="33"/>
      <c r="J656" s="33"/>
      <c r="K656" s="33"/>
      <c r="L656" s="33"/>
      <c r="M656" s="33"/>
      <c r="N656" s="33"/>
      <c r="O656" s="33"/>
      <c r="P656" s="33"/>
      <c r="Q656" s="33"/>
      <c r="R656" s="33"/>
      <c r="S656" s="33"/>
      <c r="T656" s="33"/>
      <c r="U656" s="33"/>
      <c r="V656" s="33"/>
      <c r="W656" s="33"/>
      <c r="X656" s="33"/>
      <c r="Y656" s="33"/>
      <c r="Z656" s="33"/>
      <c r="AA656" s="33"/>
      <c r="AB656" s="33"/>
    </row>
    <row r="657">
      <c r="A657" s="33"/>
      <c r="B657" s="33"/>
      <c r="C657" s="94"/>
      <c r="D657" s="33"/>
      <c r="E657" s="33"/>
      <c r="F657" s="33"/>
      <c r="G657" s="94"/>
      <c r="H657" s="33"/>
      <c r="I657" s="33"/>
      <c r="J657" s="33"/>
      <c r="K657" s="33"/>
      <c r="L657" s="33"/>
      <c r="M657" s="33"/>
      <c r="N657" s="33"/>
      <c r="O657" s="33"/>
      <c r="P657" s="33"/>
      <c r="Q657" s="33"/>
      <c r="R657" s="33"/>
      <c r="S657" s="33"/>
      <c r="T657" s="33"/>
      <c r="U657" s="33"/>
      <c r="V657" s="33"/>
      <c r="W657" s="33"/>
      <c r="X657" s="33"/>
      <c r="Y657" s="33"/>
      <c r="Z657" s="33"/>
      <c r="AA657" s="33"/>
      <c r="AB657" s="33"/>
    </row>
    <row r="658">
      <c r="A658" s="33"/>
      <c r="B658" s="33"/>
      <c r="C658" s="94"/>
      <c r="D658" s="33"/>
      <c r="E658" s="33"/>
      <c r="F658" s="33"/>
      <c r="G658" s="94"/>
      <c r="H658" s="33"/>
      <c r="I658" s="33"/>
      <c r="J658" s="33"/>
      <c r="K658" s="33"/>
      <c r="L658" s="33"/>
      <c r="M658" s="33"/>
      <c r="N658" s="33"/>
      <c r="O658" s="33"/>
      <c r="P658" s="33"/>
      <c r="Q658" s="33"/>
      <c r="R658" s="33"/>
      <c r="S658" s="33"/>
      <c r="T658" s="33"/>
      <c r="U658" s="33"/>
      <c r="V658" s="33"/>
      <c r="W658" s="33"/>
      <c r="X658" s="33"/>
      <c r="Y658" s="33"/>
      <c r="Z658" s="33"/>
      <c r="AA658" s="33"/>
      <c r="AB658" s="33"/>
    </row>
    <row r="659">
      <c r="A659" s="33"/>
      <c r="B659" s="33"/>
      <c r="C659" s="94"/>
      <c r="D659" s="33"/>
      <c r="E659" s="33"/>
      <c r="F659" s="33"/>
      <c r="G659" s="94"/>
      <c r="H659" s="33"/>
      <c r="I659" s="33"/>
      <c r="J659" s="33"/>
      <c r="K659" s="33"/>
      <c r="L659" s="33"/>
      <c r="M659" s="33"/>
      <c r="N659" s="33"/>
      <c r="O659" s="33"/>
      <c r="P659" s="33"/>
      <c r="Q659" s="33"/>
      <c r="R659" s="33"/>
      <c r="S659" s="33"/>
      <c r="T659" s="33"/>
      <c r="U659" s="33"/>
      <c r="V659" s="33"/>
      <c r="W659" s="33"/>
      <c r="X659" s="33"/>
      <c r="Y659" s="33"/>
      <c r="Z659" s="33"/>
      <c r="AA659" s="33"/>
      <c r="AB659" s="33"/>
    </row>
    <row r="660">
      <c r="A660" s="33"/>
      <c r="B660" s="33"/>
      <c r="C660" s="94"/>
      <c r="D660" s="33"/>
      <c r="E660" s="33"/>
      <c r="F660" s="33"/>
      <c r="G660" s="94"/>
      <c r="H660" s="33"/>
      <c r="I660" s="33"/>
      <c r="J660" s="33"/>
      <c r="K660" s="33"/>
      <c r="L660" s="33"/>
      <c r="M660" s="33"/>
      <c r="N660" s="33"/>
      <c r="O660" s="33"/>
      <c r="P660" s="33"/>
      <c r="Q660" s="33"/>
      <c r="R660" s="33"/>
      <c r="S660" s="33"/>
      <c r="T660" s="33"/>
      <c r="U660" s="33"/>
      <c r="V660" s="33"/>
      <c r="W660" s="33"/>
      <c r="X660" s="33"/>
      <c r="Y660" s="33"/>
      <c r="Z660" s="33"/>
      <c r="AA660" s="33"/>
      <c r="AB660" s="33"/>
    </row>
    <row r="661">
      <c r="A661" s="33"/>
      <c r="B661" s="33"/>
      <c r="C661" s="94"/>
      <c r="D661" s="33"/>
      <c r="E661" s="33"/>
      <c r="F661" s="33"/>
      <c r="G661" s="94"/>
      <c r="H661" s="33"/>
      <c r="I661" s="33"/>
      <c r="J661" s="33"/>
      <c r="K661" s="33"/>
      <c r="L661" s="33"/>
      <c r="M661" s="33"/>
      <c r="N661" s="33"/>
      <c r="O661" s="33"/>
      <c r="P661" s="33"/>
      <c r="Q661" s="33"/>
      <c r="R661" s="33"/>
      <c r="S661" s="33"/>
      <c r="T661" s="33"/>
      <c r="U661" s="33"/>
      <c r="V661" s="33"/>
      <c r="W661" s="33"/>
      <c r="X661" s="33"/>
      <c r="Y661" s="33"/>
      <c r="Z661" s="33"/>
      <c r="AA661" s="33"/>
      <c r="AB661" s="33"/>
    </row>
    <row r="662">
      <c r="A662" s="33"/>
      <c r="B662" s="33"/>
      <c r="C662" s="94"/>
      <c r="D662" s="33"/>
      <c r="E662" s="33"/>
      <c r="F662" s="33"/>
      <c r="G662" s="94"/>
      <c r="H662" s="33"/>
      <c r="I662" s="33"/>
      <c r="J662" s="33"/>
      <c r="K662" s="33"/>
      <c r="L662" s="33"/>
      <c r="M662" s="33"/>
      <c r="N662" s="33"/>
      <c r="O662" s="33"/>
      <c r="P662" s="33"/>
      <c r="Q662" s="33"/>
      <c r="R662" s="33"/>
      <c r="S662" s="33"/>
      <c r="T662" s="33"/>
      <c r="U662" s="33"/>
      <c r="V662" s="33"/>
      <c r="W662" s="33"/>
      <c r="X662" s="33"/>
      <c r="Y662" s="33"/>
      <c r="Z662" s="33"/>
      <c r="AA662" s="33"/>
      <c r="AB662" s="33"/>
    </row>
    <row r="663">
      <c r="A663" s="33"/>
      <c r="B663" s="33"/>
      <c r="C663" s="94"/>
      <c r="D663" s="33"/>
      <c r="E663" s="33"/>
      <c r="F663" s="33"/>
      <c r="G663" s="94"/>
      <c r="H663" s="33"/>
      <c r="I663" s="33"/>
      <c r="J663" s="33"/>
      <c r="K663" s="33"/>
      <c r="L663" s="33"/>
      <c r="M663" s="33"/>
      <c r="N663" s="33"/>
      <c r="O663" s="33"/>
      <c r="P663" s="33"/>
      <c r="Q663" s="33"/>
      <c r="R663" s="33"/>
      <c r="S663" s="33"/>
      <c r="T663" s="33"/>
      <c r="U663" s="33"/>
      <c r="V663" s="33"/>
      <c r="W663" s="33"/>
      <c r="X663" s="33"/>
      <c r="Y663" s="33"/>
      <c r="Z663" s="33"/>
      <c r="AA663" s="33"/>
      <c r="AB663" s="33"/>
    </row>
    <row r="664">
      <c r="A664" s="33"/>
      <c r="B664" s="33"/>
      <c r="C664" s="94"/>
      <c r="D664" s="33"/>
      <c r="E664" s="33"/>
      <c r="F664" s="33"/>
      <c r="G664" s="94"/>
      <c r="H664" s="33"/>
      <c r="I664" s="33"/>
      <c r="J664" s="33"/>
      <c r="K664" s="33"/>
      <c r="L664" s="33"/>
      <c r="M664" s="33"/>
      <c r="N664" s="33"/>
      <c r="O664" s="33"/>
      <c r="P664" s="33"/>
      <c r="Q664" s="33"/>
      <c r="R664" s="33"/>
      <c r="S664" s="33"/>
      <c r="T664" s="33"/>
      <c r="U664" s="33"/>
      <c r="V664" s="33"/>
      <c r="W664" s="33"/>
      <c r="X664" s="33"/>
      <c r="Y664" s="33"/>
      <c r="Z664" s="33"/>
      <c r="AA664" s="33"/>
      <c r="AB664" s="33"/>
    </row>
    <row r="665">
      <c r="A665" s="33"/>
      <c r="B665" s="33"/>
      <c r="C665" s="94"/>
      <c r="D665" s="33"/>
      <c r="E665" s="33"/>
      <c r="F665" s="33"/>
      <c r="G665" s="94"/>
      <c r="H665" s="33"/>
      <c r="I665" s="33"/>
      <c r="J665" s="33"/>
      <c r="K665" s="33"/>
      <c r="L665" s="33"/>
      <c r="M665" s="33"/>
      <c r="N665" s="33"/>
      <c r="O665" s="33"/>
      <c r="P665" s="33"/>
      <c r="Q665" s="33"/>
      <c r="R665" s="33"/>
      <c r="S665" s="33"/>
      <c r="T665" s="33"/>
      <c r="U665" s="33"/>
      <c r="V665" s="33"/>
      <c r="W665" s="33"/>
      <c r="X665" s="33"/>
      <c r="Y665" s="33"/>
      <c r="Z665" s="33"/>
      <c r="AA665" s="33"/>
      <c r="AB665" s="33"/>
    </row>
    <row r="666">
      <c r="A666" s="33"/>
      <c r="B666" s="33"/>
      <c r="C666" s="94"/>
      <c r="D666" s="33"/>
      <c r="E666" s="33"/>
      <c r="F666" s="33"/>
      <c r="G666" s="94"/>
      <c r="H666" s="33"/>
      <c r="I666" s="33"/>
      <c r="J666" s="33"/>
      <c r="K666" s="33"/>
      <c r="L666" s="33"/>
      <c r="M666" s="33"/>
      <c r="N666" s="33"/>
      <c r="O666" s="33"/>
      <c r="P666" s="33"/>
      <c r="Q666" s="33"/>
      <c r="R666" s="33"/>
      <c r="S666" s="33"/>
      <c r="T666" s="33"/>
      <c r="U666" s="33"/>
      <c r="V666" s="33"/>
      <c r="W666" s="33"/>
      <c r="X666" s="33"/>
      <c r="Y666" s="33"/>
      <c r="Z666" s="33"/>
      <c r="AA666" s="33"/>
      <c r="AB666" s="33"/>
    </row>
    <row r="667">
      <c r="A667" s="33"/>
      <c r="B667" s="33"/>
      <c r="C667" s="94"/>
      <c r="D667" s="33"/>
      <c r="E667" s="33"/>
      <c r="F667" s="33"/>
      <c r="G667" s="94"/>
      <c r="H667" s="33"/>
      <c r="I667" s="33"/>
      <c r="J667" s="33"/>
      <c r="K667" s="33"/>
      <c r="L667" s="33"/>
      <c r="M667" s="33"/>
      <c r="N667" s="33"/>
      <c r="O667" s="33"/>
      <c r="P667" s="33"/>
      <c r="Q667" s="33"/>
      <c r="R667" s="33"/>
      <c r="S667" s="33"/>
      <c r="T667" s="33"/>
      <c r="U667" s="33"/>
      <c r="V667" s="33"/>
      <c r="W667" s="33"/>
      <c r="X667" s="33"/>
      <c r="Y667" s="33"/>
      <c r="Z667" s="33"/>
      <c r="AA667" s="33"/>
      <c r="AB667" s="33"/>
    </row>
    <row r="668">
      <c r="A668" s="33"/>
      <c r="B668" s="33"/>
      <c r="C668" s="94"/>
      <c r="D668" s="33"/>
      <c r="E668" s="33"/>
      <c r="F668" s="33"/>
      <c r="G668" s="94"/>
      <c r="H668" s="33"/>
      <c r="I668" s="33"/>
      <c r="J668" s="33"/>
      <c r="K668" s="33"/>
      <c r="L668" s="33"/>
      <c r="M668" s="33"/>
      <c r="N668" s="33"/>
      <c r="O668" s="33"/>
      <c r="P668" s="33"/>
      <c r="Q668" s="33"/>
      <c r="R668" s="33"/>
      <c r="S668" s="33"/>
      <c r="T668" s="33"/>
      <c r="U668" s="33"/>
      <c r="V668" s="33"/>
      <c r="W668" s="33"/>
      <c r="X668" s="33"/>
      <c r="Y668" s="33"/>
      <c r="Z668" s="33"/>
      <c r="AA668" s="33"/>
      <c r="AB668" s="33"/>
    </row>
    <row r="669">
      <c r="A669" s="33"/>
      <c r="B669" s="33"/>
      <c r="C669" s="94"/>
      <c r="D669" s="33"/>
      <c r="E669" s="33"/>
      <c r="F669" s="33"/>
      <c r="G669" s="94"/>
      <c r="H669" s="33"/>
      <c r="I669" s="33"/>
      <c r="J669" s="33"/>
      <c r="K669" s="33"/>
      <c r="L669" s="33"/>
      <c r="M669" s="33"/>
      <c r="N669" s="33"/>
      <c r="O669" s="33"/>
      <c r="P669" s="33"/>
      <c r="Q669" s="33"/>
      <c r="R669" s="33"/>
      <c r="S669" s="33"/>
      <c r="T669" s="33"/>
      <c r="U669" s="33"/>
      <c r="V669" s="33"/>
      <c r="W669" s="33"/>
      <c r="X669" s="33"/>
      <c r="Y669" s="33"/>
      <c r="Z669" s="33"/>
      <c r="AA669" s="33"/>
      <c r="AB669" s="33"/>
    </row>
    <row r="670">
      <c r="A670" s="33"/>
      <c r="B670" s="33"/>
      <c r="C670" s="94"/>
      <c r="D670" s="33"/>
      <c r="E670" s="33"/>
      <c r="F670" s="33"/>
      <c r="G670" s="94"/>
      <c r="H670" s="33"/>
      <c r="I670" s="33"/>
      <c r="J670" s="33"/>
      <c r="K670" s="33"/>
      <c r="L670" s="33"/>
      <c r="M670" s="33"/>
      <c r="N670" s="33"/>
      <c r="O670" s="33"/>
      <c r="P670" s="33"/>
      <c r="Q670" s="33"/>
      <c r="R670" s="33"/>
      <c r="S670" s="33"/>
      <c r="T670" s="33"/>
      <c r="U670" s="33"/>
      <c r="V670" s="33"/>
      <c r="W670" s="33"/>
      <c r="X670" s="33"/>
      <c r="Y670" s="33"/>
      <c r="Z670" s="33"/>
      <c r="AA670" s="33"/>
      <c r="AB670" s="33"/>
    </row>
    <row r="671">
      <c r="A671" s="33"/>
      <c r="B671" s="33"/>
      <c r="C671" s="94"/>
      <c r="D671" s="33"/>
      <c r="E671" s="33"/>
      <c r="F671" s="33"/>
      <c r="G671" s="94"/>
      <c r="H671" s="33"/>
      <c r="I671" s="33"/>
      <c r="J671" s="33"/>
      <c r="K671" s="33"/>
      <c r="L671" s="33"/>
      <c r="M671" s="33"/>
      <c r="N671" s="33"/>
      <c r="O671" s="33"/>
      <c r="P671" s="33"/>
      <c r="Q671" s="33"/>
      <c r="R671" s="33"/>
      <c r="S671" s="33"/>
      <c r="T671" s="33"/>
      <c r="U671" s="33"/>
      <c r="V671" s="33"/>
      <c r="W671" s="33"/>
      <c r="X671" s="33"/>
      <c r="Y671" s="33"/>
      <c r="Z671" s="33"/>
      <c r="AA671" s="33"/>
      <c r="AB671" s="33"/>
    </row>
    <row r="672">
      <c r="A672" s="33"/>
      <c r="B672" s="33"/>
      <c r="C672" s="94"/>
      <c r="D672" s="33"/>
      <c r="E672" s="33"/>
      <c r="F672" s="33"/>
      <c r="G672" s="94"/>
      <c r="H672" s="33"/>
      <c r="I672" s="33"/>
      <c r="J672" s="33"/>
      <c r="K672" s="33"/>
      <c r="L672" s="33"/>
      <c r="M672" s="33"/>
      <c r="N672" s="33"/>
      <c r="O672" s="33"/>
      <c r="P672" s="33"/>
      <c r="Q672" s="33"/>
      <c r="R672" s="33"/>
      <c r="S672" s="33"/>
      <c r="T672" s="33"/>
      <c r="U672" s="33"/>
      <c r="V672" s="33"/>
      <c r="W672" s="33"/>
      <c r="X672" s="33"/>
      <c r="Y672" s="33"/>
      <c r="Z672" s="33"/>
      <c r="AA672" s="33"/>
      <c r="AB672" s="33"/>
    </row>
    <row r="673">
      <c r="A673" s="33"/>
      <c r="B673" s="33"/>
      <c r="C673" s="94"/>
      <c r="D673" s="33"/>
      <c r="E673" s="33"/>
      <c r="F673" s="33"/>
      <c r="G673" s="94"/>
      <c r="H673" s="33"/>
      <c r="I673" s="33"/>
      <c r="J673" s="33"/>
      <c r="K673" s="33"/>
      <c r="L673" s="33"/>
      <c r="M673" s="33"/>
      <c r="N673" s="33"/>
      <c r="O673" s="33"/>
      <c r="P673" s="33"/>
      <c r="Q673" s="33"/>
      <c r="R673" s="33"/>
      <c r="S673" s="33"/>
      <c r="T673" s="33"/>
      <c r="U673" s="33"/>
      <c r="V673" s="33"/>
      <c r="W673" s="33"/>
      <c r="X673" s="33"/>
      <c r="Y673" s="33"/>
      <c r="Z673" s="33"/>
      <c r="AA673" s="33"/>
      <c r="AB673" s="33"/>
    </row>
    <row r="674">
      <c r="A674" s="33"/>
      <c r="B674" s="33"/>
      <c r="C674" s="94"/>
      <c r="D674" s="33"/>
      <c r="E674" s="33"/>
      <c r="F674" s="33"/>
      <c r="G674" s="94"/>
      <c r="H674" s="33"/>
      <c r="I674" s="33"/>
      <c r="J674" s="33"/>
      <c r="K674" s="33"/>
      <c r="L674" s="33"/>
      <c r="M674" s="33"/>
      <c r="N674" s="33"/>
      <c r="O674" s="33"/>
      <c r="P674" s="33"/>
      <c r="Q674" s="33"/>
      <c r="R674" s="33"/>
      <c r="S674" s="33"/>
      <c r="T674" s="33"/>
      <c r="U674" s="33"/>
      <c r="V674" s="33"/>
      <c r="W674" s="33"/>
      <c r="X674" s="33"/>
      <c r="Y674" s="33"/>
      <c r="Z674" s="33"/>
      <c r="AA674" s="33"/>
      <c r="AB674" s="33"/>
    </row>
    <row r="675">
      <c r="A675" s="33"/>
      <c r="B675" s="33"/>
      <c r="C675" s="94"/>
      <c r="D675" s="33"/>
      <c r="E675" s="33"/>
      <c r="F675" s="33"/>
      <c r="G675" s="94"/>
      <c r="H675" s="33"/>
      <c r="I675" s="33"/>
      <c r="J675" s="33"/>
      <c r="K675" s="33"/>
      <c r="L675" s="33"/>
      <c r="M675" s="33"/>
      <c r="N675" s="33"/>
      <c r="O675" s="33"/>
      <c r="P675" s="33"/>
      <c r="Q675" s="33"/>
      <c r="R675" s="33"/>
      <c r="S675" s="33"/>
      <c r="T675" s="33"/>
      <c r="U675" s="33"/>
      <c r="V675" s="33"/>
      <c r="W675" s="33"/>
      <c r="X675" s="33"/>
      <c r="Y675" s="33"/>
      <c r="Z675" s="33"/>
      <c r="AA675" s="33"/>
      <c r="AB675" s="33"/>
    </row>
    <row r="676">
      <c r="A676" s="33"/>
      <c r="B676" s="33"/>
      <c r="C676" s="94"/>
      <c r="D676" s="33"/>
      <c r="E676" s="33"/>
      <c r="F676" s="33"/>
      <c r="G676" s="94"/>
      <c r="H676" s="33"/>
      <c r="I676" s="33"/>
      <c r="J676" s="33"/>
      <c r="K676" s="33"/>
      <c r="L676" s="33"/>
      <c r="M676" s="33"/>
      <c r="N676" s="33"/>
      <c r="O676" s="33"/>
      <c r="P676" s="33"/>
      <c r="Q676" s="33"/>
      <c r="R676" s="33"/>
      <c r="S676" s="33"/>
      <c r="T676" s="33"/>
      <c r="U676" s="33"/>
      <c r="V676" s="33"/>
      <c r="W676" s="33"/>
      <c r="X676" s="33"/>
      <c r="Y676" s="33"/>
      <c r="Z676" s="33"/>
      <c r="AA676" s="33"/>
      <c r="AB676" s="33"/>
    </row>
    <row r="677">
      <c r="A677" s="33"/>
      <c r="B677" s="33"/>
      <c r="C677" s="94"/>
      <c r="D677" s="33"/>
      <c r="E677" s="33"/>
      <c r="F677" s="33"/>
      <c r="G677" s="94"/>
      <c r="H677" s="33"/>
      <c r="I677" s="33"/>
      <c r="J677" s="33"/>
      <c r="K677" s="33"/>
      <c r="L677" s="33"/>
      <c r="M677" s="33"/>
      <c r="N677" s="33"/>
      <c r="O677" s="33"/>
      <c r="P677" s="33"/>
      <c r="Q677" s="33"/>
      <c r="R677" s="33"/>
      <c r="S677" s="33"/>
      <c r="T677" s="33"/>
      <c r="U677" s="33"/>
      <c r="V677" s="33"/>
      <c r="W677" s="33"/>
      <c r="X677" s="33"/>
      <c r="Y677" s="33"/>
      <c r="Z677" s="33"/>
      <c r="AA677" s="33"/>
      <c r="AB677" s="33"/>
    </row>
    <row r="678">
      <c r="A678" s="33"/>
      <c r="B678" s="33"/>
      <c r="C678" s="94"/>
      <c r="D678" s="33"/>
      <c r="E678" s="33"/>
      <c r="F678" s="33"/>
      <c r="G678" s="94"/>
      <c r="H678" s="33"/>
      <c r="I678" s="33"/>
      <c r="J678" s="33"/>
      <c r="K678" s="33"/>
      <c r="L678" s="33"/>
      <c r="M678" s="33"/>
      <c r="N678" s="33"/>
      <c r="O678" s="33"/>
      <c r="P678" s="33"/>
      <c r="Q678" s="33"/>
      <c r="R678" s="33"/>
      <c r="S678" s="33"/>
      <c r="T678" s="33"/>
      <c r="U678" s="33"/>
      <c r="V678" s="33"/>
      <c r="W678" s="33"/>
      <c r="X678" s="33"/>
      <c r="Y678" s="33"/>
      <c r="Z678" s="33"/>
      <c r="AA678" s="33"/>
      <c r="AB678" s="33"/>
    </row>
    <row r="679">
      <c r="A679" s="33"/>
      <c r="B679" s="33"/>
      <c r="C679" s="94"/>
      <c r="D679" s="33"/>
      <c r="E679" s="33"/>
      <c r="F679" s="33"/>
      <c r="G679" s="94"/>
      <c r="H679" s="33"/>
      <c r="I679" s="33"/>
      <c r="J679" s="33"/>
      <c r="K679" s="33"/>
      <c r="L679" s="33"/>
      <c r="M679" s="33"/>
      <c r="N679" s="33"/>
      <c r="O679" s="33"/>
      <c r="P679" s="33"/>
      <c r="Q679" s="33"/>
      <c r="R679" s="33"/>
      <c r="S679" s="33"/>
      <c r="T679" s="33"/>
      <c r="U679" s="33"/>
      <c r="V679" s="33"/>
      <c r="W679" s="33"/>
      <c r="X679" s="33"/>
      <c r="Y679" s="33"/>
      <c r="Z679" s="33"/>
      <c r="AA679" s="33"/>
      <c r="AB679" s="33"/>
    </row>
    <row r="680">
      <c r="A680" s="33"/>
      <c r="B680" s="33"/>
      <c r="C680" s="94"/>
      <c r="D680" s="33"/>
      <c r="E680" s="33"/>
      <c r="F680" s="33"/>
      <c r="G680" s="94"/>
      <c r="H680" s="33"/>
      <c r="I680" s="33"/>
      <c r="J680" s="33"/>
      <c r="K680" s="33"/>
      <c r="L680" s="33"/>
      <c r="M680" s="33"/>
      <c r="N680" s="33"/>
      <c r="O680" s="33"/>
      <c r="P680" s="33"/>
      <c r="Q680" s="33"/>
      <c r="R680" s="33"/>
      <c r="S680" s="33"/>
      <c r="T680" s="33"/>
      <c r="U680" s="33"/>
      <c r="V680" s="33"/>
      <c r="W680" s="33"/>
      <c r="X680" s="33"/>
      <c r="Y680" s="33"/>
      <c r="Z680" s="33"/>
      <c r="AA680" s="33"/>
      <c r="AB680" s="33"/>
    </row>
    <row r="681">
      <c r="A681" s="33"/>
      <c r="B681" s="33"/>
      <c r="C681" s="94"/>
      <c r="D681" s="33"/>
      <c r="E681" s="33"/>
      <c r="F681" s="33"/>
      <c r="G681" s="94"/>
      <c r="H681" s="33"/>
      <c r="I681" s="33"/>
      <c r="J681" s="33"/>
      <c r="K681" s="33"/>
      <c r="L681" s="33"/>
      <c r="M681" s="33"/>
      <c r="N681" s="33"/>
      <c r="O681" s="33"/>
      <c r="P681" s="33"/>
      <c r="Q681" s="33"/>
      <c r="R681" s="33"/>
      <c r="S681" s="33"/>
      <c r="T681" s="33"/>
      <c r="U681" s="33"/>
      <c r="V681" s="33"/>
      <c r="W681" s="33"/>
      <c r="X681" s="33"/>
      <c r="Y681" s="33"/>
      <c r="Z681" s="33"/>
      <c r="AA681" s="33"/>
      <c r="AB681" s="33"/>
    </row>
    <row r="682">
      <c r="A682" s="33"/>
      <c r="B682" s="33"/>
      <c r="C682" s="94"/>
      <c r="D682" s="33"/>
      <c r="E682" s="33"/>
      <c r="F682" s="33"/>
      <c r="G682" s="94"/>
      <c r="H682" s="33"/>
      <c r="I682" s="33"/>
      <c r="J682" s="33"/>
      <c r="K682" s="33"/>
      <c r="L682" s="33"/>
      <c r="M682" s="33"/>
      <c r="N682" s="33"/>
      <c r="O682" s="33"/>
      <c r="P682" s="33"/>
      <c r="Q682" s="33"/>
      <c r="R682" s="33"/>
      <c r="S682" s="33"/>
      <c r="T682" s="33"/>
      <c r="U682" s="33"/>
      <c r="V682" s="33"/>
      <c r="W682" s="33"/>
      <c r="X682" s="33"/>
      <c r="Y682" s="33"/>
      <c r="Z682" s="33"/>
      <c r="AA682" s="33"/>
      <c r="AB682" s="33"/>
    </row>
    <row r="683">
      <c r="A683" s="33"/>
      <c r="B683" s="33"/>
      <c r="C683" s="94"/>
      <c r="D683" s="33"/>
      <c r="E683" s="33"/>
      <c r="F683" s="33"/>
      <c r="G683" s="94"/>
      <c r="H683" s="33"/>
      <c r="I683" s="33"/>
      <c r="J683" s="33"/>
      <c r="K683" s="33"/>
      <c r="L683" s="33"/>
      <c r="M683" s="33"/>
      <c r="N683" s="33"/>
      <c r="O683" s="33"/>
      <c r="P683" s="33"/>
      <c r="Q683" s="33"/>
      <c r="R683" s="33"/>
      <c r="S683" s="33"/>
      <c r="T683" s="33"/>
      <c r="U683" s="33"/>
      <c r="V683" s="33"/>
      <c r="W683" s="33"/>
      <c r="X683" s="33"/>
      <c r="Y683" s="33"/>
      <c r="Z683" s="33"/>
      <c r="AA683" s="33"/>
      <c r="AB683" s="33"/>
    </row>
    <row r="684">
      <c r="A684" s="33"/>
      <c r="B684" s="33"/>
      <c r="C684" s="94"/>
      <c r="D684" s="33"/>
      <c r="E684" s="33"/>
      <c r="F684" s="33"/>
      <c r="G684" s="94"/>
      <c r="H684" s="33"/>
      <c r="I684" s="33"/>
      <c r="J684" s="33"/>
      <c r="K684" s="33"/>
      <c r="L684" s="33"/>
      <c r="M684" s="33"/>
      <c r="N684" s="33"/>
      <c r="O684" s="33"/>
      <c r="P684" s="33"/>
      <c r="Q684" s="33"/>
      <c r="R684" s="33"/>
      <c r="S684" s="33"/>
      <c r="T684" s="33"/>
      <c r="U684" s="33"/>
      <c r="V684" s="33"/>
      <c r="W684" s="33"/>
      <c r="X684" s="33"/>
      <c r="Y684" s="33"/>
      <c r="Z684" s="33"/>
      <c r="AA684" s="33"/>
      <c r="AB684" s="33"/>
    </row>
    <row r="685">
      <c r="A685" s="33"/>
      <c r="B685" s="33"/>
      <c r="C685" s="94"/>
      <c r="D685" s="33"/>
      <c r="E685" s="33"/>
      <c r="F685" s="33"/>
      <c r="G685" s="94"/>
      <c r="H685" s="33"/>
      <c r="I685" s="33"/>
      <c r="J685" s="33"/>
      <c r="K685" s="33"/>
      <c r="L685" s="33"/>
      <c r="M685" s="33"/>
      <c r="N685" s="33"/>
      <c r="O685" s="33"/>
      <c r="P685" s="33"/>
      <c r="Q685" s="33"/>
      <c r="R685" s="33"/>
      <c r="S685" s="33"/>
      <c r="T685" s="33"/>
      <c r="U685" s="33"/>
      <c r="V685" s="33"/>
      <c r="W685" s="33"/>
      <c r="X685" s="33"/>
      <c r="Y685" s="33"/>
      <c r="Z685" s="33"/>
      <c r="AA685" s="33"/>
      <c r="AB685" s="33"/>
    </row>
    <row r="686">
      <c r="A686" s="33"/>
      <c r="B686" s="33"/>
      <c r="C686" s="94"/>
      <c r="D686" s="33"/>
      <c r="E686" s="33"/>
      <c r="F686" s="33"/>
      <c r="G686" s="94"/>
      <c r="H686" s="33"/>
      <c r="I686" s="33"/>
      <c r="J686" s="33"/>
      <c r="K686" s="33"/>
      <c r="L686" s="33"/>
      <c r="M686" s="33"/>
      <c r="N686" s="33"/>
      <c r="O686" s="33"/>
      <c r="P686" s="33"/>
      <c r="Q686" s="33"/>
      <c r="R686" s="33"/>
      <c r="S686" s="33"/>
      <c r="T686" s="33"/>
      <c r="U686" s="33"/>
      <c r="V686" s="33"/>
      <c r="W686" s="33"/>
      <c r="X686" s="33"/>
      <c r="Y686" s="33"/>
      <c r="Z686" s="33"/>
      <c r="AA686" s="33"/>
      <c r="AB686" s="33"/>
    </row>
    <row r="687">
      <c r="A687" s="33"/>
      <c r="B687" s="33"/>
      <c r="C687" s="94"/>
      <c r="D687" s="33"/>
      <c r="E687" s="33"/>
      <c r="F687" s="33"/>
      <c r="G687" s="94"/>
      <c r="H687" s="33"/>
      <c r="I687" s="33"/>
      <c r="J687" s="33"/>
      <c r="K687" s="33"/>
      <c r="L687" s="33"/>
      <c r="M687" s="33"/>
      <c r="N687" s="33"/>
      <c r="O687" s="33"/>
      <c r="P687" s="33"/>
      <c r="Q687" s="33"/>
      <c r="R687" s="33"/>
      <c r="S687" s="33"/>
      <c r="T687" s="33"/>
      <c r="U687" s="33"/>
      <c r="V687" s="33"/>
      <c r="W687" s="33"/>
      <c r="X687" s="33"/>
      <c r="Y687" s="33"/>
      <c r="Z687" s="33"/>
      <c r="AA687" s="33"/>
      <c r="AB687" s="33"/>
    </row>
    <row r="688">
      <c r="A688" s="33"/>
      <c r="B688" s="33"/>
      <c r="C688" s="94"/>
      <c r="D688" s="33"/>
      <c r="E688" s="33"/>
      <c r="F688" s="33"/>
      <c r="G688" s="94"/>
      <c r="H688" s="33"/>
      <c r="I688" s="33"/>
      <c r="J688" s="33"/>
      <c r="K688" s="33"/>
      <c r="L688" s="33"/>
      <c r="M688" s="33"/>
      <c r="N688" s="33"/>
      <c r="O688" s="33"/>
      <c r="P688" s="33"/>
      <c r="Q688" s="33"/>
      <c r="R688" s="33"/>
      <c r="S688" s="33"/>
      <c r="T688" s="33"/>
      <c r="U688" s="33"/>
      <c r="V688" s="33"/>
      <c r="W688" s="33"/>
      <c r="X688" s="33"/>
      <c r="Y688" s="33"/>
      <c r="Z688" s="33"/>
      <c r="AA688" s="33"/>
      <c r="AB688" s="33"/>
    </row>
    <row r="689">
      <c r="A689" s="33"/>
      <c r="B689" s="33"/>
      <c r="C689" s="94"/>
      <c r="D689" s="33"/>
      <c r="E689" s="33"/>
      <c r="F689" s="33"/>
      <c r="G689" s="94"/>
      <c r="H689" s="33"/>
      <c r="I689" s="33"/>
      <c r="J689" s="33"/>
      <c r="K689" s="33"/>
      <c r="L689" s="33"/>
      <c r="M689" s="33"/>
      <c r="N689" s="33"/>
      <c r="O689" s="33"/>
      <c r="P689" s="33"/>
      <c r="Q689" s="33"/>
      <c r="R689" s="33"/>
      <c r="S689" s="33"/>
      <c r="T689" s="33"/>
      <c r="U689" s="33"/>
      <c r="V689" s="33"/>
      <c r="W689" s="33"/>
      <c r="X689" s="33"/>
      <c r="Y689" s="33"/>
      <c r="Z689" s="33"/>
      <c r="AA689" s="33"/>
      <c r="AB689" s="33"/>
    </row>
    <row r="690">
      <c r="A690" s="33"/>
      <c r="B690" s="33"/>
      <c r="C690" s="94"/>
      <c r="D690" s="33"/>
      <c r="E690" s="33"/>
      <c r="F690" s="33"/>
      <c r="G690" s="94"/>
      <c r="H690" s="33"/>
      <c r="I690" s="33"/>
      <c r="J690" s="33"/>
      <c r="K690" s="33"/>
      <c r="L690" s="33"/>
      <c r="M690" s="33"/>
      <c r="N690" s="33"/>
      <c r="O690" s="33"/>
      <c r="P690" s="33"/>
      <c r="Q690" s="33"/>
      <c r="R690" s="33"/>
      <c r="S690" s="33"/>
      <c r="T690" s="33"/>
      <c r="U690" s="33"/>
      <c r="V690" s="33"/>
      <c r="W690" s="33"/>
      <c r="X690" s="33"/>
      <c r="Y690" s="33"/>
      <c r="Z690" s="33"/>
      <c r="AA690" s="33"/>
      <c r="AB690" s="33"/>
    </row>
    <row r="691">
      <c r="A691" s="33"/>
      <c r="B691" s="33"/>
      <c r="C691" s="94"/>
      <c r="D691" s="33"/>
      <c r="E691" s="33"/>
      <c r="F691" s="33"/>
      <c r="G691" s="94"/>
      <c r="H691" s="33"/>
      <c r="I691" s="33"/>
      <c r="J691" s="33"/>
      <c r="K691" s="33"/>
      <c r="L691" s="33"/>
      <c r="M691" s="33"/>
      <c r="N691" s="33"/>
      <c r="O691" s="33"/>
      <c r="P691" s="33"/>
      <c r="Q691" s="33"/>
      <c r="R691" s="33"/>
      <c r="S691" s="33"/>
      <c r="T691" s="33"/>
      <c r="U691" s="33"/>
      <c r="V691" s="33"/>
      <c r="W691" s="33"/>
      <c r="X691" s="33"/>
      <c r="Y691" s="33"/>
      <c r="Z691" s="33"/>
      <c r="AA691" s="33"/>
      <c r="AB691" s="33"/>
    </row>
    <row r="692">
      <c r="A692" s="33"/>
      <c r="B692" s="33"/>
      <c r="C692" s="94"/>
      <c r="D692" s="33"/>
      <c r="E692" s="33"/>
      <c r="F692" s="33"/>
      <c r="G692" s="94"/>
      <c r="H692" s="33"/>
      <c r="I692" s="33"/>
      <c r="J692" s="33"/>
      <c r="K692" s="33"/>
      <c r="L692" s="33"/>
      <c r="M692" s="33"/>
      <c r="N692" s="33"/>
      <c r="O692" s="33"/>
      <c r="P692" s="33"/>
      <c r="Q692" s="33"/>
      <c r="R692" s="33"/>
      <c r="S692" s="33"/>
      <c r="T692" s="33"/>
      <c r="U692" s="33"/>
      <c r="V692" s="33"/>
      <c r="W692" s="33"/>
      <c r="X692" s="33"/>
      <c r="Y692" s="33"/>
      <c r="Z692" s="33"/>
      <c r="AA692" s="33"/>
      <c r="AB692" s="33"/>
    </row>
    <row r="693">
      <c r="A693" s="33"/>
      <c r="B693" s="33"/>
      <c r="C693" s="94"/>
      <c r="D693" s="33"/>
      <c r="E693" s="33"/>
      <c r="F693" s="33"/>
      <c r="G693" s="94"/>
      <c r="H693" s="33"/>
      <c r="I693" s="33"/>
      <c r="J693" s="33"/>
      <c r="K693" s="33"/>
      <c r="L693" s="33"/>
      <c r="M693" s="33"/>
      <c r="N693" s="33"/>
      <c r="O693" s="33"/>
      <c r="P693" s="33"/>
      <c r="Q693" s="33"/>
      <c r="R693" s="33"/>
      <c r="S693" s="33"/>
      <c r="T693" s="33"/>
      <c r="U693" s="33"/>
      <c r="V693" s="33"/>
      <c r="W693" s="33"/>
      <c r="X693" s="33"/>
      <c r="Y693" s="33"/>
      <c r="Z693" s="33"/>
      <c r="AA693" s="33"/>
      <c r="AB693" s="33"/>
    </row>
    <row r="694">
      <c r="A694" s="33"/>
      <c r="B694" s="33"/>
      <c r="C694" s="94"/>
      <c r="D694" s="33"/>
      <c r="E694" s="33"/>
      <c r="F694" s="33"/>
      <c r="G694" s="94"/>
      <c r="H694" s="33"/>
      <c r="I694" s="33"/>
      <c r="J694" s="33"/>
      <c r="K694" s="33"/>
      <c r="L694" s="33"/>
      <c r="M694" s="33"/>
      <c r="N694" s="33"/>
      <c r="O694" s="33"/>
      <c r="P694" s="33"/>
      <c r="Q694" s="33"/>
      <c r="R694" s="33"/>
      <c r="S694" s="33"/>
      <c r="T694" s="33"/>
      <c r="U694" s="33"/>
      <c r="V694" s="33"/>
      <c r="W694" s="33"/>
      <c r="X694" s="33"/>
      <c r="Y694" s="33"/>
      <c r="Z694" s="33"/>
      <c r="AA694" s="33"/>
      <c r="AB694" s="33"/>
    </row>
    <row r="695">
      <c r="A695" s="33"/>
      <c r="B695" s="33"/>
      <c r="C695" s="94"/>
      <c r="D695" s="33"/>
      <c r="E695" s="33"/>
      <c r="F695" s="33"/>
      <c r="G695" s="94"/>
      <c r="H695" s="33"/>
      <c r="I695" s="33"/>
      <c r="J695" s="33"/>
      <c r="K695" s="33"/>
      <c r="L695" s="33"/>
      <c r="M695" s="33"/>
      <c r="N695" s="33"/>
      <c r="O695" s="33"/>
      <c r="P695" s="33"/>
      <c r="Q695" s="33"/>
      <c r="R695" s="33"/>
      <c r="S695" s="33"/>
      <c r="T695" s="33"/>
      <c r="U695" s="33"/>
      <c r="V695" s="33"/>
      <c r="W695" s="33"/>
      <c r="X695" s="33"/>
      <c r="Y695" s="33"/>
      <c r="Z695" s="33"/>
      <c r="AA695" s="33"/>
      <c r="AB695" s="33"/>
    </row>
    <row r="696">
      <c r="A696" s="33"/>
      <c r="B696" s="33"/>
      <c r="C696" s="94"/>
      <c r="D696" s="33"/>
      <c r="E696" s="33"/>
      <c r="F696" s="33"/>
      <c r="G696" s="94"/>
      <c r="H696" s="33"/>
      <c r="I696" s="33"/>
      <c r="J696" s="33"/>
      <c r="K696" s="33"/>
      <c r="L696" s="33"/>
      <c r="M696" s="33"/>
      <c r="N696" s="33"/>
      <c r="O696" s="33"/>
      <c r="P696" s="33"/>
      <c r="Q696" s="33"/>
      <c r="R696" s="33"/>
      <c r="S696" s="33"/>
      <c r="T696" s="33"/>
      <c r="U696" s="33"/>
      <c r="V696" s="33"/>
      <c r="W696" s="33"/>
      <c r="X696" s="33"/>
      <c r="Y696" s="33"/>
      <c r="Z696" s="33"/>
      <c r="AA696" s="33"/>
      <c r="AB696" s="33"/>
    </row>
    <row r="697">
      <c r="A697" s="33"/>
      <c r="B697" s="33"/>
      <c r="C697" s="94"/>
      <c r="D697" s="33"/>
      <c r="E697" s="33"/>
      <c r="F697" s="33"/>
      <c r="G697" s="94"/>
      <c r="H697" s="33"/>
      <c r="I697" s="33"/>
      <c r="J697" s="33"/>
      <c r="K697" s="33"/>
      <c r="L697" s="33"/>
      <c r="M697" s="33"/>
      <c r="N697" s="33"/>
      <c r="O697" s="33"/>
      <c r="P697" s="33"/>
      <c r="Q697" s="33"/>
      <c r="R697" s="33"/>
      <c r="S697" s="33"/>
      <c r="T697" s="33"/>
      <c r="U697" s="33"/>
      <c r="V697" s="33"/>
      <c r="W697" s="33"/>
      <c r="X697" s="33"/>
      <c r="Y697" s="33"/>
      <c r="Z697" s="33"/>
      <c r="AA697" s="33"/>
      <c r="AB697" s="33"/>
    </row>
    <row r="698">
      <c r="A698" s="33"/>
      <c r="B698" s="33"/>
      <c r="C698" s="94"/>
      <c r="D698" s="33"/>
      <c r="E698" s="33"/>
      <c r="F698" s="33"/>
      <c r="G698" s="94"/>
      <c r="H698" s="33"/>
      <c r="I698" s="33"/>
      <c r="J698" s="33"/>
      <c r="K698" s="33"/>
      <c r="L698" s="33"/>
      <c r="M698" s="33"/>
      <c r="N698" s="33"/>
      <c r="O698" s="33"/>
      <c r="P698" s="33"/>
      <c r="Q698" s="33"/>
      <c r="R698" s="33"/>
      <c r="S698" s="33"/>
      <c r="T698" s="33"/>
      <c r="U698" s="33"/>
      <c r="V698" s="33"/>
      <c r="W698" s="33"/>
      <c r="X698" s="33"/>
      <c r="Y698" s="33"/>
      <c r="Z698" s="33"/>
      <c r="AA698" s="33"/>
      <c r="AB698" s="33"/>
    </row>
    <row r="699">
      <c r="A699" s="33"/>
      <c r="B699" s="33"/>
      <c r="C699" s="94"/>
      <c r="D699" s="33"/>
      <c r="E699" s="33"/>
      <c r="F699" s="33"/>
      <c r="G699" s="94"/>
      <c r="H699" s="33"/>
      <c r="I699" s="33"/>
      <c r="J699" s="33"/>
      <c r="K699" s="33"/>
      <c r="L699" s="33"/>
      <c r="M699" s="33"/>
      <c r="N699" s="33"/>
      <c r="O699" s="33"/>
      <c r="P699" s="33"/>
      <c r="Q699" s="33"/>
      <c r="R699" s="33"/>
      <c r="S699" s="33"/>
      <c r="T699" s="33"/>
      <c r="U699" s="33"/>
      <c r="V699" s="33"/>
      <c r="W699" s="33"/>
      <c r="X699" s="33"/>
      <c r="Y699" s="33"/>
      <c r="Z699" s="33"/>
      <c r="AA699" s="33"/>
      <c r="AB699" s="33"/>
    </row>
    <row r="700">
      <c r="A700" s="33"/>
      <c r="B700" s="33"/>
      <c r="C700" s="94"/>
      <c r="D700" s="33"/>
      <c r="E700" s="33"/>
      <c r="F700" s="33"/>
      <c r="G700" s="94"/>
      <c r="H700" s="33"/>
      <c r="I700" s="33"/>
      <c r="J700" s="33"/>
      <c r="K700" s="33"/>
      <c r="L700" s="33"/>
      <c r="M700" s="33"/>
      <c r="N700" s="33"/>
      <c r="O700" s="33"/>
      <c r="P700" s="33"/>
      <c r="Q700" s="33"/>
      <c r="R700" s="33"/>
      <c r="S700" s="33"/>
      <c r="T700" s="33"/>
      <c r="U700" s="33"/>
      <c r="V700" s="33"/>
      <c r="W700" s="33"/>
      <c r="X700" s="33"/>
      <c r="Y700" s="33"/>
      <c r="Z700" s="33"/>
      <c r="AA700" s="33"/>
      <c r="AB700" s="33"/>
    </row>
    <row r="701">
      <c r="A701" s="33"/>
      <c r="B701" s="33"/>
      <c r="C701" s="94"/>
      <c r="D701" s="33"/>
      <c r="E701" s="33"/>
      <c r="F701" s="33"/>
      <c r="G701" s="94"/>
      <c r="H701" s="33"/>
      <c r="I701" s="33"/>
      <c r="J701" s="33"/>
      <c r="K701" s="33"/>
      <c r="L701" s="33"/>
      <c r="M701" s="33"/>
      <c r="N701" s="33"/>
      <c r="O701" s="33"/>
      <c r="P701" s="33"/>
      <c r="Q701" s="33"/>
      <c r="R701" s="33"/>
      <c r="S701" s="33"/>
      <c r="T701" s="33"/>
      <c r="U701" s="33"/>
      <c r="V701" s="33"/>
      <c r="W701" s="33"/>
      <c r="X701" s="33"/>
      <c r="Y701" s="33"/>
      <c r="Z701" s="33"/>
      <c r="AA701" s="33"/>
      <c r="AB701" s="33"/>
    </row>
    <row r="702">
      <c r="A702" s="33"/>
      <c r="B702" s="33"/>
      <c r="C702" s="94"/>
      <c r="D702" s="33"/>
      <c r="E702" s="33"/>
      <c r="F702" s="33"/>
      <c r="G702" s="94"/>
      <c r="H702" s="33"/>
      <c r="I702" s="33"/>
      <c r="J702" s="33"/>
      <c r="K702" s="33"/>
      <c r="L702" s="33"/>
      <c r="M702" s="33"/>
      <c r="N702" s="33"/>
      <c r="O702" s="33"/>
      <c r="P702" s="33"/>
      <c r="Q702" s="33"/>
      <c r="R702" s="33"/>
      <c r="S702" s="33"/>
      <c r="T702" s="33"/>
      <c r="U702" s="33"/>
      <c r="V702" s="33"/>
      <c r="W702" s="33"/>
      <c r="X702" s="33"/>
      <c r="Y702" s="33"/>
      <c r="Z702" s="33"/>
      <c r="AA702" s="33"/>
      <c r="AB702" s="33"/>
    </row>
    <row r="703">
      <c r="A703" s="33"/>
      <c r="B703" s="33"/>
      <c r="C703" s="94"/>
      <c r="D703" s="33"/>
      <c r="E703" s="33"/>
      <c r="F703" s="33"/>
      <c r="G703" s="94"/>
      <c r="H703" s="33"/>
      <c r="I703" s="33"/>
      <c r="J703" s="33"/>
      <c r="K703" s="33"/>
      <c r="L703" s="33"/>
      <c r="M703" s="33"/>
      <c r="N703" s="33"/>
      <c r="O703" s="33"/>
      <c r="P703" s="33"/>
      <c r="Q703" s="33"/>
      <c r="R703" s="33"/>
      <c r="S703" s="33"/>
      <c r="T703" s="33"/>
      <c r="U703" s="33"/>
      <c r="V703" s="33"/>
      <c r="W703" s="33"/>
      <c r="X703" s="33"/>
      <c r="Y703" s="33"/>
      <c r="Z703" s="33"/>
      <c r="AA703" s="33"/>
      <c r="AB703" s="33"/>
    </row>
    <row r="704">
      <c r="A704" s="33"/>
      <c r="B704" s="33"/>
      <c r="C704" s="94"/>
      <c r="D704" s="33"/>
      <c r="E704" s="33"/>
      <c r="F704" s="33"/>
      <c r="G704" s="94"/>
      <c r="H704" s="33"/>
      <c r="I704" s="33"/>
      <c r="J704" s="33"/>
      <c r="K704" s="33"/>
      <c r="L704" s="33"/>
      <c r="M704" s="33"/>
      <c r="N704" s="33"/>
      <c r="O704" s="33"/>
      <c r="P704" s="33"/>
      <c r="Q704" s="33"/>
      <c r="R704" s="33"/>
      <c r="S704" s="33"/>
      <c r="T704" s="33"/>
      <c r="U704" s="33"/>
      <c r="V704" s="33"/>
      <c r="W704" s="33"/>
      <c r="X704" s="33"/>
      <c r="Y704" s="33"/>
      <c r="Z704" s="33"/>
      <c r="AA704" s="33"/>
      <c r="AB704" s="33"/>
    </row>
    <row r="705">
      <c r="A705" s="33"/>
      <c r="B705" s="33"/>
      <c r="C705" s="94"/>
      <c r="D705" s="33"/>
      <c r="E705" s="33"/>
      <c r="F705" s="33"/>
      <c r="G705" s="94"/>
      <c r="H705" s="33"/>
      <c r="I705" s="33"/>
      <c r="J705" s="33"/>
      <c r="K705" s="33"/>
      <c r="L705" s="33"/>
      <c r="M705" s="33"/>
      <c r="N705" s="33"/>
      <c r="O705" s="33"/>
      <c r="P705" s="33"/>
      <c r="Q705" s="33"/>
      <c r="R705" s="33"/>
      <c r="S705" s="33"/>
      <c r="T705" s="33"/>
      <c r="U705" s="33"/>
      <c r="V705" s="33"/>
      <c r="W705" s="33"/>
      <c r="X705" s="33"/>
      <c r="Y705" s="33"/>
      <c r="Z705" s="33"/>
      <c r="AA705" s="33"/>
      <c r="AB705" s="33"/>
    </row>
    <row r="706">
      <c r="A706" s="33"/>
      <c r="B706" s="33"/>
      <c r="C706" s="94"/>
      <c r="D706" s="33"/>
      <c r="E706" s="33"/>
      <c r="F706" s="33"/>
      <c r="G706" s="94"/>
      <c r="H706" s="33"/>
      <c r="I706" s="33"/>
      <c r="J706" s="33"/>
      <c r="K706" s="33"/>
      <c r="L706" s="33"/>
      <c r="M706" s="33"/>
      <c r="N706" s="33"/>
      <c r="O706" s="33"/>
      <c r="P706" s="33"/>
      <c r="Q706" s="33"/>
      <c r="R706" s="33"/>
      <c r="S706" s="33"/>
      <c r="T706" s="33"/>
      <c r="U706" s="33"/>
      <c r="V706" s="33"/>
      <c r="W706" s="33"/>
      <c r="X706" s="33"/>
      <c r="Y706" s="33"/>
      <c r="Z706" s="33"/>
      <c r="AA706" s="33"/>
      <c r="AB706" s="33"/>
    </row>
    <row r="707">
      <c r="A707" s="33"/>
      <c r="B707" s="33"/>
      <c r="C707" s="94"/>
      <c r="D707" s="33"/>
      <c r="E707" s="33"/>
      <c r="F707" s="33"/>
      <c r="G707" s="94"/>
      <c r="H707" s="33"/>
      <c r="I707" s="33"/>
      <c r="J707" s="33"/>
      <c r="K707" s="33"/>
      <c r="L707" s="33"/>
      <c r="M707" s="33"/>
      <c r="N707" s="33"/>
      <c r="O707" s="33"/>
      <c r="P707" s="33"/>
      <c r="Q707" s="33"/>
      <c r="R707" s="33"/>
      <c r="S707" s="33"/>
      <c r="T707" s="33"/>
      <c r="U707" s="33"/>
      <c r="V707" s="33"/>
      <c r="W707" s="33"/>
      <c r="X707" s="33"/>
      <c r="Y707" s="33"/>
      <c r="Z707" s="33"/>
      <c r="AA707" s="33"/>
      <c r="AB707" s="33"/>
    </row>
    <row r="708">
      <c r="A708" s="33"/>
      <c r="B708" s="33"/>
      <c r="C708" s="94"/>
      <c r="D708" s="33"/>
      <c r="E708" s="33"/>
      <c r="F708" s="33"/>
      <c r="G708" s="94"/>
      <c r="H708" s="33"/>
      <c r="I708" s="33"/>
      <c r="J708" s="33"/>
      <c r="K708" s="33"/>
      <c r="L708" s="33"/>
      <c r="M708" s="33"/>
      <c r="N708" s="33"/>
      <c r="O708" s="33"/>
      <c r="P708" s="33"/>
      <c r="Q708" s="33"/>
      <c r="R708" s="33"/>
      <c r="S708" s="33"/>
      <c r="T708" s="33"/>
      <c r="U708" s="33"/>
      <c r="V708" s="33"/>
      <c r="W708" s="33"/>
      <c r="X708" s="33"/>
      <c r="Y708" s="33"/>
      <c r="Z708" s="33"/>
      <c r="AA708" s="33"/>
      <c r="AB708" s="33"/>
    </row>
    <row r="709">
      <c r="A709" s="33"/>
      <c r="B709" s="33"/>
      <c r="C709" s="94"/>
      <c r="D709" s="33"/>
      <c r="E709" s="33"/>
      <c r="F709" s="33"/>
      <c r="G709" s="94"/>
      <c r="H709" s="33"/>
      <c r="I709" s="33"/>
      <c r="J709" s="33"/>
      <c r="K709" s="33"/>
      <c r="L709" s="33"/>
      <c r="M709" s="33"/>
      <c r="N709" s="33"/>
      <c r="O709" s="33"/>
      <c r="P709" s="33"/>
      <c r="Q709" s="33"/>
      <c r="R709" s="33"/>
      <c r="S709" s="33"/>
      <c r="T709" s="33"/>
      <c r="U709" s="33"/>
      <c r="V709" s="33"/>
      <c r="W709" s="33"/>
      <c r="X709" s="33"/>
      <c r="Y709" s="33"/>
      <c r="Z709" s="33"/>
      <c r="AA709" s="33"/>
      <c r="AB709" s="33"/>
    </row>
    <row r="710">
      <c r="A710" s="33"/>
      <c r="B710" s="33"/>
      <c r="C710" s="94"/>
      <c r="D710" s="33"/>
      <c r="E710" s="33"/>
      <c r="F710" s="33"/>
      <c r="G710" s="94"/>
      <c r="H710" s="33"/>
      <c r="I710" s="33"/>
      <c r="J710" s="33"/>
      <c r="K710" s="33"/>
      <c r="L710" s="33"/>
      <c r="M710" s="33"/>
      <c r="N710" s="33"/>
      <c r="O710" s="33"/>
      <c r="P710" s="33"/>
      <c r="Q710" s="33"/>
      <c r="R710" s="33"/>
      <c r="S710" s="33"/>
      <c r="T710" s="33"/>
      <c r="U710" s="33"/>
      <c r="V710" s="33"/>
      <c r="W710" s="33"/>
      <c r="X710" s="33"/>
      <c r="Y710" s="33"/>
      <c r="Z710" s="33"/>
      <c r="AA710" s="33"/>
      <c r="AB710" s="33"/>
    </row>
    <row r="711">
      <c r="A711" s="33"/>
      <c r="B711" s="33"/>
      <c r="C711" s="94"/>
      <c r="D711" s="33"/>
      <c r="E711" s="33"/>
      <c r="F711" s="33"/>
      <c r="G711" s="94"/>
      <c r="H711" s="33"/>
      <c r="I711" s="33"/>
      <c r="J711" s="33"/>
      <c r="K711" s="33"/>
      <c r="L711" s="33"/>
      <c r="M711" s="33"/>
      <c r="N711" s="33"/>
      <c r="O711" s="33"/>
      <c r="P711" s="33"/>
      <c r="Q711" s="33"/>
      <c r="R711" s="33"/>
      <c r="S711" s="33"/>
      <c r="T711" s="33"/>
      <c r="U711" s="33"/>
      <c r="V711" s="33"/>
      <c r="W711" s="33"/>
      <c r="X711" s="33"/>
      <c r="Y711" s="33"/>
      <c r="Z711" s="33"/>
      <c r="AA711" s="33"/>
      <c r="AB711" s="33"/>
    </row>
    <row r="712">
      <c r="A712" s="33"/>
      <c r="B712" s="33"/>
      <c r="C712" s="94"/>
      <c r="D712" s="33"/>
      <c r="E712" s="33"/>
      <c r="F712" s="33"/>
      <c r="G712" s="94"/>
      <c r="H712" s="33"/>
      <c r="I712" s="33"/>
      <c r="J712" s="33"/>
      <c r="K712" s="33"/>
      <c r="L712" s="33"/>
      <c r="M712" s="33"/>
      <c r="N712" s="33"/>
      <c r="O712" s="33"/>
      <c r="P712" s="33"/>
      <c r="Q712" s="33"/>
      <c r="R712" s="33"/>
      <c r="S712" s="33"/>
      <c r="T712" s="33"/>
      <c r="U712" s="33"/>
      <c r="V712" s="33"/>
      <c r="W712" s="33"/>
      <c r="X712" s="33"/>
      <c r="Y712" s="33"/>
      <c r="Z712" s="33"/>
      <c r="AA712" s="33"/>
      <c r="AB712" s="33"/>
    </row>
    <row r="713">
      <c r="A713" s="33"/>
      <c r="B713" s="33"/>
      <c r="C713" s="94"/>
      <c r="D713" s="33"/>
      <c r="E713" s="33"/>
      <c r="F713" s="33"/>
      <c r="G713" s="94"/>
      <c r="H713" s="33"/>
      <c r="I713" s="33"/>
      <c r="J713" s="33"/>
      <c r="K713" s="33"/>
      <c r="L713" s="33"/>
      <c r="M713" s="33"/>
      <c r="N713" s="33"/>
      <c r="O713" s="33"/>
      <c r="P713" s="33"/>
      <c r="Q713" s="33"/>
      <c r="R713" s="33"/>
      <c r="S713" s="33"/>
      <c r="T713" s="33"/>
      <c r="U713" s="33"/>
      <c r="V713" s="33"/>
      <c r="W713" s="33"/>
      <c r="X713" s="33"/>
      <c r="Y713" s="33"/>
      <c r="Z713" s="33"/>
      <c r="AA713" s="33"/>
      <c r="AB713" s="33"/>
    </row>
    <row r="714">
      <c r="A714" s="33"/>
      <c r="B714" s="33"/>
      <c r="C714" s="94"/>
      <c r="D714" s="33"/>
      <c r="E714" s="33"/>
      <c r="F714" s="33"/>
      <c r="G714" s="94"/>
      <c r="H714" s="33"/>
      <c r="I714" s="33"/>
      <c r="J714" s="33"/>
      <c r="K714" s="33"/>
      <c r="L714" s="33"/>
      <c r="M714" s="33"/>
      <c r="N714" s="33"/>
      <c r="O714" s="33"/>
      <c r="P714" s="33"/>
      <c r="Q714" s="33"/>
      <c r="R714" s="33"/>
      <c r="S714" s="33"/>
      <c r="T714" s="33"/>
      <c r="U714" s="33"/>
      <c r="V714" s="33"/>
      <c r="W714" s="33"/>
      <c r="X714" s="33"/>
      <c r="Y714" s="33"/>
      <c r="Z714" s="33"/>
      <c r="AA714" s="33"/>
      <c r="AB714" s="33"/>
    </row>
    <row r="715">
      <c r="A715" s="33"/>
      <c r="B715" s="33"/>
      <c r="C715" s="94"/>
      <c r="D715" s="33"/>
      <c r="E715" s="33"/>
      <c r="F715" s="33"/>
      <c r="G715" s="94"/>
      <c r="H715" s="33"/>
      <c r="I715" s="33"/>
      <c r="J715" s="33"/>
      <c r="K715" s="33"/>
      <c r="L715" s="33"/>
      <c r="M715" s="33"/>
      <c r="N715" s="33"/>
      <c r="O715" s="33"/>
      <c r="P715" s="33"/>
      <c r="Q715" s="33"/>
      <c r="R715" s="33"/>
      <c r="S715" s="33"/>
      <c r="T715" s="33"/>
      <c r="U715" s="33"/>
      <c r="V715" s="33"/>
      <c r="W715" s="33"/>
      <c r="X715" s="33"/>
      <c r="Y715" s="33"/>
      <c r="Z715" s="33"/>
      <c r="AA715" s="33"/>
      <c r="AB715" s="33"/>
    </row>
    <row r="716">
      <c r="A716" s="33"/>
      <c r="B716" s="33"/>
      <c r="C716" s="94"/>
      <c r="D716" s="33"/>
      <c r="E716" s="33"/>
      <c r="F716" s="33"/>
      <c r="G716" s="94"/>
      <c r="H716" s="33"/>
      <c r="I716" s="33"/>
      <c r="J716" s="33"/>
      <c r="K716" s="33"/>
      <c r="L716" s="33"/>
      <c r="M716" s="33"/>
      <c r="N716" s="33"/>
      <c r="O716" s="33"/>
      <c r="P716" s="33"/>
      <c r="Q716" s="33"/>
      <c r="R716" s="33"/>
      <c r="S716" s="33"/>
      <c r="T716" s="33"/>
      <c r="U716" s="33"/>
      <c r="V716" s="33"/>
      <c r="W716" s="33"/>
      <c r="X716" s="33"/>
      <c r="Y716" s="33"/>
      <c r="Z716" s="33"/>
      <c r="AA716" s="33"/>
      <c r="AB716" s="33"/>
    </row>
    <row r="717">
      <c r="A717" s="33"/>
      <c r="B717" s="33"/>
      <c r="C717" s="94"/>
      <c r="D717" s="33"/>
      <c r="E717" s="33"/>
      <c r="F717" s="33"/>
      <c r="G717" s="94"/>
      <c r="H717" s="33"/>
      <c r="I717" s="33"/>
      <c r="J717" s="33"/>
      <c r="K717" s="33"/>
      <c r="L717" s="33"/>
      <c r="M717" s="33"/>
      <c r="N717" s="33"/>
      <c r="O717" s="33"/>
      <c r="P717" s="33"/>
      <c r="Q717" s="33"/>
      <c r="R717" s="33"/>
      <c r="S717" s="33"/>
      <c r="T717" s="33"/>
      <c r="U717" s="33"/>
      <c r="V717" s="33"/>
      <c r="W717" s="33"/>
      <c r="X717" s="33"/>
      <c r="Y717" s="33"/>
      <c r="Z717" s="33"/>
      <c r="AA717" s="33"/>
      <c r="AB717" s="33"/>
    </row>
    <row r="718">
      <c r="A718" s="33"/>
      <c r="B718" s="33"/>
      <c r="C718" s="94"/>
      <c r="D718" s="33"/>
      <c r="E718" s="33"/>
      <c r="F718" s="33"/>
      <c r="G718" s="94"/>
      <c r="H718" s="33"/>
      <c r="I718" s="33"/>
      <c r="J718" s="33"/>
      <c r="K718" s="33"/>
      <c r="L718" s="33"/>
      <c r="M718" s="33"/>
      <c r="N718" s="33"/>
      <c r="O718" s="33"/>
      <c r="P718" s="33"/>
      <c r="Q718" s="33"/>
      <c r="R718" s="33"/>
      <c r="S718" s="33"/>
      <c r="T718" s="33"/>
      <c r="U718" s="33"/>
      <c r="V718" s="33"/>
      <c r="W718" s="33"/>
      <c r="X718" s="33"/>
      <c r="Y718" s="33"/>
      <c r="Z718" s="33"/>
      <c r="AA718" s="33"/>
      <c r="AB718" s="33"/>
    </row>
    <row r="719">
      <c r="A719" s="33"/>
      <c r="B719" s="33"/>
      <c r="C719" s="94"/>
      <c r="D719" s="33"/>
      <c r="E719" s="33"/>
      <c r="F719" s="33"/>
      <c r="G719" s="94"/>
      <c r="H719" s="33"/>
      <c r="I719" s="33"/>
      <c r="J719" s="33"/>
      <c r="K719" s="33"/>
      <c r="L719" s="33"/>
      <c r="M719" s="33"/>
      <c r="N719" s="33"/>
      <c r="O719" s="33"/>
      <c r="P719" s="33"/>
      <c r="Q719" s="33"/>
      <c r="R719" s="33"/>
      <c r="S719" s="33"/>
      <c r="T719" s="33"/>
      <c r="U719" s="33"/>
      <c r="V719" s="33"/>
      <c r="W719" s="33"/>
      <c r="X719" s="33"/>
      <c r="Y719" s="33"/>
      <c r="Z719" s="33"/>
      <c r="AA719" s="33"/>
      <c r="AB719" s="33"/>
    </row>
    <row r="720">
      <c r="A720" s="33"/>
      <c r="B720" s="33"/>
      <c r="C720" s="94"/>
      <c r="D720" s="33"/>
      <c r="E720" s="33"/>
      <c r="F720" s="33"/>
      <c r="G720" s="94"/>
      <c r="H720" s="33"/>
      <c r="I720" s="33"/>
      <c r="J720" s="33"/>
      <c r="K720" s="33"/>
      <c r="L720" s="33"/>
      <c r="M720" s="33"/>
      <c r="N720" s="33"/>
      <c r="O720" s="33"/>
      <c r="P720" s="33"/>
      <c r="Q720" s="33"/>
      <c r="R720" s="33"/>
      <c r="S720" s="33"/>
      <c r="T720" s="33"/>
      <c r="U720" s="33"/>
      <c r="V720" s="33"/>
      <c r="W720" s="33"/>
      <c r="X720" s="33"/>
      <c r="Y720" s="33"/>
      <c r="Z720" s="33"/>
      <c r="AA720" s="33"/>
      <c r="AB720" s="33"/>
    </row>
    <row r="721">
      <c r="A721" s="33"/>
      <c r="B721" s="33"/>
      <c r="C721" s="94"/>
      <c r="D721" s="33"/>
      <c r="E721" s="33"/>
      <c r="F721" s="33"/>
      <c r="G721" s="94"/>
      <c r="H721" s="33"/>
      <c r="I721" s="33"/>
      <c r="J721" s="33"/>
      <c r="K721" s="33"/>
      <c r="L721" s="33"/>
      <c r="M721" s="33"/>
      <c r="N721" s="33"/>
      <c r="O721" s="33"/>
      <c r="P721" s="33"/>
      <c r="Q721" s="33"/>
      <c r="R721" s="33"/>
      <c r="S721" s="33"/>
      <c r="T721" s="33"/>
      <c r="U721" s="33"/>
      <c r="V721" s="33"/>
      <c r="W721" s="33"/>
      <c r="X721" s="33"/>
      <c r="Y721" s="33"/>
      <c r="Z721" s="33"/>
      <c r="AA721" s="33"/>
      <c r="AB721" s="33"/>
    </row>
    <row r="722">
      <c r="A722" s="33"/>
      <c r="B722" s="33"/>
      <c r="C722" s="94"/>
      <c r="D722" s="33"/>
      <c r="E722" s="33"/>
      <c r="F722" s="33"/>
      <c r="G722" s="94"/>
      <c r="H722" s="33"/>
      <c r="I722" s="33"/>
      <c r="J722" s="33"/>
      <c r="K722" s="33"/>
      <c r="L722" s="33"/>
      <c r="M722" s="33"/>
      <c r="N722" s="33"/>
      <c r="O722" s="33"/>
      <c r="P722" s="33"/>
      <c r="Q722" s="33"/>
      <c r="R722" s="33"/>
      <c r="S722" s="33"/>
      <c r="T722" s="33"/>
      <c r="U722" s="33"/>
      <c r="V722" s="33"/>
      <c r="W722" s="33"/>
      <c r="X722" s="33"/>
      <c r="Y722" s="33"/>
      <c r="Z722" s="33"/>
      <c r="AA722" s="33"/>
      <c r="AB722" s="33"/>
    </row>
    <row r="723">
      <c r="A723" s="33"/>
      <c r="B723" s="33"/>
      <c r="C723" s="94"/>
      <c r="D723" s="33"/>
      <c r="E723" s="33"/>
      <c r="F723" s="33"/>
      <c r="G723" s="94"/>
      <c r="H723" s="33"/>
      <c r="I723" s="33"/>
      <c r="J723" s="33"/>
      <c r="K723" s="33"/>
      <c r="L723" s="33"/>
      <c r="M723" s="33"/>
      <c r="N723" s="33"/>
      <c r="O723" s="33"/>
      <c r="P723" s="33"/>
      <c r="Q723" s="33"/>
      <c r="R723" s="33"/>
      <c r="S723" s="33"/>
      <c r="T723" s="33"/>
      <c r="U723" s="33"/>
      <c r="V723" s="33"/>
      <c r="W723" s="33"/>
      <c r="X723" s="33"/>
      <c r="Y723" s="33"/>
      <c r="Z723" s="33"/>
      <c r="AA723" s="33"/>
      <c r="AB723" s="33"/>
    </row>
    <row r="724">
      <c r="A724" s="33"/>
      <c r="B724" s="33"/>
      <c r="C724" s="94"/>
      <c r="D724" s="33"/>
      <c r="E724" s="33"/>
      <c r="F724" s="33"/>
      <c r="G724" s="94"/>
      <c r="H724" s="33"/>
      <c r="I724" s="33"/>
      <c r="J724" s="33"/>
      <c r="K724" s="33"/>
      <c r="L724" s="33"/>
      <c r="M724" s="33"/>
      <c r="N724" s="33"/>
      <c r="O724" s="33"/>
      <c r="P724" s="33"/>
      <c r="Q724" s="33"/>
      <c r="R724" s="33"/>
      <c r="S724" s="33"/>
      <c r="T724" s="33"/>
      <c r="U724" s="33"/>
      <c r="V724" s="33"/>
      <c r="W724" s="33"/>
      <c r="X724" s="33"/>
      <c r="Y724" s="33"/>
      <c r="Z724" s="33"/>
      <c r="AA724" s="33"/>
      <c r="AB724" s="33"/>
    </row>
    <row r="725">
      <c r="A725" s="33"/>
      <c r="B725" s="33"/>
      <c r="C725" s="94"/>
      <c r="D725" s="33"/>
      <c r="E725" s="33"/>
      <c r="F725" s="33"/>
      <c r="G725" s="94"/>
      <c r="H725" s="33"/>
      <c r="I725" s="33"/>
      <c r="J725" s="33"/>
      <c r="K725" s="33"/>
      <c r="L725" s="33"/>
      <c r="M725" s="33"/>
      <c r="N725" s="33"/>
      <c r="O725" s="33"/>
      <c r="P725" s="33"/>
      <c r="Q725" s="33"/>
      <c r="R725" s="33"/>
      <c r="S725" s="33"/>
      <c r="T725" s="33"/>
      <c r="U725" s="33"/>
      <c r="V725" s="33"/>
      <c r="W725" s="33"/>
      <c r="X725" s="33"/>
      <c r="Y725" s="33"/>
      <c r="Z725" s="33"/>
      <c r="AA725" s="33"/>
      <c r="AB725" s="33"/>
    </row>
    <row r="726">
      <c r="A726" s="33"/>
      <c r="B726" s="33"/>
      <c r="C726" s="94"/>
      <c r="D726" s="33"/>
      <c r="E726" s="33"/>
      <c r="F726" s="33"/>
      <c r="G726" s="94"/>
      <c r="H726" s="33"/>
      <c r="I726" s="33"/>
      <c r="J726" s="33"/>
      <c r="K726" s="33"/>
      <c r="L726" s="33"/>
      <c r="M726" s="33"/>
      <c r="N726" s="33"/>
      <c r="O726" s="33"/>
      <c r="P726" s="33"/>
      <c r="Q726" s="33"/>
      <c r="R726" s="33"/>
      <c r="S726" s="33"/>
      <c r="T726" s="33"/>
      <c r="U726" s="33"/>
      <c r="V726" s="33"/>
      <c r="W726" s="33"/>
      <c r="X726" s="33"/>
      <c r="Y726" s="33"/>
      <c r="Z726" s="33"/>
      <c r="AA726" s="33"/>
      <c r="AB726" s="33"/>
    </row>
    <row r="727">
      <c r="A727" s="33"/>
      <c r="B727" s="33"/>
      <c r="C727" s="94"/>
      <c r="D727" s="33"/>
      <c r="E727" s="33"/>
      <c r="F727" s="33"/>
      <c r="G727" s="94"/>
      <c r="H727" s="33"/>
      <c r="I727" s="33"/>
      <c r="J727" s="33"/>
      <c r="K727" s="33"/>
      <c r="L727" s="33"/>
      <c r="M727" s="33"/>
      <c r="N727" s="33"/>
      <c r="O727" s="33"/>
      <c r="P727" s="33"/>
      <c r="Q727" s="33"/>
      <c r="R727" s="33"/>
      <c r="S727" s="33"/>
      <c r="T727" s="33"/>
      <c r="U727" s="33"/>
      <c r="V727" s="33"/>
      <c r="W727" s="33"/>
      <c r="X727" s="33"/>
      <c r="Y727" s="33"/>
      <c r="Z727" s="33"/>
      <c r="AA727" s="33"/>
      <c r="AB727" s="33"/>
    </row>
    <row r="728">
      <c r="A728" s="33"/>
      <c r="B728" s="33"/>
      <c r="C728" s="94"/>
      <c r="D728" s="33"/>
      <c r="E728" s="33"/>
      <c r="F728" s="33"/>
      <c r="G728" s="94"/>
      <c r="H728" s="33"/>
      <c r="I728" s="33"/>
      <c r="J728" s="33"/>
      <c r="K728" s="33"/>
      <c r="L728" s="33"/>
      <c r="M728" s="33"/>
      <c r="N728" s="33"/>
      <c r="O728" s="33"/>
      <c r="P728" s="33"/>
      <c r="Q728" s="33"/>
      <c r="R728" s="33"/>
      <c r="S728" s="33"/>
      <c r="T728" s="33"/>
      <c r="U728" s="33"/>
      <c r="V728" s="33"/>
      <c r="W728" s="33"/>
      <c r="X728" s="33"/>
      <c r="Y728" s="33"/>
      <c r="Z728" s="33"/>
      <c r="AA728" s="33"/>
      <c r="AB728" s="33"/>
    </row>
    <row r="729">
      <c r="A729" s="33"/>
      <c r="B729" s="33"/>
      <c r="C729" s="94"/>
      <c r="D729" s="33"/>
      <c r="E729" s="33"/>
      <c r="F729" s="33"/>
      <c r="G729" s="94"/>
      <c r="H729" s="33"/>
      <c r="I729" s="33"/>
      <c r="J729" s="33"/>
      <c r="K729" s="33"/>
      <c r="L729" s="33"/>
      <c r="M729" s="33"/>
      <c r="N729" s="33"/>
      <c r="O729" s="33"/>
      <c r="P729" s="33"/>
      <c r="Q729" s="33"/>
      <c r="R729" s="33"/>
      <c r="S729" s="33"/>
      <c r="T729" s="33"/>
      <c r="U729" s="33"/>
      <c r="V729" s="33"/>
      <c r="W729" s="33"/>
      <c r="X729" s="33"/>
      <c r="Y729" s="33"/>
      <c r="Z729" s="33"/>
      <c r="AA729" s="33"/>
      <c r="AB729" s="33"/>
    </row>
    <row r="730">
      <c r="A730" s="33"/>
      <c r="B730" s="33"/>
      <c r="C730" s="94"/>
      <c r="D730" s="33"/>
      <c r="E730" s="33"/>
      <c r="F730" s="33"/>
      <c r="G730" s="94"/>
      <c r="H730" s="33"/>
      <c r="I730" s="33"/>
      <c r="J730" s="33"/>
      <c r="K730" s="33"/>
      <c r="L730" s="33"/>
      <c r="M730" s="33"/>
      <c r="N730" s="33"/>
      <c r="O730" s="33"/>
      <c r="P730" s="33"/>
      <c r="Q730" s="33"/>
      <c r="R730" s="33"/>
      <c r="S730" s="33"/>
      <c r="T730" s="33"/>
      <c r="U730" s="33"/>
      <c r="V730" s="33"/>
      <c r="W730" s="33"/>
      <c r="X730" s="33"/>
      <c r="Y730" s="33"/>
      <c r="Z730" s="33"/>
      <c r="AA730" s="33"/>
      <c r="AB730" s="33"/>
    </row>
    <row r="731">
      <c r="A731" s="33"/>
      <c r="B731" s="33"/>
      <c r="C731" s="94"/>
      <c r="D731" s="33"/>
      <c r="E731" s="33"/>
      <c r="F731" s="33"/>
      <c r="G731" s="94"/>
      <c r="H731" s="33"/>
      <c r="I731" s="33"/>
      <c r="J731" s="33"/>
      <c r="K731" s="33"/>
      <c r="L731" s="33"/>
      <c r="M731" s="33"/>
      <c r="N731" s="33"/>
      <c r="O731" s="33"/>
      <c r="P731" s="33"/>
      <c r="Q731" s="33"/>
      <c r="R731" s="33"/>
      <c r="S731" s="33"/>
      <c r="T731" s="33"/>
      <c r="U731" s="33"/>
      <c r="V731" s="33"/>
      <c r="W731" s="33"/>
      <c r="X731" s="33"/>
      <c r="Y731" s="33"/>
      <c r="Z731" s="33"/>
      <c r="AA731" s="33"/>
      <c r="AB731" s="33"/>
    </row>
    <row r="732">
      <c r="A732" s="33"/>
      <c r="B732" s="33"/>
      <c r="C732" s="94"/>
      <c r="D732" s="33"/>
      <c r="E732" s="33"/>
      <c r="F732" s="33"/>
      <c r="G732" s="94"/>
      <c r="H732" s="33"/>
      <c r="I732" s="33"/>
      <c r="J732" s="33"/>
      <c r="K732" s="33"/>
      <c r="L732" s="33"/>
      <c r="M732" s="33"/>
      <c r="N732" s="33"/>
      <c r="O732" s="33"/>
      <c r="P732" s="33"/>
      <c r="Q732" s="33"/>
      <c r="R732" s="33"/>
      <c r="S732" s="33"/>
      <c r="T732" s="33"/>
      <c r="U732" s="33"/>
      <c r="V732" s="33"/>
      <c r="W732" s="33"/>
      <c r="X732" s="33"/>
      <c r="Y732" s="33"/>
      <c r="Z732" s="33"/>
      <c r="AA732" s="33"/>
      <c r="AB732" s="33"/>
    </row>
    <row r="733">
      <c r="A733" s="33"/>
      <c r="B733" s="33"/>
      <c r="C733" s="94"/>
      <c r="D733" s="33"/>
      <c r="E733" s="33"/>
      <c r="F733" s="33"/>
      <c r="G733" s="94"/>
      <c r="H733" s="33"/>
      <c r="I733" s="33"/>
      <c r="J733" s="33"/>
      <c r="K733" s="33"/>
      <c r="L733" s="33"/>
      <c r="M733" s="33"/>
      <c r="N733" s="33"/>
      <c r="O733" s="33"/>
      <c r="P733" s="33"/>
      <c r="Q733" s="33"/>
      <c r="R733" s="33"/>
      <c r="S733" s="33"/>
      <c r="T733" s="33"/>
      <c r="U733" s="33"/>
      <c r="V733" s="33"/>
      <c r="W733" s="33"/>
      <c r="X733" s="33"/>
      <c r="Y733" s="33"/>
      <c r="Z733" s="33"/>
      <c r="AA733" s="33"/>
      <c r="AB733" s="33"/>
    </row>
    <row r="734">
      <c r="A734" s="33"/>
      <c r="B734" s="33"/>
      <c r="C734" s="94"/>
      <c r="D734" s="33"/>
      <c r="E734" s="33"/>
      <c r="F734" s="33"/>
      <c r="G734" s="94"/>
      <c r="H734" s="33"/>
      <c r="I734" s="33"/>
      <c r="J734" s="33"/>
      <c r="K734" s="33"/>
      <c r="L734" s="33"/>
      <c r="M734" s="33"/>
      <c r="N734" s="33"/>
      <c r="O734" s="33"/>
      <c r="P734" s="33"/>
      <c r="Q734" s="33"/>
      <c r="R734" s="33"/>
      <c r="S734" s="33"/>
      <c r="T734" s="33"/>
      <c r="U734" s="33"/>
      <c r="V734" s="33"/>
      <c r="W734" s="33"/>
      <c r="X734" s="33"/>
      <c r="Y734" s="33"/>
      <c r="Z734" s="33"/>
      <c r="AA734" s="33"/>
      <c r="AB734" s="33"/>
    </row>
    <row r="735">
      <c r="A735" s="33"/>
      <c r="B735" s="33"/>
      <c r="C735" s="94"/>
      <c r="D735" s="33"/>
      <c r="E735" s="33"/>
      <c r="F735" s="33"/>
      <c r="G735" s="94"/>
      <c r="H735" s="33"/>
      <c r="I735" s="33"/>
      <c r="J735" s="33"/>
      <c r="K735" s="33"/>
      <c r="L735" s="33"/>
      <c r="M735" s="33"/>
      <c r="N735" s="33"/>
      <c r="O735" s="33"/>
      <c r="P735" s="33"/>
      <c r="Q735" s="33"/>
      <c r="R735" s="33"/>
      <c r="S735" s="33"/>
      <c r="T735" s="33"/>
      <c r="U735" s="33"/>
      <c r="V735" s="33"/>
      <c r="W735" s="33"/>
      <c r="X735" s="33"/>
      <c r="Y735" s="33"/>
      <c r="Z735" s="33"/>
      <c r="AA735" s="33"/>
      <c r="AB735" s="33"/>
    </row>
    <row r="736">
      <c r="A736" s="33"/>
      <c r="B736" s="33"/>
      <c r="C736" s="94"/>
      <c r="D736" s="33"/>
      <c r="E736" s="33"/>
      <c r="F736" s="33"/>
      <c r="G736" s="94"/>
      <c r="H736" s="33"/>
      <c r="I736" s="33"/>
      <c r="J736" s="33"/>
      <c r="K736" s="33"/>
      <c r="L736" s="33"/>
      <c r="M736" s="33"/>
      <c r="N736" s="33"/>
      <c r="O736" s="33"/>
      <c r="P736" s="33"/>
      <c r="Q736" s="33"/>
      <c r="R736" s="33"/>
      <c r="S736" s="33"/>
      <c r="T736" s="33"/>
      <c r="U736" s="33"/>
      <c r="V736" s="33"/>
      <c r="W736" s="33"/>
      <c r="X736" s="33"/>
      <c r="Y736" s="33"/>
      <c r="Z736" s="33"/>
      <c r="AA736" s="33"/>
      <c r="AB736" s="33"/>
    </row>
    <row r="737">
      <c r="A737" s="33"/>
      <c r="B737" s="33"/>
      <c r="C737" s="94"/>
      <c r="D737" s="33"/>
      <c r="E737" s="33"/>
      <c r="F737" s="33"/>
      <c r="G737" s="94"/>
      <c r="H737" s="33"/>
      <c r="I737" s="33"/>
      <c r="J737" s="33"/>
      <c r="K737" s="33"/>
      <c r="L737" s="33"/>
      <c r="M737" s="33"/>
      <c r="N737" s="33"/>
      <c r="O737" s="33"/>
      <c r="P737" s="33"/>
      <c r="Q737" s="33"/>
      <c r="R737" s="33"/>
      <c r="S737" s="33"/>
      <c r="T737" s="33"/>
      <c r="U737" s="33"/>
      <c r="V737" s="33"/>
      <c r="W737" s="33"/>
      <c r="X737" s="33"/>
      <c r="Y737" s="33"/>
      <c r="Z737" s="33"/>
      <c r="AA737" s="33"/>
      <c r="AB737" s="33"/>
    </row>
    <row r="738">
      <c r="A738" s="33"/>
      <c r="B738" s="33"/>
      <c r="C738" s="94"/>
      <c r="D738" s="33"/>
      <c r="E738" s="33"/>
      <c r="F738" s="33"/>
      <c r="G738" s="94"/>
      <c r="H738" s="33"/>
      <c r="I738" s="33"/>
      <c r="J738" s="33"/>
      <c r="K738" s="33"/>
      <c r="L738" s="33"/>
      <c r="M738" s="33"/>
      <c r="N738" s="33"/>
      <c r="O738" s="33"/>
      <c r="P738" s="33"/>
      <c r="Q738" s="33"/>
      <c r="R738" s="33"/>
      <c r="S738" s="33"/>
      <c r="T738" s="33"/>
      <c r="U738" s="33"/>
      <c r="V738" s="33"/>
      <c r="W738" s="33"/>
      <c r="X738" s="33"/>
      <c r="Y738" s="33"/>
      <c r="Z738" s="33"/>
      <c r="AA738" s="33"/>
      <c r="AB738" s="33"/>
    </row>
    <row r="739">
      <c r="A739" s="33"/>
      <c r="B739" s="33"/>
      <c r="C739" s="94"/>
      <c r="D739" s="33"/>
      <c r="E739" s="33"/>
      <c r="F739" s="33"/>
      <c r="G739" s="94"/>
      <c r="H739" s="33"/>
      <c r="I739" s="33"/>
      <c r="J739" s="33"/>
      <c r="K739" s="33"/>
      <c r="L739" s="33"/>
      <c r="M739" s="33"/>
      <c r="N739" s="33"/>
      <c r="O739" s="33"/>
      <c r="P739" s="33"/>
      <c r="Q739" s="33"/>
      <c r="R739" s="33"/>
      <c r="S739" s="33"/>
      <c r="T739" s="33"/>
      <c r="U739" s="33"/>
      <c r="V739" s="33"/>
      <c r="W739" s="33"/>
      <c r="X739" s="33"/>
      <c r="Y739" s="33"/>
      <c r="Z739" s="33"/>
      <c r="AA739" s="33"/>
      <c r="AB739" s="33"/>
    </row>
    <row r="740">
      <c r="A740" s="33"/>
      <c r="B740" s="33"/>
      <c r="C740" s="94"/>
      <c r="D740" s="33"/>
      <c r="E740" s="33"/>
      <c r="F740" s="33"/>
      <c r="G740" s="94"/>
      <c r="H740" s="33"/>
      <c r="I740" s="33"/>
      <c r="J740" s="33"/>
      <c r="K740" s="33"/>
      <c r="L740" s="33"/>
      <c r="M740" s="33"/>
      <c r="N740" s="33"/>
      <c r="O740" s="33"/>
      <c r="P740" s="33"/>
      <c r="Q740" s="33"/>
      <c r="R740" s="33"/>
      <c r="S740" s="33"/>
      <c r="T740" s="33"/>
      <c r="U740" s="33"/>
      <c r="V740" s="33"/>
      <c r="W740" s="33"/>
      <c r="X740" s="33"/>
      <c r="Y740" s="33"/>
      <c r="Z740" s="33"/>
      <c r="AA740" s="33"/>
      <c r="AB740" s="33"/>
    </row>
    <row r="741">
      <c r="A741" s="33"/>
      <c r="B741" s="33"/>
      <c r="C741" s="94"/>
      <c r="D741" s="33"/>
      <c r="E741" s="33"/>
      <c r="F741" s="33"/>
      <c r="G741" s="94"/>
      <c r="H741" s="33"/>
      <c r="I741" s="33"/>
      <c r="J741" s="33"/>
      <c r="K741" s="33"/>
      <c r="L741" s="33"/>
      <c r="M741" s="33"/>
      <c r="N741" s="33"/>
      <c r="O741" s="33"/>
      <c r="P741" s="33"/>
      <c r="Q741" s="33"/>
      <c r="R741" s="33"/>
      <c r="S741" s="33"/>
      <c r="T741" s="33"/>
      <c r="U741" s="33"/>
      <c r="V741" s="33"/>
      <c r="W741" s="33"/>
      <c r="X741" s="33"/>
      <c r="Y741" s="33"/>
      <c r="Z741" s="33"/>
      <c r="AA741" s="33"/>
      <c r="AB741" s="33"/>
    </row>
    <row r="742">
      <c r="A742" s="33"/>
      <c r="B742" s="33"/>
      <c r="C742" s="94"/>
      <c r="D742" s="33"/>
      <c r="E742" s="33"/>
      <c r="F742" s="33"/>
      <c r="G742" s="94"/>
      <c r="H742" s="33"/>
      <c r="I742" s="33"/>
      <c r="J742" s="33"/>
      <c r="K742" s="33"/>
      <c r="L742" s="33"/>
      <c r="M742" s="33"/>
      <c r="N742" s="33"/>
      <c r="O742" s="33"/>
      <c r="P742" s="33"/>
      <c r="Q742" s="33"/>
      <c r="R742" s="33"/>
      <c r="S742" s="33"/>
      <c r="T742" s="33"/>
      <c r="U742" s="33"/>
      <c r="V742" s="33"/>
      <c r="W742" s="33"/>
      <c r="X742" s="33"/>
      <c r="Y742" s="33"/>
      <c r="Z742" s="33"/>
      <c r="AA742" s="33"/>
      <c r="AB742" s="33"/>
    </row>
    <row r="743">
      <c r="A743" s="33"/>
      <c r="B743" s="33"/>
      <c r="C743" s="94"/>
      <c r="D743" s="33"/>
      <c r="E743" s="33"/>
      <c r="F743" s="33"/>
      <c r="G743" s="94"/>
      <c r="H743" s="33"/>
      <c r="I743" s="33"/>
      <c r="J743" s="33"/>
      <c r="K743" s="33"/>
      <c r="L743" s="33"/>
      <c r="M743" s="33"/>
      <c r="N743" s="33"/>
      <c r="O743" s="33"/>
      <c r="P743" s="33"/>
      <c r="Q743" s="33"/>
      <c r="R743" s="33"/>
      <c r="S743" s="33"/>
      <c r="T743" s="33"/>
      <c r="U743" s="33"/>
      <c r="V743" s="33"/>
      <c r="W743" s="33"/>
      <c r="X743" s="33"/>
      <c r="Y743" s="33"/>
      <c r="Z743" s="33"/>
      <c r="AA743" s="33"/>
      <c r="AB743" s="33"/>
    </row>
    <row r="744">
      <c r="A744" s="33"/>
      <c r="B744" s="33"/>
      <c r="C744" s="94"/>
      <c r="D744" s="33"/>
      <c r="E744" s="33"/>
      <c r="F744" s="33"/>
      <c r="G744" s="94"/>
      <c r="H744" s="33"/>
      <c r="I744" s="33"/>
      <c r="J744" s="33"/>
      <c r="K744" s="33"/>
      <c r="L744" s="33"/>
      <c r="M744" s="33"/>
      <c r="N744" s="33"/>
      <c r="O744" s="33"/>
      <c r="P744" s="33"/>
      <c r="Q744" s="33"/>
      <c r="R744" s="33"/>
      <c r="S744" s="33"/>
      <c r="T744" s="33"/>
      <c r="U744" s="33"/>
      <c r="V744" s="33"/>
      <c r="W744" s="33"/>
      <c r="X744" s="33"/>
      <c r="Y744" s="33"/>
      <c r="Z744" s="33"/>
      <c r="AA744" s="33"/>
      <c r="AB744" s="33"/>
    </row>
    <row r="745">
      <c r="A745" s="33"/>
      <c r="B745" s="33"/>
      <c r="C745" s="94"/>
      <c r="D745" s="33"/>
      <c r="E745" s="33"/>
      <c r="F745" s="33"/>
      <c r="G745" s="94"/>
      <c r="H745" s="33"/>
      <c r="I745" s="33"/>
      <c r="J745" s="33"/>
      <c r="K745" s="33"/>
      <c r="L745" s="33"/>
      <c r="M745" s="33"/>
      <c r="N745" s="33"/>
      <c r="O745" s="33"/>
      <c r="P745" s="33"/>
      <c r="Q745" s="33"/>
      <c r="R745" s="33"/>
      <c r="S745" s="33"/>
      <c r="T745" s="33"/>
      <c r="U745" s="33"/>
      <c r="V745" s="33"/>
      <c r="W745" s="33"/>
      <c r="X745" s="33"/>
      <c r="Y745" s="33"/>
      <c r="Z745" s="33"/>
      <c r="AA745" s="33"/>
      <c r="AB745" s="33"/>
    </row>
    <row r="746">
      <c r="A746" s="33"/>
      <c r="B746" s="33"/>
      <c r="C746" s="94"/>
      <c r="D746" s="33"/>
      <c r="E746" s="33"/>
      <c r="F746" s="33"/>
      <c r="G746" s="94"/>
      <c r="H746" s="33"/>
      <c r="I746" s="33"/>
      <c r="J746" s="33"/>
      <c r="K746" s="33"/>
      <c r="L746" s="33"/>
      <c r="M746" s="33"/>
      <c r="N746" s="33"/>
      <c r="O746" s="33"/>
      <c r="P746" s="33"/>
      <c r="Q746" s="33"/>
      <c r="R746" s="33"/>
      <c r="S746" s="33"/>
      <c r="T746" s="33"/>
      <c r="U746" s="33"/>
      <c r="V746" s="33"/>
      <c r="W746" s="33"/>
      <c r="X746" s="33"/>
      <c r="Y746" s="33"/>
      <c r="Z746" s="33"/>
      <c r="AA746" s="33"/>
      <c r="AB746" s="33"/>
    </row>
    <row r="747">
      <c r="A747" s="33"/>
      <c r="B747" s="33"/>
      <c r="C747" s="94"/>
      <c r="D747" s="33"/>
      <c r="E747" s="33"/>
      <c r="F747" s="33"/>
      <c r="G747" s="94"/>
      <c r="H747" s="33"/>
      <c r="I747" s="33"/>
      <c r="J747" s="33"/>
      <c r="K747" s="33"/>
      <c r="L747" s="33"/>
      <c r="M747" s="33"/>
      <c r="N747" s="33"/>
      <c r="O747" s="33"/>
      <c r="P747" s="33"/>
      <c r="Q747" s="33"/>
      <c r="R747" s="33"/>
      <c r="S747" s="33"/>
      <c r="T747" s="33"/>
      <c r="U747" s="33"/>
      <c r="V747" s="33"/>
      <c r="W747" s="33"/>
      <c r="X747" s="33"/>
      <c r="Y747" s="33"/>
      <c r="Z747" s="33"/>
      <c r="AA747" s="33"/>
      <c r="AB747" s="33"/>
    </row>
    <row r="748">
      <c r="A748" s="33"/>
      <c r="B748" s="33"/>
      <c r="C748" s="94"/>
      <c r="D748" s="33"/>
      <c r="E748" s="33"/>
      <c r="F748" s="33"/>
      <c r="G748" s="94"/>
      <c r="H748" s="33"/>
      <c r="I748" s="33"/>
      <c r="J748" s="33"/>
      <c r="K748" s="33"/>
      <c r="L748" s="33"/>
      <c r="M748" s="33"/>
      <c r="N748" s="33"/>
      <c r="O748" s="33"/>
      <c r="P748" s="33"/>
      <c r="Q748" s="33"/>
      <c r="R748" s="33"/>
      <c r="S748" s="33"/>
      <c r="T748" s="33"/>
      <c r="U748" s="33"/>
      <c r="V748" s="33"/>
      <c r="W748" s="33"/>
      <c r="X748" s="33"/>
      <c r="Y748" s="33"/>
      <c r="Z748" s="33"/>
      <c r="AA748" s="33"/>
      <c r="AB748" s="33"/>
    </row>
    <row r="749">
      <c r="A749" s="33"/>
      <c r="B749" s="33"/>
      <c r="C749" s="94"/>
      <c r="D749" s="33"/>
      <c r="E749" s="33"/>
      <c r="F749" s="33"/>
      <c r="G749" s="94"/>
      <c r="H749" s="33"/>
      <c r="I749" s="33"/>
      <c r="J749" s="33"/>
      <c r="K749" s="33"/>
      <c r="L749" s="33"/>
      <c r="M749" s="33"/>
      <c r="N749" s="33"/>
      <c r="O749" s="33"/>
      <c r="P749" s="33"/>
      <c r="Q749" s="33"/>
      <c r="R749" s="33"/>
      <c r="S749" s="33"/>
      <c r="T749" s="33"/>
      <c r="U749" s="33"/>
      <c r="V749" s="33"/>
      <c r="W749" s="33"/>
      <c r="X749" s="33"/>
      <c r="Y749" s="33"/>
      <c r="Z749" s="33"/>
      <c r="AA749" s="33"/>
      <c r="AB749" s="33"/>
    </row>
    <row r="750">
      <c r="A750" s="33"/>
      <c r="B750" s="33"/>
      <c r="C750" s="94"/>
      <c r="D750" s="33"/>
      <c r="E750" s="33"/>
      <c r="F750" s="33"/>
      <c r="G750" s="94"/>
      <c r="H750" s="33"/>
      <c r="I750" s="33"/>
      <c r="J750" s="33"/>
      <c r="K750" s="33"/>
      <c r="L750" s="33"/>
      <c r="M750" s="33"/>
      <c r="N750" s="33"/>
      <c r="O750" s="33"/>
      <c r="P750" s="33"/>
      <c r="Q750" s="33"/>
      <c r="R750" s="33"/>
      <c r="S750" s="33"/>
      <c r="T750" s="33"/>
      <c r="U750" s="33"/>
      <c r="V750" s="33"/>
      <c r="W750" s="33"/>
      <c r="X750" s="33"/>
      <c r="Y750" s="33"/>
      <c r="Z750" s="33"/>
      <c r="AA750" s="33"/>
      <c r="AB750" s="33"/>
    </row>
    <row r="751">
      <c r="A751" s="33"/>
      <c r="B751" s="33"/>
      <c r="C751" s="94"/>
      <c r="D751" s="33"/>
      <c r="E751" s="33"/>
      <c r="F751" s="33"/>
      <c r="G751" s="94"/>
      <c r="H751" s="33"/>
      <c r="I751" s="33"/>
      <c r="J751" s="33"/>
      <c r="K751" s="33"/>
      <c r="L751" s="33"/>
      <c r="M751" s="33"/>
      <c r="N751" s="33"/>
      <c r="O751" s="33"/>
      <c r="P751" s="33"/>
      <c r="Q751" s="33"/>
      <c r="R751" s="33"/>
      <c r="S751" s="33"/>
      <c r="T751" s="33"/>
      <c r="U751" s="33"/>
      <c r="V751" s="33"/>
      <c r="W751" s="33"/>
      <c r="X751" s="33"/>
      <c r="Y751" s="33"/>
      <c r="Z751" s="33"/>
      <c r="AA751" s="33"/>
      <c r="AB751" s="33"/>
    </row>
    <row r="752">
      <c r="A752" s="33"/>
      <c r="B752" s="33"/>
      <c r="C752" s="94"/>
      <c r="D752" s="33"/>
      <c r="E752" s="33"/>
      <c r="F752" s="33"/>
      <c r="G752" s="94"/>
      <c r="H752" s="33"/>
      <c r="I752" s="33"/>
      <c r="J752" s="33"/>
      <c r="K752" s="33"/>
      <c r="L752" s="33"/>
      <c r="M752" s="33"/>
      <c r="N752" s="33"/>
      <c r="O752" s="33"/>
      <c r="P752" s="33"/>
      <c r="Q752" s="33"/>
      <c r="R752" s="33"/>
      <c r="S752" s="33"/>
      <c r="T752" s="33"/>
      <c r="U752" s="33"/>
      <c r="V752" s="33"/>
      <c r="W752" s="33"/>
      <c r="X752" s="33"/>
      <c r="Y752" s="33"/>
      <c r="Z752" s="33"/>
      <c r="AA752" s="33"/>
      <c r="AB752" s="33"/>
    </row>
    <row r="753">
      <c r="A753" s="33"/>
      <c r="B753" s="33"/>
      <c r="C753" s="94"/>
      <c r="D753" s="33"/>
      <c r="E753" s="33"/>
      <c r="F753" s="33"/>
      <c r="G753" s="94"/>
      <c r="H753" s="33"/>
      <c r="I753" s="33"/>
      <c r="J753" s="33"/>
      <c r="K753" s="33"/>
      <c r="L753" s="33"/>
      <c r="M753" s="33"/>
      <c r="N753" s="33"/>
      <c r="O753" s="33"/>
      <c r="P753" s="33"/>
      <c r="Q753" s="33"/>
      <c r="R753" s="33"/>
      <c r="S753" s="33"/>
      <c r="T753" s="33"/>
      <c r="U753" s="33"/>
      <c r="V753" s="33"/>
      <c r="W753" s="33"/>
      <c r="X753" s="33"/>
      <c r="Y753" s="33"/>
      <c r="Z753" s="33"/>
      <c r="AA753" s="33"/>
      <c r="AB753" s="33"/>
    </row>
    <row r="754">
      <c r="A754" s="33"/>
      <c r="B754" s="33"/>
      <c r="C754" s="94"/>
      <c r="D754" s="33"/>
      <c r="E754" s="33"/>
      <c r="F754" s="33"/>
      <c r="G754" s="94"/>
      <c r="H754" s="33"/>
      <c r="I754" s="33"/>
      <c r="J754" s="33"/>
      <c r="K754" s="33"/>
      <c r="L754" s="33"/>
      <c r="M754" s="33"/>
      <c r="N754" s="33"/>
      <c r="O754" s="33"/>
      <c r="P754" s="33"/>
      <c r="Q754" s="33"/>
      <c r="R754" s="33"/>
      <c r="S754" s="33"/>
      <c r="T754" s="33"/>
      <c r="U754" s="33"/>
      <c r="V754" s="33"/>
      <c r="W754" s="33"/>
      <c r="X754" s="33"/>
      <c r="Y754" s="33"/>
      <c r="Z754" s="33"/>
      <c r="AA754" s="33"/>
      <c r="AB754" s="33"/>
    </row>
    <row r="755">
      <c r="A755" s="33"/>
      <c r="B755" s="33"/>
      <c r="C755" s="94"/>
      <c r="D755" s="33"/>
      <c r="E755" s="33"/>
      <c r="F755" s="33"/>
      <c r="G755" s="94"/>
      <c r="H755" s="33"/>
      <c r="I755" s="33"/>
      <c r="J755" s="33"/>
      <c r="K755" s="33"/>
      <c r="L755" s="33"/>
      <c r="M755" s="33"/>
      <c r="N755" s="33"/>
      <c r="O755" s="33"/>
      <c r="P755" s="33"/>
      <c r="Q755" s="33"/>
      <c r="R755" s="33"/>
      <c r="S755" s="33"/>
      <c r="T755" s="33"/>
      <c r="U755" s="33"/>
      <c r="V755" s="33"/>
      <c r="W755" s="33"/>
      <c r="X755" s="33"/>
      <c r="Y755" s="33"/>
      <c r="Z755" s="33"/>
      <c r="AA755" s="33"/>
      <c r="AB755" s="33"/>
    </row>
    <row r="756">
      <c r="A756" s="33"/>
      <c r="B756" s="33"/>
      <c r="C756" s="94"/>
      <c r="D756" s="33"/>
      <c r="E756" s="33"/>
      <c r="F756" s="33"/>
      <c r="G756" s="94"/>
      <c r="H756" s="33"/>
      <c r="I756" s="33"/>
      <c r="J756" s="33"/>
      <c r="K756" s="33"/>
      <c r="L756" s="33"/>
      <c r="M756" s="33"/>
      <c r="N756" s="33"/>
      <c r="O756" s="33"/>
      <c r="P756" s="33"/>
      <c r="Q756" s="33"/>
      <c r="R756" s="33"/>
      <c r="S756" s="33"/>
      <c r="T756" s="33"/>
      <c r="U756" s="33"/>
      <c r="V756" s="33"/>
      <c r="W756" s="33"/>
      <c r="X756" s="33"/>
      <c r="Y756" s="33"/>
      <c r="Z756" s="33"/>
      <c r="AA756" s="33"/>
      <c r="AB756" s="33"/>
    </row>
    <row r="757">
      <c r="A757" s="33"/>
      <c r="B757" s="33"/>
      <c r="C757" s="94"/>
      <c r="D757" s="33"/>
      <c r="E757" s="33"/>
      <c r="F757" s="33"/>
      <c r="G757" s="94"/>
      <c r="H757" s="33"/>
      <c r="I757" s="33"/>
      <c r="J757" s="33"/>
      <c r="K757" s="33"/>
      <c r="L757" s="33"/>
      <c r="M757" s="33"/>
      <c r="N757" s="33"/>
      <c r="O757" s="33"/>
      <c r="P757" s="33"/>
      <c r="Q757" s="33"/>
      <c r="R757" s="33"/>
      <c r="S757" s="33"/>
      <c r="T757" s="33"/>
      <c r="U757" s="33"/>
      <c r="V757" s="33"/>
      <c r="W757" s="33"/>
      <c r="X757" s="33"/>
      <c r="Y757" s="33"/>
      <c r="Z757" s="33"/>
      <c r="AA757" s="33"/>
      <c r="AB757" s="33"/>
    </row>
    <row r="758">
      <c r="A758" s="33"/>
      <c r="B758" s="33"/>
      <c r="C758" s="94"/>
      <c r="D758" s="33"/>
      <c r="E758" s="33"/>
      <c r="F758" s="33"/>
      <c r="G758" s="94"/>
      <c r="H758" s="33"/>
      <c r="I758" s="33"/>
      <c r="J758" s="33"/>
      <c r="K758" s="33"/>
      <c r="L758" s="33"/>
      <c r="M758" s="33"/>
      <c r="N758" s="33"/>
      <c r="O758" s="33"/>
      <c r="P758" s="33"/>
      <c r="Q758" s="33"/>
      <c r="R758" s="33"/>
      <c r="S758" s="33"/>
      <c r="T758" s="33"/>
      <c r="U758" s="33"/>
      <c r="V758" s="33"/>
      <c r="W758" s="33"/>
      <c r="X758" s="33"/>
      <c r="Y758" s="33"/>
      <c r="Z758" s="33"/>
      <c r="AA758" s="33"/>
      <c r="AB758" s="33"/>
    </row>
    <row r="759">
      <c r="A759" s="33"/>
      <c r="B759" s="33"/>
      <c r="C759" s="94"/>
      <c r="D759" s="33"/>
      <c r="E759" s="33"/>
      <c r="F759" s="33"/>
      <c r="G759" s="94"/>
      <c r="H759" s="33"/>
      <c r="I759" s="33"/>
      <c r="J759" s="33"/>
      <c r="K759" s="33"/>
      <c r="L759" s="33"/>
      <c r="M759" s="33"/>
      <c r="N759" s="33"/>
      <c r="O759" s="33"/>
      <c r="P759" s="33"/>
      <c r="Q759" s="33"/>
      <c r="R759" s="33"/>
      <c r="S759" s="33"/>
      <c r="T759" s="33"/>
      <c r="U759" s="33"/>
      <c r="V759" s="33"/>
      <c r="W759" s="33"/>
      <c r="X759" s="33"/>
      <c r="Y759" s="33"/>
      <c r="Z759" s="33"/>
      <c r="AA759" s="33"/>
      <c r="AB759" s="33"/>
    </row>
    <row r="760">
      <c r="A760" s="33"/>
      <c r="B760" s="33"/>
      <c r="C760" s="94"/>
      <c r="D760" s="33"/>
      <c r="E760" s="33"/>
      <c r="F760" s="33"/>
      <c r="G760" s="94"/>
      <c r="H760" s="33"/>
      <c r="I760" s="33"/>
      <c r="J760" s="33"/>
      <c r="K760" s="33"/>
      <c r="L760" s="33"/>
      <c r="M760" s="33"/>
      <c r="N760" s="33"/>
      <c r="O760" s="33"/>
      <c r="P760" s="33"/>
      <c r="Q760" s="33"/>
      <c r="R760" s="33"/>
      <c r="S760" s="33"/>
      <c r="T760" s="33"/>
      <c r="U760" s="33"/>
      <c r="V760" s="33"/>
      <c r="W760" s="33"/>
      <c r="X760" s="33"/>
      <c r="Y760" s="33"/>
      <c r="Z760" s="33"/>
      <c r="AA760" s="33"/>
      <c r="AB760" s="33"/>
    </row>
    <row r="761">
      <c r="A761" s="33"/>
      <c r="B761" s="33"/>
      <c r="C761" s="94"/>
      <c r="D761" s="33"/>
      <c r="E761" s="33"/>
      <c r="F761" s="33"/>
      <c r="G761" s="94"/>
      <c r="H761" s="33"/>
      <c r="I761" s="33"/>
      <c r="J761" s="33"/>
      <c r="K761" s="33"/>
      <c r="L761" s="33"/>
      <c r="M761" s="33"/>
      <c r="N761" s="33"/>
      <c r="O761" s="33"/>
      <c r="P761" s="33"/>
      <c r="Q761" s="33"/>
      <c r="R761" s="33"/>
      <c r="S761" s="33"/>
      <c r="T761" s="33"/>
      <c r="U761" s="33"/>
      <c r="V761" s="33"/>
      <c r="W761" s="33"/>
      <c r="X761" s="33"/>
      <c r="Y761" s="33"/>
      <c r="Z761" s="33"/>
      <c r="AA761" s="33"/>
      <c r="AB761" s="33"/>
    </row>
    <row r="762">
      <c r="A762" s="33"/>
      <c r="B762" s="33"/>
      <c r="C762" s="94"/>
      <c r="D762" s="33"/>
      <c r="E762" s="33"/>
      <c r="F762" s="33"/>
      <c r="G762" s="94"/>
      <c r="H762" s="33"/>
      <c r="I762" s="33"/>
      <c r="J762" s="33"/>
      <c r="K762" s="33"/>
      <c r="L762" s="33"/>
      <c r="M762" s="33"/>
      <c r="N762" s="33"/>
      <c r="O762" s="33"/>
      <c r="P762" s="33"/>
      <c r="Q762" s="33"/>
      <c r="R762" s="33"/>
      <c r="S762" s="33"/>
      <c r="T762" s="33"/>
      <c r="U762" s="33"/>
      <c r="V762" s="33"/>
      <c r="W762" s="33"/>
      <c r="X762" s="33"/>
      <c r="Y762" s="33"/>
      <c r="Z762" s="33"/>
      <c r="AA762" s="33"/>
      <c r="AB762" s="33"/>
    </row>
    <row r="763">
      <c r="A763" s="33"/>
      <c r="B763" s="33"/>
      <c r="C763" s="94"/>
      <c r="D763" s="33"/>
      <c r="E763" s="33"/>
      <c r="F763" s="33"/>
      <c r="G763" s="94"/>
      <c r="H763" s="33"/>
      <c r="I763" s="33"/>
      <c r="J763" s="33"/>
      <c r="K763" s="33"/>
      <c r="L763" s="33"/>
      <c r="M763" s="33"/>
      <c r="N763" s="33"/>
      <c r="O763" s="33"/>
      <c r="P763" s="33"/>
      <c r="Q763" s="33"/>
      <c r="R763" s="33"/>
      <c r="S763" s="33"/>
      <c r="T763" s="33"/>
      <c r="U763" s="33"/>
      <c r="V763" s="33"/>
      <c r="W763" s="33"/>
      <c r="X763" s="33"/>
      <c r="Y763" s="33"/>
      <c r="Z763" s="33"/>
      <c r="AA763" s="33"/>
      <c r="AB763" s="33"/>
    </row>
    <row r="764">
      <c r="A764" s="33"/>
      <c r="B764" s="33"/>
      <c r="C764" s="94"/>
      <c r="D764" s="33"/>
      <c r="E764" s="33"/>
      <c r="F764" s="33"/>
      <c r="G764" s="94"/>
      <c r="H764" s="33"/>
      <c r="I764" s="33"/>
      <c r="J764" s="33"/>
      <c r="K764" s="33"/>
      <c r="L764" s="33"/>
      <c r="M764" s="33"/>
      <c r="N764" s="33"/>
      <c r="O764" s="33"/>
      <c r="P764" s="33"/>
      <c r="Q764" s="33"/>
      <c r="R764" s="33"/>
      <c r="S764" s="33"/>
      <c r="T764" s="33"/>
      <c r="U764" s="33"/>
      <c r="V764" s="33"/>
      <c r="W764" s="33"/>
      <c r="X764" s="33"/>
      <c r="Y764" s="33"/>
      <c r="Z764" s="33"/>
      <c r="AA764" s="33"/>
      <c r="AB764" s="33"/>
    </row>
    <row r="765">
      <c r="A765" s="33"/>
      <c r="B765" s="33"/>
      <c r="C765" s="94"/>
      <c r="D765" s="33"/>
      <c r="E765" s="33"/>
      <c r="F765" s="33"/>
      <c r="G765" s="94"/>
      <c r="H765" s="33"/>
      <c r="I765" s="33"/>
      <c r="J765" s="33"/>
      <c r="K765" s="33"/>
      <c r="L765" s="33"/>
      <c r="M765" s="33"/>
      <c r="N765" s="33"/>
      <c r="O765" s="33"/>
      <c r="P765" s="33"/>
      <c r="Q765" s="33"/>
      <c r="R765" s="33"/>
      <c r="S765" s="33"/>
      <c r="T765" s="33"/>
      <c r="U765" s="33"/>
      <c r="V765" s="33"/>
      <c r="W765" s="33"/>
      <c r="X765" s="33"/>
      <c r="Y765" s="33"/>
      <c r="Z765" s="33"/>
      <c r="AA765" s="33"/>
      <c r="AB765" s="33"/>
    </row>
    <row r="766">
      <c r="A766" s="33"/>
      <c r="B766" s="33"/>
      <c r="C766" s="94"/>
      <c r="D766" s="33"/>
      <c r="E766" s="33"/>
      <c r="F766" s="33"/>
      <c r="G766" s="94"/>
      <c r="H766" s="33"/>
      <c r="I766" s="33"/>
      <c r="J766" s="33"/>
      <c r="K766" s="33"/>
      <c r="L766" s="33"/>
      <c r="M766" s="33"/>
      <c r="N766" s="33"/>
      <c r="O766" s="33"/>
      <c r="P766" s="33"/>
      <c r="Q766" s="33"/>
      <c r="R766" s="33"/>
      <c r="S766" s="33"/>
      <c r="T766" s="33"/>
      <c r="U766" s="33"/>
      <c r="V766" s="33"/>
      <c r="W766" s="33"/>
      <c r="X766" s="33"/>
      <c r="Y766" s="33"/>
      <c r="Z766" s="33"/>
      <c r="AA766" s="33"/>
      <c r="AB766" s="33"/>
    </row>
    <row r="767">
      <c r="A767" s="33"/>
      <c r="B767" s="33"/>
      <c r="C767" s="94"/>
      <c r="D767" s="33"/>
      <c r="E767" s="33"/>
      <c r="F767" s="33"/>
      <c r="G767" s="94"/>
      <c r="H767" s="33"/>
      <c r="I767" s="33"/>
      <c r="J767" s="33"/>
      <c r="K767" s="33"/>
      <c r="L767" s="33"/>
      <c r="M767" s="33"/>
      <c r="N767" s="33"/>
      <c r="O767" s="33"/>
      <c r="P767" s="33"/>
      <c r="Q767" s="33"/>
      <c r="R767" s="33"/>
      <c r="S767" s="33"/>
      <c r="T767" s="33"/>
      <c r="U767" s="33"/>
      <c r="V767" s="33"/>
      <c r="W767" s="33"/>
      <c r="X767" s="33"/>
      <c r="Y767" s="33"/>
      <c r="Z767" s="33"/>
      <c r="AA767" s="33"/>
      <c r="AB767" s="33"/>
    </row>
    <row r="768">
      <c r="A768" s="33"/>
      <c r="B768" s="33"/>
      <c r="C768" s="94"/>
      <c r="D768" s="33"/>
      <c r="E768" s="33"/>
      <c r="F768" s="33"/>
      <c r="G768" s="94"/>
      <c r="H768" s="33"/>
      <c r="I768" s="33"/>
      <c r="J768" s="33"/>
      <c r="K768" s="33"/>
      <c r="L768" s="33"/>
      <c r="M768" s="33"/>
      <c r="N768" s="33"/>
      <c r="O768" s="33"/>
      <c r="P768" s="33"/>
      <c r="Q768" s="33"/>
      <c r="R768" s="33"/>
      <c r="S768" s="33"/>
      <c r="T768" s="33"/>
      <c r="U768" s="33"/>
      <c r="V768" s="33"/>
      <c r="W768" s="33"/>
      <c r="X768" s="33"/>
      <c r="Y768" s="33"/>
      <c r="Z768" s="33"/>
      <c r="AA768" s="33"/>
      <c r="AB768" s="33"/>
    </row>
    <row r="769">
      <c r="A769" s="33"/>
      <c r="B769" s="33"/>
      <c r="C769" s="94"/>
      <c r="D769" s="33"/>
      <c r="E769" s="33"/>
      <c r="F769" s="33"/>
      <c r="G769" s="94"/>
      <c r="H769" s="33"/>
      <c r="I769" s="33"/>
      <c r="J769" s="33"/>
      <c r="K769" s="33"/>
      <c r="L769" s="33"/>
      <c r="M769" s="33"/>
      <c r="N769" s="33"/>
      <c r="O769" s="33"/>
      <c r="P769" s="33"/>
      <c r="Q769" s="33"/>
      <c r="R769" s="33"/>
      <c r="S769" s="33"/>
      <c r="T769" s="33"/>
      <c r="U769" s="33"/>
      <c r="V769" s="33"/>
      <c r="W769" s="33"/>
      <c r="X769" s="33"/>
      <c r="Y769" s="33"/>
      <c r="Z769" s="33"/>
      <c r="AA769" s="33"/>
      <c r="AB769" s="33"/>
    </row>
    <row r="770">
      <c r="A770" s="33"/>
      <c r="B770" s="33"/>
      <c r="C770" s="94"/>
      <c r="D770" s="33"/>
      <c r="E770" s="33"/>
      <c r="F770" s="33"/>
      <c r="G770" s="94"/>
      <c r="H770" s="33"/>
      <c r="I770" s="33"/>
      <c r="J770" s="33"/>
      <c r="K770" s="33"/>
      <c r="L770" s="33"/>
      <c r="M770" s="33"/>
      <c r="N770" s="33"/>
      <c r="O770" s="33"/>
      <c r="P770" s="33"/>
      <c r="Q770" s="33"/>
      <c r="R770" s="33"/>
      <c r="S770" s="33"/>
      <c r="T770" s="33"/>
      <c r="U770" s="33"/>
      <c r="V770" s="33"/>
      <c r="W770" s="33"/>
      <c r="X770" s="33"/>
      <c r="Y770" s="33"/>
      <c r="Z770" s="33"/>
      <c r="AA770" s="33"/>
      <c r="AB770" s="33"/>
    </row>
    <row r="771">
      <c r="A771" s="33"/>
      <c r="B771" s="33"/>
      <c r="C771" s="94"/>
      <c r="D771" s="33"/>
      <c r="E771" s="33"/>
      <c r="F771" s="33"/>
      <c r="G771" s="94"/>
      <c r="H771" s="33"/>
      <c r="I771" s="33"/>
      <c r="J771" s="33"/>
      <c r="K771" s="33"/>
      <c r="L771" s="33"/>
      <c r="M771" s="33"/>
      <c r="N771" s="33"/>
      <c r="O771" s="33"/>
      <c r="P771" s="33"/>
      <c r="Q771" s="33"/>
      <c r="R771" s="33"/>
      <c r="S771" s="33"/>
      <c r="T771" s="33"/>
      <c r="U771" s="33"/>
      <c r="V771" s="33"/>
      <c r="W771" s="33"/>
      <c r="X771" s="33"/>
      <c r="Y771" s="33"/>
      <c r="Z771" s="33"/>
      <c r="AA771" s="33"/>
      <c r="AB771" s="33"/>
    </row>
    <row r="772">
      <c r="A772" s="33"/>
      <c r="B772" s="33"/>
      <c r="C772" s="94"/>
      <c r="D772" s="33"/>
      <c r="E772" s="33"/>
      <c r="F772" s="33"/>
      <c r="G772" s="94"/>
      <c r="H772" s="33"/>
      <c r="I772" s="33"/>
      <c r="J772" s="33"/>
      <c r="K772" s="33"/>
      <c r="L772" s="33"/>
      <c r="M772" s="33"/>
      <c r="N772" s="33"/>
      <c r="O772" s="33"/>
      <c r="P772" s="33"/>
      <c r="Q772" s="33"/>
      <c r="R772" s="33"/>
      <c r="S772" s="33"/>
      <c r="T772" s="33"/>
      <c r="U772" s="33"/>
      <c r="V772" s="33"/>
      <c r="W772" s="33"/>
      <c r="X772" s="33"/>
      <c r="Y772" s="33"/>
      <c r="Z772" s="33"/>
      <c r="AA772" s="33"/>
      <c r="AB772" s="33"/>
    </row>
    <row r="773">
      <c r="A773" s="33"/>
      <c r="B773" s="33"/>
      <c r="C773" s="94"/>
      <c r="D773" s="33"/>
      <c r="E773" s="33"/>
      <c r="F773" s="33"/>
      <c r="G773" s="94"/>
      <c r="H773" s="33"/>
      <c r="I773" s="33"/>
      <c r="J773" s="33"/>
      <c r="K773" s="33"/>
      <c r="L773" s="33"/>
      <c r="M773" s="33"/>
      <c r="N773" s="33"/>
      <c r="O773" s="33"/>
      <c r="P773" s="33"/>
      <c r="Q773" s="33"/>
      <c r="R773" s="33"/>
      <c r="S773" s="33"/>
      <c r="T773" s="33"/>
      <c r="U773" s="33"/>
      <c r="V773" s="33"/>
      <c r="W773" s="33"/>
      <c r="X773" s="33"/>
      <c r="Y773" s="33"/>
      <c r="Z773" s="33"/>
      <c r="AA773" s="33"/>
      <c r="AB773" s="33"/>
    </row>
    <row r="774">
      <c r="A774" s="33"/>
      <c r="B774" s="33"/>
      <c r="C774" s="94"/>
      <c r="D774" s="33"/>
      <c r="E774" s="33"/>
      <c r="F774" s="33"/>
      <c r="G774" s="94"/>
      <c r="H774" s="33"/>
      <c r="I774" s="33"/>
      <c r="J774" s="33"/>
      <c r="K774" s="33"/>
      <c r="L774" s="33"/>
      <c r="M774" s="33"/>
      <c r="N774" s="33"/>
      <c r="O774" s="33"/>
      <c r="P774" s="33"/>
      <c r="Q774" s="33"/>
      <c r="R774" s="33"/>
      <c r="S774" s="33"/>
      <c r="T774" s="33"/>
      <c r="U774" s="33"/>
      <c r="V774" s="33"/>
      <c r="W774" s="33"/>
      <c r="X774" s="33"/>
      <c r="Y774" s="33"/>
      <c r="Z774" s="33"/>
      <c r="AA774" s="33"/>
      <c r="AB774" s="33"/>
    </row>
    <row r="775">
      <c r="A775" s="33"/>
      <c r="B775" s="33"/>
      <c r="C775" s="94"/>
      <c r="D775" s="33"/>
      <c r="E775" s="33"/>
      <c r="F775" s="33"/>
      <c r="G775" s="94"/>
      <c r="H775" s="33"/>
      <c r="I775" s="33"/>
      <c r="J775" s="33"/>
      <c r="K775" s="33"/>
      <c r="L775" s="33"/>
      <c r="M775" s="33"/>
      <c r="N775" s="33"/>
      <c r="O775" s="33"/>
      <c r="P775" s="33"/>
      <c r="Q775" s="33"/>
      <c r="R775" s="33"/>
      <c r="S775" s="33"/>
      <c r="T775" s="33"/>
      <c r="U775" s="33"/>
      <c r="V775" s="33"/>
      <c r="W775" s="33"/>
      <c r="X775" s="33"/>
      <c r="Y775" s="33"/>
      <c r="Z775" s="33"/>
      <c r="AA775" s="33"/>
      <c r="AB775" s="33"/>
    </row>
    <row r="776">
      <c r="A776" s="33"/>
      <c r="B776" s="33"/>
      <c r="C776" s="94"/>
      <c r="D776" s="33"/>
      <c r="E776" s="33"/>
      <c r="F776" s="33"/>
      <c r="G776" s="94"/>
      <c r="H776" s="33"/>
      <c r="I776" s="33"/>
      <c r="J776" s="33"/>
      <c r="K776" s="33"/>
      <c r="L776" s="33"/>
      <c r="M776" s="33"/>
      <c r="N776" s="33"/>
      <c r="O776" s="33"/>
      <c r="P776" s="33"/>
      <c r="Q776" s="33"/>
      <c r="R776" s="33"/>
      <c r="S776" s="33"/>
      <c r="T776" s="33"/>
      <c r="U776" s="33"/>
      <c r="V776" s="33"/>
      <c r="W776" s="33"/>
      <c r="X776" s="33"/>
      <c r="Y776" s="33"/>
      <c r="Z776" s="33"/>
      <c r="AA776" s="33"/>
      <c r="AB776" s="33"/>
    </row>
    <row r="777">
      <c r="A777" s="33"/>
      <c r="B777" s="33"/>
      <c r="C777" s="94"/>
      <c r="D777" s="33"/>
      <c r="E777" s="33"/>
      <c r="F777" s="33"/>
      <c r="G777" s="94"/>
      <c r="H777" s="33"/>
      <c r="I777" s="33"/>
      <c r="J777" s="33"/>
      <c r="K777" s="33"/>
      <c r="L777" s="33"/>
      <c r="M777" s="33"/>
      <c r="N777" s="33"/>
      <c r="O777" s="33"/>
      <c r="P777" s="33"/>
      <c r="Q777" s="33"/>
      <c r="R777" s="33"/>
      <c r="S777" s="33"/>
      <c r="T777" s="33"/>
      <c r="U777" s="33"/>
      <c r="V777" s="33"/>
      <c r="W777" s="33"/>
      <c r="X777" s="33"/>
      <c r="Y777" s="33"/>
      <c r="Z777" s="33"/>
      <c r="AA777" s="33"/>
      <c r="AB777" s="33"/>
    </row>
    <row r="778">
      <c r="A778" s="33"/>
      <c r="B778" s="33"/>
      <c r="C778" s="94"/>
      <c r="D778" s="33"/>
      <c r="E778" s="33"/>
      <c r="F778" s="33"/>
      <c r="G778" s="94"/>
      <c r="H778" s="33"/>
      <c r="I778" s="33"/>
      <c r="J778" s="33"/>
      <c r="K778" s="33"/>
      <c r="L778" s="33"/>
      <c r="M778" s="33"/>
      <c r="N778" s="33"/>
      <c r="O778" s="33"/>
      <c r="P778" s="33"/>
      <c r="Q778" s="33"/>
      <c r="R778" s="33"/>
      <c r="S778" s="33"/>
      <c r="T778" s="33"/>
      <c r="U778" s="33"/>
      <c r="V778" s="33"/>
      <c r="W778" s="33"/>
      <c r="X778" s="33"/>
      <c r="Y778" s="33"/>
      <c r="Z778" s="33"/>
      <c r="AA778" s="33"/>
      <c r="AB778" s="33"/>
    </row>
    <row r="779">
      <c r="A779" s="33"/>
      <c r="B779" s="33"/>
      <c r="C779" s="94"/>
      <c r="D779" s="33"/>
      <c r="E779" s="33"/>
      <c r="F779" s="33"/>
      <c r="G779" s="94"/>
      <c r="H779" s="33"/>
      <c r="I779" s="33"/>
      <c r="J779" s="33"/>
      <c r="K779" s="33"/>
      <c r="L779" s="33"/>
      <c r="M779" s="33"/>
      <c r="N779" s="33"/>
      <c r="O779" s="33"/>
      <c r="P779" s="33"/>
      <c r="Q779" s="33"/>
      <c r="R779" s="33"/>
      <c r="S779" s="33"/>
      <c r="T779" s="33"/>
      <c r="U779" s="33"/>
      <c r="V779" s="33"/>
      <c r="W779" s="33"/>
      <c r="X779" s="33"/>
      <c r="Y779" s="33"/>
      <c r="Z779" s="33"/>
      <c r="AA779" s="33"/>
      <c r="AB779" s="33"/>
    </row>
    <row r="780">
      <c r="A780" s="33"/>
      <c r="B780" s="33"/>
      <c r="C780" s="94"/>
      <c r="D780" s="33"/>
      <c r="E780" s="33"/>
      <c r="F780" s="33"/>
      <c r="G780" s="94"/>
      <c r="H780" s="33"/>
      <c r="I780" s="33"/>
      <c r="J780" s="33"/>
      <c r="K780" s="33"/>
      <c r="L780" s="33"/>
      <c r="M780" s="33"/>
      <c r="N780" s="33"/>
      <c r="O780" s="33"/>
      <c r="P780" s="33"/>
      <c r="Q780" s="33"/>
      <c r="R780" s="33"/>
      <c r="S780" s="33"/>
      <c r="T780" s="33"/>
      <c r="U780" s="33"/>
      <c r="V780" s="33"/>
      <c r="W780" s="33"/>
      <c r="X780" s="33"/>
      <c r="Y780" s="33"/>
      <c r="Z780" s="33"/>
      <c r="AA780" s="33"/>
      <c r="AB780" s="33"/>
    </row>
    <row r="781">
      <c r="A781" s="33"/>
      <c r="B781" s="33"/>
      <c r="C781" s="94"/>
      <c r="D781" s="33"/>
      <c r="E781" s="33"/>
      <c r="F781" s="33"/>
      <c r="G781" s="94"/>
      <c r="H781" s="33"/>
      <c r="I781" s="33"/>
      <c r="J781" s="33"/>
      <c r="K781" s="33"/>
      <c r="L781" s="33"/>
      <c r="M781" s="33"/>
      <c r="N781" s="33"/>
      <c r="O781" s="33"/>
      <c r="P781" s="33"/>
      <c r="Q781" s="33"/>
      <c r="R781" s="33"/>
      <c r="S781" s="33"/>
      <c r="T781" s="33"/>
      <c r="U781" s="33"/>
      <c r="V781" s="33"/>
      <c r="W781" s="33"/>
      <c r="X781" s="33"/>
      <c r="Y781" s="33"/>
      <c r="Z781" s="33"/>
      <c r="AA781" s="33"/>
      <c r="AB781" s="33"/>
    </row>
    <row r="782">
      <c r="A782" s="33"/>
      <c r="B782" s="33"/>
      <c r="C782" s="94"/>
      <c r="D782" s="33"/>
      <c r="E782" s="33"/>
      <c r="F782" s="33"/>
      <c r="G782" s="94"/>
      <c r="H782" s="33"/>
      <c r="I782" s="33"/>
      <c r="J782" s="33"/>
      <c r="K782" s="33"/>
      <c r="L782" s="33"/>
      <c r="M782" s="33"/>
      <c r="N782" s="33"/>
      <c r="O782" s="33"/>
      <c r="P782" s="33"/>
      <c r="Q782" s="33"/>
      <c r="R782" s="33"/>
      <c r="S782" s="33"/>
      <c r="T782" s="33"/>
      <c r="U782" s="33"/>
      <c r="V782" s="33"/>
      <c r="W782" s="33"/>
      <c r="X782" s="33"/>
      <c r="Y782" s="33"/>
      <c r="Z782" s="33"/>
      <c r="AA782" s="33"/>
      <c r="AB782" s="33"/>
    </row>
    <row r="783">
      <c r="A783" s="33"/>
      <c r="B783" s="33"/>
      <c r="C783" s="94"/>
      <c r="D783" s="33"/>
      <c r="E783" s="33"/>
      <c r="F783" s="33"/>
      <c r="G783" s="94"/>
      <c r="H783" s="33"/>
      <c r="I783" s="33"/>
      <c r="J783" s="33"/>
      <c r="K783" s="33"/>
      <c r="L783" s="33"/>
      <c r="M783" s="33"/>
      <c r="N783" s="33"/>
      <c r="O783" s="33"/>
      <c r="P783" s="33"/>
      <c r="Q783" s="33"/>
      <c r="R783" s="33"/>
      <c r="S783" s="33"/>
      <c r="T783" s="33"/>
      <c r="U783" s="33"/>
      <c r="V783" s="33"/>
      <c r="W783" s="33"/>
      <c r="X783" s="33"/>
      <c r="Y783" s="33"/>
      <c r="Z783" s="33"/>
      <c r="AA783" s="33"/>
      <c r="AB783" s="33"/>
    </row>
    <row r="784">
      <c r="A784" s="33"/>
      <c r="B784" s="33"/>
      <c r="C784" s="94"/>
      <c r="D784" s="33"/>
      <c r="E784" s="33"/>
      <c r="F784" s="33"/>
      <c r="G784" s="94"/>
      <c r="H784" s="33"/>
      <c r="I784" s="33"/>
      <c r="J784" s="33"/>
      <c r="K784" s="33"/>
      <c r="L784" s="33"/>
      <c r="M784" s="33"/>
      <c r="N784" s="33"/>
      <c r="O784" s="33"/>
      <c r="P784" s="33"/>
      <c r="Q784" s="33"/>
      <c r="R784" s="33"/>
      <c r="S784" s="33"/>
      <c r="T784" s="33"/>
      <c r="U784" s="33"/>
      <c r="V784" s="33"/>
      <c r="W784" s="33"/>
      <c r="X784" s="33"/>
      <c r="Y784" s="33"/>
      <c r="Z784" s="33"/>
      <c r="AA784" s="33"/>
      <c r="AB784" s="33"/>
    </row>
    <row r="785">
      <c r="A785" s="33"/>
      <c r="B785" s="33"/>
      <c r="C785" s="94"/>
      <c r="D785" s="33"/>
      <c r="E785" s="33"/>
      <c r="F785" s="33"/>
      <c r="G785" s="94"/>
      <c r="H785" s="33"/>
      <c r="I785" s="33"/>
      <c r="J785" s="33"/>
      <c r="K785" s="33"/>
      <c r="L785" s="33"/>
      <c r="M785" s="33"/>
      <c r="N785" s="33"/>
      <c r="O785" s="33"/>
      <c r="P785" s="33"/>
      <c r="Q785" s="33"/>
      <c r="R785" s="33"/>
      <c r="S785" s="33"/>
      <c r="T785" s="33"/>
      <c r="U785" s="33"/>
      <c r="V785" s="33"/>
      <c r="W785" s="33"/>
      <c r="X785" s="33"/>
      <c r="Y785" s="33"/>
      <c r="Z785" s="33"/>
      <c r="AA785" s="33"/>
      <c r="AB785" s="33"/>
    </row>
    <row r="786">
      <c r="A786" s="33"/>
      <c r="B786" s="33"/>
      <c r="C786" s="94"/>
      <c r="D786" s="33"/>
      <c r="E786" s="33"/>
      <c r="F786" s="33"/>
      <c r="G786" s="94"/>
      <c r="H786" s="33"/>
      <c r="I786" s="33"/>
      <c r="J786" s="33"/>
      <c r="K786" s="33"/>
      <c r="L786" s="33"/>
      <c r="M786" s="33"/>
      <c r="N786" s="33"/>
      <c r="O786" s="33"/>
      <c r="P786" s="33"/>
      <c r="Q786" s="33"/>
      <c r="R786" s="33"/>
      <c r="S786" s="33"/>
      <c r="T786" s="33"/>
      <c r="U786" s="33"/>
      <c r="V786" s="33"/>
      <c r="W786" s="33"/>
      <c r="X786" s="33"/>
      <c r="Y786" s="33"/>
      <c r="Z786" s="33"/>
      <c r="AA786" s="33"/>
      <c r="AB786" s="33"/>
    </row>
    <row r="787">
      <c r="A787" s="33"/>
      <c r="B787" s="33"/>
      <c r="C787" s="94"/>
      <c r="D787" s="33"/>
      <c r="E787" s="33"/>
      <c r="F787" s="33"/>
      <c r="G787" s="94"/>
      <c r="H787" s="33"/>
      <c r="I787" s="33"/>
      <c r="J787" s="33"/>
      <c r="K787" s="33"/>
      <c r="L787" s="33"/>
      <c r="M787" s="33"/>
      <c r="N787" s="33"/>
      <c r="O787" s="33"/>
      <c r="P787" s="33"/>
      <c r="Q787" s="33"/>
      <c r="R787" s="33"/>
      <c r="S787" s="33"/>
      <c r="T787" s="33"/>
      <c r="U787" s="33"/>
      <c r="V787" s="33"/>
      <c r="W787" s="33"/>
      <c r="X787" s="33"/>
      <c r="Y787" s="33"/>
      <c r="Z787" s="33"/>
      <c r="AA787" s="33"/>
      <c r="AB787" s="33"/>
    </row>
    <row r="788">
      <c r="A788" s="33"/>
      <c r="B788" s="33"/>
      <c r="C788" s="94"/>
      <c r="D788" s="33"/>
      <c r="E788" s="33"/>
      <c r="F788" s="33"/>
      <c r="G788" s="94"/>
      <c r="H788" s="33"/>
      <c r="I788" s="33"/>
      <c r="J788" s="33"/>
      <c r="K788" s="33"/>
      <c r="L788" s="33"/>
      <c r="M788" s="33"/>
      <c r="N788" s="33"/>
      <c r="O788" s="33"/>
      <c r="P788" s="33"/>
      <c r="Q788" s="33"/>
      <c r="R788" s="33"/>
      <c r="S788" s="33"/>
      <c r="T788" s="33"/>
      <c r="U788" s="33"/>
      <c r="V788" s="33"/>
      <c r="W788" s="33"/>
      <c r="X788" s="33"/>
      <c r="Y788" s="33"/>
      <c r="Z788" s="33"/>
      <c r="AA788" s="33"/>
      <c r="AB788" s="33"/>
    </row>
    <row r="789">
      <c r="A789" s="33"/>
      <c r="B789" s="33"/>
      <c r="C789" s="94"/>
      <c r="D789" s="33"/>
      <c r="E789" s="33"/>
      <c r="F789" s="33"/>
      <c r="G789" s="94"/>
      <c r="H789" s="33"/>
      <c r="I789" s="33"/>
      <c r="J789" s="33"/>
      <c r="K789" s="33"/>
      <c r="L789" s="33"/>
      <c r="M789" s="33"/>
      <c r="N789" s="33"/>
      <c r="O789" s="33"/>
      <c r="P789" s="33"/>
      <c r="Q789" s="33"/>
      <c r="R789" s="33"/>
      <c r="S789" s="33"/>
      <c r="T789" s="33"/>
      <c r="U789" s="33"/>
      <c r="V789" s="33"/>
      <c r="W789" s="33"/>
      <c r="X789" s="33"/>
      <c r="Y789" s="33"/>
      <c r="Z789" s="33"/>
      <c r="AA789" s="33"/>
      <c r="AB789" s="33"/>
    </row>
    <row r="790">
      <c r="A790" s="33"/>
      <c r="B790" s="33"/>
      <c r="C790" s="94"/>
      <c r="D790" s="33"/>
      <c r="E790" s="33"/>
      <c r="F790" s="33"/>
      <c r="G790" s="94"/>
      <c r="H790" s="33"/>
      <c r="I790" s="33"/>
      <c r="J790" s="33"/>
      <c r="K790" s="33"/>
      <c r="L790" s="33"/>
      <c r="M790" s="33"/>
      <c r="N790" s="33"/>
      <c r="O790" s="33"/>
      <c r="P790" s="33"/>
      <c r="Q790" s="33"/>
      <c r="R790" s="33"/>
      <c r="S790" s="33"/>
      <c r="T790" s="33"/>
      <c r="U790" s="33"/>
      <c r="V790" s="33"/>
      <c r="W790" s="33"/>
      <c r="X790" s="33"/>
      <c r="Y790" s="33"/>
      <c r="Z790" s="33"/>
      <c r="AA790" s="33"/>
      <c r="AB790" s="33"/>
    </row>
    <row r="791">
      <c r="A791" s="33"/>
      <c r="B791" s="33"/>
      <c r="C791" s="94"/>
      <c r="D791" s="33"/>
      <c r="E791" s="33"/>
      <c r="F791" s="33"/>
      <c r="G791" s="94"/>
      <c r="H791" s="33"/>
      <c r="I791" s="33"/>
      <c r="J791" s="33"/>
      <c r="K791" s="33"/>
      <c r="L791" s="33"/>
      <c r="M791" s="33"/>
      <c r="N791" s="33"/>
      <c r="O791" s="33"/>
      <c r="P791" s="33"/>
      <c r="Q791" s="33"/>
      <c r="R791" s="33"/>
      <c r="S791" s="33"/>
      <c r="T791" s="33"/>
      <c r="U791" s="33"/>
      <c r="V791" s="33"/>
      <c r="W791" s="33"/>
      <c r="X791" s="33"/>
      <c r="Y791" s="33"/>
      <c r="Z791" s="33"/>
      <c r="AA791" s="33"/>
      <c r="AB791" s="33"/>
    </row>
    <row r="792">
      <c r="A792" s="33"/>
      <c r="B792" s="33"/>
      <c r="C792" s="94"/>
      <c r="D792" s="33"/>
      <c r="E792" s="33"/>
      <c r="F792" s="33"/>
      <c r="G792" s="94"/>
      <c r="H792" s="33"/>
      <c r="I792" s="33"/>
      <c r="J792" s="33"/>
      <c r="K792" s="33"/>
      <c r="L792" s="33"/>
      <c r="M792" s="33"/>
      <c r="N792" s="33"/>
      <c r="O792" s="33"/>
      <c r="P792" s="33"/>
      <c r="Q792" s="33"/>
      <c r="R792" s="33"/>
      <c r="S792" s="33"/>
      <c r="T792" s="33"/>
      <c r="U792" s="33"/>
      <c r="V792" s="33"/>
      <c r="W792" s="33"/>
      <c r="X792" s="33"/>
      <c r="Y792" s="33"/>
      <c r="Z792" s="33"/>
      <c r="AA792" s="33"/>
      <c r="AB792" s="33"/>
    </row>
    <row r="793">
      <c r="A793" s="33"/>
      <c r="B793" s="33"/>
      <c r="C793" s="94"/>
      <c r="D793" s="33"/>
      <c r="E793" s="33"/>
      <c r="F793" s="33"/>
      <c r="G793" s="94"/>
      <c r="H793" s="33"/>
      <c r="I793" s="33"/>
      <c r="J793" s="33"/>
      <c r="K793" s="33"/>
      <c r="L793" s="33"/>
      <c r="M793" s="33"/>
      <c r="N793" s="33"/>
      <c r="O793" s="33"/>
      <c r="P793" s="33"/>
      <c r="Q793" s="33"/>
      <c r="R793" s="33"/>
      <c r="S793" s="33"/>
      <c r="T793" s="33"/>
      <c r="U793" s="33"/>
      <c r="V793" s="33"/>
      <c r="W793" s="33"/>
      <c r="X793" s="33"/>
      <c r="Y793" s="33"/>
      <c r="Z793" s="33"/>
      <c r="AA793" s="33"/>
      <c r="AB793" s="33"/>
    </row>
    <row r="794">
      <c r="A794" s="33"/>
      <c r="B794" s="33"/>
      <c r="C794" s="94"/>
      <c r="D794" s="33"/>
      <c r="E794" s="33"/>
      <c r="F794" s="33"/>
      <c r="G794" s="94"/>
      <c r="H794" s="33"/>
      <c r="I794" s="33"/>
      <c r="J794" s="33"/>
      <c r="K794" s="33"/>
      <c r="L794" s="33"/>
      <c r="M794" s="33"/>
      <c r="N794" s="33"/>
      <c r="O794" s="33"/>
      <c r="P794" s="33"/>
      <c r="Q794" s="33"/>
      <c r="R794" s="33"/>
      <c r="S794" s="33"/>
      <c r="T794" s="33"/>
      <c r="U794" s="33"/>
      <c r="V794" s="33"/>
      <c r="W794" s="33"/>
      <c r="X794" s="33"/>
      <c r="Y794" s="33"/>
      <c r="Z794" s="33"/>
      <c r="AA794" s="33"/>
      <c r="AB794" s="33"/>
    </row>
    <row r="795">
      <c r="A795" s="33"/>
      <c r="B795" s="33"/>
      <c r="C795" s="94"/>
      <c r="D795" s="33"/>
      <c r="E795" s="33"/>
      <c r="F795" s="33"/>
      <c r="G795" s="94"/>
      <c r="H795" s="33"/>
      <c r="I795" s="33"/>
      <c r="J795" s="33"/>
      <c r="K795" s="33"/>
      <c r="L795" s="33"/>
      <c r="M795" s="33"/>
      <c r="N795" s="33"/>
      <c r="O795" s="33"/>
      <c r="P795" s="33"/>
      <c r="Q795" s="33"/>
      <c r="R795" s="33"/>
      <c r="S795" s="33"/>
      <c r="T795" s="33"/>
      <c r="U795" s="33"/>
      <c r="V795" s="33"/>
      <c r="W795" s="33"/>
      <c r="X795" s="33"/>
      <c r="Y795" s="33"/>
      <c r="Z795" s="33"/>
      <c r="AA795" s="33"/>
      <c r="AB795" s="33"/>
    </row>
    <row r="796">
      <c r="A796" s="33"/>
      <c r="B796" s="33"/>
      <c r="C796" s="94"/>
      <c r="D796" s="33"/>
      <c r="E796" s="33"/>
      <c r="F796" s="33"/>
      <c r="G796" s="94"/>
      <c r="H796" s="33"/>
      <c r="I796" s="33"/>
      <c r="J796" s="33"/>
      <c r="K796" s="33"/>
      <c r="L796" s="33"/>
      <c r="M796" s="33"/>
      <c r="N796" s="33"/>
      <c r="O796" s="33"/>
      <c r="P796" s="33"/>
      <c r="Q796" s="33"/>
      <c r="R796" s="33"/>
      <c r="S796" s="33"/>
      <c r="T796" s="33"/>
      <c r="U796" s="33"/>
      <c r="V796" s="33"/>
      <c r="W796" s="33"/>
      <c r="X796" s="33"/>
      <c r="Y796" s="33"/>
      <c r="Z796" s="33"/>
      <c r="AA796" s="33"/>
      <c r="AB796" s="33"/>
    </row>
    <row r="797">
      <c r="A797" s="33"/>
      <c r="B797" s="33"/>
      <c r="C797" s="94"/>
      <c r="D797" s="33"/>
      <c r="E797" s="33"/>
      <c r="F797" s="33"/>
      <c r="G797" s="94"/>
      <c r="H797" s="33"/>
      <c r="I797" s="33"/>
      <c r="J797" s="33"/>
      <c r="K797" s="33"/>
      <c r="L797" s="33"/>
      <c r="M797" s="33"/>
      <c r="N797" s="33"/>
      <c r="O797" s="33"/>
      <c r="P797" s="33"/>
      <c r="Q797" s="33"/>
      <c r="R797" s="33"/>
      <c r="S797" s="33"/>
      <c r="T797" s="33"/>
      <c r="U797" s="33"/>
      <c r="V797" s="33"/>
      <c r="W797" s="33"/>
      <c r="X797" s="33"/>
      <c r="Y797" s="33"/>
      <c r="Z797" s="33"/>
      <c r="AA797" s="33"/>
      <c r="AB797" s="33"/>
    </row>
    <row r="798">
      <c r="A798" s="33"/>
      <c r="B798" s="33"/>
      <c r="C798" s="94"/>
      <c r="D798" s="33"/>
      <c r="E798" s="33"/>
      <c r="F798" s="33"/>
      <c r="G798" s="94"/>
      <c r="H798" s="33"/>
      <c r="I798" s="33"/>
      <c r="J798" s="33"/>
      <c r="K798" s="33"/>
      <c r="L798" s="33"/>
      <c r="M798" s="33"/>
      <c r="N798" s="33"/>
      <c r="O798" s="33"/>
      <c r="P798" s="33"/>
      <c r="Q798" s="33"/>
      <c r="R798" s="33"/>
      <c r="S798" s="33"/>
      <c r="T798" s="33"/>
      <c r="U798" s="33"/>
      <c r="V798" s="33"/>
      <c r="W798" s="33"/>
      <c r="X798" s="33"/>
      <c r="Y798" s="33"/>
      <c r="Z798" s="33"/>
      <c r="AA798" s="33"/>
      <c r="AB798" s="33"/>
    </row>
    <row r="799">
      <c r="A799" s="33"/>
      <c r="B799" s="33"/>
      <c r="C799" s="94"/>
      <c r="D799" s="33"/>
      <c r="E799" s="33"/>
      <c r="F799" s="33"/>
      <c r="G799" s="94"/>
      <c r="H799" s="33"/>
      <c r="I799" s="33"/>
      <c r="J799" s="33"/>
      <c r="K799" s="33"/>
      <c r="L799" s="33"/>
      <c r="M799" s="33"/>
      <c r="N799" s="33"/>
      <c r="O799" s="33"/>
      <c r="P799" s="33"/>
      <c r="Q799" s="33"/>
      <c r="R799" s="33"/>
      <c r="S799" s="33"/>
      <c r="T799" s="33"/>
      <c r="U799" s="33"/>
      <c r="V799" s="33"/>
      <c r="W799" s="33"/>
      <c r="X799" s="33"/>
      <c r="Y799" s="33"/>
      <c r="Z799" s="33"/>
      <c r="AA799" s="33"/>
      <c r="AB799" s="33"/>
    </row>
    <row r="800">
      <c r="A800" s="33"/>
      <c r="B800" s="33"/>
      <c r="C800" s="94"/>
      <c r="D800" s="33"/>
      <c r="E800" s="33"/>
      <c r="F800" s="33"/>
      <c r="G800" s="94"/>
      <c r="H800" s="33"/>
      <c r="I800" s="33"/>
      <c r="J800" s="33"/>
      <c r="K800" s="33"/>
      <c r="L800" s="33"/>
      <c r="M800" s="33"/>
      <c r="N800" s="33"/>
      <c r="O800" s="33"/>
      <c r="P800" s="33"/>
      <c r="Q800" s="33"/>
      <c r="R800" s="33"/>
      <c r="S800" s="33"/>
      <c r="T800" s="33"/>
      <c r="U800" s="33"/>
      <c r="V800" s="33"/>
      <c r="W800" s="33"/>
      <c r="X800" s="33"/>
      <c r="Y800" s="33"/>
      <c r="Z800" s="33"/>
      <c r="AA800" s="33"/>
      <c r="AB800" s="33"/>
    </row>
    <row r="801">
      <c r="A801" s="33"/>
      <c r="B801" s="33"/>
      <c r="C801" s="94"/>
      <c r="D801" s="33"/>
      <c r="E801" s="33"/>
      <c r="F801" s="33"/>
      <c r="G801" s="94"/>
      <c r="H801" s="33"/>
      <c r="I801" s="33"/>
      <c r="J801" s="33"/>
      <c r="K801" s="33"/>
      <c r="L801" s="33"/>
      <c r="M801" s="33"/>
      <c r="N801" s="33"/>
      <c r="O801" s="33"/>
      <c r="P801" s="33"/>
      <c r="Q801" s="33"/>
      <c r="R801" s="33"/>
      <c r="S801" s="33"/>
      <c r="T801" s="33"/>
      <c r="U801" s="33"/>
      <c r="V801" s="33"/>
      <c r="W801" s="33"/>
      <c r="X801" s="33"/>
      <c r="Y801" s="33"/>
      <c r="Z801" s="33"/>
      <c r="AA801" s="33"/>
      <c r="AB801" s="33"/>
    </row>
    <row r="802">
      <c r="A802" s="33"/>
      <c r="B802" s="33"/>
      <c r="C802" s="94"/>
      <c r="D802" s="33"/>
      <c r="E802" s="33"/>
      <c r="F802" s="33"/>
      <c r="G802" s="94"/>
      <c r="H802" s="33"/>
      <c r="I802" s="33"/>
      <c r="J802" s="33"/>
      <c r="K802" s="33"/>
      <c r="L802" s="33"/>
      <c r="M802" s="33"/>
      <c r="N802" s="33"/>
      <c r="O802" s="33"/>
      <c r="P802" s="33"/>
      <c r="Q802" s="33"/>
      <c r="R802" s="33"/>
      <c r="S802" s="33"/>
      <c r="T802" s="33"/>
      <c r="U802" s="33"/>
      <c r="V802" s="33"/>
      <c r="W802" s="33"/>
      <c r="X802" s="33"/>
      <c r="Y802" s="33"/>
      <c r="Z802" s="33"/>
      <c r="AA802" s="33"/>
      <c r="AB802" s="33"/>
    </row>
    <row r="803">
      <c r="A803" s="33"/>
      <c r="B803" s="33"/>
      <c r="C803" s="94"/>
      <c r="D803" s="33"/>
      <c r="E803" s="33"/>
      <c r="F803" s="33"/>
      <c r="G803" s="94"/>
      <c r="H803" s="33"/>
      <c r="I803" s="33"/>
      <c r="J803" s="33"/>
      <c r="K803" s="33"/>
      <c r="L803" s="33"/>
      <c r="M803" s="33"/>
      <c r="N803" s="33"/>
      <c r="O803" s="33"/>
      <c r="P803" s="33"/>
      <c r="Q803" s="33"/>
      <c r="R803" s="33"/>
      <c r="S803" s="33"/>
      <c r="T803" s="33"/>
      <c r="U803" s="33"/>
      <c r="V803" s="33"/>
      <c r="W803" s="33"/>
      <c r="X803" s="33"/>
      <c r="Y803" s="33"/>
      <c r="Z803" s="33"/>
      <c r="AA803" s="33"/>
      <c r="AB803" s="33"/>
    </row>
    <row r="804">
      <c r="A804" s="33"/>
      <c r="B804" s="33"/>
      <c r="C804" s="94"/>
      <c r="D804" s="33"/>
      <c r="E804" s="33"/>
      <c r="F804" s="33"/>
      <c r="G804" s="94"/>
      <c r="H804" s="33"/>
      <c r="I804" s="33"/>
      <c r="J804" s="33"/>
      <c r="K804" s="33"/>
      <c r="L804" s="33"/>
      <c r="M804" s="33"/>
      <c r="N804" s="33"/>
      <c r="O804" s="33"/>
      <c r="P804" s="33"/>
      <c r="Q804" s="33"/>
      <c r="R804" s="33"/>
      <c r="S804" s="33"/>
      <c r="T804" s="33"/>
      <c r="U804" s="33"/>
      <c r="V804" s="33"/>
      <c r="W804" s="33"/>
      <c r="X804" s="33"/>
      <c r="Y804" s="33"/>
      <c r="Z804" s="33"/>
      <c r="AA804" s="33"/>
      <c r="AB804" s="33"/>
    </row>
    <row r="805">
      <c r="A805" s="33"/>
      <c r="B805" s="33"/>
      <c r="C805" s="94"/>
      <c r="D805" s="33"/>
      <c r="E805" s="33"/>
      <c r="F805" s="33"/>
      <c r="G805" s="94"/>
      <c r="H805" s="33"/>
      <c r="I805" s="33"/>
      <c r="J805" s="33"/>
      <c r="K805" s="33"/>
      <c r="L805" s="33"/>
      <c r="M805" s="33"/>
      <c r="N805" s="33"/>
      <c r="O805" s="33"/>
      <c r="P805" s="33"/>
      <c r="Q805" s="33"/>
      <c r="R805" s="33"/>
      <c r="S805" s="33"/>
      <c r="T805" s="33"/>
      <c r="U805" s="33"/>
      <c r="V805" s="33"/>
      <c r="W805" s="33"/>
      <c r="X805" s="33"/>
      <c r="Y805" s="33"/>
      <c r="Z805" s="33"/>
      <c r="AA805" s="33"/>
      <c r="AB805" s="33"/>
    </row>
    <row r="806">
      <c r="A806" s="33"/>
      <c r="B806" s="33"/>
      <c r="C806" s="94"/>
      <c r="D806" s="33"/>
      <c r="E806" s="33"/>
      <c r="F806" s="33"/>
      <c r="G806" s="94"/>
      <c r="H806" s="33"/>
      <c r="I806" s="33"/>
      <c r="J806" s="33"/>
      <c r="K806" s="33"/>
      <c r="L806" s="33"/>
      <c r="M806" s="33"/>
      <c r="N806" s="33"/>
      <c r="O806" s="33"/>
      <c r="P806" s="33"/>
      <c r="Q806" s="33"/>
      <c r="R806" s="33"/>
      <c r="S806" s="33"/>
      <c r="T806" s="33"/>
      <c r="U806" s="33"/>
      <c r="V806" s="33"/>
      <c r="W806" s="33"/>
      <c r="X806" s="33"/>
      <c r="Y806" s="33"/>
      <c r="Z806" s="33"/>
      <c r="AA806" s="33"/>
      <c r="AB806" s="33"/>
    </row>
    <row r="807">
      <c r="A807" s="33"/>
      <c r="B807" s="33"/>
      <c r="C807" s="94"/>
      <c r="D807" s="33"/>
      <c r="E807" s="33"/>
      <c r="F807" s="33"/>
      <c r="G807" s="94"/>
      <c r="H807" s="33"/>
      <c r="I807" s="33"/>
      <c r="J807" s="33"/>
      <c r="K807" s="33"/>
      <c r="L807" s="33"/>
      <c r="M807" s="33"/>
      <c r="N807" s="33"/>
      <c r="O807" s="33"/>
      <c r="P807" s="33"/>
      <c r="Q807" s="33"/>
      <c r="R807" s="33"/>
      <c r="S807" s="33"/>
      <c r="T807" s="33"/>
      <c r="U807" s="33"/>
      <c r="V807" s="33"/>
      <c r="W807" s="33"/>
      <c r="X807" s="33"/>
      <c r="Y807" s="33"/>
      <c r="Z807" s="33"/>
      <c r="AA807" s="33"/>
      <c r="AB807" s="33"/>
    </row>
    <row r="808">
      <c r="A808" s="33"/>
      <c r="B808" s="33"/>
      <c r="C808" s="94"/>
      <c r="D808" s="33"/>
      <c r="E808" s="33"/>
      <c r="F808" s="33"/>
      <c r="G808" s="94"/>
      <c r="H808" s="33"/>
      <c r="I808" s="33"/>
      <c r="J808" s="33"/>
      <c r="K808" s="33"/>
      <c r="L808" s="33"/>
      <c r="M808" s="33"/>
      <c r="N808" s="33"/>
      <c r="O808" s="33"/>
      <c r="P808" s="33"/>
      <c r="Q808" s="33"/>
      <c r="R808" s="33"/>
      <c r="S808" s="33"/>
      <c r="T808" s="33"/>
      <c r="U808" s="33"/>
      <c r="V808" s="33"/>
      <c r="W808" s="33"/>
      <c r="X808" s="33"/>
      <c r="Y808" s="33"/>
      <c r="Z808" s="33"/>
      <c r="AA808" s="33"/>
      <c r="AB808" s="33"/>
    </row>
    <row r="809">
      <c r="A809" s="33"/>
      <c r="B809" s="33"/>
      <c r="C809" s="94"/>
      <c r="D809" s="33"/>
      <c r="E809" s="33"/>
      <c r="F809" s="33"/>
      <c r="G809" s="94"/>
      <c r="H809" s="33"/>
      <c r="I809" s="33"/>
      <c r="J809" s="33"/>
      <c r="K809" s="33"/>
      <c r="L809" s="33"/>
      <c r="M809" s="33"/>
      <c r="N809" s="33"/>
      <c r="O809" s="33"/>
      <c r="P809" s="33"/>
      <c r="Q809" s="33"/>
      <c r="R809" s="33"/>
      <c r="S809" s="33"/>
      <c r="T809" s="33"/>
      <c r="U809" s="33"/>
      <c r="V809" s="33"/>
      <c r="W809" s="33"/>
      <c r="X809" s="33"/>
      <c r="Y809" s="33"/>
      <c r="Z809" s="33"/>
      <c r="AA809" s="33"/>
      <c r="AB809" s="33"/>
    </row>
    <row r="810">
      <c r="A810" s="33"/>
      <c r="B810" s="33"/>
      <c r="C810" s="94"/>
      <c r="D810" s="33"/>
      <c r="E810" s="33"/>
      <c r="F810" s="33"/>
      <c r="G810" s="94"/>
      <c r="H810" s="33"/>
      <c r="I810" s="33"/>
      <c r="J810" s="33"/>
      <c r="K810" s="33"/>
      <c r="L810" s="33"/>
      <c r="M810" s="33"/>
      <c r="N810" s="33"/>
      <c r="O810" s="33"/>
      <c r="P810" s="33"/>
      <c r="Q810" s="33"/>
      <c r="R810" s="33"/>
      <c r="S810" s="33"/>
      <c r="T810" s="33"/>
      <c r="U810" s="33"/>
      <c r="V810" s="33"/>
      <c r="W810" s="33"/>
      <c r="X810" s="33"/>
      <c r="Y810" s="33"/>
      <c r="Z810" s="33"/>
      <c r="AA810" s="33"/>
      <c r="AB810" s="33"/>
    </row>
    <row r="811">
      <c r="A811" s="33"/>
      <c r="B811" s="33"/>
      <c r="C811" s="94"/>
      <c r="D811" s="33"/>
      <c r="E811" s="33"/>
      <c r="F811" s="33"/>
      <c r="G811" s="94"/>
      <c r="H811" s="33"/>
      <c r="I811" s="33"/>
      <c r="J811" s="33"/>
      <c r="K811" s="33"/>
      <c r="L811" s="33"/>
      <c r="M811" s="33"/>
      <c r="N811" s="33"/>
      <c r="O811" s="33"/>
      <c r="P811" s="33"/>
      <c r="Q811" s="33"/>
      <c r="R811" s="33"/>
      <c r="S811" s="33"/>
      <c r="T811" s="33"/>
      <c r="U811" s="33"/>
      <c r="V811" s="33"/>
      <c r="W811" s="33"/>
      <c r="X811" s="33"/>
      <c r="Y811" s="33"/>
      <c r="Z811" s="33"/>
      <c r="AA811" s="33"/>
      <c r="AB811" s="33"/>
    </row>
    <row r="812">
      <c r="A812" s="33"/>
      <c r="B812" s="33"/>
      <c r="C812" s="94"/>
      <c r="D812" s="33"/>
      <c r="E812" s="33"/>
      <c r="F812" s="33"/>
      <c r="G812" s="94"/>
      <c r="H812" s="33"/>
      <c r="I812" s="33"/>
      <c r="J812" s="33"/>
      <c r="K812" s="33"/>
      <c r="L812" s="33"/>
      <c r="M812" s="33"/>
      <c r="N812" s="33"/>
      <c r="O812" s="33"/>
      <c r="P812" s="33"/>
      <c r="Q812" s="33"/>
      <c r="R812" s="33"/>
      <c r="S812" s="33"/>
      <c r="T812" s="33"/>
      <c r="U812" s="33"/>
      <c r="V812" s="33"/>
      <c r="W812" s="33"/>
      <c r="X812" s="33"/>
      <c r="Y812" s="33"/>
      <c r="Z812" s="33"/>
      <c r="AA812" s="33"/>
      <c r="AB812" s="33"/>
    </row>
    <row r="813">
      <c r="A813" s="33"/>
      <c r="B813" s="33"/>
      <c r="C813" s="94"/>
      <c r="D813" s="33"/>
      <c r="E813" s="33"/>
      <c r="F813" s="33"/>
      <c r="G813" s="94"/>
      <c r="H813" s="33"/>
      <c r="I813" s="33"/>
      <c r="J813" s="33"/>
      <c r="K813" s="33"/>
      <c r="L813" s="33"/>
      <c r="M813" s="33"/>
      <c r="N813" s="33"/>
      <c r="O813" s="33"/>
      <c r="P813" s="33"/>
      <c r="Q813" s="33"/>
      <c r="R813" s="33"/>
      <c r="S813" s="33"/>
      <c r="T813" s="33"/>
      <c r="U813" s="33"/>
      <c r="V813" s="33"/>
      <c r="W813" s="33"/>
      <c r="X813" s="33"/>
      <c r="Y813" s="33"/>
      <c r="Z813" s="33"/>
      <c r="AA813" s="33"/>
      <c r="AB813" s="33"/>
    </row>
    <row r="814">
      <c r="A814" s="33"/>
      <c r="B814" s="33"/>
      <c r="C814" s="94"/>
      <c r="D814" s="33"/>
      <c r="E814" s="33"/>
      <c r="F814" s="33"/>
      <c r="G814" s="94"/>
      <c r="H814" s="33"/>
      <c r="I814" s="33"/>
      <c r="J814" s="33"/>
      <c r="K814" s="33"/>
      <c r="L814" s="33"/>
      <c r="M814" s="33"/>
      <c r="N814" s="33"/>
      <c r="O814" s="33"/>
      <c r="P814" s="33"/>
      <c r="Q814" s="33"/>
      <c r="R814" s="33"/>
      <c r="S814" s="33"/>
      <c r="T814" s="33"/>
      <c r="U814" s="33"/>
      <c r="V814" s="33"/>
      <c r="W814" s="33"/>
      <c r="X814" s="33"/>
      <c r="Y814" s="33"/>
      <c r="Z814" s="33"/>
      <c r="AA814" s="33"/>
      <c r="AB814" s="33"/>
    </row>
    <row r="815">
      <c r="A815" s="33"/>
      <c r="B815" s="33"/>
      <c r="C815" s="94"/>
      <c r="D815" s="33"/>
      <c r="E815" s="33"/>
      <c r="F815" s="33"/>
      <c r="G815" s="94"/>
      <c r="H815" s="33"/>
      <c r="I815" s="33"/>
      <c r="J815" s="33"/>
      <c r="K815" s="33"/>
      <c r="L815" s="33"/>
      <c r="M815" s="33"/>
      <c r="N815" s="33"/>
      <c r="O815" s="33"/>
      <c r="P815" s="33"/>
      <c r="Q815" s="33"/>
      <c r="R815" s="33"/>
      <c r="S815" s="33"/>
      <c r="T815" s="33"/>
      <c r="U815" s="33"/>
      <c r="V815" s="33"/>
      <c r="W815" s="33"/>
      <c r="X815" s="33"/>
      <c r="Y815" s="33"/>
      <c r="Z815" s="33"/>
      <c r="AA815" s="33"/>
      <c r="AB815" s="33"/>
    </row>
    <row r="816">
      <c r="A816" s="33"/>
      <c r="B816" s="33"/>
      <c r="C816" s="94"/>
      <c r="D816" s="33"/>
      <c r="E816" s="33"/>
      <c r="F816" s="33"/>
      <c r="G816" s="94"/>
      <c r="H816" s="33"/>
      <c r="I816" s="33"/>
      <c r="J816" s="33"/>
      <c r="K816" s="33"/>
      <c r="L816" s="33"/>
      <c r="M816" s="33"/>
      <c r="N816" s="33"/>
      <c r="O816" s="33"/>
      <c r="P816" s="33"/>
      <c r="Q816" s="33"/>
      <c r="R816" s="33"/>
      <c r="S816" s="33"/>
      <c r="T816" s="33"/>
      <c r="U816" s="33"/>
      <c r="V816" s="33"/>
      <c r="W816" s="33"/>
      <c r="X816" s="33"/>
      <c r="Y816" s="33"/>
      <c r="Z816" s="33"/>
      <c r="AA816" s="33"/>
      <c r="AB816" s="33"/>
    </row>
    <row r="817">
      <c r="A817" s="33"/>
      <c r="B817" s="33"/>
      <c r="C817" s="94"/>
      <c r="D817" s="33"/>
      <c r="E817" s="33"/>
      <c r="F817" s="33"/>
      <c r="G817" s="94"/>
      <c r="H817" s="33"/>
      <c r="I817" s="33"/>
      <c r="J817" s="33"/>
      <c r="K817" s="33"/>
      <c r="L817" s="33"/>
      <c r="M817" s="33"/>
      <c r="N817" s="33"/>
      <c r="O817" s="33"/>
      <c r="P817" s="33"/>
      <c r="Q817" s="33"/>
      <c r="R817" s="33"/>
      <c r="S817" s="33"/>
      <c r="T817" s="33"/>
      <c r="U817" s="33"/>
      <c r="V817" s="33"/>
      <c r="W817" s="33"/>
      <c r="X817" s="33"/>
      <c r="Y817" s="33"/>
      <c r="Z817" s="33"/>
      <c r="AA817" s="33"/>
      <c r="AB817" s="33"/>
    </row>
    <row r="818">
      <c r="A818" s="33"/>
      <c r="B818" s="33"/>
      <c r="C818" s="94"/>
      <c r="D818" s="33"/>
      <c r="E818" s="33"/>
      <c r="F818" s="33"/>
      <c r="G818" s="94"/>
      <c r="H818" s="33"/>
      <c r="I818" s="33"/>
      <c r="J818" s="33"/>
      <c r="K818" s="33"/>
      <c r="L818" s="33"/>
      <c r="M818" s="33"/>
      <c r="N818" s="33"/>
      <c r="O818" s="33"/>
      <c r="P818" s="33"/>
      <c r="Q818" s="33"/>
      <c r="R818" s="33"/>
      <c r="S818" s="33"/>
      <c r="T818" s="33"/>
      <c r="U818" s="33"/>
      <c r="V818" s="33"/>
      <c r="W818" s="33"/>
      <c r="X818" s="33"/>
      <c r="Y818" s="33"/>
      <c r="Z818" s="33"/>
      <c r="AA818" s="33"/>
      <c r="AB818" s="33"/>
    </row>
    <row r="819">
      <c r="A819" s="33"/>
      <c r="B819" s="33"/>
      <c r="C819" s="94"/>
      <c r="D819" s="33"/>
      <c r="E819" s="33"/>
      <c r="F819" s="33"/>
      <c r="G819" s="94"/>
      <c r="H819" s="33"/>
      <c r="I819" s="33"/>
      <c r="J819" s="33"/>
      <c r="K819" s="33"/>
      <c r="L819" s="33"/>
      <c r="M819" s="33"/>
      <c r="N819" s="33"/>
      <c r="O819" s="33"/>
      <c r="P819" s="33"/>
      <c r="Q819" s="33"/>
      <c r="R819" s="33"/>
      <c r="S819" s="33"/>
      <c r="T819" s="33"/>
      <c r="U819" s="33"/>
      <c r="V819" s="33"/>
      <c r="W819" s="33"/>
      <c r="X819" s="33"/>
      <c r="Y819" s="33"/>
      <c r="Z819" s="33"/>
      <c r="AA819" s="33"/>
      <c r="AB819" s="33"/>
    </row>
    <row r="820">
      <c r="A820" s="33"/>
      <c r="B820" s="33"/>
      <c r="C820" s="94"/>
      <c r="D820" s="33"/>
      <c r="E820" s="33"/>
      <c r="F820" s="33"/>
      <c r="G820" s="94"/>
      <c r="H820" s="33"/>
      <c r="I820" s="33"/>
      <c r="J820" s="33"/>
      <c r="K820" s="33"/>
      <c r="L820" s="33"/>
      <c r="M820" s="33"/>
      <c r="N820" s="33"/>
      <c r="O820" s="33"/>
      <c r="P820" s="33"/>
      <c r="Q820" s="33"/>
      <c r="R820" s="33"/>
      <c r="S820" s="33"/>
      <c r="T820" s="33"/>
      <c r="U820" s="33"/>
      <c r="V820" s="33"/>
      <c r="W820" s="33"/>
      <c r="X820" s="33"/>
      <c r="Y820" s="33"/>
      <c r="Z820" s="33"/>
      <c r="AA820" s="33"/>
      <c r="AB820" s="33"/>
    </row>
    <row r="821">
      <c r="A821" s="33"/>
      <c r="B821" s="33"/>
      <c r="C821" s="94"/>
      <c r="D821" s="33"/>
      <c r="E821" s="33"/>
      <c r="F821" s="33"/>
      <c r="G821" s="94"/>
      <c r="H821" s="33"/>
      <c r="I821" s="33"/>
      <c r="J821" s="33"/>
      <c r="K821" s="33"/>
      <c r="L821" s="33"/>
      <c r="M821" s="33"/>
      <c r="N821" s="33"/>
      <c r="O821" s="33"/>
      <c r="P821" s="33"/>
      <c r="Q821" s="33"/>
      <c r="R821" s="33"/>
      <c r="S821" s="33"/>
      <c r="T821" s="33"/>
      <c r="U821" s="33"/>
      <c r="V821" s="33"/>
      <c r="W821" s="33"/>
      <c r="X821" s="33"/>
      <c r="Y821" s="33"/>
      <c r="Z821" s="33"/>
      <c r="AA821" s="33"/>
      <c r="AB821" s="33"/>
    </row>
    <row r="822">
      <c r="A822" s="33"/>
      <c r="B822" s="33"/>
      <c r="C822" s="94"/>
      <c r="D822" s="33"/>
      <c r="E822" s="33"/>
      <c r="F822" s="33"/>
      <c r="G822" s="94"/>
      <c r="H822" s="33"/>
      <c r="I822" s="33"/>
      <c r="J822" s="33"/>
      <c r="K822" s="33"/>
      <c r="L822" s="33"/>
      <c r="M822" s="33"/>
      <c r="N822" s="33"/>
      <c r="O822" s="33"/>
      <c r="P822" s="33"/>
      <c r="Q822" s="33"/>
      <c r="R822" s="33"/>
      <c r="S822" s="33"/>
      <c r="T822" s="33"/>
      <c r="U822" s="33"/>
      <c r="V822" s="33"/>
      <c r="W822" s="33"/>
      <c r="X822" s="33"/>
      <c r="Y822" s="33"/>
      <c r="Z822" s="33"/>
      <c r="AA822" s="33"/>
      <c r="AB822" s="33"/>
    </row>
    <row r="823">
      <c r="A823" s="33"/>
      <c r="B823" s="33"/>
      <c r="C823" s="94"/>
      <c r="D823" s="33"/>
      <c r="E823" s="33"/>
      <c r="F823" s="33"/>
      <c r="G823" s="94"/>
      <c r="H823" s="33"/>
      <c r="I823" s="33"/>
      <c r="J823" s="33"/>
      <c r="K823" s="33"/>
      <c r="L823" s="33"/>
      <c r="M823" s="33"/>
      <c r="N823" s="33"/>
      <c r="O823" s="33"/>
      <c r="P823" s="33"/>
      <c r="Q823" s="33"/>
      <c r="R823" s="33"/>
      <c r="S823" s="33"/>
      <c r="T823" s="33"/>
      <c r="U823" s="33"/>
      <c r="V823" s="33"/>
      <c r="W823" s="33"/>
      <c r="X823" s="33"/>
      <c r="Y823" s="33"/>
      <c r="Z823" s="33"/>
      <c r="AA823" s="33"/>
      <c r="AB823" s="33"/>
    </row>
    <row r="824">
      <c r="A824" s="33"/>
      <c r="B824" s="33"/>
      <c r="C824" s="94"/>
      <c r="D824" s="33"/>
      <c r="E824" s="33"/>
      <c r="F824" s="33"/>
      <c r="G824" s="94"/>
      <c r="H824" s="33"/>
      <c r="I824" s="33"/>
      <c r="J824" s="33"/>
      <c r="K824" s="33"/>
      <c r="L824" s="33"/>
      <c r="M824" s="33"/>
      <c r="N824" s="33"/>
      <c r="O824" s="33"/>
      <c r="P824" s="33"/>
      <c r="Q824" s="33"/>
      <c r="R824" s="33"/>
      <c r="S824" s="33"/>
      <c r="T824" s="33"/>
      <c r="U824" s="33"/>
      <c r="V824" s="33"/>
      <c r="W824" s="33"/>
      <c r="X824" s="33"/>
      <c r="Y824" s="33"/>
      <c r="Z824" s="33"/>
      <c r="AA824" s="33"/>
      <c r="AB824" s="33"/>
    </row>
    <row r="825">
      <c r="A825" s="33"/>
      <c r="B825" s="33"/>
      <c r="C825" s="94"/>
      <c r="D825" s="33"/>
      <c r="E825" s="33"/>
      <c r="F825" s="33"/>
      <c r="G825" s="94"/>
      <c r="H825" s="33"/>
      <c r="I825" s="33"/>
      <c r="J825" s="33"/>
      <c r="K825" s="33"/>
      <c r="L825" s="33"/>
      <c r="M825" s="33"/>
      <c r="N825" s="33"/>
      <c r="O825" s="33"/>
      <c r="P825" s="33"/>
      <c r="Q825" s="33"/>
      <c r="R825" s="33"/>
      <c r="S825" s="33"/>
      <c r="T825" s="33"/>
      <c r="U825" s="33"/>
      <c r="V825" s="33"/>
      <c r="W825" s="33"/>
      <c r="X825" s="33"/>
      <c r="Y825" s="33"/>
      <c r="Z825" s="33"/>
      <c r="AA825" s="33"/>
      <c r="AB825" s="33"/>
    </row>
    <row r="826">
      <c r="A826" s="33"/>
      <c r="B826" s="33"/>
      <c r="C826" s="94"/>
      <c r="D826" s="33"/>
      <c r="E826" s="33"/>
      <c r="F826" s="33"/>
      <c r="G826" s="94"/>
      <c r="H826" s="33"/>
      <c r="I826" s="33"/>
      <c r="J826" s="33"/>
      <c r="K826" s="33"/>
      <c r="L826" s="33"/>
      <c r="M826" s="33"/>
      <c r="N826" s="33"/>
      <c r="O826" s="33"/>
      <c r="P826" s="33"/>
      <c r="Q826" s="33"/>
      <c r="R826" s="33"/>
      <c r="S826" s="33"/>
      <c r="T826" s="33"/>
      <c r="U826" s="33"/>
      <c r="V826" s="33"/>
      <c r="W826" s="33"/>
      <c r="X826" s="33"/>
      <c r="Y826" s="33"/>
      <c r="Z826" s="33"/>
      <c r="AA826" s="33"/>
      <c r="AB826" s="33"/>
    </row>
    <row r="827">
      <c r="A827" s="33"/>
      <c r="B827" s="33"/>
      <c r="C827" s="94"/>
      <c r="D827" s="33"/>
      <c r="E827" s="33"/>
      <c r="F827" s="33"/>
      <c r="G827" s="94"/>
      <c r="H827" s="33"/>
      <c r="I827" s="33"/>
      <c r="J827" s="33"/>
      <c r="K827" s="33"/>
      <c r="L827" s="33"/>
      <c r="M827" s="33"/>
      <c r="N827" s="33"/>
      <c r="O827" s="33"/>
      <c r="P827" s="33"/>
      <c r="Q827" s="33"/>
      <c r="R827" s="33"/>
      <c r="S827" s="33"/>
      <c r="T827" s="33"/>
      <c r="U827" s="33"/>
      <c r="V827" s="33"/>
      <c r="W827" s="33"/>
      <c r="X827" s="33"/>
      <c r="Y827" s="33"/>
      <c r="Z827" s="33"/>
      <c r="AA827" s="33"/>
      <c r="AB827" s="33"/>
    </row>
    <row r="828">
      <c r="A828" s="33"/>
      <c r="B828" s="33"/>
      <c r="C828" s="94"/>
      <c r="D828" s="33"/>
      <c r="E828" s="33"/>
      <c r="F828" s="33"/>
      <c r="G828" s="94"/>
      <c r="H828" s="33"/>
      <c r="I828" s="33"/>
      <c r="J828" s="33"/>
      <c r="K828" s="33"/>
      <c r="L828" s="33"/>
      <c r="M828" s="33"/>
      <c r="N828" s="33"/>
      <c r="O828" s="33"/>
      <c r="P828" s="33"/>
      <c r="Q828" s="33"/>
      <c r="R828" s="33"/>
      <c r="S828" s="33"/>
      <c r="T828" s="33"/>
      <c r="U828" s="33"/>
      <c r="V828" s="33"/>
      <c r="W828" s="33"/>
      <c r="X828" s="33"/>
      <c r="Y828" s="33"/>
      <c r="Z828" s="33"/>
      <c r="AA828" s="33"/>
      <c r="AB828" s="33"/>
    </row>
    <row r="829">
      <c r="A829" s="33"/>
      <c r="B829" s="33"/>
      <c r="C829" s="94"/>
      <c r="D829" s="33"/>
      <c r="E829" s="33"/>
      <c r="F829" s="33"/>
      <c r="G829" s="94"/>
      <c r="H829" s="33"/>
      <c r="I829" s="33"/>
      <c r="J829" s="33"/>
      <c r="K829" s="33"/>
      <c r="L829" s="33"/>
      <c r="M829" s="33"/>
      <c r="N829" s="33"/>
      <c r="O829" s="33"/>
      <c r="P829" s="33"/>
      <c r="Q829" s="33"/>
      <c r="R829" s="33"/>
      <c r="S829" s="33"/>
      <c r="T829" s="33"/>
      <c r="U829" s="33"/>
      <c r="V829" s="33"/>
      <c r="W829" s="33"/>
      <c r="X829" s="33"/>
      <c r="Y829" s="33"/>
      <c r="Z829" s="33"/>
      <c r="AA829" s="33"/>
      <c r="AB829" s="33"/>
    </row>
    <row r="830">
      <c r="A830" s="33"/>
      <c r="B830" s="33"/>
      <c r="C830" s="94"/>
      <c r="D830" s="33"/>
      <c r="E830" s="33"/>
      <c r="F830" s="33"/>
      <c r="G830" s="94"/>
      <c r="H830" s="33"/>
      <c r="I830" s="33"/>
      <c r="J830" s="33"/>
      <c r="K830" s="33"/>
      <c r="L830" s="33"/>
      <c r="M830" s="33"/>
      <c r="N830" s="33"/>
      <c r="O830" s="33"/>
      <c r="P830" s="33"/>
      <c r="Q830" s="33"/>
      <c r="R830" s="33"/>
      <c r="S830" s="33"/>
      <c r="T830" s="33"/>
      <c r="U830" s="33"/>
      <c r="V830" s="33"/>
      <c r="W830" s="33"/>
      <c r="X830" s="33"/>
      <c r="Y830" s="33"/>
      <c r="Z830" s="33"/>
      <c r="AA830" s="33"/>
      <c r="AB830" s="33"/>
    </row>
    <row r="831">
      <c r="A831" s="33"/>
      <c r="B831" s="33"/>
      <c r="C831" s="94"/>
      <c r="D831" s="33"/>
      <c r="E831" s="33"/>
      <c r="F831" s="33"/>
      <c r="G831" s="94"/>
      <c r="H831" s="33"/>
      <c r="I831" s="33"/>
      <c r="J831" s="33"/>
      <c r="K831" s="33"/>
      <c r="L831" s="33"/>
      <c r="M831" s="33"/>
      <c r="N831" s="33"/>
      <c r="O831" s="33"/>
      <c r="P831" s="33"/>
      <c r="Q831" s="33"/>
      <c r="R831" s="33"/>
      <c r="S831" s="33"/>
      <c r="T831" s="33"/>
      <c r="U831" s="33"/>
      <c r="V831" s="33"/>
      <c r="W831" s="33"/>
      <c r="X831" s="33"/>
      <c r="Y831" s="33"/>
      <c r="Z831" s="33"/>
      <c r="AA831" s="33"/>
      <c r="AB831" s="33"/>
    </row>
    <row r="832">
      <c r="A832" s="33"/>
      <c r="B832" s="33"/>
      <c r="C832" s="94"/>
      <c r="D832" s="33"/>
      <c r="E832" s="33"/>
      <c r="F832" s="33"/>
      <c r="G832" s="94"/>
      <c r="H832" s="33"/>
      <c r="I832" s="33"/>
      <c r="J832" s="33"/>
      <c r="K832" s="33"/>
      <c r="L832" s="33"/>
      <c r="M832" s="33"/>
      <c r="N832" s="33"/>
      <c r="O832" s="33"/>
      <c r="P832" s="33"/>
      <c r="Q832" s="33"/>
      <c r="R832" s="33"/>
      <c r="S832" s="33"/>
      <c r="T832" s="33"/>
      <c r="U832" s="33"/>
      <c r="V832" s="33"/>
      <c r="W832" s="33"/>
      <c r="X832" s="33"/>
      <c r="Y832" s="33"/>
      <c r="Z832" s="33"/>
      <c r="AA832" s="33"/>
      <c r="AB832" s="33"/>
    </row>
    <row r="833">
      <c r="A833" s="33"/>
      <c r="B833" s="33"/>
      <c r="C833" s="94"/>
      <c r="D833" s="33"/>
      <c r="E833" s="33"/>
      <c r="F833" s="33"/>
      <c r="G833" s="94"/>
      <c r="H833" s="33"/>
      <c r="I833" s="33"/>
      <c r="J833" s="33"/>
      <c r="K833" s="33"/>
      <c r="L833" s="33"/>
      <c r="M833" s="33"/>
      <c r="N833" s="33"/>
      <c r="O833" s="33"/>
      <c r="P833" s="33"/>
      <c r="Q833" s="33"/>
      <c r="R833" s="33"/>
      <c r="S833" s="33"/>
      <c r="T833" s="33"/>
      <c r="U833" s="33"/>
      <c r="V833" s="33"/>
      <c r="W833" s="33"/>
      <c r="X833" s="33"/>
      <c r="Y833" s="33"/>
      <c r="Z833" s="33"/>
      <c r="AA833" s="33"/>
      <c r="AB833" s="33"/>
    </row>
    <row r="834">
      <c r="A834" s="33"/>
      <c r="B834" s="33"/>
      <c r="C834" s="94"/>
      <c r="D834" s="33"/>
      <c r="E834" s="33"/>
      <c r="F834" s="33"/>
      <c r="G834" s="94"/>
      <c r="H834" s="33"/>
      <c r="I834" s="33"/>
      <c r="J834" s="33"/>
      <c r="K834" s="33"/>
      <c r="L834" s="33"/>
      <c r="M834" s="33"/>
      <c r="N834" s="33"/>
      <c r="O834" s="33"/>
      <c r="P834" s="33"/>
      <c r="Q834" s="33"/>
      <c r="R834" s="33"/>
      <c r="S834" s="33"/>
      <c r="T834" s="33"/>
      <c r="U834" s="33"/>
      <c r="V834" s="33"/>
      <c r="W834" s="33"/>
      <c r="X834" s="33"/>
      <c r="Y834" s="33"/>
      <c r="Z834" s="33"/>
      <c r="AA834" s="33"/>
      <c r="AB834" s="33"/>
    </row>
    <row r="835">
      <c r="A835" s="33"/>
      <c r="B835" s="33"/>
      <c r="C835" s="94"/>
      <c r="D835" s="33"/>
      <c r="E835" s="33"/>
      <c r="F835" s="33"/>
      <c r="G835" s="94"/>
      <c r="H835" s="33"/>
      <c r="I835" s="33"/>
      <c r="J835" s="33"/>
      <c r="K835" s="33"/>
      <c r="L835" s="33"/>
      <c r="M835" s="33"/>
      <c r="N835" s="33"/>
      <c r="O835" s="33"/>
      <c r="P835" s="33"/>
      <c r="Q835" s="33"/>
      <c r="R835" s="33"/>
      <c r="S835" s="33"/>
      <c r="T835" s="33"/>
      <c r="U835" s="33"/>
      <c r="V835" s="33"/>
      <c r="W835" s="33"/>
      <c r="X835" s="33"/>
      <c r="Y835" s="33"/>
      <c r="Z835" s="33"/>
      <c r="AA835" s="33"/>
      <c r="AB835" s="33"/>
    </row>
    <row r="836">
      <c r="A836" s="33"/>
      <c r="B836" s="33"/>
      <c r="C836" s="94"/>
      <c r="D836" s="33"/>
      <c r="E836" s="33"/>
      <c r="F836" s="33"/>
      <c r="G836" s="94"/>
      <c r="H836" s="33"/>
      <c r="I836" s="33"/>
      <c r="J836" s="33"/>
      <c r="K836" s="33"/>
      <c r="L836" s="33"/>
      <c r="M836" s="33"/>
      <c r="N836" s="33"/>
      <c r="O836" s="33"/>
      <c r="P836" s="33"/>
      <c r="Q836" s="33"/>
      <c r="R836" s="33"/>
      <c r="S836" s="33"/>
      <c r="T836" s="33"/>
      <c r="U836" s="33"/>
      <c r="V836" s="33"/>
      <c r="W836" s="33"/>
      <c r="X836" s="33"/>
      <c r="Y836" s="33"/>
      <c r="Z836" s="33"/>
      <c r="AA836" s="33"/>
      <c r="AB836" s="33"/>
    </row>
    <row r="837">
      <c r="A837" s="33"/>
      <c r="B837" s="33"/>
      <c r="C837" s="94"/>
      <c r="D837" s="33"/>
      <c r="E837" s="33"/>
      <c r="F837" s="33"/>
      <c r="G837" s="94"/>
      <c r="H837" s="33"/>
      <c r="I837" s="33"/>
      <c r="J837" s="33"/>
      <c r="K837" s="33"/>
      <c r="L837" s="33"/>
      <c r="M837" s="33"/>
      <c r="N837" s="33"/>
      <c r="O837" s="33"/>
      <c r="P837" s="33"/>
      <c r="Q837" s="33"/>
      <c r="R837" s="33"/>
      <c r="S837" s="33"/>
      <c r="T837" s="33"/>
      <c r="U837" s="33"/>
      <c r="V837" s="33"/>
      <c r="W837" s="33"/>
      <c r="X837" s="33"/>
      <c r="Y837" s="33"/>
      <c r="Z837" s="33"/>
      <c r="AA837" s="33"/>
      <c r="AB837" s="33"/>
    </row>
    <row r="838">
      <c r="A838" s="33"/>
      <c r="B838" s="33"/>
      <c r="C838" s="94"/>
      <c r="D838" s="33"/>
      <c r="E838" s="33"/>
      <c r="F838" s="33"/>
      <c r="G838" s="94"/>
      <c r="H838" s="33"/>
      <c r="I838" s="33"/>
      <c r="J838" s="33"/>
      <c r="K838" s="33"/>
      <c r="L838" s="33"/>
      <c r="M838" s="33"/>
      <c r="N838" s="33"/>
      <c r="O838" s="33"/>
      <c r="P838" s="33"/>
      <c r="Q838" s="33"/>
      <c r="R838" s="33"/>
      <c r="S838" s="33"/>
      <c r="T838" s="33"/>
      <c r="U838" s="33"/>
      <c r="V838" s="33"/>
      <c r="W838" s="33"/>
      <c r="X838" s="33"/>
      <c r="Y838" s="33"/>
      <c r="Z838" s="33"/>
      <c r="AA838" s="33"/>
      <c r="AB838" s="33"/>
    </row>
    <row r="839">
      <c r="A839" s="33"/>
      <c r="B839" s="33"/>
      <c r="C839" s="94"/>
      <c r="D839" s="33"/>
      <c r="E839" s="33"/>
      <c r="F839" s="33"/>
      <c r="G839" s="94"/>
      <c r="H839" s="33"/>
      <c r="I839" s="33"/>
      <c r="J839" s="33"/>
      <c r="K839" s="33"/>
      <c r="L839" s="33"/>
      <c r="M839" s="33"/>
      <c r="N839" s="33"/>
      <c r="O839" s="33"/>
      <c r="P839" s="33"/>
      <c r="Q839" s="33"/>
      <c r="R839" s="33"/>
      <c r="S839" s="33"/>
      <c r="T839" s="33"/>
      <c r="U839" s="33"/>
      <c r="V839" s="33"/>
      <c r="W839" s="33"/>
      <c r="X839" s="33"/>
      <c r="Y839" s="33"/>
      <c r="Z839" s="33"/>
      <c r="AA839" s="33"/>
      <c r="AB839" s="33"/>
    </row>
    <row r="840">
      <c r="A840" s="33"/>
      <c r="B840" s="33"/>
      <c r="C840" s="94"/>
      <c r="D840" s="33"/>
      <c r="E840" s="33"/>
      <c r="F840" s="33"/>
      <c r="G840" s="94"/>
      <c r="H840" s="33"/>
      <c r="I840" s="33"/>
      <c r="J840" s="33"/>
      <c r="K840" s="33"/>
      <c r="L840" s="33"/>
      <c r="M840" s="33"/>
      <c r="N840" s="33"/>
      <c r="O840" s="33"/>
      <c r="P840" s="33"/>
      <c r="Q840" s="33"/>
      <c r="R840" s="33"/>
      <c r="S840" s="33"/>
      <c r="T840" s="33"/>
      <c r="U840" s="33"/>
      <c r="V840" s="33"/>
      <c r="W840" s="33"/>
      <c r="X840" s="33"/>
      <c r="Y840" s="33"/>
      <c r="Z840" s="33"/>
      <c r="AA840" s="33"/>
      <c r="AB840" s="33"/>
    </row>
    <row r="841">
      <c r="A841" s="33"/>
      <c r="B841" s="33"/>
      <c r="C841" s="94"/>
      <c r="D841" s="33"/>
      <c r="E841" s="33"/>
      <c r="F841" s="33"/>
      <c r="G841" s="94"/>
      <c r="H841" s="33"/>
      <c r="I841" s="33"/>
      <c r="J841" s="33"/>
      <c r="K841" s="33"/>
      <c r="L841" s="33"/>
      <c r="M841" s="33"/>
      <c r="N841" s="33"/>
      <c r="O841" s="33"/>
      <c r="P841" s="33"/>
      <c r="Q841" s="33"/>
      <c r="R841" s="33"/>
      <c r="S841" s="33"/>
      <c r="T841" s="33"/>
      <c r="U841" s="33"/>
      <c r="V841" s="33"/>
      <c r="W841" s="33"/>
      <c r="X841" s="33"/>
      <c r="Y841" s="33"/>
      <c r="Z841" s="33"/>
      <c r="AA841" s="33"/>
      <c r="AB841" s="33"/>
    </row>
    <row r="842">
      <c r="A842" s="33"/>
      <c r="B842" s="33"/>
      <c r="C842" s="94"/>
      <c r="D842" s="33"/>
      <c r="E842" s="33"/>
      <c r="F842" s="33"/>
      <c r="G842" s="94"/>
      <c r="H842" s="33"/>
      <c r="I842" s="33"/>
      <c r="J842" s="33"/>
      <c r="K842" s="33"/>
      <c r="L842" s="33"/>
      <c r="M842" s="33"/>
      <c r="N842" s="33"/>
      <c r="O842" s="33"/>
      <c r="P842" s="33"/>
      <c r="Q842" s="33"/>
      <c r="R842" s="33"/>
      <c r="S842" s="33"/>
      <c r="T842" s="33"/>
      <c r="U842" s="33"/>
      <c r="V842" s="33"/>
      <c r="W842" s="33"/>
      <c r="X842" s="33"/>
      <c r="Y842" s="33"/>
      <c r="Z842" s="33"/>
      <c r="AA842" s="33"/>
      <c r="AB842" s="33"/>
    </row>
    <row r="843">
      <c r="A843" s="33"/>
      <c r="B843" s="33"/>
      <c r="C843" s="94"/>
      <c r="D843" s="33"/>
      <c r="E843" s="33"/>
      <c r="F843" s="33"/>
      <c r="G843" s="94"/>
      <c r="H843" s="33"/>
      <c r="I843" s="33"/>
      <c r="J843" s="33"/>
      <c r="K843" s="33"/>
      <c r="L843" s="33"/>
      <c r="M843" s="33"/>
      <c r="N843" s="33"/>
      <c r="O843" s="33"/>
      <c r="P843" s="33"/>
      <c r="Q843" s="33"/>
      <c r="R843" s="33"/>
      <c r="S843" s="33"/>
      <c r="T843" s="33"/>
      <c r="U843" s="33"/>
      <c r="V843" s="33"/>
      <c r="W843" s="33"/>
      <c r="X843" s="33"/>
      <c r="Y843" s="33"/>
      <c r="Z843" s="33"/>
      <c r="AA843" s="33"/>
      <c r="AB843" s="33"/>
    </row>
    <row r="844">
      <c r="A844" s="33"/>
      <c r="B844" s="33"/>
      <c r="C844" s="94"/>
      <c r="D844" s="33"/>
      <c r="E844" s="33"/>
      <c r="F844" s="33"/>
      <c r="G844" s="94"/>
      <c r="H844" s="33"/>
      <c r="I844" s="33"/>
      <c r="J844" s="33"/>
      <c r="K844" s="33"/>
      <c r="L844" s="33"/>
      <c r="M844" s="33"/>
      <c r="N844" s="33"/>
      <c r="O844" s="33"/>
      <c r="P844" s="33"/>
      <c r="Q844" s="33"/>
      <c r="R844" s="33"/>
      <c r="S844" s="33"/>
      <c r="T844" s="33"/>
      <c r="U844" s="33"/>
      <c r="V844" s="33"/>
      <c r="W844" s="33"/>
      <c r="X844" s="33"/>
      <c r="Y844" s="33"/>
      <c r="Z844" s="33"/>
      <c r="AA844" s="33"/>
      <c r="AB844" s="33"/>
    </row>
    <row r="845">
      <c r="A845" s="33"/>
      <c r="B845" s="33"/>
      <c r="C845" s="94"/>
      <c r="D845" s="33"/>
      <c r="E845" s="33"/>
      <c r="F845" s="33"/>
      <c r="G845" s="94"/>
      <c r="H845" s="33"/>
      <c r="I845" s="33"/>
      <c r="J845" s="33"/>
      <c r="K845" s="33"/>
      <c r="L845" s="33"/>
      <c r="M845" s="33"/>
      <c r="N845" s="33"/>
      <c r="O845" s="33"/>
      <c r="P845" s="33"/>
      <c r="Q845" s="33"/>
      <c r="R845" s="33"/>
      <c r="S845" s="33"/>
      <c r="T845" s="33"/>
      <c r="U845" s="33"/>
      <c r="V845" s="33"/>
      <c r="W845" s="33"/>
      <c r="X845" s="33"/>
      <c r="Y845" s="33"/>
      <c r="Z845" s="33"/>
      <c r="AA845" s="33"/>
      <c r="AB845" s="33"/>
    </row>
    <row r="846">
      <c r="A846" s="33"/>
      <c r="B846" s="33"/>
      <c r="C846" s="94"/>
      <c r="D846" s="33"/>
      <c r="E846" s="33"/>
      <c r="F846" s="33"/>
      <c r="G846" s="94"/>
      <c r="H846" s="33"/>
      <c r="I846" s="33"/>
      <c r="J846" s="33"/>
      <c r="K846" s="33"/>
      <c r="L846" s="33"/>
      <c r="M846" s="33"/>
      <c r="N846" s="33"/>
      <c r="O846" s="33"/>
      <c r="P846" s="33"/>
      <c r="Q846" s="33"/>
      <c r="R846" s="33"/>
      <c r="S846" s="33"/>
      <c r="T846" s="33"/>
      <c r="U846" s="33"/>
      <c r="V846" s="33"/>
      <c r="W846" s="33"/>
      <c r="X846" s="33"/>
      <c r="Y846" s="33"/>
      <c r="Z846" s="33"/>
      <c r="AA846" s="33"/>
      <c r="AB846" s="33"/>
    </row>
    <row r="847">
      <c r="A847" s="33"/>
      <c r="B847" s="33"/>
      <c r="C847" s="94"/>
      <c r="D847" s="33"/>
      <c r="E847" s="33"/>
      <c r="F847" s="33"/>
      <c r="G847" s="94"/>
      <c r="H847" s="33"/>
      <c r="I847" s="33"/>
      <c r="J847" s="33"/>
      <c r="K847" s="33"/>
      <c r="L847" s="33"/>
      <c r="M847" s="33"/>
      <c r="N847" s="33"/>
      <c r="O847" s="33"/>
      <c r="P847" s="33"/>
      <c r="Q847" s="33"/>
      <c r="R847" s="33"/>
      <c r="S847" s="33"/>
      <c r="T847" s="33"/>
      <c r="U847" s="33"/>
      <c r="V847" s="33"/>
      <c r="W847" s="33"/>
      <c r="X847" s="33"/>
      <c r="Y847" s="33"/>
      <c r="Z847" s="33"/>
      <c r="AA847" s="33"/>
      <c r="AB847" s="33"/>
    </row>
    <row r="848">
      <c r="A848" s="33"/>
      <c r="B848" s="33"/>
      <c r="C848" s="94"/>
      <c r="D848" s="33"/>
      <c r="E848" s="33"/>
      <c r="F848" s="33"/>
      <c r="G848" s="94"/>
      <c r="H848" s="33"/>
      <c r="I848" s="33"/>
      <c r="J848" s="33"/>
      <c r="K848" s="33"/>
      <c r="L848" s="33"/>
      <c r="M848" s="33"/>
      <c r="N848" s="33"/>
      <c r="O848" s="33"/>
      <c r="P848" s="33"/>
      <c r="Q848" s="33"/>
      <c r="R848" s="33"/>
      <c r="S848" s="33"/>
      <c r="T848" s="33"/>
      <c r="U848" s="33"/>
      <c r="V848" s="33"/>
      <c r="W848" s="33"/>
      <c r="X848" s="33"/>
      <c r="Y848" s="33"/>
      <c r="Z848" s="33"/>
      <c r="AA848" s="33"/>
      <c r="AB848" s="33"/>
    </row>
    <row r="849">
      <c r="A849" s="33"/>
      <c r="B849" s="33"/>
      <c r="C849" s="94"/>
      <c r="D849" s="33"/>
      <c r="E849" s="33"/>
      <c r="F849" s="33"/>
      <c r="G849" s="94"/>
      <c r="H849" s="33"/>
      <c r="I849" s="33"/>
      <c r="J849" s="33"/>
      <c r="K849" s="33"/>
      <c r="L849" s="33"/>
      <c r="M849" s="33"/>
      <c r="N849" s="33"/>
      <c r="O849" s="33"/>
      <c r="P849" s="33"/>
      <c r="Q849" s="33"/>
      <c r="R849" s="33"/>
      <c r="S849" s="33"/>
      <c r="T849" s="33"/>
      <c r="U849" s="33"/>
      <c r="V849" s="33"/>
      <c r="W849" s="33"/>
      <c r="X849" s="33"/>
      <c r="Y849" s="33"/>
      <c r="Z849" s="33"/>
      <c r="AA849" s="33"/>
      <c r="AB849" s="33"/>
    </row>
    <row r="850">
      <c r="A850" s="33"/>
      <c r="B850" s="33"/>
      <c r="C850" s="94"/>
      <c r="D850" s="33"/>
      <c r="E850" s="33"/>
      <c r="F850" s="33"/>
      <c r="G850" s="94"/>
      <c r="H850" s="33"/>
      <c r="I850" s="33"/>
      <c r="J850" s="33"/>
      <c r="K850" s="33"/>
      <c r="L850" s="33"/>
      <c r="M850" s="33"/>
      <c r="N850" s="33"/>
      <c r="O850" s="33"/>
      <c r="P850" s="33"/>
      <c r="Q850" s="33"/>
      <c r="R850" s="33"/>
      <c r="S850" s="33"/>
      <c r="T850" s="33"/>
      <c r="U850" s="33"/>
      <c r="V850" s="33"/>
      <c r="W850" s="33"/>
      <c r="X850" s="33"/>
      <c r="Y850" s="33"/>
      <c r="Z850" s="33"/>
      <c r="AA850" s="33"/>
      <c r="AB850" s="33"/>
    </row>
    <row r="851">
      <c r="A851" s="33"/>
      <c r="B851" s="33"/>
      <c r="C851" s="94"/>
      <c r="D851" s="33"/>
      <c r="E851" s="33"/>
      <c r="F851" s="33"/>
      <c r="G851" s="94"/>
      <c r="H851" s="33"/>
      <c r="I851" s="33"/>
      <c r="J851" s="33"/>
      <c r="K851" s="33"/>
      <c r="L851" s="33"/>
      <c r="M851" s="33"/>
      <c r="N851" s="33"/>
      <c r="O851" s="33"/>
      <c r="P851" s="33"/>
      <c r="Q851" s="33"/>
      <c r="R851" s="33"/>
      <c r="S851" s="33"/>
      <c r="T851" s="33"/>
      <c r="U851" s="33"/>
      <c r="V851" s="33"/>
      <c r="W851" s="33"/>
      <c r="X851" s="33"/>
      <c r="Y851" s="33"/>
      <c r="Z851" s="33"/>
      <c r="AA851" s="33"/>
      <c r="AB851" s="33"/>
    </row>
    <row r="852">
      <c r="A852" s="33"/>
      <c r="B852" s="33"/>
      <c r="C852" s="94"/>
      <c r="D852" s="33"/>
      <c r="E852" s="33"/>
      <c r="F852" s="33"/>
      <c r="G852" s="94"/>
      <c r="H852" s="33"/>
      <c r="I852" s="33"/>
      <c r="J852" s="33"/>
      <c r="K852" s="33"/>
      <c r="L852" s="33"/>
      <c r="M852" s="33"/>
      <c r="N852" s="33"/>
      <c r="O852" s="33"/>
      <c r="P852" s="33"/>
      <c r="Q852" s="33"/>
      <c r="R852" s="33"/>
      <c r="S852" s="33"/>
      <c r="T852" s="33"/>
      <c r="U852" s="33"/>
      <c r="V852" s="33"/>
      <c r="W852" s="33"/>
      <c r="X852" s="33"/>
      <c r="Y852" s="33"/>
      <c r="Z852" s="33"/>
      <c r="AA852" s="33"/>
      <c r="AB852" s="33"/>
    </row>
    <row r="853">
      <c r="A853" s="33"/>
      <c r="B853" s="33"/>
      <c r="C853" s="94"/>
      <c r="D853" s="33"/>
      <c r="E853" s="33"/>
      <c r="F853" s="33"/>
      <c r="G853" s="94"/>
      <c r="H853" s="33"/>
      <c r="I853" s="33"/>
      <c r="J853" s="33"/>
      <c r="K853" s="33"/>
      <c r="L853" s="33"/>
      <c r="M853" s="33"/>
      <c r="N853" s="33"/>
      <c r="O853" s="33"/>
      <c r="P853" s="33"/>
      <c r="Q853" s="33"/>
      <c r="R853" s="33"/>
      <c r="S853" s="33"/>
      <c r="T853" s="33"/>
      <c r="U853" s="33"/>
      <c r="V853" s="33"/>
      <c r="W853" s="33"/>
      <c r="X853" s="33"/>
      <c r="Y853" s="33"/>
      <c r="Z853" s="33"/>
      <c r="AA853" s="33"/>
      <c r="AB853" s="33"/>
    </row>
    <row r="854">
      <c r="A854" s="33"/>
      <c r="B854" s="33"/>
      <c r="C854" s="94"/>
      <c r="D854" s="33"/>
      <c r="E854" s="33"/>
      <c r="F854" s="33"/>
      <c r="G854" s="94"/>
      <c r="H854" s="33"/>
      <c r="I854" s="33"/>
      <c r="J854" s="33"/>
      <c r="K854" s="33"/>
      <c r="L854" s="33"/>
      <c r="M854" s="33"/>
      <c r="N854" s="33"/>
      <c r="O854" s="33"/>
      <c r="P854" s="33"/>
      <c r="Q854" s="33"/>
      <c r="R854" s="33"/>
      <c r="S854" s="33"/>
      <c r="T854" s="33"/>
      <c r="U854" s="33"/>
      <c r="V854" s="33"/>
      <c r="W854" s="33"/>
      <c r="X854" s="33"/>
      <c r="Y854" s="33"/>
      <c r="Z854" s="33"/>
      <c r="AA854" s="33"/>
      <c r="AB854" s="33"/>
    </row>
    <row r="855">
      <c r="A855" s="33"/>
      <c r="B855" s="33"/>
      <c r="C855" s="94"/>
      <c r="D855" s="33"/>
      <c r="E855" s="33"/>
      <c r="F855" s="33"/>
      <c r="G855" s="94"/>
      <c r="H855" s="33"/>
      <c r="I855" s="33"/>
      <c r="J855" s="33"/>
      <c r="K855" s="33"/>
      <c r="L855" s="33"/>
      <c r="M855" s="33"/>
      <c r="N855" s="33"/>
      <c r="O855" s="33"/>
      <c r="P855" s="33"/>
      <c r="Q855" s="33"/>
      <c r="R855" s="33"/>
      <c r="S855" s="33"/>
      <c r="T855" s="33"/>
      <c r="U855" s="33"/>
      <c r="V855" s="33"/>
      <c r="W855" s="33"/>
      <c r="X855" s="33"/>
      <c r="Y855" s="33"/>
      <c r="Z855" s="33"/>
      <c r="AA855" s="33"/>
      <c r="AB855" s="33"/>
    </row>
    <row r="856">
      <c r="A856" s="33"/>
      <c r="B856" s="33"/>
      <c r="C856" s="94"/>
      <c r="D856" s="33"/>
      <c r="E856" s="33"/>
      <c r="F856" s="33"/>
      <c r="G856" s="94"/>
      <c r="H856" s="33"/>
      <c r="I856" s="33"/>
      <c r="J856" s="33"/>
      <c r="K856" s="33"/>
      <c r="L856" s="33"/>
      <c r="M856" s="33"/>
      <c r="N856" s="33"/>
      <c r="O856" s="33"/>
      <c r="P856" s="33"/>
      <c r="Q856" s="33"/>
      <c r="R856" s="33"/>
      <c r="S856" s="33"/>
      <c r="T856" s="33"/>
      <c r="U856" s="33"/>
      <c r="V856" s="33"/>
      <c r="W856" s="33"/>
      <c r="X856" s="33"/>
      <c r="Y856" s="33"/>
      <c r="Z856" s="33"/>
      <c r="AA856" s="33"/>
      <c r="AB856" s="33"/>
    </row>
    <row r="857">
      <c r="A857" s="33"/>
      <c r="B857" s="33"/>
      <c r="C857" s="94"/>
      <c r="D857" s="33"/>
      <c r="E857" s="33"/>
      <c r="F857" s="33"/>
      <c r="G857" s="94"/>
      <c r="H857" s="33"/>
      <c r="I857" s="33"/>
      <c r="J857" s="33"/>
      <c r="K857" s="33"/>
      <c r="L857" s="33"/>
      <c r="M857" s="33"/>
      <c r="N857" s="33"/>
      <c r="O857" s="33"/>
      <c r="P857" s="33"/>
      <c r="Q857" s="33"/>
      <c r="R857" s="33"/>
      <c r="S857" s="33"/>
      <c r="T857" s="33"/>
      <c r="U857" s="33"/>
      <c r="V857" s="33"/>
      <c r="W857" s="33"/>
      <c r="X857" s="33"/>
      <c r="Y857" s="33"/>
      <c r="Z857" s="33"/>
      <c r="AA857" s="33"/>
      <c r="AB857" s="33"/>
    </row>
    <row r="858">
      <c r="A858" s="33"/>
      <c r="B858" s="33"/>
      <c r="C858" s="94"/>
      <c r="D858" s="33"/>
      <c r="E858" s="33"/>
      <c r="F858" s="33"/>
      <c r="G858" s="94"/>
      <c r="H858" s="33"/>
      <c r="I858" s="33"/>
      <c r="J858" s="33"/>
      <c r="K858" s="33"/>
      <c r="L858" s="33"/>
      <c r="M858" s="33"/>
      <c r="N858" s="33"/>
      <c r="O858" s="33"/>
      <c r="P858" s="33"/>
      <c r="Q858" s="33"/>
      <c r="R858" s="33"/>
      <c r="S858" s="33"/>
      <c r="T858" s="33"/>
      <c r="U858" s="33"/>
      <c r="V858" s="33"/>
      <c r="W858" s="33"/>
      <c r="X858" s="33"/>
      <c r="Y858" s="33"/>
      <c r="Z858" s="33"/>
      <c r="AA858" s="33"/>
      <c r="AB858" s="33"/>
    </row>
    <row r="859">
      <c r="A859" s="33"/>
      <c r="B859" s="33"/>
      <c r="C859" s="94"/>
      <c r="D859" s="33"/>
      <c r="E859" s="33"/>
      <c r="F859" s="33"/>
      <c r="G859" s="94"/>
      <c r="H859" s="33"/>
      <c r="I859" s="33"/>
      <c r="J859" s="33"/>
      <c r="K859" s="33"/>
      <c r="L859" s="33"/>
      <c r="M859" s="33"/>
      <c r="N859" s="33"/>
      <c r="O859" s="33"/>
      <c r="P859" s="33"/>
      <c r="Q859" s="33"/>
      <c r="R859" s="33"/>
      <c r="S859" s="33"/>
      <c r="T859" s="33"/>
      <c r="U859" s="33"/>
      <c r="V859" s="33"/>
      <c r="W859" s="33"/>
      <c r="X859" s="33"/>
      <c r="Y859" s="33"/>
      <c r="Z859" s="33"/>
      <c r="AA859" s="33"/>
      <c r="AB859" s="33"/>
    </row>
    <row r="860">
      <c r="A860" s="33"/>
      <c r="B860" s="33"/>
      <c r="C860" s="94"/>
      <c r="D860" s="33"/>
      <c r="E860" s="33"/>
      <c r="F860" s="33"/>
      <c r="G860" s="94"/>
      <c r="H860" s="33"/>
      <c r="I860" s="33"/>
      <c r="J860" s="33"/>
      <c r="K860" s="33"/>
      <c r="L860" s="33"/>
      <c r="M860" s="33"/>
      <c r="N860" s="33"/>
      <c r="O860" s="33"/>
      <c r="P860" s="33"/>
      <c r="Q860" s="33"/>
      <c r="R860" s="33"/>
      <c r="S860" s="33"/>
      <c r="T860" s="33"/>
      <c r="U860" s="33"/>
      <c r="V860" s="33"/>
      <c r="W860" s="33"/>
      <c r="X860" s="33"/>
      <c r="Y860" s="33"/>
      <c r="Z860" s="33"/>
      <c r="AA860" s="33"/>
      <c r="AB860" s="33"/>
    </row>
    <row r="861">
      <c r="A861" s="33"/>
      <c r="B861" s="33"/>
      <c r="C861" s="94"/>
      <c r="D861" s="33"/>
      <c r="E861" s="33"/>
      <c r="F861" s="33"/>
      <c r="G861" s="94"/>
      <c r="H861" s="33"/>
      <c r="I861" s="33"/>
      <c r="J861" s="33"/>
      <c r="K861" s="33"/>
      <c r="L861" s="33"/>
      <c r="M861" s="33"/>
      <c r="N861" s="33"/>
      <c r="O861" s="33"/>
      <c r="P861" s="33"/>
      <c r="Q861" s="33"/>
      <c r="R861" s="33"/>
      <c r="S861" s="33"/>
      <c r="T861" s="33"/>
      <c r="U861" s="33"/>
      <c r="V861" s="33"/>
      <c r="W861" s="33"/>
      <c r="X861" s="33"/>
      <c r="Y861" s="33"/>
      <c r="Z861" s="33"/>
      <c r="AA861" s="33"/>
      <c r="AB861" s="33"/>
    </row>
    <row r="862">
      <c r="A862" s="33"/>
      <c r="B862" s="33"/>
      <c r="C862" s="94"/>
      <c r="D862" s="33"/>
      <c r="E862" s="33"/>
      <c r="F862" s="33"/>
      <c r="G862" s="94"/>
      <c r="H862" s="33"/>
      <c r="I862" s="33"/>
      <c r="J862" s="33"/>
      <c r="K862" s="33"/>
      <c r="L862" s="33"/>
      <c r="M862" s="33"/>
      <c r="N862" s="33"/>
      <c r="O862" s="33"/>
      <c r="P862" s="33"/>
      <c r="Q862" s="33"/>
      <c r="R862" s="33"/>
      <c r="S862" s="33"/>
      <c r="T862" s="33"/>
      <c r="U862" s="33"/>
      <c r="V862" s="33"/>
      <c r="W862" s="33"/>
      <c r="X862" s="33"/>
      <c r="Y862" s="33"/>
      <c r="Z862" s="33"/>
      <c r="AA862" s="33"/>
      <c r="AB862" s="33"/>
    </row>
    <row r="863">
      <c r="A863" s="33"/>
      <c r="B863" s="33"/>
      <c r="C863" s="94"/>
      <c r="D863" s="33"/>
      <c r="E863" s="33"/>
      <c r="F863" s="33"/>
      <c r="G863" s="94"/>
      <c r="H863" s="33"/>
      <c r="I863" s="33"/>
      <c r="J863" s="33"/>
      <c r="K863" s="33"/>
      <c r="L863" s="33"/>
      <c r="M863" s="33"/>
      <c r="N863" s="33"/>
      <c r="O863" s="33"/>
      <c r="P863" s="33"/>
      <c r="Q863" s="33"/>
      <c r="R863" s="33"/>
      <c r="S863" s="33"/>
      <c r="T863" s="33"/>
      <c r="U863" s="33"/>
      <c r="V863" s="33"/>
      <c r="W863" s="33"/>
      <c r="X863" s="33"/>
      <c r="Y863" s="33"/>
      <c r="Z863" s="33"/>
      <c r="AA863" s="33"/>
      <c r="AB863" s="33"/>
    </row>
    <row r="864">
      <c r="A864" s="33"/>
      <c r="B864" s="33"/>
      <c r="C864" s="94"/>
      <c r="D864" s="33"/>
      <c r="E864" s="33"/>
      <c r="F864" s="33"/>
      <c r="G864" s="94"/>
      <c r="H864" s="33"/>
      <c r="I864" s="33"/>
      <c r="J864" s="33"/>
      <c r="K864" s="33"/>
      <c r="L864" s="33"/>
      <c r="M864" s="33"/>
      <c r="N864" s="33"/>
      <c r="O864" s="33"/>
      <c r="P864" s="33"/>
      <c r="Q864" s="33"/>
      <c r="R864" s="33"/>
      <c r="S864" s="33"/>
      <c r="T864" s="33"/>
      <c r="U864" s="33"/>
      <c r="V864" s="33"/>
      <c r="W864" s="33"/>
      <c r="X864" s="33"/>
      <c r="Y864" s="33"/>
      <c r="Z864" s="33"/>
      <c r="AA864" s="33"/>
      <c r="AB864" s="33"/>
    </row>
    <row r="865">
      <c r="A865" s="33"/>
      <c r="B865" s="33"/>
      <c r="C865" s="94"/>
      <c r="D865" s="33"/>
      <c r="E865" s="33"/>
      <c r="F865" s="33"/>
      <c r="G865" s="94"/>
      <c r="H865" s="33"/>
      <c r="I865" s="33"/>
      <c r="J865" s="33"/>
      <c r="K865" s="33"/>
      <c r="L865" s="33"/>
      <c r="M865" s="33"/>
      <c r="N865" s="33"/>
      <c r="O865" s="33"/>
      <c r="P865" s="33"/>
      <c r="Q865" s="33"/>
      <c r="R865" s="33"/>
      <c r="S865" s="33"/>
      <c r="T865" s="33"/>
      <c r="U865" s="33"/>
      <c r="V865" s="33"/>
      <c r="W865" s="33"/>
      <c r="X865" s="33"/>
      <c r="Y865" s="33"/>
      <c r="Z865" s="33"/>
      <c r="AA865" s="33"/>
      <c r="AB865" s="33"/>
    </row>
    <row r="866">
      <c r="A866" s="33"/>
      <c r="B866" s="33"/>
      <c r="C866" s="94"/>
      <c r="D866" s="33"/>
      <c r="E866" s="33"/>
      <c r="F866" s="33"/>
      <c r="G866" s="94"/>
      <c r="H866" s="33"/>
      <c r="I866" s="33"/>
      <c r="J866" s="33"/>
      <c r="K866" s="33"/>
      <c r="L866" s="33"/>
      <c r="M866" s="33"/>
      <c r="N866" s="33"/>
      <c r="O866" s="33"/>
      <c r="P866" s="33"/>
      <c r="Q866" s="33"/>
      <c r="R866" s="33"/>
      <c r="S866" s="33"/>
      <c r="T866" s="33"/>
      <c r="U866" s="33"/>
      <c r="V866" s="33"/>
      <c r="W866" s="33"/>
      <c r="X866" s="33"/>
      <c r="Y866" s="33"/>
      <c r="Z866" s="33"/>
      <c r="AA866" s="33"/>
      <c r="AB866" s="33"/>
    </row>
    <row r="867">
      <c r="A867" s="33"/>
      <c r="B867" s="33"/>
      <c r="C867" s="94"/>
      <c r="D867" s="33"/>
      <c r="E867" s="33"/>
      <c r="F867" s="33"/>
      <c r="G867" s="94"/>
      <c r="H867" s="33"/>
      <c r="I867" s="33"/>
      <c r="J867" s="33"/>
      <c r="K867" s="33"/>
      <c r="L867" s="33"/>
      <c r="M867" s="33"/>
      <c r="N867" s="33"/>
      <c r="O867" s="33"/>
      <c r="P867" s="33"/>
      <c r="Q867" s="33"/>
      <c r="R867" s="33"/>
      <c r="S867" s="33"/>
      <c r="T867" s="33"/>
      <c r="U867" s="33"/>
      <c r="V867" s="33"/>
      <c r="W867" s="33"/>
      <c r="X867" s="33"/>
      <c r="Y867" s="33"/>
      <c r="Z867" s="33"/>
      <c r="AA867" s="33"/>
      <c r="AB867" s="33"/>
    </row>
    <row r="868">
      <c r="A868" s="33"/>
      <c r="B868" s="33"/>
      <c r="C868" s="94"/>
      <c r="D868" s="33"/>
      <c r="E868" s="33"/>
      <c r="F868" s="33"/>
      <c r="G868" s="94"/>
      <c r="H868" s="33"/>
      <c r="I868" s="33"/>
      <c r="J868" s="33"/>
      <c r="K868" s="33"/>
      <c r="L868" s="33"/>
      <c r="M868" s="33"/>
      <c r="N868" s="33"/>
      <c r="O868" s="33"/>
      <c r="P868" s="33"/>
      <c r="Q868" s="33"/>
      <c r="R868" s="33"/>
      <c r="S868" s="33"/>
      <c r="T868" s="33"/>
      <c r="U868" s="33"/>
      <c r="V868" s="33"/>
      <c r="W868" s="33"/>
      <c r="X868" s="33"/>
      <c r="Y868" s="33"/>
      <c r="Z868" s="33"/>
      <c r="AA868" s="33"/>
      <c r="AB868" s="33"/>
    </row>
    <row r="869">
      <c r="A869" s="33"/>
      <c r="B869" s="33"/>
      <c r="C869" s="94"/>
      <c r="D869" s="33"/>
      <c r="E869" s="33"/>
      <c r="F869" s="33"/>
      <c r="G869" s="94"/>
      <c r="H869" s="33"/>
      <c r="I869" s="33"/>
      <c r="J869" s="33"/>
      <c r="K869" s="33"/>
      <c r="L869" s="33"/>
      <c r="M869" s="33"/>
      <c r="N869" s="33"/>
      <c r="O869" s="33"/>
      <c r="P869" s="33"/>
      <c r="Q869" s="33"/>
      <c r="R869" s="33"/>
      <c r="S869" s="33"/>
      <c r="T869" s="33"/>
      <c r="U869" s="33"/>
      <c r="V869" s="33"/>
      <c r="W869" s="33"/>
      <c r="X869" s="33"/>
      <c r="Y869" s="33"/>
      <c r="Z869" s="33"/>
      <c r="AA869" s="33"/>
      <c r="AB869" s="33"/>
    </row>
    <row r="870">
      <c r="A870" s="33"/>
      <c r="B870" s="33"/>
      <c r="C870" s="94"/>
      <c r="D870" s="33"/>
      <c r="E870" s="33"/>
      <c r="F870" s="33"/>
      <c r="G870" s="94"/>
      <c r="H870" s="33"/>
      <c r="I870" s="33"/>
      <c r="J870" s="33"/>
      <c r="K870" s="33"/>
      <c r="L870" s="33"/>
      <c r="M870" s="33"/>
      <c r="N870" s="33"/>
      <c r="O870" s="33"/>
      <c r="P870" s="33"/>
      <c r="Q870" s="33"/>
      <c r="R870" s="33"/>
      <c r="S870" s="33"/>
      <c r="T870" s="33"/>
      <c r="U870" s="33"/>
      <c r="V870" s="33"/>
      <c r="W870" s="33"/>
      <c r="X870" s="33"/>
      <c r="Y870" s="33"/>
      <c r="Z870" s="33"/>
      <c r="AA870" s="33"/>
      <c r="AB870" s="33"/>
    </row>
    <row r="871">
      <c r="A871" s="33"/>
      <c r="B871" s="33"/>
      <c r="C871" s="94"/>
      <c r="D871" s="33"/>
      <c r="E871" s="33"/>
      <c r="F871" s="33"/>
      <c r="G871" s="94"/>
      <c r="H871" s="33"/>
      <c r="I871" s="33"/>
      <c r="J871" s="33"/>
      <c r="K871" s="33"/>
      <c r="L871" s="33"/>
      <c r="M871" s="33"/>
      <c r="N871" s="33"/>
      <c r="O871" s="33"/>
      <c r="P871" s="33"/>
      <c r="Q871" s="33"/>
      <c r="R871" s="33"/>
      <c r="S871" s="33"/>
      <c r="T871" s="33"/>
      <c r="U871" s="33"/>
      <c r="V871" s="33"/>
      <c r="W871" s="33"/>
      <c r="X871" s="33"/>
      <c r="Y871" s="33"/>
      <c r="Z871" s="33"/>
      <c r="AA871" s="33"/>
      <c r="AB871" s="33"/>
    </row>
    <row r="872">
      <c r="A872" s="33"/>
      <c r="B872" s="33"/>
      <c r="C872" s="94"/>
      <c r="D872" s="33"/>
      <c r="E872" s="33"/>
      <c r="F872" s="33"/>
      <c r="G872" s="94"/>
      <c r="H872" s="33"/>
      <c r="I872" s="33"/>
      <c r="J872" s="33"/>
      <c r="K872" s="33"/>
      <c r="L872" s="33"/>
      <c r="M872" s="33"/>
      <c r="N872" s="33"/>
      <c r="O872" s="33"/>
      <c r="P872" s="33"/>
      <c r="Q872" s="33"/>
      <c r="R872" s="33"/>
      <c r="S872" s="33"/>
      <c r="T872" s="33"/>
      <c r="U872" s="33"/>
      <c r="V872" s="33"/>
      <c r="W872" s="33"/>
      <c r="X872" s="33"/>
      <c r="Y872" s="33"/>
      <c r="Z872" s="33"/>
      <c r="AA872" s="33"/>
      <c r="AB872" s="33"/>
    </row>
    <row r="873">
      <c r="A873" s="33"/>
      <c r="B873" s="33"/>
      <c r="C873" s="94"/>
      <c r="D873" s="33"/>
      <c r="E873" s="33"/>
      <c r="F873" s="33"/>
      <c r="G873" s="94"/>
      <c r="H873" s="33"/>
      <c r="I873" s="33"/>
      <c r="J873" s="33"/>
      <c r="K873" s="33"/>
      <c r="L873" s="33"/>
      <c r="M873" s="33"/>
      <c r="N873" s="33"/>
      <c r="O873" s="33"/>
      <c r="P873" s="33"/>
      <c r="Q873" s="33"/>
      <c r="R873" s="33"/>
      <c r="S873" s="33"/>
      <c r="T873" s="33"/>
      <c r="U873" s="33"/>
      <c r="V873" s="33"/>
      <c r="W873" s="33"/>
      <c r="X873" s="33"/>
      <c r="Y873" s="33"/>
      <c r="Z873" s="33"/>
      <c r="AA873" s="33"/>
      <c r="AB873" s="33"/>
    </row>
    <row r="874">
      <c r="A874" s="33"/>
      <c r="B874" s="33"/>
      <c r="C874" s="94"/>
      <c r="D874" s="33"/>
      <c r="E874" s="33"/>
      <c r="F874" s="33"/>
      <c r="G874" s="94"/>
      <c r="H874" s="33"/>
      <c r="I874" s="33"/>
      <c r="J874" s="33"/>
      <c r="K874" s="33"/>
      <c r="L874" s="33"/>
      <c r="M874" s="33"/>
      <c r="N874" s="33"/>
      <c r="O874" s="33"/>
      <c r="P874" s="33"/>
      <c r="Q874" s="33"/>
      <c r="R874" s="33"/>
      <c r="S874" s="33"/>
      <c r="T874" s="33"/>
      <c r="U874" s="33"/>
      <c r="V874" s="33"/>
      <c r="W874" s="33"/>
      <c r="X874" s="33"/>
      <c r="Y874" s="33"/>
      <c r="Z874" s="33"/>
      <c r="AA874" s="33"/>
      <c r="AB874" s="33"/>
    </row>
    <row r="875">
      <c r="A875" s="33"/>
      <c r="B875" s="33"/>
      <c r="C875" s="94"/>
      <c r="D875" s="33"/>
      <c r="E875" s="33"/>
      <c r="F875" s="33"/>
      <c r="G875" s="94"/>
      <c r="H875" s="33"/>
      <c r="I875" s="33"/>
      <c r="J875" s="33"/>
      <c r="K875" s="33"/>
      <c r="L875" s="33"/>
      <c r="M875" s="33"/>
      <c r="N875" s="33"/>
      <c r="O875" s="33"/>
      <c r="P875" s="33"/>
      <c r="Q875" s="33"/>
      <c r="R875" s="33"/>
      <c r="S875" s="33"/>
      <c r="T875" s="33"/>
      <c r="U875" s="33"/>
      <c r="V875" s="33"/>
      <c r="W875" s="33"/>
      <c r="X875" s="33"/>
      <c r="Y875" s="33"/>
      <c r="Z875" s="33"/>
      <c r="AA875" s="33"/>
      <c r="AB875" s="33"/>
    </row>
    <row r="876">
      <c r="A876" s="33"/>
      <c r="B876" s="33"/>
      <c r="C876" s="94"/>
      <c r="D876" s="33"/>
      <c r="E876" s="33"/>
      <c r="F876" s="33"/>
      <c r="G876" s="94"/>
      <c r="H876" s="33"/>
      <c r="I876" s="33"/>
      <c r="J876" s="33"/>
      <c r="K876" s="33"/>
      <c r="L876" s="33"/>
      <c r="M876" s="33"/>
      <c r="N876" s="33"/>
      <c r="O876" s="33"/>
      <c r="P876" s="33"/>
      <c r="Q876" s="33"/>
      <c r="R876" s="33"/>
      <c r="S876" s="33"/>
      <c r="T876" s="33"/>
      <c r="U876" s="33"/>
      <c r="V876" s="33"/>
      <c r="W876" s="33"/>
      <c r="X876" s="33"/>
      <c r="Y876" s="33"/>
      <c r="Z876" s="33"/>
      <c r="AA876" s="33"/>
      <c r="AB876" s="33"/>
    </row>
    <row r="877">
      <c r="A877" s="33"/>
      <c r="B877" s="33"/>
      <c r="C877" s="94"/>
      <c r="D877" s="33"/>
      <c r="E877" s="33"/>
      <c r="F877" s="33"/>
      <c r="G877" s="94"/>
      <c r="H877" s="33"/>
      <c r="I877" s="33"/>
      <c r="J877" s="33"/>
      <c r="K877" s="33"/>
      <c r="L877" s="33"/>
      <c r="M877" s="33"/>
      <c r="N877" s="33"/>
      <c r="O877" s="33"/>
      <c r="P877" s="33"/>
      <c r="Q877" s="33"/>
      <c r="R877" s="33"/>
      <c r="S877" s="33"/>
      <c r="T877" s="33"/>
      <c r="U877" s="33"/>
      <c r="V877" s="33"/>
      <c r="W877" s="33"/>
      <c r="X877" s="33"/>
      <c r="Y877" s="33"/>
      <c r="Z877" s="33"/>
      <c r="AA877" s="33"/>
      <c r="AB877" s="33"/>
    </row>
    <row r="878">
      <c r="A878" s="33"/>
      <c r="B878" s="33"/>
      <c r="C878" s="94"/>
      <c r="D878" s="33"/>
      <c r="E878" s="33"/>
      <c r="F878" s="33"/>
      <c r="G878" s="94"/>
      <c r="H878" s="33"/>
      <c r="I878" s="33"/>
      <c r="J878" s="33"/>
      <c r="K878" s="33"/>
      <c r="L878" s="33"/>
      <c r="M878" s="33"/>
      <c r="N878" s="33"/>
      <c r="O878" s="33"/>
      <c r="P878" s="33"/>
      <c r="Q878" s="33"/>
      <c r="R878" s="33"/>
      <c r="S878" s="33"/>
      <c r="T878" s="33"/>
      <c r="U878" s="33"/>
      <c r="V878" s="33"/>
      <c r="W878" s="33"/>
      <c r="X878" s="33"/>
      <c r="Y878" s="33"/>
      <c r="Z878" s="33"/>
      <c r="AA878" s="33"/>
      <c r="AB878" s="33"/>
    </row>
    <row r="879">
      <c r="A879" s="33"/>
      <c r="B879" s="33"/>
      <c r="C879" s="94"/>
      <c r="D879" s="33"/>
      <c r="E879" s="33"/>
      <c r="F879" s="33"/>
      <c r="G879" s="94"/>
      <c r="H879" s="33"/>
      <c r="I879" s="33"/>
      <c r="J879" s="33"/>
      <c r="K879" s="33"/>
      <c r="L879" s="33"/>
      <c r="M879" s="33"/>
      <c r="N879" s="33"/>
      <c r="O879" s="33"/>
      <c r="P879" s="33"/>
      <c r="Q879" s="33"/>
      <c r="R879" s="33"/>
      <c r="S879" s="33"/>
      <c r="T879" s="33"/>
      <c r="U879" s="33"/>
      <c r="V879" s="33"/>
      <c r="W879" s="33"/>
      <c r="X879" s="33"/>
      <c r="Y879" s="33"/>
      <c r="Z879" s="33"/>
      <c r="AA879" s="33"/>
      <c r="AB879" s="33"/>
    </row>
    <row r="880">
      <c r="A880" s="33"/>
      <c r="B880" s="33"/>
      <c r="C880" s="94"/>
      <c r="D880" s="33"/>
      <c r="E880" s="33"/>
      <c r="F880" s="33"/>
      <c r="G880" s="94"/>
      <c r="H880" s="33"/>
      <c r="I880" s="33"/>
      <c r="J880" s="33"/>
      <c r="K880" s="33"/>
      <c r="L880" s="33"/>
      <c r="M880" s="33"/>
      <c r="N880" s="33"/>
      <c r="O880" s="33"/>
      <c r="P880" s="33"/>
      <c r="Q880" s="33"/>
      <c r="R880" s="33"/>
      <c r="S880" s="33"/>
      <c r="T880" s="33"/>
      <c r="U880" s="33"/>
      <c r="V880" s="33"/>
      <c r="W880" s="33"/>
      <c r="X880" s="33"/>
      <c r="Y880" s="33"/>
      <c r="Z880" s="33"/>
      <c r="AA880" s="33"/>
      <c r="AB880" s="33"/>
    </row>
    <row r="881">
      <c r="A881" s="33"/>
      <c r="B881" s="33"/>
      <c r="C881" s="94"/>
      <c r="D881" s="33"/>
      <c r="E881" s="33"/>
      <c r="F881" s="33"/>
      <c r="G881" s="94"/>
      <c r="H881" s="33"/>
      <c r="I881" s="33"/>
      <c r="J881" s="33"/>
      <c r="K881" s="33"/>
      <c r="L881" s="33"/>
      <c r="M881" s="33"/>
      <c r="N881" s="33"/>
      <c r="O881" s="33"/>
      <c r="P881" s="33"/>
      <c r="Q881" s="33"/>
      <c r="R881" s="33"/>
      <c r="S881" s="33"/>
      <c r="T881" s="33"/>
      <c r="U881" s="33"/>
      <c r="V881" s="33"/>
      <c r="W881" s="33"/>
      <c r="X881" s="33"/>
      <c r="Y881" s="33"/>
      <c r="Z881" s="33"/>
      <c r="AA881" s="33"/>
      <c r="AB881" s="33"/>
    </row>
    <row r="882">
      <c r="A882" s="33"/>
      <c r="B882" s="33"/>
      <c r="C882" s="94"/>
      <c r="D882" s="33"/>
      <c r="E882" s="33"/>
      <c r="F882" s="33"/>
      <c r="G882" s="94"/>
      <c r="H882" s="33"/>
      <c r="I882" s="33"/>
      <c r="J882" s="33"/>
      <c r="K882" s="33"/>
      <c r="L882" s="33"/>
      <c r="M882" s="33"/>
      <c r="N882" s="33"/>
      <c r="O882" s="33"/>
      <c r="P882" s="33"/>
      <c r="Q882" s="33"/>
      <c r="R882" s="33"/>
      <c r="S882" s="33"/>
      <c r="T882" s="33"/>
      <c r="U882" s="33"/>
      <c r="V882" s="33"/>
      <c r="W882" s="33"/>
      <c r="X882" s="33"/>
      <c r="Y882" s="33"/>
      <c r="Z882" s="33"/>
      <c r="AA882" s="33"/>
      <c r="AB882" s="33"/>
    </row>
    <row r="883">
      <c r="A883" s="33"/>
      <c r="B883" s="33"/>
      <c r="C883" s="94"/>
      <c r="D883" s="33"/>
      <c r="E883" s="33"/>
      <c r="F883" s="33"/>
      <c r="G883" s="94"/>
      <c r="H883" s="33"/>
      <c r="I883" s="33"/>
      <c r="J883" s="33"/>
      <c r="K883" s="33"/>
      <c r="L883" s="33"/>
      <c r="M883" s="33"/>
      <c r="N883" s="33"/>
      <c r="O883" s="33"/>
      <c r="P883" s="33"/>
      <c r="Q883" s="33"/>
      <c r="R883" s="33"/>
      <c r="S883" s="33"/>
      <c r="T883" s="33"/>
      <c r="U883" s="33"/>
      <c r="V883" s="33"/>
      <c r="W883" s="33"/>
      <c r="X883" s="33"/>
      <c r="Y883" s="33"/>
      <c r="Z883" s="33"/>
      <c r="AA883" s="33"/>
      <c r="AB883" s="33"/>
    </row>
    <row r="884">
      <c r="A884" s="33"/>
      <c r="B884" s="33"/>
      <c r="C884" s="94"/>
      <c r="D884" s="33"/>
      <c r="E884" s="33"/>
      <c r="F884" s="33"/>
      <c r="G884" s="94"/>
      <c r="H884" s="33"/>
      <c r="I884" s="33"/>
      <c r="J884" s="33"/>
      <c r="K884" s="33"/>
      <c r="L884" s="33"/>
      <c r="M884" s="33"/>
      <c r="N884" s="33"/>
      <c r="O884" s="33"/>
      <c r="P884" s="33"/>
      <c r="Q884" s="33"/>
      <c r="R884" s="33"/>
      <c r="S884" s="33"/>
      <c r="T884" s="33"/>
      <c r="U884" s="33"/>
      <c r="V884" s="33"/>
      <c r="W884" s="33"/>
      <c r="X884" s="33"/>
      <c r="Y884" s="33"/>
      <c r="Z884" s="33"/>
      <c r="AA884" s="33"/>
      <c r="AB884" s="33"/>
    </row>
    <row r="885">
      <c r="A885" s="33"/>
      <c r="B885" s="33"/>
      <c r="C885" s="94"/>
      <c r="D885" s="33"/>
      <c r="E885" s="33"/>
      <c r="F885" s="33"/>
      <c r="G885" s="94"/>
      <c r="H885" s="33"/>
      <c r="I885" s="33"/>
      <c r="J885" s="33"/>
      <c r="K885" s="33"/>
      <c r="L885" s="33"/>
      <c r="M885" s="33"/>
      <c r="N885" s="33"/>
      <c r="O885" s="33"/>
      <c r="P885" s="33"/>
      <c r="Q885" s="33"/>
      <c r="R885" s="33"/>
      <c r="S885" s="33"/>
      <c r="T885" s="33"/>
      <c r="U885" s="33"/>
      <c r="V885" s="33"/>
      <c r="W885" s="33"/>
      <c r="X885" s="33"/>
      <c r="Y885" s="33"/>
      <c r="Z885" s="33"/>
      <c r="AA885" s="33"/>
      <c r="AB885" s="33"/>
    </row>
    <row r="886">
      <c r="A886" s="33"/>
      <c r="B886" s="33"/>
      <c r="C886" s="94"/>
      <c r="D886" s="33"/>
      <c r="E886" s="33"/>
      <c r="F886" s="33"/>
      <c r="G886" s="94"/>
      <c r="H886" s="33"/>
      <c r="I886" s="33"/>
      <c r="J886" s="33"/>
      <c r="K886" s="33"/>
      <c r="L886" s="33"/>
      <c r="M886" s="33"/>
      <c r="N886" s="33"/>
      <c r="O886" s="33"/>
      <c r="P886" s="33"/>
      <c r="Q886" s="33"/>
      <c r="R886" s="33"/>
      <c r="S886" s="33"/>
      <c r="T886" s="33"/>
      <c r="U886" s="33"/>
      <c r="V886" s="33"/>
      <c r="W886" s="33"/>
      <c r="X886" s="33"/>
      <c r="Y886" s="33"/>
      <c r="Z886" s="33"/>
      <c r="AA886" s="33"/>
      <c r="AB886" s="33"/>
    </row>
    <row r="887">
      <c r="A887" s="33"/>
      <c r="B887" s="33"/>
      <c r="C887" s="94"/>
      <c r="D887" s="33"/>
      <c r="E887" s="33"/>
      <c r="F887" s="33"/>
      <c r="G887" s="94"/>
      <c r="H887" s="33"/>
      <c r="I887" s="33"/>
      <c r="J887" s="33"/>
      <c r="K887" s="33"/>
      <c r="L887" s="33"/>
      <c r="M887" s="33"/>
      <c r="N887" s="33"/>
      <c r="O887" s="33"/>
      <c r="P887" s="33"/>
      <c r="Q887" s="33"/>
      <c r="R887" s="33"/>
      <c r="S887" s="33"/>
      <c r="T887" s="33"/>
      <c r="U887" s="33"/>
      <c r="V887" s="33"/>
      <c r="W887" s="33"/>
      <c r="X887" s="33"/>
      <c r="Y887" s="33"/>
      <c r="Z887" s="33"/>
      <c r="AA887" s="33"/>
      <c r="AB887" s="33"/>
    </row>
    <row r="888">
      <c r="A888" s="33"/>
      <c r="B888" s="33"/>
      <c r="C888" s="94"/>
      <c r="D888" s="33"/>
      <c r="E888" s="33"/>
      <c r="F888" s="33"/>
      <c r="G888" s="94"/>
      <c r="H888" s="33"/>
      <c r="I888" s="33"/>
      <c r="J888" s="33"/>
      <c r="K888" s="33"/>
      <c r="L888" s="33"/>
      <c r="M888" s="33"/>
      <c r="N888" s="33"/>
      <c r="O888" s="33"/>
      <c r="P888" s="33"/>
      <c r="Q888" s="33"/>
      <c r="R888" s="33"/>
      <c r="S888" s="33"/>
      <c r="T888" s="33"/>
      <c r="U888" s="33"/>
      <c r="V888" s="33"/>
      <c r="W888" s="33"/>
      <c r="X888" s="33"/>
      <c r="Y888" s="33"/>
      <c r="Z888" s="33"/>
      <c r="AA888" s="33"/>
      <c r="AB888" s="33"/>
    </row>
    <row r="889">
      <c r="A889" s="33"/>
      <c r="B889" s="33"/>
      <c r="C889" s="94"/>
      <c r="D889" s="33"/>
      <c r="E889" s="33"/>
      <c r="F889" s="33"/>
      <c r="G889" s="94"/>
      <c r="H889" s="33"/>
      <c r="I889" s="33"/>
      <c r="J889" s="33"/>
      <c r="K889" s="33"/>
      <c r="L889" s="33"/>
      <c r="M889" s="33"/>
      <c r="N889" s="33"/>
      <c r="O889" s="33"/>
      <c r="P889" s="33"/>
      <c r="Q889" s="33"/>
      <c r="R889" s="33"/>
      <c r="S889" s="33"/>
      <c r="T889" s="33"/>
      <c r="U889" s="33"/>
      <c r="V889" s="33"/>
      <c r="W889" s="33"/>
      <c r="X889" s="33"/>
      <c r="Y889" s="33"/>
      <c r="Z889" s="33"/>
      <c r="AA889" s="33"/>
      <c r="AB889" s="33"/>
    </row>
    <row r="890">
      <c r="A890" s="33"/>
      <c r="B890" s="33"/>
      <c r="C890" s="94"/>
      <c r="D890" s="33"/>
      <c r="E890" s="33"/>
      <c r="F890" s="33"/>
      <c r="G890" s="94"/>
      <c r="H890" s="33"/>
      <c r="I890" s="33"/>
      <c r="J890" s="33"/>
      <c r="K890" s="33"/>
      <c r="L890" s="33"/>
      <c r="M890" s="33"/>
      <c r="N890" s="33"/>
      <c r="O890" s="33"/>
      <c r="P890" s="33"/>
      <c r="Q890" s="33"/>
      <c r="R890" s="33"/>
      <c r="S890" s="33"/>
      <c r="T890" s="33"/>
      <c r="U890" s="33"/>
      <c r="V890" s="33"/>
      <c r="W890" s="33"/>
      <c r="X890" s="33"/>
      <c r="Y890" s="33"/>
      <c r="Z890" s="33"/>
      <c r="AA890" s="33"/>
      <c r="AB890" s="33"/>
    </row>
    <row r="891">
      <c r="A891" s="33"/>
      <c r="B891" s="33"/>
      <c r="C891" s="94"/>
      <c r="D891" s="33"/>
      <c r="E891" s="33"/>
      <c r="F891" s="33"/>
      <c r="G891" s="94"/>
      <c r="H891" s="33"/>
      <c r="I891" s="33"/>
      <c r="J891" s="33"/>
      <c r="K891" s="33"/>
      <c r="L891" s="33"/>
      <c r="M891" s="33"/>
      <c r="N891" s="33"/>
      <c r="O891" s="33"/>
      <c r="P891" s="33"/>
      <c r="Q891" s="33"/>
      <c r="R891" s="33"/>
      <c r="S891" s="33"/>
      <c r="T891" s="33"/>
      <c r="U891" s="33"/>
      <c r="V891" s="33"/>
      <c r="W891" s="33"/>
      <c r="X891" s="33"/>
      <c r="Y891" s="33"/>
      <c r="Z891" s="33"/>
      <c r="AA891" s="33"/>
      <c r="AB891" s="33"/>
    </row>
    <row r="892">
      <c r="A892" s="33"/>
      <c r="B892" s="33"/>
      <c r="C892" s="94"/>
      <c r="D892" s="33"/>
      <c r="E892" s="33"/>
      <c r="F892" s="33"/>
      <c r="G892" s="94"/>
      <c r="H892" s="33"/>
      <c r="I892" s="33"/>
      <c r="J892" s="33"/>
      <c r="K892" s="33"/>
      <c r="L892" s="33"/>
      <c r="M892" s="33"/>
      <c r="N892" s="33"/>
      <c r="O892" s="33"/>
      <c r="P892" s="33"/>
      <c r="Q892" s="33"/>
      <c r="R892" s="33"/>
      <c r="S892" s="33"/>
      <c r="T892" s="33"/>
      <c r="U892" s="33"/>
      <c r="V892" s="33"/>
      <c r="W892" s="33"/>
      <c r="X892" s="33"/>
      <c r="Y892" s="33"/>
      <c r="Z892" s="33"/>
      <c r="AA892" s="33"/>
      <c r="AB892" s="33"/>
    </row>
    <row r="893">
      <c r="A893" s="33"/>
      <c r="B893" s="33"/>
      <c r="C893" s="94"/>
      <c r="D893" s="33"/>
      <c r="E893" s="33"/>
      <c r="F893" s="33"/>
      <c r="G893" s="94"/>
      <c r="H893" s="33"/>
      <c r="I893" s="33"/>
      <c r="J893" s="33"/>
      <c r="K893" s="33"/>
      <c r="L893" s="33"/>
      <c r="M893" s="33"/>
      <c r="N893" s="33"/>
      <c r="O893" s="33"/>
      <c r="P893" s="33"/>
      <c r="Q893" s="33"/>
      <c r="R893" s="33"/>
      <c r="S893" s="33"/>
      <c r="T893" s="33"/>
      <c r="U893" s="33"/>
      <c r="V893" s="33"/>
      <c r="W893" s="33"/>
      <c r="X893" s="33"/>
      <c r="Y893" s="33"/>
      <c r="Z893" s="33"/>
      <c r="AA893" s="33"/>
      <c r="AB893" s="33"/>
    </row>
    <row r="894">
      <c r="A894" s="33"/>
      <c r="B894" s="33"/>
      <c r="C894" s="94"/>
      <c r="D894" s="33"/>
      <c r="E894" s="33"/>
      <c r="F894" s="33"/>
      <c r="G894" s="94"/>
      <c r="H894" s="33"/>
      <c r="I894" s="33"/>
      <c r="J894" s="33"/>
      <c r="K894" s="33"/>
      <c r="L894" s="33"/>
      <c r="M894" s="33"/>
      <c r="N894" s="33"/>
      <c r="O894" s="33"/>
      <c r="P894" s="33"/>
      <c r="Q894" s="33"/>
      <c r="R894" s="33"/>
      <c r="S894" s="33"/>
      <c r="T894" s="33"/>
      <c r="U894" s="33"/>
      <c r="V894" s="33"/>
      <c r="W894" s="33"/>
      <c r="X894" s="33"/>
      <c r="Y894" s="33"/>
      <c r="Z894" s="33"/>
      <c r="AA894" s="33"/>
      <c r="AB894" s="33"/>
    </row>
    <row r="895">
      <c r="A895" s="33"/>
      <c r="B895" s="33"/>
      <c r="C895" s="94"/>
      <c r="D895" s="33"/>
      <c r="E895" s="33"/>
      <c r="F895" s="33"/>
      <c r="G895" s="94"/>
      <c r="H895" s="33"/>
      <c r="I895" s="33"/>
      <c r="J895" s="33"/>
      <c r="K895" s="33"/>
      <c r="L895" s="33"/>
      <c r="M895" s="33"/>
      <c r="N895" s="33"/>
      <c r="O895" s="33"/>
      <c r="P895" s="33"/>
      <c r="Q895" s="33"/>
      <c r="R895" s="33"/>
      <c r="S895" s="33"/>
      <c r="T895" s="33"/>
      <c r="U895" s="33"/>
      <c r="V895" s="33"/>
      <c r="W895" s="33"/>
      <c r="X895" s="33"/>
      <c r="Y895" s="33"/>
      <c r="Z895" s="33"/>
      <c r="AA895" s="33"/>
      <c r="AB895" s="33"/>
    </row>
    <row r="896">
      <c r="A896" s="33"/>
      <c r="B896" s="33"/>
      <c r="C896" s="94"/>
      <c r="D896" s="33"/>
      <c r="E896" s="33"/>
      <c r="F896" s="33"/>
      <c r="G896" s="94"/>
      <c r="H896" s="33"/>
      <c r="I896" s="33"/>
      <c r="J896" s="33"/>
      <c r="K896" s="33"/>
      <c r="L896" s="33"/>
      <c r="M896" s="33"/>
      <c r="N896" s="33"/>
      <c r="O896" s="33"/>
      <c r="P896" s="33"/>
      <c r="Q896" s="33"/>
      <c r="R896" s="33"/>
      <c r="S896" s="33"/>
      <c r="T896" s="33"/>
      <c r="U896" s="33"/>
      <c r="V896" s="33"/>
      <c r="W896" s="33"/>
      <c r="X896" s="33"/>
      <c r="Y896" s="33"/>
      <c r="Z896" s="33"/>
      <c r="AA896" s="33"/>
      <c r="AB896" s="33"/>
    </row>
    <row r="897">
      <c r="A897" s="33"/>
      <c r="B897" s="33"/>
      <c r="C897" s="94"/>
      <c r="D897" s="33"/>
      <c r="E897" s="33"/>
      <c r="F897" s="33"/>
      <c r="G897" s="94"/>
      <c r="H897" s="33"/>
      <c r="I897" s="33"/>
      <c r="J897" s="33"/>
      <c r="K897" s="33"/>
      <c r="L897" s="33"/>
      <c r="M897" s="33"/>
      <c r="N897" s="33"/>
      <c r="O897" s="33"/>
      <c r="P897" s="33"/>
      <c r="Q897" s="33"/>
      <c r="R897" s="33"/>
      <c r="S897" s="33"/>
      <c r="T897" s="33"/>
      <c r="U897" s="33"/>
      <c r="V897" s="33"/>
      <c r="W897" s="33"/>
      <c r="X897" s="33"/>
      <c r="Y897" s="33"/>
      <c r="Z897" s="33"/>
      <c r="AA897" s="33"/>
      <c r="AB897" s="33"/>
    </row>
    <row r="898">
      <c r="A898" s="33"/>
      <c r="B898" s="33"/>
      <c r="C898" s="94"/>
      <c r="D898" s="33"/>
      <c r="E898" s="33"/>
      <c r="F898" s="33"/>
      <c r="G898" s="94"/>
      <c r="H898" s="33"/>
      <c r="I898" s="33"/>
      <c r="J898" s="33"/>
      <c r="K898" s="33"/>
      <c r="L898" s="33"/>
      <c r="M898" s="33"/>
      <c r="N898" s="33"/>
      <c r="O898" s="33"/>
      <c r="P898" s="33"/>
      <c r="Q898" s="33"/>
      <c r="R898" s="33"/>
      <c r="S898" s="33"/>
      <c r="T898" s="33"/>
      <c r="U898" s="33"/>
      <c r="V898" s="33"/>
      <c r="W898" s="33"/>
      <c r="X898" s="33"/>
      <c r="Y898" s="33"/>
      <c r="Z898" s="33"/>
      <c r="AA898" s="33"/>
      <c r="AB898" s="33"/>
    </row>
    <row r="899">
      <c r="A899" s="33"/>
      <c r="B899" s="33"/>
      <c r="C899" s="94"/>
      <c r="D899" s="33"/>
      <c r="E899" s="33"/>
      <c r="F899" s="33"/>
      <c r="G899" s="94"/>
      <c r="H899" s="33"/>
      <c r="I899" s="33"/>
      <c r="J899" s="33"/>
      <c r="K899" s="33"/>
      <c r="L899" s="33"/>
      <c r="M899" s="33"/>
      <c r="N899" s="33"/>
      <c r="O899" s="33"/>
      <c r="P899" s="33"/>
      <c r="Q899" s="33"/>
      <c r="R899" s="33"/>
      <c r="S899" s="33"/>
      <c r="T899" s="33"/>
      <c r="U899" s="33"/>
      <c r="V899" s="33"/>
      <c r="W899" s="33"/>
      <c r="X899" s="33"/>
      <c r="Y899" s="33"/>
      <c r="Z899" s="33"/>
      <c r="AA899" s="33"/>
      <c r="AB899" s="33"/>
    </row>
    <row r="900">
      <c r="A900" s="33"/>
      <c r="B900" s="33"/>
      <c r="C900" s="94"/>
      <c r="D900" s="33"/>
      <c r="E900" s="33"/>
      <c r="F900" s="33"/>
      <c r="G900" s="94"/>
      <c r="H900" s="33"/>
      <c r="I900" s="33"/>
      <c r="J900" s="33"/>
      <c r="K900" s="33"/>
      <c r="L900" s="33"/>
      <c r="M900" s="33"/>
      <c r="N900" s="33"/>
      <c r="O900" s="33"/>
      <c r="P900" s="33"/>
      <c r="Q900" s="33"/>
      <c r="R900" s="33"/>
      <c r="S900" s="33"/>
      <c r="T900" s="33"/>
      <c r="U900" s="33"/>
      <c r="V900" s="33"/>
      <c r="W900" s="33"/>
      <c r="X900" s="33"/>
      <c r="Y900" s="33"/>
      <c r="Z900" s="33"/>
      <c r="AA900" s="33"/>
      <c r="AB900" s="33"/>
    </row>
    <row r="901">
      <c r="A901" s="33"/>
      <c r="B901" s="33"/>
      <c r="C901" s="94"/>
      <c r="D901" s="33"/>
      <c r="E901" s="33"/>
      <c r="F901" s="33"/>
      <c r="G901" s="94"/>
      <c r="H901" s="33"/>
      <c r="I901" s="33"/>
      <c r="J901" s="33"/>
      <c r="K901" s="33"/>
      <c r="L901" s="33"/>
      <c r="M901" s="33"/>
      <c r="N901" s="33"/>
      <c r="O901" s="33"/>
      <c r="P901" s="33"/>
      <c r="Q901" s="33"/>
      <c r="R901" s="33"/>
      <c r="S901" s="33"/>
      <c r="T901" s="33"/>
      <c r="U901" s="33"/>
      <c r="V901" s="33"/>
      <c r="W901" s="33"/>
      <c r="X901" s="33"/>
      <c r="Y901" s="33"/>
      <c r="Z901" s="33"/>
      <c r="AA901" s="33"/>
      <c r="AB901" s="33"/>
    </row>
    <row r="902">
      <c r="A902" s="33"/>
      <c r="B902" s="33"/>
      <c r="C902" s="94"/>
      <c r="D902" s="33"/>
      <c r="E902" s="33"/>
      <c r="F902" s="33"/>
      <c r="G902" s="94"/>
      <c r="H902" s="33"/>
      <c r="I902" s="33"/>
      <c r="J902" s="33"/>
      <c r="K902" s="33"/>
      <c r="L902" s="33"/>
      <c r="M902" s="33"/>
      <c r="N902" s="33"/>
      <c r="O902" s="33"/>
      <c r="P902" s="33"/>
      <c r="Q902" s="33"/>
      <c r="R902" s="33"/>
      <c r="S902" s="33"/>
      <c r="T902" s="33"/>
      <c r="U902" s="33"/>
      <c r="V902" s="33"/>
      <c r="W902" s="33"/>
      <c r="X902" s="33"/>
      <c r="Y902" s="33"/>
      <c r="Z902" s="33"/>
      <c r="AA902" s="33"/>
      <c r="AB902" s="33"/>
    </row>
    <row r="903">
      <c r="A903" s="33"/>
      <c r="B903" s="33"/>
      <c r="C903" s="94"/>
      <c r="D903" s="33"/>
      <c r="E903" s="33"/>
      <c r="F903" s="33"/>
      <c r="G903" s="94"/>
      <c r="H903" s="33"/>
      <c r="I903" s="33"/>
      <c r="J903" s="33"/>
      <c r="K903" s="33"/>
      <c r="L903" s="33"/>
      <c r="M903" s="33"/>
      <c r="N903" s="33"/>
      <c r="O903" s="33"/>
      <c r="P903" s="33"/>
      <c r="Q903" s="33"/>
      <c r="R903" s="33"/>
      <c r="S903" s="33"/>
      <c r="T903" s="33"/>
      <c r="U903" s="33"/>
      <c r="V903" s="33"/>
      <c r="W903" s="33"/>
      <c r="X903" s="33"/>
      <c r="Y903" s="33"/>
      <c r="Z903" s="33"/>
      <c r="AA903" s="33"/>
      <c r="AB903" s="33"/>
    </row>
    <row r="904">
      <c r="A904" s="33"/>
      <c r="B904" s="33"/>
      <c r="C904" s="94"/>
      <c r="D904" s="33"/>
      <c r="E904" s="33"/>
      <c r="F904" s="33"/>
      <c r="G904" s="94"/>
      <c r="H904" s="33"/>
      <c r="I904" s="33"/>
      <c r="J904" s="33"/>
      <c r="K904" s="33"/>
      <c r="L904" s="33"/>
      <c r="M904" s="33"/>
      <c r="N904" s="33"/>
      <c r="O904" s="33"/>
      <c r="P904" s="33"/>
      <c r="Q904" s="33"/>
      <c r="R904" s="33"/>
      <c r="S904" s="33"/>
      <c r="T904" s="33"/>
      <c r="U904" s="33"/>
      <c r="V904" s="33"/>
      <c r="W904" s="33"/>
      <c r="X904" s="33"/>
      <c r="Y904" s="33"/>
      <c r="Z904" s="33"/>
      <c r="AA904" s="33"/>
      <c r="AB904" s="33"/>
    </row>
    <row r="905">
      <c r="A905" s="33"/>
      <c r="B905" s="33"/>
      <c r="C905" s="94"/>
      <c r="D905" s="33"/>
      <c r="E905" s="33"/>
      <c r="F905" s="33"/>
      <c r="G905" s="94"/>
      <c r="H905" s="33"/>
      <c r="I905" s="33"/>
      <c r="J905" s="33"/>
      <c r="K905" s="33"/>
      <c r="L905" s="33"/>
      <c r="M905" s="33"/>
      <c r="N905" s="33"/>
      <c r="O905" s="33"/>
      <c r="P905" s="33"/>
      <c r="Q905" s="33"/>
      <c r="R905" s="33"/>
      <c r="S905" s="33"/>
      <c r="T905" s="33"/>
      <c r="U905" s="33"/>
      <c r="V905" s="33"/>
      <c r="W905" s="33"/>
      <c r="X905" s="33"/>
      <c r="Y905" s="33"/>
      <c r="Z905" s="33"/>
      <c r="AA905" s="33"/>
      <c r="AB905" s="33"/>
    </row>
    <row r="906">
      <c r="A906" s="33"/>
      <c r="B906" s="33"/>
      <c r="C906" s="94"/>
      <c r="D906" s="33"/>
      <c r="E906" s="33"/>
      <c r="F906" s="33"/>
      <c r="G906" s="94"/>
      <c r="H906" s="33"/>
      <c r="I906" s="33"/>
      <c r="J906" s="33"/>
      <c r="K906" s="33"/>
      <c r="L906" s="33"/>
      <c r="M906" s="33"/>
      <c r="N906" s="33"/>
      <c r="O906" s="33"/>
      <c r="P906" s="33"/>
      <c r="Q906" s="33"/>
      <c r="R906" s="33"/>
      <c r="S906" s="33"/>
      <c r="T906" s="33"/>
      <c r="U906" s="33"/>
      <c r="V906" s="33"/>
      <c r="W906" s="33"/>
      <c r="X906" s="33"/>
      <c r="Y906" s="33"/>
      <c r="Z906" s="33"/>
      <c r="AA906" s="33"/>
      <c r="AB906" s="33"/>
    </row>
    <row r="907">
      <c r="A907" s="33"/>
      <c r="B907" s="33"/>
      <c r="C907" s="94"/>
      <c r="D907" s="33"/>
      <c r="E907" s="33"/>
      <c r="F907" s="33"/>
      <c r="G907" s="94"/>
      <c r="H907" s="33"/>
      <c r="I907" s="33"/>
      <c r="J907" s="33"/>
      <c r="K907" s="33"/>
      <c r="L907" s="33"/>
      <c r="M907" s="33"/>
      <c r="N907" s="33"/>
      <c r="O907" s="33"/>
      <c r="P907" s="33"/>
      <c r="Q907" s="33"/>
      <c r="R907" s="33"/>
      <c r="S907" s="33"/>
      <c r="T907" s="33"/>
      <c r="U907" s="33"/>
      <c r="V907" s="33"/>
      <c r="W907" s="33"/>
      <c r="X907" s="33"/>
      <c r="Y907" s="33"/>
      <c r="Z907" s="33"/>
      <c r="AA907" s="33"/>
      <c r="AB907" s="33"/>
    </row>
    <row r="908">
      <c r="A908" s="33"/>
      <c r="B908" s="33"/>
      <c r="C908" s="94"/>
      <c r="D908" s="33"/>
      <c r="E908" s="33"/>
      <c r="F908" s="33"/>
      <c r="G908" s="94"/>
      <c r="H908" s="33"/>
      <c r="I908" s="33"/>
      <c r="J908" s="33"/>
      <c r="K908" s="33"/>
      <c r="L908" s="33"/>
      <c r="M908" s="33"/>
      <c r="N908" s="33"/>
      <c r="O908" s="33"/>
      <c r="P908" s="33"/>
      <c r="Q908" s="33"/>
      <c r="R908" s="33"/>
      <c r="S908" s="33"/>
      <c r="T908" s="33"/>
      <c r="U908" s="33"/>
      <c r="V908" s="33"/>
      <c r="W908" s="33"/>
      <c r="X908" s="33"/>
      <c r="Y908" s="33"/>
      <c r="Z908" s="33"/>
      <c r="AA908" s="33"/>
      <c r="AB908" s="33"/>
    </row>
    <row r="909">
      <c r="A909" s="33"/>
      <c r="B909" s="33"/>
      <c r="C909" s="94"/>
      <c r="D909" s="33"/>
      <c r="E909" s="33"/>
      <c r="F909" s="33"/>
      <c r="G909" s="94"/>
      <c r="H909" s="33"/>
      <c r="I909" s="33"/>
      <c r="J909" s="33"/>
      <c r="K909" s="33"/>
      <c r="L909" s="33"/>
      <c r="M909" s="33"/>
      <c r="N909" s="33"/>
      <c r="O909" s="33"/>
      <c r="P909" s="33"/>
      <c r="Q909" s="33"/>
      <c r="R909" s="33"/>
      <c r="S909" s="33"/>
      <c r="T909" s="33"/>
      <c r="U909" s="33"/>
      <c r="V909" s="33"/>
      <c r="W909" s="33"/>
      <c r="X909" s="33"/>
      <c r="Y909" s="33"/>
      <c r="Z909" s="33"/>
      <c r="AA909" s="33"/>
      <c r="AB909" s="33"/>
    </row>
    <row r="910">
      <c r="A910" s="33"/>
      <c r="B910" s="33"/>
      <c r="C910" s="94"/>
      <c r="D910" s="33"/>
      <c r="E910" s="33"/>
      <c r="F910" s="33"/>
      <c r="G910" s="94"/>
      <c r="H910" s="33"/>
      <c r="I910" s="33"/>
      <c r="J910" s="33"/>
      <c r="K910" s="33"/>
      <c r="L910" s="33"/>
      <c r="M910" s="33"/>
      <c r="N910" s="33"/>
      <c r="O910" s="33"/>
      <c r="P910" s="33"/>
      <c r="Q910" s="33"/>
      <c r="R910" s="33"/>
      <c r="S910" s="33"/>
      <c r="T910" s="33"/>
      <c r="U910" s="33"/>
      <c r="V910" s="33"/>
      <c r="W910" s="33"/>
      <c r="X910" s="33"/>
      <c r="Y910" s="33"/>
      <c r="Z910" s="33"/>
      <c r="AA910" s="33"/>
      <c r="AB910" s="33"/>
    </row>
    <row r="911">
      <c r="A911" s="33"/>
      <c r="B911" s="33"/>
      <c r="C911" s="94"/>
      <c r="D911" s="33"/>
      <c r="E911" s="33"/>
      <c r="F911" s="33"/>
      <c r="G911" s="94"/>
      <c r="H911" s="33"/>
      <c r="I911" s="33"/>
      <c r="J911" s="33"/>
      <c r="K911" s="33"/>
      <c r="L911" s="33"/>
      <c r="M911" s="33"/>
      <c r="N911" s="33"/>
      <c r="O911" s="33"/>
      <c r="P911" s="33"/>
      <c r="Q911" s="33"/>
      <c r="R911" s="33"/>
      <c r="S911" s="33"/>
      <c r="T911" s="33"/>
      <c r="U911" s="33"/>
      <c r="V911" s="33"/>
      <c r="W911" s="33"/>
      <c r="X911" s="33"/>
      <c r="Y911" s="33"/>
      <c r="Z911" s="33"/>
      <c r="AA911" s="33"/>
      <c r="AB911" s="33"/>
    </row>
    <row r="912">
      <c r="A912" s="33"/>
      <c r="B912" s="33"/>
      <c r="C912" s="94"/>
      <c r="D912" s="33"/>
      <c r="E912" s="33"/>
      <c r="F912" s="33"/>
      <c r="G912" s="94"/>
      <c r="H912" s="33"/>
      <c r="I912" s="33"/>
      <c r="J912" s="33"/>
      <c r="K912" s="33"/>
      <c r="L912" s="33"/>
      <c r="M912" s="33"/>
      <c r="N912" s="33"/>
      <c r="O912" s="33"/>
      <c r="P912" s="33"/>
      <c r="Q912" s="33"/>
      <c r="R912" s="33"/>
      <c r="S912" s="33"/>
      <c r="T912" s="33"/>
      <c r="U912" s="33"/>
      <c r="V912" s="33"/>
      <c r="W912" s="33"/>
      <c r="X912" s="33"/>
      <c r="Y912" s="33"/>
      <c r="Z912" s="33"/>
      <c r="AA912" s="33"/>
      <c r="AB912" s="33"/>
    </row>
    <row r="913">
      <c r="A913" s="33"/>
      <c r="B913" s="33"/>
      <c r="C913" s="94"/>
      <c r="D913" s="33"/>
      <c r="E913" s="33"/>
      <c r="F913" s="33"/>
      <c r="G913" s="94"/>
      <c r="H913" s="33"/>
      <c r="I913" s="33"/>
      <c r="J913" s="33"/>
      <c r="K913" s="33"/>
      <c r="L913" s="33"/>
      <c r="M913" s="33"/>
      <c r="N913" s="33"/>
      <c r="O913" s="33"/>
      <c r="P913" s="33"/>
      <c r="Q913" s="33"/>
      <c r="R913" s="33"/>
      <c r="S913" s="33"/>
      <c r="T913" s="33"/>
      <c r="U913" s="33"/>
      <c r="V913" s="33"/>
      <c r="W913" s="33"/>
      <c r="X913" s="33"/>
      <c r="Y913" s="33"/>
      <c r="Z913" s="33"/>
      <c r="AA913" s="33"/>
      <c r="AB913" s="33"/>
    </row>
    <row r="914">
      <c r="A914" s="33"/>
      <c r="B914" s="33"/>
      <c r="C914" s="94"/>
      <c r="D914" s="33"/>
      <c r="E914" s="33"/>
      <c r="F914" s="33"/>
      <c r="G914" s="94"/>
      <c r="H914" s="33"/>
      <c r="I914" s="33"/>
      <c r="J914" s="33"/>
      <c r="K914" s="33"/>
      <c r="L914" s="33"/>
      <c r="M914" s="33"/>
      <c r="N914" s="33"/>
      <c r="O914" s="33"/>
      <c r="P914" s="33"/>
      <c r="Q914" s="33"/>
      <c r="R914" s="33"/>
      <c r="S914" s="33"/>
      <c r="T914" s="33"/>
      <c r="U914" s="33"/>
      <c r="V914" s="33"/>
      <c r="W914" s="33"/>
      <c r="X914" s="33"/>
      <c r="Y914" s="33"/>
      <c r="Z914" s="33"/>
      <c r="AA914" s="33"/>
      <c r="AB914" s="33"/>
    </row>
    <row r="915">
      <c r="A915" s="33"/>
      <c r="B915" s="33"/>
      <c r="C915" s="94"/>
      <c r="D915" s="33"/>
      <c r="E915" s="33"/>
      <c r="F915" s="33"/>
      <c r="G915" s="94"/>
      <c r="H915" s="33"/>
      <c r="I915" s="33"/>
      <c r="J915" s="33"/>
      <c r="K915" s="33"/>
      <c r="L915" s="33"/>
      <c r="M915" s="33"/>
      <c r="N915" s="33"/>
      <c r="O915" s="33"/>
      <c r="P915" s="33"/>
      <c r="Q915" s="33"/>
      <c r="R915" s="33"/>
      <c r="S915" s="33"/>
      <c r="T915" s="33"/>
      <c r="U915" s="33"/>
      <c r="V915" s="33"/>
      <c r="W915" s="33"/>
      <c r="X915" s="33"/>
      <c r="Y915" s="33"/>
      <c r="Z915" s="33"/>
      <c r="AA915" s="33"/>
      <c r="AB915" s="33"/>
    </row>
    <row r="916">
      <c r="A916" s="33"/>
      <c r="B916" s="33"/>
      <c r="C916" s="94"/>
      <c r="D916" s="33"/>
      <c r="E916" s="33"/>
      <c r="F916" s="33"/>
      <c r="G916" s="94"/>
      <c r="H916" s="33"/>
      <c r="I916" s="33"/>
      <c r="J916" s="33"/>
      <c r="K916" s="33"/>
      <c r="L916" s="33"/>
      <c r="M916" s="33"/>
      <c r="N916" s="33"/>
      <c r="O916" s="33"/>
      <c r="P916" s="33"/>
      <c r="Q916" s="33"/>
      <c r="R916" s="33"/>
      <c r="S916" s="33"/>
      <c r="T916" s="33"/>
      <c r="U916" s="33"/>
      <c r="V916" s="33"/>
      <c r="W916" s="33"/>
      <c r="X916" s="33"/>
      <c r="Y916" s="33"/>
      <c r="Z916" s="33"/>
      <c r="AA916" s="33"/>
      <c r="AB916" s="33"/>
    </row>
    <row r="917">
      <c r="A917" s="33"/>
      <c r="B917" s="33"/>
      <c r="C917" s="94"/>
      <c r="D917" s="33"/>
      <c r="E917" s="33"/>
      <c r="F917" s="33"/>
      <c r="G917" s="94"/>
      <c r="H917" s="33"/>
      <c r="I917" s="33"/>
      <c r="J917" s="33"/>
      <c r="K917" s="33"/>
      <c r="L917" s="33"/>
      <c r="M917" s="33"/>
      <c r="N917" s="33"/>
      <c r="O917" s="33"/>
      <c r="P917" s="33"/>
      <c r="Q917" s="33"/>
      <c r="R917" s="33"/>
      <c r="S917" s="33"/>
      <c r="T917" s="33"/>
      <c r="U917" s="33"/>
      <c r="V917" s="33"/>
      <c r="W917" s="33"/>
      <c r="X917" s="33"/>
      <c r="Y917" s="33"/>
      <c r="Z917" s="33"/>
      <c r="AA917" s="33"/>
      <c r="AB917" s="33"/>
    </row>
    <row r="918">
      <c r="A918" s="33"/>
      <c r="B918" s="33"/>
      <c r="C918" s="94"/>
      <c r="D918" s="33"/>
      <c r="E918" s="33"/>
      <c r="F918" s="33"/>
      <c r="G918" s="94"/>
      <c r="H918" s="33"/>
      <c r="I918" s="33"/>
      <c r="J918" s="33"/>
      <c r="K918" s="33"/>
      <c r="L918" s="33"/>
      <c r="M918" s="33"/>
      <c r="N918" s="33"/>
      <c r="O918" s="33"/>
      <c r="P918" s="33"/>
      <c r="Q918" s="33"/>
      <c r="R918" s="33"/>
      <c r="S918" s="33"/>
      <c r="T918" s="33"/>
      <c r="U918" s="33"/>
      <c r="V918" s="33"/>
      <c r="W918" s="33"/>
      <c r="X918" s="33"/>
      <c r="Y918" s="33"/>
      <c r="Z918" s="33"/>
      <c r="AA918" s="33"/>
      <c r="AB918" s="33"/>
    </row>
    <row r="919">
      <c r="A919" s="33"/>
      <c r="B919" s="33"/>
      <c r="C919" s="94"/>
      <c r="D919" s="33"/>
      <c r="E919" s="33"/>
      <c r="F919" s="33"/>
      <c r="G919" s="94"/>
      <c r="H919" s="33"/>
      <c r="I919" s="33"/>
      <c r="J919" s="33"/>
      <c r="K919" s="33"/>
      <c r="L919" s="33"/>
      <c r="M919" s="33"/>
      <c r="N919" s="33"/>
      <c r="O919" s="33"/>
      <c r="P919" s="33"/>
      <c r="Q919" s="33"/>
      <c r="R919" s="33"/>
      <c r="S919" s="33"/>
      <c r="T919" s="33"/>
      <c r="U919" s="33"/>
      <c r="V919" s="33"/>
      <c r="W919" s="33"/>
      <c r="X919" s="33"/>
      <c r="Y919" s="33"/>
      <c r="Z919" s="33"/>
      <c r="AA919" s="33"/>
      <c r="AB919" s="33"/>
    </row>
    <row r="920">
      <c r="A920" s="33"/>
      <c r="B920" s="33"/>
      <c r="C920" s="94"/>
      <c r="D920" s="33"/>
      <c r="E920" s="33"/>
      <c r="F920" s="33"/>
      <c r="G920" s="94"/>
      <c r="H920" s="33"/>
      <c r="I920" s="33"/>
      <c r="J920" s="33"/>
      <c r="K920" s="33"/>
      <c r="L920" s="33"/>
      <c r="M920" s="33"/>
      <c r="N920" s="33"/>
      <c r="O920" s="33"/>
      <c r="P920" s="33"/>
      <c r="Q920" s="33"/>
      <c r="R920" s="33"/>
      <c r="S920" s="33"/>
      <c r="T920" s="33"/>
      <c r="U920" s="33"/>
      <c r="V920" s="33"/>
      <c r="W920" s="33"/>
      <c r="X920" s="33"/>
      <c r="Y920" s="33"/>
      <c r="Z920" s="33"/>
      <c r="AA920" s="33"/>
      <c r="AB920" s="33"/>
    </row>
    <row r="921">
      <c r="A921" s="33"/>
      <c r="B921" s="33"/>
      <c r="C921" s="94"/>
      <c r="D921" s="33"/>
      <c r="E921" s="33"/>
      <c r="F921" s="33"/>
      <c r="G921" s="94"/>
      <c r="H921" s="33"/>
      <c r="I921" s="33"/>
      <c r="J921" s="33"/>
      <c r="K921" s="33"/>
      <c r="L921" s="33"/>
      <c r="M921" s="33"/>
      <c r="N921" s="33"/>
      <c r="O921" s="33"/>
      <c r="P921" s="33"/>
      <c r="Q921" s="33"/>
      <c r="R921" s="33"/>
      <c r="S921" s="33"/>
      <c r="T921" s="33"/>
      <c r="U921" s="33"/>
      <c r="V921" s="33"/>
      <c r="W921" s="33"/>
      <c r="X921" s="33"/>
      <c r="Y921" s="33"/>
      <c r="Z921" s="33"/>
      <c r="AA921" s="33"/>
      <c r="AB921" s="33"/>
    </row>
    <row r="922">
      <c r="A922" s="33"/>
      <c r="B922" s="33"/>
      <c r="C922" s="94"/>
      <c r="D922" s="33"/>
      <c r="E922" s="33"/>
      <c r="F922" s="33"/>
      <c r="G922" s="94"/>
      <c r="H922" s="33"/>
      <c r="I922" s="33"/>
      <c r="J922" s="33"/>
      <c r="K922" s="33"/>
      <c r="L922" s="33"/>
      <c r="M922" s="33"/>
      <c r="N922" s="33"/>
      <c r="O922" s="33"/>
      <c r="P922" s="33"/>
      <c r="Q922" s="33"/>
      <c r="R922" s="33"/>
      <c r="S922" s="33"/>
      <c r="T922" s="33"/>
      <c r="U922" s="33"/>
      <c r="V922" s="33"/>
      <c r="W922" s="33"/>
      <c r="X922" s="33"/>
      <c r="Y922" s="33"/>
      <c r="Z922" s="33"/>
      <c r="AA922" s="33"/>
      <c r="AB922" s="33"/>
    </row>
    <row r="923">
      <c r="A923" s="33"/>
      <c r="B923" s="33"/>
      <c r="C923" s="94"/>
      <c r="D923" s="33"/>
      <c r="E923" s="33"/>
      <c r="F923" s="33"/>
      <c r="G923" s="94"/>
      <c r="H923" s="33"/>
      <c r="I923" s="33"/>
      <c r="J923" s="33"/>
      <c r="K923" s="33"/>
      <c r="L923" s="33"/>
      <c r="M923" s="33"/>
      <c r="N923" s="33"/>
      <c r="O923" s="33"/>
      <c r="P923" s="33"/>
      <c r="Q923" s="33"/>
      <c r="R923" s="33"/>
      <c r="S923" s="33"/>
      <c r="T923" s="33"/>
      <c r="U923" s="33"/>
      <c r="V923" s="33"/>
      <c r="W923" s="33"/>
      <c r="X923" s="33"/>
      <c r="Y923" s="33"/>
      <c r="Z923" s="33"/>
      <c r="AA923" s="33"/>
      <c r="AB923" s="33"/>
    </row>
    <row r="924">
      <c r="A924" s="33"/>
      <c r="B924" s="33"/>
      <c r="C924" s="94"/>
      <c r="D924" s="33"/>
      <c r="E924" s="33"/>
      <c r="F924" s="33"/>
      <c r="G924" s="94"/>
      <c r="H924" s="33"/>
      <c r="I924" s="33"/>
      <c r="J924" s="33"/>
      <c r="K924" s="33"/>
      <c r="L924" s="33"/>
      <c r="M924" s="33"/>
      <c r="N924" s="33"/>
      <c r="O924" s="33"/>
      <c r="P924" s="33"/>
      <c r="Q924" s="33"/>
      <c r="R924" s="33"/>
      <c r="S924" s="33"/>
      <c r="T924" s="33"/>
      <c r="U924" s="33"/>
      <c r="V924" s="33"/>
      <c r="W924" s="33"/>
      <c r="X924" s="33"/>
      <c r="Y924" s="33"/>
      <c r="Z924" s="33"/>
      <c r="AA924" s="33"/>
      <c r="AB924" s="33"/>
    </row>
    <row r="925">
      <c r="A925" s="33"/>
      <c r="B925" s="33"/>
      <c r="C925" s="94"/>
      <c r="D925" s="33"/>
      <c r="E925" s="33"/>
      <c r="F925" s="33"/>
      <c r="G925" s="94"/>
      <c r="H925" s="33"/>
      <c r="I925" s="33"/>
      <c r="J925" s="33"/>
      <c r="K925" s="33"/>
      <c r="L925" s="33"/>
      <c r="M925" s="33"/>
      <c r="N925" s="33"/>
      <c r="O925" s="33"/>
      <c r="P925" s="33"/>
      <c r="Q925" s="33"/>
      <c r="R925" s="33"/>
      <c r="S925" s="33"/>
      <c r="T925" s="33"/>
      <c r="U925" s="33"/>
      <c r="V925" s="33"/>
      <c r="W925" s="33"/>
      <c r="X925" s="33"/>
      <c r="Y925" s="33"/>
      <c r="Z925" s="33"/>
      <c r="AA925" s="33"/>
      <c r="AB925" s="33"/>
    </row>
    <row r="926">
      <c r="A926" s="33"/>
      <c r="B926" s="33"/>
      <c r="C926" s="94"/>
      <c r="D926" s="33"/>
      <c r="E926" s="33"/>
      <c r="F926" s="33"/>
      <c r="G926" s="94"/>
      <c r="H926" s="33"/>
      <c r="I926" s="33"/>
      <c r="J926" s="33"/>
      <c r="K926" s="33"/>
      <c r="L926" s="33"/>
      <c r="M926" s="33"/>
      <c r="N926" s="33"/>
      <c r="O926" s="33"/>
      <c r="P926" s="33"/>
      <c r="Q926" s="33"/>
      <c r="R926" s="33"/>
      <c r="S926" s="33"/>
      <c r="T926" s="33"/>
      <c r="U926" s="33"/>
      <c r="V926" s="33"/>
      <c r="W926" s="33"/>
      <c r="X926" s="33"/>
      <c r="Y926" s="33"/>
      <c r="Z926" s="33"/>
      <c r="AA926" s="33"/>
      <c r="AB926" s="33"/>
    </row>
    <row r="927">
      <c r="A927" s="33"/>
      <c r="B927" s="33"/>
      <c r="C927" s="94"/>
      <c r="D927" s="33"/>
      <c r="E927" s="33"/>
      <c r="F927" s="33"/>
      <c r="G927" s="94"/>
      <c r="H927" s="33"/>
      <c r="I927" s="33"/>
      <c r="J927" s="33"/>
      <c r="K927" s="33"/>
      <c r="L927" s="33"/>
      <c r="M927" s="33"/>
      <c r="N927" s="33"/>
      <c r="O927" s="33"/>
      <c r="P927" s="33"/>
      <c r="Q927" s="33"/>
      <c r="R927" s="33"/>
      <c r="S927" s="33"/>
      <c r="T927" s="33"/>
      <c r="U927" s="33"/>
      <c r="V927" s="33"/>
      <c r="W927" s="33"/>
      <c r="X927" s="33"/>
      <c r="Y927" s="33"/>
      <c r="Z927" s="33"/>
      <c r="AA927" s="33"/>
      <c r="AB927" s="33"/>
    </row>
    <row r="928">
      <c r="A928" s="33"/>
      <c r="B928" s="33"/>
      <c r="C928" s="94"/>
      <c r="D928" s="33"/>
      <c r="E928" s="33"/>
      <c r="F928" s="33"/>
      <c r="G928" s="94"/>
      <c r="H928" s="33"/>
      <c r="I928" s="33"/>
      <c r="J928" s="33"/>
      <c r="K928" s="33"/>
      <c r="L928" s="33"/>
      <c r="M928" s="33"/>
      <c r="N928" s="33"/>
      <c r="O928" s="33"/>
      <c r="P928" s="33"/>
      <c r="Q928" s="33"/>
      <c r="R928" s="33"/>
      <c r="S928" s="33"/>
      <c r="T928" s="33"/>
      <c r="U928" s="33"/>
      <c r="V928" s="33"/>
      <c r="W928" s="33"/>
      <c r="X928" s="33"/>
      <c r="Y928" s="33"/>
      <c r="Z928" s="33"/>
      <c r="AA928" s="33"/>
      <c r="AB928" s="33"/>
    </row>
    <row r="929">
      <c r="A929" s="33"/>
      <c r="B929" s="33"/>
      <c r="C929" s="94"/>
      <c r="D929" s="33"/>
      <c r="E929" s="33"/>
      <c r="F929" s="33"/>
      <c r="G929" s="94"/>
      <c r="H929" s="33"/>
      <c r="I929" s="33"/>
      <c r="J929" s="33"/>
      <c r="K929" s="33"/>
      <c r="L929" s="33"/>
      <c r="M929" s="33"/>
      <c r="N929" s="33"/>
      <c r="O929" s="33"/>
      <c r="P929" s="33"/>
      <c r="Q929" s="33"/>
      <c r="R929" s="33"/>
      <c r="S929" s="33"/>
      <c r="T929" s="33"/>
      <c r="U929" s="33"/>
      <c r="V929" s="33"/>
      <c r="W929" s="33"/>
      <c r="X929" s="33"/>
      <c r="Y929" s="33"/>
      <c r="Z929" s="33"/>
      <c r="AA929" s="33"/>
      <c r="AB929" s="33"/>
    </row>
    <row r="930">
      <c r="A930" s="33"/>
      <c r="B930" s="33"/>
      <c r="C930" s="94"/>
      <c r="D930" s="33"/>
      <c r="E930" s="33"/>
      <c r="F930" s="33"/>
      <c r="G930" s="94"/>
      <c r="H930" s="33"/>
      <c r="I930" s="33"/>
      <c r="J930" s="33"/>
      <c r="K930" s="33"/>
      <c r="L930" s="33"/>
      <c r="M930" s="33"/>
      <c r="N930" s="33"/>
      <c r="O930" s="33"/>
      <c r="P930" s="33"/>
      <c r="Q930" s="33"/>
      <c r="R930" s="33"/>
      <c r="S930" s="33"/>
      <c r="T930" s="33"/>
      <c r="U930" s="33"/>
      <c r="V930" s="33"/>
      <c r="W930" s="33"/>
      <c r="X930" s="33"/>
      <c r="Y930" s="33"/>
      <c r="Z930" s="33"/>
      <c r="AA930" s="33"/>
      <c r="AB930" s="33"/>
    </row>
    <row r="931">
      <c r="A931" s="33"/>
      <c r="B931" s="33"/>
      <c r="C931" s="94"/>
      <c r="D931" s="33"/>
      <c r="E931" s="33"/>
      <c r="F931" s="33"/>
      <c r="G931" s="94"/>
      <c r="H931" s="33"/>
      <c r="I931" s="33"/>
      <c r="J931" s="33"/>
      <c r="K931" s="33"/>
      <c r="L931" s="33"/>
      <c r="M931" s="33"/>
      <c r="N931" s="33"/>
      <c r="O931" s="33"/>
      <c r="P931" s="33"/>
      <c r="Q931" s="33"/>
      <c r="R931" s="33"/>
      <c r="S931" s="33"/>
      <c r="T931" s="33"/>
      <c r="U931" s="33"/>
      <c r="V931" s="33"/>
      <c r="W931" s="33"/>
      <c r="X931" s="33"/>
      <c r="Y931" s="33"/>
      <c r="Z931" s="33"/>
      <c r="AA931" s="33"/>
      <c r="AB931" s="33"/>
    </row>
    <row r="932">
      <c r="A932" s="33"/>
      <c r="B932" s="33"/>
      <c r="C932" s="94"/>
      <c r="D932" s="33"/>
      <c r="E932" s="33"/>
      <c r="F932" s="33"/>
      <c r="G932" s="94"/>
      <c r="H932" s="33"/>
      <c r="I932" s="33"/>
      <c r="J932" s="33"/>
      <c r="K932" s="33"/>
      <c r="L932" s="33"/>
      <c r="M932" s="33"/>
      <c r="N932" s="33"/>
      <c r="O932" s="33"/>
      <c r="P932" s="33"/>
      <c r="Q932" s="33"/>
      <c r="R932" s="33"/>
      <c r="S932" s="33"/>
      <c r="T932" s="33"/>
      <c r="U932" s="33"/>
      <c r="V932" s="33"/>
      <c r="W932" s="33"/>
      <c r="X932" s="33"/>
      <c r="Y932" s="33"/>
      <c r="Z932" s="33"/>
      <c r="AA932" s="33"/>
      <c r="AB932" s="33"/>
    </row>
    <row r="933">
      <c r="A933" s="33"/>
      <c r="B933" s="33"/>
      <c r="C933" s="94"/>
      <c r="D933" s="33"/>
      <c r="E933" s="33"/>
      <c r="F933" s="33"/>
      <c r="G933" s="94"/>
      <c r="H933" s="33"/>
      <c r="I933" s="33"/>
      <c r="J933" s="33"/>
      <c r="K933" s="33"/>
      <c r="L933" s="33"/>
      <c r="M933" s="33"/>
      <c r="N933" s="33"/>
      <c r="O933" s="33"/>
      <c r="P933" s="33"/>
      <c r="Q933" s="33"/>
      <c r="R933" s="33"/>
      <c r="S933" s="33"/>
      <c r="T933" s="33"/>
      <c r="U933" s="33"/>
      <c r="V933" s="33"/>
      <c r="W933" s="33"/>
      <c r="X933" s="33"/>
      <c r="Y933" s="33"/>
      <c r="Z933" s="33"/>
      <c r="AA933" s="33"/>
      <c r="AB933" s="33"/>
    </row>
    <row r="934">
      <c r="A934" s="33"/>
      <c r="B934" s="33"/>
      <c r="C934" s="94"/>
      <c r="D934" s="33"/>
      <c r="E934" s="33"/>
      <c r="F934" s="33"/>
      <c r="G934" s="94"/>
      <c r="H934" s="33"/>
      <c r="I934" s="33"/>
      <c r="J934" s="33"/>
      <c r="K934" s="33"/>
      <c r="L934" s="33"/>
      <c r="M934" s="33"/>
      <c r="N934" s="33"/>
      <c r="O934" s="33"/>
      <c r="P934" s="33"/>
      <c r="Q934" s="33"/>
      <c r="R934" s="33"/>
      <c r="S934" s="33"/>
      <c r="T934" s="33"/>
      <c r="U934" s="33"/>
      <c r="V934" s="33"/>
      <c r="W934" s="33"/>
      <c r="X934" s="33"/>
      <c r="Y934" s="33"/>
      <c r="Z934" s="33"/>
      <c r="AA934" s="33"/>
      <c r="AB934" s="33"/>
    </row>
    <row r="935">
      <c r="A935" s="33"/>
      <c r="B935" s="33"/>
      <c r="C935" s="94"/>
      <c r="D935" s="33"/>
      <c r="E935" s="33"/>
      <c r="F935" s="33"/>
      <c r="G935" s="94"/>
      <c r="H935" s="33"/>
      <c r="I935" s="33"/>
      <c r="J935" s="33"/>
      <c r="K935" s="33"/>
      <c r="L935" s="33"/>
      <c r="M935" s="33"/>
      <c r="N935" s="33"/>
      <c r="O935" s="33"/>
      <c r="P935" s="33"/>
      <c r="Q935" s="33"/>
      <c r="R935" s="33"/>
      <c r="S935" s="33"/>
      <c r="T935" s="33"/>
      <c r="U935" s="33"/>
      <c r="V935" s="33"/>
      <c r="W935" s="33"/>
      <c r="X935" s="33"/>
      <c r="Y935" s="33"/>
      <c r="Z935" s="33"/>
      <c r="AA935" s="33"/>
      <c r="AB935" s="33"/>
    </row>
    <row r="936">
      <c r="A936" s="33"/>
      <c r="B936" s="33"/>
      <c r="C936" s="94"/>
      <c r="D936" s="33"/>
      <c r="E936" s="33"/>
      <c r="F936" s="33"/>
      <c r="G936" s="94"/>
      <c r="H936" s="33"/>
      <c r="I936" s="33"/>
      <c r="J936" s="33"/>
      <c r="K936" s="33"/>
      <c r="L936" s="33"/>
      <c r="M936" s="33"/>
      <c r="N936" s="33"/>
      <c r="O936" s="33"/>
      <c r="P936" s="33"/>
      <c r="Q936" s="33"/>
      <c r="R936" s="33"/>
      <c r="S936" s="33"/>
      <c r="T936" s="33"/>
      <c r="U936" s="33"/>
      <c r="V936" s="33"/>
      <c r="W936" s="33"/>
      <c r="X936" s="33"/>
      <c r="Y936" s="33"/>
      <c r="Z936" s="33"/>
      <c r="AA936" s="33"/>
      <c r="AB936" s="33"/>
    </row>
    <row r="937">
      <c r="A937" s="33"/>
      <c r="B937" s="33"/>
      <c r="C937" s="94"/>
      <c r="D937" s="33"/>
      <c r="E937" s="33"/>
      <c r="F937" s="33"/>
      <c r="G937" s="94"/>
      <c r="H937" s="33"/>
      <c r="I937" s="33"/>
      <c r="J937" s="33"/>
      <c r="K937" s="33"/>
      <c r="L937" s="33"/>
      <c r="M937" s="33"/>
      <c r="N937" s="33"/>
      <c r="O937" s="33"/>
      <c r="P937" s="33"/>
      <c r="Q937" s="33"/>
      <c r="R937" s="33"/>
      <c r="S937" s="33"/>
      <c r="T937" s="33"/>
      <c r="U937" s="33"/>
      <c r="V937" s="33"/>
      <c r="W937" s="33"/>
      <c r="X937" s="33"/>
      <c r="Y937" s="33"/>
      <c r="Z937" s="33"/>
      <c r="AA937" s="33"/>
      <c r="AB937" s="33"/>
    </row>
    <row r="938">
      <c r="A938" s="33"/>
      <c r="B938" s="33"/>
      <c r="C938" s="94"/>
      <c r="D938" s="33"/>
      <c r="E938" s="33"/>
      <c r="F938" s="33"/>
      <c r="G938" s="94"/>
      <c r="H938" s="33"/>
      <c r="I938" s="33"/>
      <c r="J938" s="33"/>
      <c r="K938" s="33"/>
      <c r="L938" s="33"/>
      <c r="M938" s="33"/>
      <c r="N938" s="33"/>
      <c r="O938" s="33"/>
      <c r="P938" s="33"/>
      <c r="Q938" s="33"/>
      <c r="R938" s="33"/>
      <c r="S938" s="33"/>
      <c r="T938" s="33"/>
      <c r="U938" s="33"/>
      <c r="V938" s="33"/>
      <c r="W938" s="33"/>
      <c r="X938" s="33"/>
      <c r="Y938" s="33"/>
      <c r="Z938" s="33"/>
      <c r="AA938" s="33"/>
      <c r="AB938" s="33"/>
    </row>
    <row r="939">
      <c r="A939" s="33"/>
      <c r="B939" s="33"/>
      <c r="C939" s="94"/>
      <c r="D939" s="33"/>
      <c r="E939" s="33"/>
      <c r="F939" s="33"/>
      <c r="G939" s="94"/>
      <c r="H939" s="33"/>
      <c r="I939" s="33"/>
      <c r="J939" s="33"/>
      <c r="K939" s="33"/>
      <c r="L939" s="33"/>
      <c r="M939" s="33"/>
      <c r="N939" s="33"/>
      <c r="O939" s="33"/>
      <c r="P939" s="33"/>
      <c r="Q939" s="33"/>
      <c r="R939" s="33"/>
      <c r="S939" s="33"/>
      <c r="T939" s="33"/>
      <c r="U939" s="33"/>
      <c r="V939" s="33"/>
      <c r="W939" s="33"/>
      <c r="X939" s="33"/>
      <c r="Y939" s="33"/>
      <c r="Z939" s="33"/>
      <c r="AA939" s="33"/>
      <c r="AB939" s="33"/>
    </row>
    <row r="940">
      <c r="A940" s="33"/>
      <c r="B940" s="33"/>
      <c r="C940" s="94"/>
      <c r="D940" s="33"/>
      <c r="E940" s="33"/>
      <c r="F940" s="33"/>
      <c r="G940" s="94"/>
      <c r="H940" s="33"/>
      <c r="I940" s="33"/>
      <c r="J940" s="33"/>
      <c r="K940" s="33"/>
      <c r="L940" s="33"/>
      <c r="M940" s="33"/>
      <c r="N940" s="33"/>
      <c r="O940" s="33"/>
      <c r="P940" s="33"/>
      <c r="Q940" s="33"/>
      <c r="R940" s="33"/>
      <c r="S940" s="33"/>
      <c r="T940" s="33"/>
      <c r="U940" s="33"/>
      <c r="V940" s="33"/>
      <c r="W940" s="33"/>
      <c r="X940" s="33"/>
      <c r="Y940" s="33"/>
      <c r="Z940" s="33"/>
      <c r="AA940" s="33"/>
      <c r="AB940" s="33"/>
    </row>
    <row r="941">
      <c r="A941" s="33"/>
      <c r="B941" s="33"/>
      <c r="C941" s="94"/>
      <c r="D941" s="33"/>
      <c r="E941" s="33"/>
      <c r="F941" s="33"/>
      <c r="G941" s="94"/>
      <c r="H941" s="33"/>
      <c r="I941" s="33"/>
      <c r="J941" s="33"/>
      <c r="K941" s="33"/>
      <c r="L941" s="33"/>
      <c r="M941" s="33"/>
      <c r="N941" s="33"/>
      <c r="O941" s="33"/>
      <c r="P941" s="33"/>
      <c r="Q941" s="33"/>
      <c r="R941" s="33"/>
      <c r="S941" s="33"/>
      <c r="T941" s="33"/>
      <c r="U941" s="33"/>
      <c r="V941" s="33"/>
      <c r="W941" s="33"/>
      <c r="X941" s="33"/>
      <c r="Y941" s="33"/>
      <c r="Z941" s="33"/>
      <c r="AA941" s="33"/>
      <c r="AB941" s="33"/>
    </row>
    <row r="942">
      <c r="A942" s="33"/>
      <c r="B942" s="33"/>
      <c r="C942" s="94"/>
      <c r="D942" s="33"/>
      <c r="E942" s="33"/>
      <c r="F942" s="33"/>
      <c r="G942" s="94"/>
      <c r="H942" s="33"/>
      <c r="I942" s="33"/>
      <c r="J942" s="33"/>
      <c r="K942" s="33"/>
      <c r="L942" s="33"/>
      <c r="M942" s="33"/>
      <c r="N942" s="33"/>
      <c r="O942" s="33"/>
      <c r="P942" s="33"/>
      <c r="Q942" s="33"/>
      <c r="R942" s="33"/>
      <c r="S942" s="33"/>
      <c r="T942" s="33"/>
      <c r="U942" s="33"/>
      <c r="V942" s="33"/>
      <c r="W942" s="33"/>
      <c r="X942" s="33"/>
      <c r="Y942" s="33"/>
      <c r="Z942" s="33"/>
      <c r="AA942" s="33"/>
      <c r="AB942" s="33"/>
    </row>
    <row r="943">
      <c r="A943" s="33"/>
      <c r="B943" s="33"/>
      <c r="C943" s="94"/>
      <c r="D943" s="33"/>
      <c r="E943" s="33"/>
      <c r="F943" s="33"/>
      <c r="G943" s="94"/>
      <c r="H943" s="33"/>
      <c r="I943" s="33"/>
      <c r="J943" s="33"/>
      <c r="K943" s="33"/>
      <c r="L943" s="33"/>
      <c r="M943" s="33"/>
      <c r="N943" s="33"/>
      <c r="O943" s="33"/>
      <c r="P943" s="33"/>
      <c r="Q943" s="33"/>
      <c r="R943" s="33"/>
      <c r="S943" s="33"/>
      <c r="T943" s="33"/>
      <c r="U943" s="33"/>
      <c r="V943" s="33"/>
      <c r="W943" s="33"/>
      <c r="X943" s="33"/>
      <c r="Y943" s="33"/>
      <c r="Z943" s="33"/>
      <c r="AA943" s="33"/>
      <c r="AB943" s="33"/>
    </row>
    <row r="944">
      <c r="A944" s="33"/>
      <c r="B944" s="33"/>
      <c r="C944" s="94"/>
      <c r="D944" s="33"/>
      <c r="E944" s="33"/>
      <c r="F944" s="33"/>
      <c r="G944" s="94"/>
      <c r="H944" s="33"/>
      <c r="I944" s="33"/>
      <c r="J944" s="33"/>
      <c r="K944" s="33"/>
      <c r="L944" s="33"/>
      <c r="M944" s="33"/>
      <c r="N944" s="33"/>
      <c r="O944" s="33"/>
      <c r="P944" s="33"/>
      <c r="Q944" s="33"/>
      <c r="R944" s="33"/>
      <c r="S944" s="33"/>
      <c r="T944" s="33"/>
      <c r="U944" s="33"/>
      <c r="V944" s="33"/>
      <c r="W944" s="33"/>
      <c r="X944" s="33"/>
      <c r="Y944" s="33"/>
      <c r="Z944" s="33"/>
      <c r="AA944" s="33"/>
      <c r="AB944" s="33"/>
    </row>
    <row r="945">
      <c r="A945" s="33"/>
      <c r="B945" s="33"/>
      <c r="C945" s="94"/>
      <c r="D945" s="33"/>
      <c r="E945" s="33"/>
      <c r="F945" s="33"/>
      <c r="G945" s="94"/>
      <c r="H945" s="33"/>
      <c r="I945" s="33"/>
      <c r="J945" s="33"/>
      <c r="K945" s="33"/>
      <c r="L945" s="33"/>
      <c r="M945" s="33"/>
      <c r="N945" s="33"/>
      <c r="O945" s="33"/>
      <c r="P945" s="33"/>
      <c r="Q945" s="33"/>
      <c r="R945" s="33"/>
      <c r="S945" s="33"/>
      <c r="T945" s="33"/>
      <c r="U945" s="33"/>
      <c r="V945" s="33"/>
      <c r="W945" s="33"/>
      <c r="X945" s="33"/>
      <c r="Y945" s="33"/>
      <c r="Z945" s="33"/>
      <c r="AA945" s="33"/>
      <c r="AB945" s="33"/>
    </row>
    <row r="946">
      <c r="A946" s="33"/>
      <c r="B946" s="33"/>
      <c r="C946" s="94"/>
      <c r="D946" s="33"/>
      <c r="E946" s="33"/>
      <c r="F946" s="33"/>
      <c r="G946" s="94"/>
      <c r="H946" s="33"/>
      <c r="I946" s="33"/>
      <c r="J946" s="33"/>
      <c r="K946" s="33"/>
      <c r="L946" s="33"/>
      <c r="M946" s="33"/>
      <c r="N946" s="33"/>
      <c r="O946" s="33"/>
      <c r="P946" s="33"/>
      <c r="Q946" s="33"/>
      <c r="R946" s="33"/>
      <c r="S946" s="33"/>
      <c r="T946" s="33"/>
      <c r="U946" s="33"/>
      <c r="V946" s="33"/>
      <c r="W946" s="33"/>
      <c r="X946" s="33"/>
      <c r="Y946" s="33"/>
      <c r="Z946" s="33"/>
      <c r="AA946" s="33"/>
      <c r="AB946" s="33"/>
    </row>
    <row r="947">
      <c r="A947" s="33"/>
      <c r="B947" s="33"/>
      <c r="C947" s="94"/>
      <c r="D947" s="33"/>
      <c r="E947" s="33"/>
      <c r="F947" s="33"/>
      <c r="G947" s="94"/>
      <c r="H947" s="33"/>
      <c r="I947" s="33"/>
      <c r="J947" s="33"/>
      <c r="K947" s="33"/>
      <c r="L947" s="33"/>
      <c r="M947" s="33"/>
      <c r="N947" s="33"/>
      <c r="O947" s="33"/>
      <c r="P947" s="33"/>
      <c r="Q947" s="33"/>
      <c r="R947" s="33"/>
      <c r="S947" s="33"/>
      <c r="T947" s="33"/>
      <c r="U947" s="33"/>
      <c r="V947" s="33"/>
      <c r="W947" s="33"/>
      <c r="X947" s="33"/>
      <c r="Y947" s="33"/>
      <c r="Z947" s="33"/>
      <c r="AA947" s="33"/>
      <c r="AB947" s="33"/>
    </row>
    <row r="948">
      <c r="A948" s="33"/>
      <c r="B948" s="33"/>
      <c r="C948" s="94"/>
      <c r="D948" s="33"/>
      <c r="E948" s="33"/>
      <c r="F948" s="33"/>
      <c r="G948" s="94"/>
      <c r="H948" s="33"/>
      <c r="I948" s="33"/>
      <c r="J948" s="33"/>
      <c r="K948" s="33"/>
      <c r="L948" s="33"/>
      <c r="M948" s="33"/>
      <c r="N948" s="33"/>
      <c r="O948" s="33"/>
      <c r="P948" s="33"/>
      <c r="Q948" s="33"/>
      <c r="R948" s="33"/>
      <c r="S948" s="33"/>
      <c r="T948" s="33"/>
      <c r="U948" s="33"/>
      <c r="V948" s="33"/>
      <c r="W948" s="33"/>
      <c r="X948" s="33"/>
      <c r="Y948" s="33"/>
      <c r="Z948" s="33"/>
      <c r="AA948" s="33"/>
      <c r="AB948" s="33"/>
    </row>
    <row r="949">
      <c r="A949" s="33"/>
      <c r="B949" s="33"/>
      <c r="C949" s="94"/>
      <c r="D949" s="33"/>
      <c r="E949" s="33"/>
      <c r="F949" s="33"/>
      <c r="G949" s="94"/>
      <c r="H949" s="33"/>
      <c r="I949" s="33"/>
      <c r="J949" s="33"/>
      <c r="K949" s="33"/>
      <c r="L949" s="33"/>
      <c r="M949" s="33"/>
      <c r="N949" s="33"/>
      <c r="O949" s="33"/>
      <c r="P949" s="33"/>
      <c r="Q949" s="33"/>
      <c r="R949" s="33"/>
      <c r="S949" s="33"/>
      <c r="T949" s="33"/>
      <c r="U949" s="33"/>
      <c r="V949" s="33"/>
      <c r="W949" s="33"/>
      <c r="X949" s="33"/>
      <c r="Y949" s="33"/>
      <c r="Z949" s="33"/>
      <c r="AA949" s="33"/>
      <c r="AB949" s="33"/>
    </row>
    <row r="950">
      <c r="A950" s="33"/>
      <c r="B950" s="33"/>
      <c r="C950" s="94"/>
      <c r="D950" s="33"/>
      <c r="E950" s="33"/>
      <c r="F950" s="33"/>
      <c r="G950" s="94"/>
      <c r="H950" s="33"/>
      <c r="I950" s="33"/>
      <c r="J950" s="33"/>
      <c r="K950" s="33"/>
      <c r="L950" s="33"/>
      <c r="M950" s="33"/>
      <c r="N950" s="33"/>
      <c r="O950" s="33"/>
      <c r="P950" s="33"/>
      <c r="Q950" s="33"/>
      <c r="R950" s="33"/>
      <c r="S950" s="33"/>
      <c r="T950" s="33"/>
      <c r="U950" s="33"/>
      <c r="V950" s="33"/>
      <c r="W950" s="33"/>
      <c r="X950" s="33"/>
      <c r="Y950" s="33"/>
      <c r="Z950" s="33"/>
      <c r="AA950" s="33"/>
      <c r="AB950" s="33"/>
    </row>
    <row r="951">
      <c r="A951" s="33"/>
      <c r="B951" s="33"/>
      <c r="C951" s="94"/>
      <c r="D951" s="33"/>
      <c r="E951" s="33"/>
      <c r="F951" s="33"/>
      <c r="G951" s="94"/>
      <c r="H951" s="33"/>
      <c r="I951" s="33"/>
      <c r="J951" s="33"/>
      <c r="K951" s="33"/>
      <c r="L951" s="33"/>
      <c r="M951" s="33"/>
      <c r="N951" s="33"/>
      <c r="O951" s="33"/>
      <c r="P951" s="33"/>
      <c r="Q951" s="33"/>
      <c r="R951" s="33"/>
      <c r="S951" s="33"/>
      <c r="T951" s="33"/>
      <c r="U951" s="33"/>
      <c r="V951" s="33"/>
      <c r="W951" s="33"/>
      <c r="X951" s="33"/>
      <c r="Y951" s="33"/>
      <c r="Z951" s="33"/>
      <c r="AA951" s="33"/>
      <c r="AB951" s="33"/>
    </row>
    <row r="952">
      <c r="A952" s="33"/>
      <c r="B952" s="33"/>
      <c r="C952" s="94"/>
      <c r="D952" s="33"/>
      <c r="E952" s="33"/>
      <c r="F952" s="33"/>
      <c r="G952" s="94"/>
      <c r="H952" s="33"/>
      <c r="I952" s="33"/>
      <c r="J952" s="33"/>
      <c r="K952" s="33"/>
      <c r="L952" s="33"/>
      <c r="M952" s="33"/>
      <c r="N952" s="33"/>
      <c r="O952" s="33"/>
      <c r="P952" s="33"/>
      <c r="Q952" s="33"/>
      <c r="R952" s="33"/>
      <c r="S952" s="33"/>
      <c r="T952" s="33"/>
      <c r="U952" s="33"/>
      <c r="V952" s="33"/>
      <c r="W952" s="33"/>
      <c r="X952" s="33"/>
      <c r="Y952" s="33"/>
      <c r="Z952" s="33"/>
      <c r="AA952" s="33"/>
      <c r="AB952" s="33"/>
    </row>
    <row r="953">
      <c r="A953" s="33"/>
      <c r="B953" s="33"/>
      <c r="C953" s="94"/>
      <c r="D953" s="33"/>
      <c r="E953" s="33"/>
      <c r="F953" s="33"/>
      <c r="G953" s="94"/>
      <c r="H953" s="33"/>
      <c r="I953" s="33"/>
      <c r="J953" s="33"/>
      <c r="K953" s="33"/>
      <c r="L953" s="33"/>
      <c r="M953" s="33"/>
      <c r="N953" s="33"/>
      <c r="O953" s="33"/>
      <c r="P953" s="33"/>
      <c r="Q953" s="33"/>
      <c r="R953" s="33"/>
      <c r="S953" s="33"/>
      <c r="T953" s="33"/>
      <c r="U953" s="33"/>
      <c r="V953" s="33"/>
      <c r="W953" s="33"/>
      <c r="X953" s="33"/>
      <c r="Y953" s="33"/>
      <c r="Z953" s="33"/>
      <c r="AA953" s="33"/>
      <c r="AB953" s="33"/>
    </row>
    <row r="954">
      <c r="A954" s="33"/>
      <c r="B954" s="33"/>
      <c r="C954" s="94"/>
      <c r="D954" s="33"/>
      <c r="E954" s="33"/>
      <c r="F954" s="33"/>
      <c r="G954" s="94"/>
      <c r="H954" s="33"/>
      <c r="I954" s="33"/>
      <c r="J954" s="33"/>
      <c r="K954" s="33"/>
      <c r="L954" s="33"/>
      <c r="M954" s="33"/>
      <c r="N954" s="33"/>
      <c r="O954" s="33"/>
      <c r="P954" s="33"/>
      <c r="Q954" s="33"/>
      <c r="R954" s="33"/>
      <c r="S954" s="33"/>
      <c r="T954" s="33"/>
      <c r="U954" s="33"/>
      <c r="V954" s="33"/>
      <c r="W954" s="33"/>
      <c r="X954" s="33"/>
      <c r="Y954" s="33"/>
      <c r="Z954" s="33"/>
      <c r="AA954" s="33"/>
      <c r="AB954" s="33"/>
    </row>
    <row r="955">
      <c r="A955" s="33"/>
      <c r="B955" s="33"/>
      <c r="C955" s="94"/>
      <c r="D955" s="33"/>
      <c r="E955" s="33"/>
      <c r="F955" s="33"/>
      <c r="G955" s="94"/>
      <c r="H955" s="33"/>
      <c r="I955" s="33"/>
      <c r="J955" s="33"/>
      <c r="K955" s="33"/>
      <c r="L955" s="33"/>
      <c r="M955" s="33"/>
      <c r="N955" s="33"/>
      <c r="O955" s="33"/>
      <c r="P955" s="33"/>
      <c r="Q955" s="33"/>
      <c r="R955" s="33"/>
      <c r="S955" s="33"/>
      <c r="T955" s="33"/>
      <c r="U955" s="33"/>
      <c r="V955" s="33"/>
      <c r="W955" s="33"/>
      <c r="X955" s="33"/>
      <c r="Y955" s="33"/>
      <c r="Z955" s="33"/>
      <c r="AA955" s="33"/>
      <c r="AB955" s="33"/>
    </row>
    <row r="956">
      <c r="A956" s="33"/>
      <c r="B956" s="33"/>
      <c r="C956" s="94"/>
      <c r="D956" s="33"/>
      <c r="E956" s="33"/>
      <c r="F956" s="33"/>
      <c r="G956" s="94"/>
      <c r="H956" s="33"/>
      <c r="I956" s="33"/>
      <c r="J956" s="33"/>
      <c r="K956" s="33"/>
      <c r="L956" s="33"/>
      <c r="M956" s="33"/>
      <c r="N956" s="33"/>
      <c r="O956" s="33"/>
      <c r="P956" s="33"/>
      <c r="Q956" s="33"/>
      <c r="R956" s="33"/>
      <c r="S956" s="33"/>
      <c r="T956" s="33"/>
      <c r="U956" s="33"/>
      <c r="V956" s="33"/>
      <c r="W956" s="33"/>
      <c r="X956" s="33"/>
      <c r="Y956" s="33"/>
      <c r="Z956" s="33"/>
      <c r="AA956" s="33"/>
      <c r="AB956" s="33"/>
    </row>
    <row r="957">
      <c r="A957" s="33"/>
      <c r="B957" s="33"/>
      <c r="C957" s="94"/>
      <c r="D957" s="33"/>
      <c r="E957" s="33"/>
      <c r="F957" s="33"/>
      <c r="G957" s="94"/>
      <c r="H957" s="33"/>
      <c r="I957" s="33"/>
      <c r="J957" s="33"/>
      <c r="K957" s="33"/>
      <c r="L957" s="33"/>
      <c r="M957" s="33"/>
      <c r="N957" s="33"/>
      <c r="O957" s="33"/>
      <c r="P957" s="33"/>
      <c r="Q957" s="33"/>
      <c r="R957" s="33"/>
      <c r="S957" s="33"/>
      <c r="T957" s="33"/>
      <c r="U957" s="33"/>
      <c r="V957" s="33"/>
      <c r="W957" s="33"/>
      <c r="X957" s="33"/>
      <c r="Y957" s="33"/>
      <c r="Z957" s="33"/>
      <c r="AA957" s="33"/>
      <c r="AB957" s="33"/>
    </row>
    <row r="958">
      <c r="A958" s="33"/>
      <c r="B958" s="33"/>
      <c r="C958" s="94"/>
      <c r="D958" s="33"/>
      <c r="E958" s="33"/>
      <c r="F958" s="33"/>
      <c r="G958" s="94"/>
      <c r="H958" s="33"/>
      <c r="I958" s="33"/>
      <c r="J958" s="33"/>
      <c r="K958" s="33"/>
      <c r="L958" s="33"/>
      <c r="M958" s="33"/>
      <c r="N958" s="33"/>
      <c r="O958" s="33"/>
      <c r="P958" s="33"/>
      <c r="Q958" s="33"/>
      <c r="R958" s="33"/>
      <c r="S958" s="33"/>
      <c r="T958" s="33"/>
      <c r="U958" s="33"/>
      <c r="V958" s="33"/>
      <c r="W958" s="33"/>
      <c r="X958" s="33"/>
      <c r="Y958" s="33"/>
      <c r="Z958" s="33"/>
      <c r="AA958" s="33"/>
      <c r="AB958" s="33"/>
    </row>
    <row r="959">
      <c r="A959" s="33"/>
      <c r="B959" s="33"/>
      <c r="C959" s="94"/>
      <c r="D959" s="33"/>
      <c r="E959" s="33"/>
      <c r="F959" s="33"/>
      <c r="G959" s="94"/>
      <c r="H959" s="33"/>
      <c r="I959" s="33"/>
      <c r="J959" s="33"/>
      <c r="K959" s="33"/>
      <c r="L959" s="33"/>
      <c r="M959" s="33"/>
      <c r="N959" s="33"/>
      <c r="O959" s="33"/>
      <c r="P959" s="33"/>
      <c r="Q959" s="33"/>
      <c r="R959" s="33"/>
      <c r="S959" s="33"/>
      <c r="T959" s="33"/>
      <c r="U959" s="33"/>
      <c r="V959" s="33"/>
      <c r="W959" s="33"/>
      <c r="X959" s="33"/>
      <c r="Y959" s="33"/>
      <c r="Z959" s="33"/>
      <c r="AA959" s="33"/>
      <c r="AB959" s="33"/>
    </row>
    <row r="960">
      <c r="A960" s="33"/>
      <c r="B960" s="33"/>
      <c r="C960" s="94"/>
      <c r="D960" s="33"/>
      <c r="E960" s="33"/>
      <c r="F960" s="33"/>
      <c r="G960" s="94"/>
      <c r="H960" s="33"/>
      <c r="I960" s="33"/>
      <c r="J960" s="33"/>
      <c r="K960" s="33"/>
      <c r="L960" s="33"/>
      <c r="M960" s="33"/>
      <c r="N960" s="33"/>
      <c r="O960" s="33"/>
      <c r="P960" s="33"/>
      <c r="Q960" s="33"/>
      <c r="R960" s="33"/>
      <c r="S960" s="33"/>
      <c r="T960" s="33"/>
      <c r="U960" s="33"/>
      <c r="V960" s="33"/>
      <c r="W960" s="33"/>
      <c r="X960" s="33"/>
      <c r="Y960" s="33"/>
      <c r="Z960" s="33"/>
      <c r="AA960" s="33"/>
      <c r="AB960" s="33"/>
    </row>
    <row r="961">
      <c r="A961" s="33"/>
      <c r="B961" s="33"/>
      <c r="C961" s="94"/>
      <c r="D961" s="33"/>
      <c r="E961" s="33"/>
      <c r="F961" s="33"/>
      <c r="G961" s="94"/>
      <c r="H961" s="33"/>
      <c r="I961" s="33"/>
      <c r="J961" s="33"/>
      <c r="K961" s="33"/>
      <c r="L961" s="33"/>
      <c r="M961" s="33"/>
      <c r="N961" s="33"/>
      <c r="O961" s="33"/>
      <c r="P961" s="33"/>
      <c r="Q961" s="33"/>
      <c r="R961" s="33"/>
      <c r="S961" s="33"/>
      <c r="T961" s="33"/>
      <c r="U961" s="33"/>
      <c r="V961" s="33"/>
      <c r="W961" s="33"/>
      <c r="X961" s="33"/>
      <c r="Y961" s="33"/>
      <c r="Z961" s="33"/>
      <c r="AA961" s="33"/>
      <c r="AB961" s="33"/>
    </row>
    <row r="962">
      <c r="A962" s="33"/>
      <c r="B962" s="33"/>
      <c r="C962" s="94"/>
      <c r="D962" s="33"/>
      <c r="E962" s="33"/>
      <c r="F962" s="33"/>
      <c r="G962" s="94"/>
      <c r="H962" s="33"/>
      <c r="I962" s="33"/>
      <c r="J962" s="33"/>
      <c r="K962" s="33"/>
      <c r="L962" s="33"/>
      <c r="M962" s="33"/>
      <c r="N962" s="33"/>
      <c r="O962" s="33"/>
      <c r="P962" s="33"/>
      <c r="Q962" s="33"/>
      <c r="R962" s="33"/>
      <c r="S962" s="33"/>
      <c r="T962" s="33"/>
      <c r="U962" s="33"/>
      <c r="V962" s="33"/>
      <c r="W962" s="33"/>
      <c r="X962" s="33"/>
      <c r="Y962" s="33"/>
      <c r="Z962" s="33"/>
      <c r="AA962" s="33"/>
      <c r="AB962" s="33"/>
    </row>
    <row r="963">
      <c r="A963" s="33"/>
      <c r="B963" s="33"/>
      <c r="C963" s="94"/>
      <c r="D963" s="33"/>
      <c r="E963" s="33"/>
      <c r="F963" s="33"/>
      <c r="G963" s="94"/>
      <c r="H963" s="33"/>
      <c r="I963" s="33"/>
      <c r="J963" s="33"/>
      <c r="K963" s="33"/>
      <c r="L963" s="33"/>
      <c r="M963" s="33"/>
      <c r="N963" s="33"/>
      <c r="O963" s="33"/>
      <c r="P963" s="33"/>
      <c r="Q963" s="33"/>
      <c r="R963" s="33"/>
      <c r="S963" s="33"/>
      <c r="T963" s="33"/>
      <c r="U963" s="33"/>
      <c r="V963" s="33"/>
      <c r="W963" s="33"/>
      <c r="X963" s="33"/>
      <c r="Y963" s="33"/>
      <c r="Z963" s="33"/>
      <c r="AA963" s="33"/>
      <c r="AB963" s="33"/>
    </row>
    <row r="964">
      <c r="A964" s="33"/>
      <c r="B964" s="33"/>
      <c r="C964" s="94"/>
      <c r="D964" s="33"/>
      <c r="E964" s="33"/>
      <c r="F964" s="33"/>
      <c r="G964" s="94"/>
      <c r="H964" s="33"/>
      <c r="I964" s="33"/>
      <c r="J964" s="33"/>
      <c r="K964" s="33"/>
      <c r="L964" s="33"/>
      <c r="M964" s="33"/>
      <c r="N964" s="33"/>
      <c r="O964" s="33"/>
      <c r="P964" s="33"/>
      <c r="Q964" s="33"/>
      <c r="R964" s="33"/>
      <c r="S964" s="33"/>
      <c r="T964" s="33"/>
      <c r="U964" s="33"/>
      <c r="V964" s="33"/>
      <c r="W964" s="33"/>
      <c r="X964" s="33"/>
      <c r="Y964" s="33"/>
      <c r="Z964" s="33"/>
      <c r="AA964" s="33"/>
      <c r="AB964" s="33"/>
    </row>
    <row r="965">
      <c r="A965" s="33"/>
      <c r="B965" s="33"/>
      <c r="C965" s="94"/>
      <c r="D965" s="33"/>
      <c r="E965" s="33"/>
      <c r="F965" s="33"/>
      <c r="G965" s="94"/>
      <c r="H965" s="33"/>
      <c r="I965" s="33"/>
      <c r="J965" s="33"/>
      <c r="K965" s="33"/>
      <c r="L965" s="33"/>
      <c r="M965" s="33"/>
      <c r="N965" s="33"/>
      <c r="O965" s="33"/>
      <c r="P965" s="33"/>
      <c r="Q965" s="33"/>
      <c r="R965" s="33"/>
      <c r="S965" s="33"/>
      <c r="T965" s="33"/>
      <c r="U965" s="33"/>
      <c r="V965" s="33"/>
      <c r="W965" s="33"/>
      <c r="X965" s="33"/>
      <c r="Y965" s="33"/>
      <c r="Z965" s="33"/>
      <c r="AA965" s="33"/>
      <c r="AB965" s="33"/>
    </row>
    <row r="966">
      <c r="A966" s="33"/>
      <c r="B966" s="33"/>
      <c r="C966" s="94"/>
      <c r="D966" s="33"/>
      <c r="E966" s="33"/>
      <c r="F966" s="33"/>
      <c r="G966" s="94"/>
      <c r="H966" s="33"/>
      <c r="I966" s="33"/>
      <c r="J966" s="33"/>
      <c r="K966" s="33"/>
      <c r="L966" s="33"/>
      <c r="M966" s="33"/>
      <c r="N966" s="33"/>
      <c r="O966" s="33"/>
      <c r="P966" s="33"/>
      <c r="Q966" s="33"/>
      <c r="R966" s="33"/>
      <c r="S966" s="33"/>
      <c r="T966" s="33"/>
      <c r="U966" s="33"/>
      <c r="V966" s="33"/>
      <c r="W966" s="33"/>
      <c r="X966" s="33"/>
      <c r="Y966" s="33"/>
      <c r="Z966" s="33"/>
      <c r="AA966" s="33"/>
      <c r="AB966" s="33"/>
    </row>
    <row r="967">
      <c r="A967" s="33"/>
      <c r="B967" s="33"/>
      <c r="C967" s="94"/>
      <c r="D967" s="33"/>
      <c r="E967" s="33"/>
      <c r="F967" s="33"/>
      <c r="G967" s="94"/>
      <c r="H967" s="33"/>
      <c r="I967" s="33"/>
      <c r="J967" s="33"/>
      <c r="K967" s="33"/>
      <c r="L967" s="33"/>
      <c r="M967" s="33"/>
      <c r="N967" s="33"/>
      <c r="O967" s="33"/>
      <c r="P967" s="33"/>
      <c r="Q967" s="33"/>
      <c r="R967" s="33"/>
      <c r="S967" s="33"/>
      <c r="T967" s="33"/>
      <c r="U967" s="33"/>
      <c r="V967" s="33"/>
      <c r="W967" s="33"/>
      <c r="X967" s="33"/>
      <c r="Y967" s="33"/>
      <c r="Z967" s="33"/>
      <c r="AA967" s="33"/>
      <c r="AB967" s="33"/>
    </row>
    <row r="968">
      <c r="A968" s="33"/>
      <c r="B968" s="33"/>
      <c r="C968" s="94"/>
      <c r="D968" s="33"/>
      <c r="E968" s="33"/>
      <c r="F968" s="33"/>
      <c r="G968" s="94"/>
      <c r="H968" s="33"/>
      <c r="I968" s="33"/>
      <c r="J968" s="33"/>
      <c r="K968" s="33"/>
      <c r="L968" s="33"/>
      <c r="M968" s="33"/>
      <c r="N968" s="33"/>
      <c r="O968" s="33"/>
      <c r="P968" s="33"/>
      <c r="Q968" s="33"/>
      <c r="R968" s="33"/>
      <c r="S968" s="33"/>
      <c r="T968" s="33"/>
      <c r="U968" s="33"/>
      <c r="V968" s="33"/>
      <c r="W968" s="33"/>
      <c r="X968" s="33"/>
      <c r="Y968" s="33"/>
      <c r="Z968" s="33"/>
      <c r="AA968" s="33"/>
      <c r="AB968" s="33"/>
    </row>
    <row r="969">
      <c r="A969" s="33"/>
      <c r="B969" s="33"/>
      <c r="C969" s="94"/>
      <c r="D969" s="33"/>
      <c r="E969" s="33"/>
      <c r="F969" s="33"/>
      <c r="G969" s="94"/>
      <c r="H969" s="33"/>
      <c r="I969" s="33"/>
      <c r="J969" s="33"/>
      <c r="K969" s="33"/>
      <c r="L969" s="33"/>
      <c r="M969" s="33"/>
      <c r="N969" s="33"/>
      <c r="O969" s="33"/>
      <c r="P969" s="33"/>
      <c r="Q969" s="33"/>
      <c r="R969" s="33"/>
      <c r="S969" s="33"/>
      <c r="T969" s="33"/>
      <c r="U969" s="33"/>
      <c r="V969" s="33"/>
      <c r="W969" s="33"/>
      <c r="X969" s="33"/>
      <c r="Y969" s="33"/>
      <c r="Z969" s="33"/>
      <c r="AA969" s="33"/>
      <c r="AB969" s="33"/>
    </row>
    <row r="970">
      <c r="A970" s="33"/>
      <c r="B970" s="33"/>
      <c r="C970" s="94"/>
      <c r="D970" s="33"/>
      <c r="E970" s="33"/>
      <c r="F970" s="33"/>
      <c r="G970" s="94"/>
      <c r="H970" s="33"/>
      <c r="I970" s="33"/>
      <c r="J970" s="33"/>
      <c r="K970" s="33"/>
      <c r="L970" s="33"/>
      <c r="M970" s="33"/>
      <c r="N970" s="33"/>
      <c r="O970" s="33"/>
      <c r="P970" s="33"/>
      <c r="Q970" s="33"/>
      <c r="R970" s="33"/>
      <c r="S970" s="33"/>
      <c r="T970" s="33"/>
      <c r="U970" s="33"/>
      <c r="V970" s="33"/>
      <c r="W970" s="33"/>
      <c r="X970" s="33"/>
      <c r="Y970" s="33"/>
      <c r="Z970" s="33"/>
      <c r="AA970" s="33"/>
      <c r="AB970" s="33"/>
    </row>
    <row r="971">
      <c r="A971" s="33"/>
      <c r="B971" s="33"/>
      <c r="C971" s="94"/>
      <c r="D971" s="33"/>
      <c r="E971" s="33"/>
      <c r="F971" s="33"/>
      <c r="G971" s="94"/>
      <c r="H971" s="33"/>
      <c r="I971" s="33"/>
      <c r="J971" s="33"/>
      <c r="K971" s="33"/>
      <c r="L971" s="33"/>
      <c r="M971" s="33"/>
      <c r="N971" s="33"/>
      <c r="O971" s="33"/>
      <c r="P971" s="33"/>
      <c r="Q971" s="33"/>
      <c r="R971" s="33"/>
      <c r="S971" s="33"/>
      <c r="T971" s="33"/>
      <c r="U971" s="33"/>
      <c r="V971" s="33"/>
      <c r="W971" s="33"/>
      <c r="X971" s="33"/>
      <c r="Y971" s="33"/>
      <c r="Z971" s="33"/>
      <c r="AA971" s="33"/>
      <c r="AB971" s="33"/>
    </row>
    <row r="972">
      <c r="A972" s="33"/>
      <c r="B972" s="33"/>
      <c r="C972" s="94"/>
      <c r="D972" s="33"/>
      <c r="E972" s="33"/>
      <c r="F972" s="33"/>
      <c r="G972" s="94"/>
      <c r="H972" s="33"/>
      <c r="I972" s="33"/>
      <c r="J972" s="33"/>
      <c r="K972" s="33"/>
      <c r="L972" s="33"/>
      <c r="M972" s="33"/>
      <c r="N972" s="33"/>
      <c r="O972" s="33"/>
      <c r="P972" s="33"/>
      <c r="Q972" s="33"/>
      <c r="R972" s="33"/>
      <c r="S972" s="33"/>
      <c r="T972" s="33"/>
      <c r="U972" s="33"/>
      <c r="V972" s="33"/>
      <c r="W972" s="33"/>
      <c r="X972" s="33"/>
      <c r="Y972" s="33"/>
      <c r="Z972" s="33"/>
      <c r="AA972" s="33"/>
      <c r="AB972" s="33"/>
    </row>
    <row r="973">
      <c r="A973" s="33"/>
      <c r="B973" s="33"/>
      <c r="C973" s="94"/>
      <c r="D973" s="33"/>
      <c r="E973" s="33"/>
      <c r="F973" s="33"/>
      <c r="G973" s="94"/>
      <c r="H973" s="33"/>
      <c r="I973" s="33"/>
      <c r="J973" s="33"/>
      <c r="K973" s="33"/>
      <c r="L973" s="33"/>
      <c r="M973" s="33"/>
      <c r="N973" s="33"/>
      <c r="O973" s="33"/>
      <c r="P973" s="33"/>
      <c r="Q973" s="33"/>
      <c r="R973" s="33"/>
      <c r="S973" s="33"/>
      <c r="T973" s="33"/>
      <c r="U973" s="33"/>
      <c r="V973" s="33"/>
      <c r="W973" s="33"/>
      <c r="X973" s="33"/>
      <c r="Y973" s="33"/>
      <c r="Z973" s="33"/>
      <c r="AA973" s="33"/>
      <c r="AB973" s="33"/>
    </row>
    <row r="974">
      <c r="A974" s="33"/>
      <c r="B974" s="33"/>
      <c r="C974" s="94"/>
      <c r="D974" s="33"/>
      <c r="E974" s="33"/>
      <c r="F974" s="33"/>
      <c r="G974" s="94"/>
      <c r="H974" s="33"/>
      <c r="I974" s="33"/>
      <c r="J974" s="33"/>
      <c r="K974" s="33"/>
      <c r="L974" s="33"/>
      <c r="M974" s="33"/>
      <c r="N974" s="33"/>
      <c r="O974" s="33"/>
      <c r="P974" s="33"/>
      <c r="Q974" s="33"/>
      <c r="R974" s="33"/>
      <c r="S974" s="33"/>
      <c r="T974" s="33"/>
      <c r="U974" s="33"/>
      <c r="V974" s="33"/>
      <c r="W974" s="33"/>
      <c r="X974" s="33"/>
      <c r="Y974" s="33"/>
      <c r="Z974" s="33"/>
      <c r="AA974" s="33"/>
      <c r="AB974" s="33"/>
    </row>
    <row r="975">
      <c r="A975" s="33"/>
      <c r="B975" s="33"/>
      <c r="C975" s="94"/>
      <c r="D975" s="33"/>
      <c r="E975" s="33"/>
      <c r="F975" s="33"/>
      <c r="G975" s="94"/>
      <c r="H975" s="33"/>
      <c r="I975" s="33"/>
      <c r="J975" s="33"/>
      <c r="K975" s="33"/>
      <c r="L975" s="33"/>
      <c r="M975" s="33"/>
      <c r="N975" s="33"/>
      <c r="O975" s="33"/>
      <c r="P975" s="33"/>
      <c r="Q975" s="33"/>
      <c r="R975" s="33"/>
      <c r="S975" s="33"/>
      <c r="T975" s="33"/>
      <c r="U975" s="33"/>
      <c r="V975" s="33"/>
      <c r="W975" s="33"/>
      <c r="X975" s="33"/>
      <c r="Y975" s="33"/>
      <c r="Z975" s="33"/>
      <c r="AA975" s="33"/>
      <c r="AB975" s="33"/>
    </row>
    <row r="976">
      <c r="A976" s="33"/>
      <c r="B976" s="33"/>
      <c r="C976" s="94"/>
      <c r="D976" s="33"/>
      <c r="E976" s="33"/>
      <c r="F976" s="33"/>
      <c r="G976" s="94"/>
      <c r="H976" s="33"/>
      <c r="I976" s="33"/>
      <c r="J976" s="33"/>
      <c r="K976" s="33"/>
      <c r="L976" s="33"/>
      <c r="M976" s="33"/>
      <c r="N976" s="33"/>
      <c r="O976" s="33"/>
      <c r="P976" s="33"/>
      <c r="Q976" s="33"/>
      <c r="R976" s="33"/>
      <c r="S976" s="33"/>
      <c r="T976" s="33"/>
      <c r="U976" s="33"/>
      <c r="V976" s="33"/>
      <c r="W976" s="33"/>
      <c r="X976" s="33"/>
      <c r="Y976" s="33"/>
      <c r="Z976" s="33"/>
      <c r="AA976" s="33"/>
      <c r="AB976" s="33"/>
    </row>
    <row r="977">
      <c r="A977" s="33"/>
      <c r="B977" s="33"/>
      <c r="C977" s="94"/>
      <c r="D977" s="33"/>
      <c r="E977" s="33"/>
      <c r="F977" s="33"/>
      <c r="G977" s="94"/>
      <c r="H977" s="33"/>
      <c r="I977" s="33"/>
      <c r="J977" s="33"/>
      <c r="K977" s="33"/>
      <c r="L977" s="33"/>
      <c r="M977" s="33"/>
      <c r="N977" s="33"/>
      <c r="O977" s="33"/>
      <c r="P977" s="33"/>
      <c r="Q977" s="33"/>
      <c r="R977" s="33"/>
      <c r="S977" s="33"/>
      <c r="T977" s="33"/>
      <c r="U977" s="33"/>
      <c r="V977" s="33"/>
      <c r="W977" s="33"/>
      <c r="X977" s="33"/>
      <c r="Y977" s="33"/>
      <c r="Z977" s="33"/>
      <c r="AA977" s="33"/>
      <c r="AB977" s="33"/>
    </row>
    <row r="978">
      <c r="A978" s="33"/>
      <c r="B978" s="33"/>
      <c r="C978" s="94"/>
      <c r="D978" s="33"/>
      <c r="E978" s="33"/>
      <c r="F978" s="33"/>
      <c r="G978" s="94"/>
      <c r="H978" s="33"/>
      <c r="I978" s="33"/>
      <c r="J978" s="33"/>
      <c r="K978" s="33"/>
      <c r="L978" s="33"/>
      <c r="M978" s="33"/>
      <c r="N978" s="33"/>
      <c r="O978" s="33"/>
      <c r="P978" s="33"/>
      <c r="Q978" s="33"/>
      <c r="R978" s="33"/>
      <c r="S978" s="33"/>
      <c r="T978" s="33"/>
      <c r="U978" s="33"/>
      <c r="V978" s="33"/>
      <c r="W978" s="33"/>
      <c r="X978" s="33"/>
      <c r="Y978" s="33"/>
      <c r="Z978" s="33"/>
      <c r="AA978" s="33"/>
      <c r="AB978" s="33"/>
    </row>
    <row r="979">
      <c r="A979" s="33"/>
      <c r="B979" s="33"/>
      <c r="C979" s="94"/>
      <c r="D979" s="33"/>
      <c r="E979" s="33"/>
      <c r="F979" s="33"/>
      <c r="G979" s="94"/>
      <c r="H979" s="33"/>
      <c r="I979" s="33"/>
      <c r="J979" s="33"/>
      <c r="K979" s="33"/>
      <c r="L979" s="33"/>
      <c r="M979" s="33"/>
      <c r="N979" s="33"/>
      <c r="O979" s="33"/>
      <c r="P979" s="33"/>
      <c r="Q979" s="33"/>
      <c r="R979" s="33"/>
      <c r="S979" s="33"/>
      <c r="T979" s="33"/>
      <c r="U979" s="33"/>
      <c r="V979" s="33"/>
      <c r="W979" s="33"/>
      <c r="X979" s="33"/>
      <c r="Y979" s="33"/>
      <c r="Z979" s="33"/>
      <c r="AA979" s="33"/>
      <c r="AB979" s="33"/>
    </row>
    <row r="980">
      <c r="A980" s="33"/>
      <c r="B980" s="33"/>
      <c r="C980" s="94"/>
      <c r="D980" s="33"/>
      <c r="E980" s="33"/>
      <c r="F980" s="33"/>
      <c r="G980" s="94"/>
      <c r="H980" s="33"/>
      <c r="I980" s="33"/>
      <c r="J980" s="33"/>
      <c r="K980" s="33"/>
      <c r="L980" s="33"/>
      <c r="M980" s="33"/>
      <c r="N980" s="33"/>
      <c r="O980" s="33"/>
      <c r="P980" s="33"/>
      <c r="Q980" s="33"/>
      <c r="R980" s="33"/>
      <c r="S980" s="33"/>
      <c r="T980" s="33"/>
      <c r="U980" s="33"/>
      <c r="V980" s="33"/>
      <c r="W980" s="33"/>
      <c r="X980" s="33"/>
      <c r="Y980" s="33"/>
      <c r="Z980" s="33"/>
      <c r="AA980" s="33"/>
      <c r="AB980" s="33"/>
    </row>
    <row r="981">
      <c r="A981" s="33"/>
      <c r="B981" s="33"/>
      <c r="C981" s="94"/>
      <c r="D981" s="33"/>
      <c r="E981" s="33"/>
      <c r="F981" s="33"/>
      <c r="G981" s="94"/>
      <c r="H981" s="33"/>
      <c r="I981" s="33"/>
      <c r="J981" s="33"/>
      <c r="K981" s="33"/>
      <c r="L981" s="33"/>
      <c r="M981" s="33"/>
      <c r="N981" s="33"/>
      <c r="O981" s="33"/>
      <c r="P981" s="33"/>
      <c r="Q981" s="33"/>
      <c r="R981" s="33"/>
      <c r="S981" s="33"/>
      <c r="T981" s="33"/>
      <c r="U981" s="33"/>
      <c r="V981" s="33"/>
      <c r="W981" s="33"/>
      <c r="X981" s="33"/>
      <c r="Y981" s="33"/>
      <c r="Z981" s="33"/>
      <c r="AA981" s="33"/>
      <c r="AB981" s="33"/>
    </row>
    <row r="982">
      <c r="A982" s="33"/>
      <c r="B982" s="33"/>
      <c r="C982" s="94"/>
      <c r="D982" s="33"/>
      <c r="E982" s="33"/>
      <c r="F982" s="33"/>
      <c r="G982" s="94"/>
      <c r="H982" s="33"/>
      <c r="I982" s="33"/>
      <c r="J982" s="33"/>
      <c r="K982" s="33"/>
      <c r="L982" s="33"/>
      <c r="M982" s="33"/>
      <c r="N982" s="33"/>
      <c r="O982" s="33"/>
      <c r="P982" s="33"/>
      <c r="Q982" s="33"/>
      <c r="R982" s="33"/>
      <c r="S982" s="33"/>
      <c r="T982" s="33"/>
      <c r="U982" s="33"/>
      <c r="V982" s="33"/>
      <c r="W982" s="33"/>
      <c r="X982" s="33"/>
      <c r="Y982" s="33"/>
      <c r="Z982" s="33"/>
      <c r="AA982" s="33"/>
      <c r="AB982" s="33"/>
    </row>
    <row r="983">
      <c r="A983" s="33"/>
      <c r="B983" s="33"/>
      <c r="C983" s="94"/>
      <c r="D983" s="33"/>
      <c r="E983" s="33"/>
      <c r="F983" s="33"/>
      <c r="G983" s="94"/>
      <c r="H983" s="33"/>
      <c r="I983" s="33"/>
      <c r="J983" s="33"/>
      <c r="K983" s="33"/>
      <c r="L983" s="33"/>
      <c r="M983" s="33"/>
      <c r="N983" s="33"/>
      <c r="O983" s="33"/>
      <c r="P983" s="33"/>
      <c r="Q983" s="33"/>
      <c r="R983" s="33"/>
      <c r="S983" s="33"/>
      <c r="T983" s="33"/>
      <c r="U983" s="33"/>
      <c r="V983" s="33"/>
      <c r="W983" s="33"/>
      <c r="X983" s="33"/>
      <c r="Y983" s="33"/>
      <c r="Z983" s="33"/>
      <c r="AA983" s="33"/>
      <c r="AB983" s="33"/>
    </row>
    <row r="984">
      <c r="A984" s="33"/>
      <c r="B984" s="33"/>
      <c r="C984" s="94"/>
      <c r="D984" s="33"/>
      <c r="E984" s="33"/>
      <c r="F984" s="33"/>
      <c r="G984" s="94"/>
      <c r="H984" s="33"/>
      <c r="I984" s="33"/>
      <c r="J984" s="33"/>
      <c r="K984" s="33"/>
      <c r="L984" s="33"/>
      <c r="M984" s="33"/>
      <c r="N984" s="33"/>
      <c r="O984" s="33"/>
      <c r="P984" s="33"/>
      <c r="Q984" s="33"/>
      <c r="R984" s="33"/>
      <c r="S984" s="33"/>
      <c r="T984" s="33"/>
      <c r="U984" s="33"/>
      <c r="V984" s="33"/>
      <c r="W984" s="33"/>
      <c r="X984" s="33"/>
      <c r="Y984" s="33"/>
      <c r="Z984" s="33"/>
      <c r="AA984" s="33"/>
      <c r="AB984" s="33"/>
    </row>
    <row r="985">
      <c r="A985" s="33"/>
      <c r="B985" s="33"/>
      <c r="C985" s="94"/>
      <c r="D985" s="33"/>
      <c r="E985" s="33"/>
      <c r="F985" s="33"/>
      <c r="G985" s="94"/>
      <c r="H985" s="33"/>
      <c r="I985" s="33"/>
      <c r="J985" s="33"/>
      <c r="K985" s="33"/>
      <c r="L985" s="33"/>
      <c r="M985" s="33"/>
      <c r="N985" s="33"/>
      <c r="O985" s="33"/>
      <c r="P985" s="33"/>
      <c r="Q985" s="33"/>
      <c r="R985" s="33"/>
      <c r="S985" s="33"/>
      <c r="T985" s="33"/>
      <c r="U985" s="33"/>
      <c r="V985" s="33"/>
      <c r="W985" s="33"/>
      <c r="X985" s="33"/>
      <c r="Y985" s="33"/>
      <c r="Z985" s="33"/>
      <c r="AA985" s="33"/>
      <c r="AB985" s="33"/>
    </row>
    <row r="986">
      <c r="A986" s="33"/>
      <c r="B986" s="33"/>
      <c r="C986" s="94"/>
      <c r="D986" s="33"/>
      <c r="E986" s="33"/>
      <c r="F986" s="33"/>
      <c r="G986" s="94"/>
      <c r="H986" s="33"/>
      <c r="I986" s="33"/>
      <c r="J986" s="33"/>
      <c r="K986" s="33"/>
      <c r="L986" s="33"/>
      <c r="M986" s="33"/>
      <c r="N986" s="33"/>
      <c r="O986" s="33"/>
      <c r="P986" s="33"/>
      <c r="Q986" s="33"/>
      <c r="R986" s="33"/>
      <c r="S986" s="33"/>
      <c r="T986" s="33"/>
      <c r="U986" s="33"/>
      <c r="V986" s="33"/>
      <c r="W986" s="33"/>
      <c r="X986" s="33"/>
      <c r="Y986" s="33"/>
      <c r="Z986" s="33"/>
      <c r="AA986" s="33"/>
      <c r="AB986" s="33"/>
    </row>
    <row r="987">
      <c r="A987" s="33"/>
      <c r="B987" s="33"/>
      <c r="C987" s="94"/>
      <c r="D987" s="33"/>
      <c r="E987" s="33"/>
      <c r="F987" s="33"/>
      <c r="G987" s="94"/>
      <c r="H987" s="33"/>
      <c r="I987" s="33"/>
      <c r="J987" s="33"/>
      <c r="K987" s="33"/>
      <c r="L987" s="33"/>
      <c r="M987" s="33"/>
      <c r="N987" s="33"/>
      <c r="O987" s="33"/>
      <c r="P987" s="33"/>
      <c r="Q987" s="33"/>
      <c r="R987" s="33"/>
      <c r="S987" s="33"/>
      <c r="T987" s="33"/>
      <c r="U987" s="33"/>
      <c r="V987" s="33"/>
      <c r="W987" s="33"/>
      <c r="X987" s="33"/>
      <c r="Y987" s="33"/>
      <c r="Z987" s="33"/>
      <c r="AA987" s="33"/>
      <c r="AB987" s="33"/>
    </row>
    <row r="988">
      <c r="A988" s="33"/>
      <c r="B988" s="33"/>
      <c r="C988" s="94"/>
      <c r="D988" s="33"/>
      <c r="E988" s="33"/>
      <c r="F988" s="33"/>
      <c r="G988" s="94"/>
      <c r="H988" s="33"/>
      <c r="I988" s="33"/>
      <c r="J988" s="33"/>
      <c r="K988" s="33"/>
      <c r="L988" s="33"/>
      <c r="M988" s="33"/>
      <c r="N988" s="33"/>
      <c r="O988" s="33"/>
      <c r="P988" s="33"/>
      <c r="Q988" s="33"/>
      <c r="R988" s="33"/>
      <c r="S988" s="33"/>
      <c r="T988" s="33"/>
      <c r="U988" s="33"/>
      <c r="V988" s="33"/>
      <c r="W988" s="33"/>
      <c r="X988" s="33"/>
      <c r="Y988" s="33"/>
      <c r="Z988" s="33"/>
      <c r="AA988" s="33"/>
      <c r="AB988" s="33"/>
    </row>
    <row r="989">
      <c r="A989" s="33"/>
      <c r="B989" s="33"/>
      <c r="C989" s="94"/>
      <c r="D989" s="33"/>
      <c r="E989" s="33"/>
      <c r="F989" s="33"/>
      <c r="G989" s="94"/>
      <c r="H989" s="33"/>
      <c r="I989" s="33"/>
      <c r="J989" s="33"/>
      <c r="K989" s="33"/>
      <c r="L989" s="33"/>
      <c r="M989" s="33"/>
      <c r="N989" s="33"/>
      <c r="O989" s="33"/>
      <c r="P989" s="33"/>
      <c r="Q989" s="33"/>
      <c r="R989" s="33"/>
      <c r="S989" s="33"/>
      <c r="T989" s="33"/>
      <c r="U989" s="33"/>
      <c r="V989" s="33"/>
      <c r="W989" s="33"/>
      <c r="X989" s="33"/>
      <c r="Y989" s="33"/>
      <c r="Z989" s="33"/>
      <c r="AA989" s="33"/>
      <c r="AB989" s="33"/>
    </row>
    <row r="990">
      <c r="A990" s="33"/>
      <c r="B990" s="33"/>
      <c r="C990" s="94"/>
      <c r="D990" s="33"/>
      <c r="E990" s="33"/>
      <c r="F990" s="33"/>
      <c r="G990" s="94"/>
      <c r="H990" s="33"/>
      <c r="I990" s="33"/>
      <c r="J990" s="33"/>
      <c r="K990" s="33"/>
      <c r="L990" s="33"/>
      <c r="M990" s="33"/>
      <c r="N990" s="33"/>
      <c r="O990" s="33"/>
      <c r="P990" s="33"/>
      <c r="Q990" s="33"/>
      <c r="R990" s="33"/>
      <c r="S990" s="33"/>
      <c r="T990" s="33"/>
      <c r="U990" s="33"/>
      <c r="V990" s="33"/>
      <c r="W990" s="33"/>
      <c r="X990" s="33"/>
      <c r="Y990" s="33"/>
      <c r="Z990" s="33"/>
      <c r="AA990" s="33"/>
      <c r="AB990" s="33"/>
    </row>
    <row r="991">
      <c r="A991" s="33"/>
      <c r="B991" s="33"/>
      <c r="C991" s="94"/>
      <c r="D991" s="33"/>
      <c r="E991" s="33"/>
      <c r="F991" s="33"/>
      <c r="G991" s="94"/>
      <c r="H991" s="33"/>
      <c r="I991" s="33"/>
      <c r="J991" s="33"/>
      <c r="K991" s="33"/>
      <c r="L991" s="33"/>
      <c r="M991" s="33"/>
      <c r="N991" s="33"/>
      <c r="O991" s="33"/>
      <c r="P991" s="33"/>
      <c r="Q991" s="33"/>
      <c r="R991" s="33"/>
      <c r="S991" s="33"/>
      <c r="T991" s="33"/>
      <c r="U991" s="33"/>
      <c r="V991" s="33"/>
      <c r="W991" s="33"/>
      <c r="X991" s="33"/>
      <c r="Y991" s="33"/>
      <c r="Z991" s="33"/>
      <c r="AA991" s="33"/>
      <c r="AB991" s="33"/>
    </row>
    <row r="992">
      <c r="A992" s="33"/>
      <c r="B992" s="33"/>
      <c r="C992" s="94"/>
      <c r="D992" s="33"/>
      <c r="E992" s="33"/>
      <c r="F992" s="33"/>
      <c r="G992" s="94"/>
      <c r="H992" s="33"/>
      <c r="I992" s="33"/>
      <c r="J992" s="33"/>
      <c r="K992" s="33"/>
      <c r="L992" s="33"/>
      <c r="M992" s="33"/>
      <c r="N992" s="33"/>
      <c r="O992" s="33"/>
      <c r="P992" s="33"/>
      <c r="Q992" s="33"/>
      <c r="R992" s="33"/>
      <c r="S992" s="33"/>
      <c r="T992" s="33"/>
      <c r="U992" s="33"/>
      <c r="V992" s="33"/>
      <c r="W992" s="33"/>
      <c r="X992" s="33"/>
      <c r="Y992" s="33"/>
      <c r="Z992" s="33"/>
      <c r="AA992" s="33"/>
      <c r="AB992" s="33"/>
    </row>
    <row r="993">
      <c r="A993" s="33"/>
      <c r="B993" s="33"/>
      <c r="C993" s="94"/>
      <c r="D993" s="33"/>
      <c r="E993" s="33"/>
      <c r="F993" s="33"/>
      <c r="G993" s="94"/>
      <c r="H993" s="33"/>
      <c r="I993" s="33"/>
      <c r="J993" s="33"/>
      <c r="K993" s="33"/>
      <c r="L993" s="33"/>
      <c r="M993" s="33"/>
      <c r="N993" s="33"/>
      <c r="O993" s="33"/>
      <c r="P993" s="33"/>
      <c r="Q993" s="33"/>
      <c r="R993" s="33"/>
      <c r="S993" s="33"/>
      <c r="T993" s="33"/>
      <c r="U993" s="33"/>
      <c r="V993" s="33"/>
      <c r="W993" s="33"/>
      <c r="X993" s="33"/>
      <c r="Y993" s="33"/>
      <c r="Z993" s="33"/>
      <c r="AA993" s="33"/>
      <c r="AB993" s="33"/>
    </row>
    <row r="994">
      <c r="A994" s="33"/>
      <c r="B994" s="33"/>
      <c r="C994" s="94"/>
      <c r="D994" s="33"/>
      <c r="E994" s="33"/>
      <c r="F994" s="33"/>
      <c r="G994" s="94"/>
      <c r="H994" s="33"/>
      <c r="I994" s="33"/>
      <c r="J994" s="33"/>
      <c r="K994" s="33"/>
      <c r="L994" s="33"/>
      <c r="M994" s="33"/>
      <c r="N994" s="33"/>
      <c r="O994" s="33"/>
      <c r="P994" s="33"/>
      <c r="Q994" s="33"/>
      <c r="R994" s="33"/>
      <c r="S994" s="33"/>
      <c r="T994" s="33"/>
      <c r="U994" s="33"/>
      <c r="V994" s="33"/>
      <c r="W994" s="33"/>
      <c r="X994" s="33"/>
      <c r="Y994" s="33"/>
      <c r="Z994" s="33"/>
      <c r="AA994" s="33"/>
      <c r="AB994" s="33"/>
    </row>
    <row r="995">
      <c r="A995" s="33"/>
      <c r="B995" s="33"/>
      <c r="C995" s="94"/>
      <c r="D995" s="33"/>
      <c r="E995" s="33"/>
      <c r="F995" s="33"/>
      <c r="G995" s="94"/>
      <c r="H995" s="33"/>
      <c r="I995" s="33"/>
      <c r="J995" s="33"/>
      <c r="K995" s="33"/>
      <c r="L995" s="33"/>
      <c r="M995" s="33"/>
      <c r="N995" s="33"/>
      <c r="O995" s="33"/>
      <c r="P995" s="33"/>
      <c r="Q995" s="33"/>
      <c r="R995" s="33"/>
      <c r="S995" s="33"/>
      <c r="T995" s="33"/>
      <c r="U995" s="33"/>
      <c r="V995" s="33"/>
      <c r="W995" s="33"/>
      <c r="X995" s="33"/>
      <c r="Y995" s="33"/>
      <c r="Z995" s="33"/>
      <c r="AA995" s="33"/>
      <c r="AB995" s="33"/>
    </row>
    <row r="996">
      <c r="A996" s="33"/>
      <c r="B996" s="33"/>
      <c r="C996" s="94"/>
      <c r="D996" s="33"/>
      <c r="E996" s="33"/>
      <c r="F996" s="33"/>
      <c r="G996" s="94"/>
      <c r="H996" s="33"/>
      <c r="I996" s="33"/>
      <c r="J996" s="33"/>
      <c r="K996" s="33"/>
      <c r="L996" s="33"/>
      <c r="M996" s="33"/>
      <c r="N996" s="33"/>
      <c r="O996" s="33"/>
      <c r="P996" s="33"/>
      <c r="Q996" s="33"/>
      <c r="R996" s="33"/>
      <c r="S996" s="33"/>
      <c r="T996" s="33"/>
      <c r="U996" s="33"/>
      <c r="V996" s="33"/>
      <c r="W996" s="33"/>
      <c r="X996" s="33"/>
      <c r="Y996" s="33"/>
      <c r="Z996" s="33"/>
      <c r="AA996" s="33"/>
      <c r="AB996" s="33"/>
    </row>
    <row r="997">
      <c r="A997" s="33"/>
      <c r="B997" s="33"/>
      <c r="C997" s="94"/>
      <c r="D997" s="33"/>
      <c r="E997" s="33"/>
      <c r="F997" s="33"/>
      <c r="G997" s="94"/>
      <c r="H997" s="33"/>
      <c r="I997" s="33"/>
      <c r="J997" s="33"/>
      <c r="K997" s="33"/>
      <c r="L997" s="33"/>
      <c r="M997" s="33"/>
      <c r="N997" s="33"/>
      <c r="O997" s="33"/>
      <c r="P997" s="33"/>
      <c r="Q997" s="33"/>
      <c r="R997" s="33"/>
      <c r="S997" s="33"/>
      <c r="T997" s="33"/>
      <c r="U997" s="33"/>
      <c r="V997" s="33"/>
      <c r="W997" s="33"/>
      <c r="X997" s="33"/>
      <c r="Y997" s="33"/>
      <c r="Z997" s="33"/>
      <c r="AA997" s="33"/>
      <c r="AB997" s="33"/>
    </row>
    <row r="998">
      <c r="A998" s="33"/>
      <c r="B998" s="33"/>
      <c r="C998" s="94"/>
      <c r="D998" s="33"/>
      <c r="E998" s="33"/>
      <c r="F998" s="33"/>
      <c r="G998" s="94"/>
      <c r="H998" s="33"/>
      <c r="I998" s="33"/>
      <c r="J998" s="33"/>
      <c r="K998" s="33"/>
      <c r="L998" s="33"/>
      <c r="M998" s="33"/>
      <c r="N998" s="33"/>
      <c r="O998" s="33"/>
      <c r="P998" s="33"/>
      <c r="Q998" s="33"/>
      <c r="R998" s="33"/>
      <c r="S998" s="33"/>
      <c r="T998" s="33"/>
      <c r="U998" s="33"/>
      <c r="V998" s="33"/>
      <c r="W998" s="33"/>
      <c r="X998" s="33"/>
      <c r="Y998" s="33"/>
      <c r="Z998" s="33"/>
      <c r="AA998" s="33"/>
      <c r="AB998" s="33"/>
    </row>
    <row r="999">
      <c r="A999" s="33"/>
      <c r="B999" s="33"/>
      <c r="C999" s="94"/>
      <c r="D999" s="33"/>
      <c r="E999" s="33"/>
      <c r="F999" s="33"/>
      <c r="G999" s="94"/>
      <c r="H999" s="33"/>
      <c r="I999" s="33"/>
      <c r="J999" s="33"/>
      <c r="K999" s="33"/>
      <c r="L999" s="33"/>
      <c r="M999" s="33"/>
      <c r="N999" s="33"/>
      <c r="O999" s="33"/>
      <c r="P999" s="33"/>
      <c r="Q999" s="33"/>
      <c r="R999" s="33"/>
      <c r="S999" s="33"/>
      <c r="T999" s="33"/>
      <c r="U999" s="33"/>
      <c r="V999" s="33"/>
      <c r="W999" s="33"/>
      <c r="X999" s="33"/>
      <c r="Y999" s="33"/>
      <c r="Z999" s="33"/>
      <c r="AA999" s="33"/>
      <c r="AB999" s="33"/>
    </row>
    <row r="1000">
      <c r="A1000" s="33"/>
      <c r="B1000" s="33"/>
      <c r="C1000" s="94"/>
      <c r="D1000" s="33"/>
      <c r="E1000" s="33"/>
      <c r="F1000" s="33"/>
      <c r="G1000" s="94"/>
      <c r="H1000" s="33"/>
      <c r="I1000" s="33"/>
      <c r="J1000" s="33"/>
      <c r="K1000" s="33"/>
      <c r="L1000" s="33"/>
      <c r="M1000" s="33"/>
      <c r="N1000" s="33"/>
      <c r="O1000" s="33"/>
      <c r="P1000" s="33"/>
      <c r="Q1000" s="33"/>
      <c r="R1000" s="33"/>
      <c r="S1000" s="33"/>
      <c r="T1000" s="33"/>
      <c r="U1000" s="33"/>
      <c r="V1000" s="33"/>
      <c r="W1000" s="33"/>
      <c r="X1000" s="33"/>
      <c r="Y1000" s="33"/>
      <c r="Z1000" s="33"/>
      <c r="AA1000" s="33"/>
      <c r="AB1000" s="33"/>
    </row>
    <row r="1001">
      <c r="A1001" s="33"/>
      <c r="B1001" s="33"/>
      <c r="C1001" s="94"/>
      <c r="D1001" s="33"/>
      <c r="E1001" s="33"/>
      <c r="F1001" s="33"/>
      <c r="G1001" s="94"/>
      <c r="H1001" s="33"/>
      <c r="I1001" s="33"/>
      <c r="J1001" s="33"/>
      <c r="K1001" s="33"/>
      <c r="L1001" s="33"/>
      <c r="M1001" s="33"/>
      <c r="N1001" s="33"/>
      <c r="O1001" s="33"/>
      <c r="P1001" s="33"/>
      <c r="Q1001" s="33"/>
      <c r="R1001" s="33"/>
      <c r="S1001" s="33"/>
      <c r="T1001" s="33"/>
      <c r="U1001" s="33"/>
      <c r="V1001" s="33"/>
      <c r="W1001" s="33"/>
      <c r="X1001" s="33"/>
      <c r="Y1001" s="33"/>
      <c r="Z1001" s="33"/>
      <c r="AA1001" s="33"/>
      <c r="AB1001" s="33"/>
    </row>
    <row r="1002">
      <c r="A1002" s="33"/>
      <c r="B1002" s="33"/>
      <c r="C1002" s="94"/>
      <c r="D1002" s="33"/>
      <c r="E1002" s="33"/>
      <c r="F1002" s="33"/>
      <c r="G1002" s="94"/>
      <c r="H1002" s="33"/>
      <c r="I1002" s="33"/>
      <c r="J1002" s="33"/>
      <c r="K1002" s="33"/>
      <c r="L1002" s="33"/>
      <c r="M1002" s="33"/>
      <c r="N1002" s="33"/>
      <c r="O1002" s="33"/>
      <c r="P1002" s="33"/>
      <c r="Q1002" s="33"/>
      <c r="R1002" s="33"/>
      <c r="S1002" s="33"/>
      <c r="T1002" s="33"/>
      <c r="U1002" s="33"/>
      <c r="V1002" s="33"/>
      <c r="W1002" s="33"/>
      <c r="X1002" s="33"/>
      <c r="Y1002" s="33"/>
      <c r="Z1002" s="33"/>
      <c r="AA1002" s="33"/>
      <c r="AB1002" s="33"/>
    </row>
    <row r="1003">
      <c r="A1003" s="33"/>
      <c r="B1003" s="33"/>
      <c r="C1003" s="94"/>
      <c r="D1003" s="33"/>
      <c r="E1003" s="33"/>
      <c r="F1003" s="33"/>
      <c r="G1003" s="94"/>
      <c r="H1003" s="33"/>
      <c r="I1003" s="33"/>
      <c r="J1003" s="33"/>
      <c r="K1003" s="33"/>
      <c r="L1003" s="33"/>
      <c r="M1003" s="33"/>
      <c r="N1003" s="33"/>
      <c r="O1003" s="33"/>
      <c r="P1003" s="33"/>
      <c r="Q1003" s="33"/>
      <c r="R1003" s="33"/>
      <c r="S1003" s="33"/>
      <c r="T1003" s="33"/>
      <c r="U1003" s="33"/>
      <c r="V1003" s="33"/>
      <c r="W1003" s="33"/>
      <c r="X1003" s="33"/>
      <c r="Y1003" s="33"/>
      <c r="Z1003" s="33"/>
      <c r="AA1003" s="33"/>
      <c r="AB1003" s="33"/>
    </row>
    <row r="1004">
      <c r="A1004" s="33"/>
      <c r="B1004" s="33"/>
      <c r="C1004" s="94"/>
      <c r="D1004" s="33"/>
      <c r="E1004" s="33"/>
      <c r="F1004" s="33"/>
      <c r="G1004" s="94"/>
      <c r="H1004" s="33"/>
      <c r="I1004" s="33"/>
      <c r="J1004" s="33"/>
      <c r="K1004" s="33"/>
      <c r="L1004" s="33"/>
      <c r="M1004" s="33"/>
      <c r="N1004" s="33"/>
      <c r="O1004" s="33"/>
      <c r="P1004" s="33"/>
      <c r="Q1004" s="33"/>
      <c r="R1004" s="33"/>
      <c r="S1004" s="33"/>
      <c r="T1004" s="33"/>
      <c r="U1004" s="33"/>
      <c r="V1004" s="33"/>
      <c r="W1004" s="33"/>
      <c r="X1004" s="33"/>
      <c r="Y1004" s="33"/>
      <c r="Z1004" s="33"/>
      <c r="AA1004" s="33"/>
      <c r="AB1004" s="33"/>
    </row>
    <row r="1005">
      <c r="A1005" s="33"/>
      <c r="B1005" s="33"/>
      <c r="C1005" s="94"/>
      <c r="D1005" s="33"/>
      <c r="E1005" s="33"/>
      <c r="F1005" s="33"/>
      <c r="G1005" s="94"/>
      <c r="H1005" s="33"/>
      <c r="I1005" s="33"/>
      <c r="J1005" s="33"/>
      <c r="K1005" s="33"/>
      <c r="L1005" s="33"/>
      <c r="M1005" s="33"/>
      <c r="N1005" s="33"/>
      <c r="O1005" s="33"/>
      <c r="P1005" s="33"/>
      <c r="Q1005" s="33"/>
      <c r="R1005" s="33"/>
      <c r="S1005" s="33"/>
      <c r="T1005" s="33"/>
      <c r="U1005" s="33"/>
      <c r="V1005" s="33"/>
      <c r="W1005" s="33"/>
      <c r="X1005" s="33"/>
      <c r="Y1005" s="33"/>
      <c r="Z1005" s="33"/>
      <c r="AA1005" s="33"/>
      <c r="AB1005" s="33"/>
    </row>
    <row r="1006">
      <c r="A1006" s="33"/>
      <c r="B1006" s="33"/>
      <c r="C1006" s="94"/>
      <c r="D1006" s="33"/>
      <c r="E1006" s="33"/>
      <c r="F1006" s="33"/>
      <c r="G1006" s="94"/>
      <c r="H1006" s="33"/>
      <c r="I1006" s="33"/>
      <c r="J1006" s="33"/>
      <c r="K1006" s="33"/>
      <c r="L1006" s="33"/>
      <c r="M1006" s="33"/>
      <c r="N1006" s="33"/>
      <c r="O1006" s="33"/>
      <c r="P1006" s="33"/>
      <c r="Q1006" s="33"/>
      <c r="R1006" s="33"/>
      <c r="S1006" s="33"/>
      <c r="T1006" s="33"/>
      <c r="U1006" s="33"/>
      <c r="V1006" s="33"/>
      <c r="W1006" s="33"/>
      <c r="X1006" s="33"/>
      <c r="Y1006" s="33"/>
      <c r="Z1006" s="33"/>
      <c r="AA1006" s="33"/>
      <c r="AB1006" s="33"/>
    </row>
    <row r="1007">
      <c r="A1007" s="33"/>
      <c r="B1007" s="33"/>
      <c r="C1007" s="94"/>
      <c r="D1007" s="33"/>
      <c r="E1007" s="33"/>
      <c r="F1007" s="33"/>
      <c r="G1007" s="94"/>
      <c r="H1007" s="33"/>
      <c r="I1007" s="33"/>
      <c r="J1007" s="33"/>
      <c r="K1007" s="33"/>
      <c r="L1007" s="33"/>
      <c r="M1007" s="33"/>
      <c r="N1007" s="33"/>
      <c r="O1007" s="33"/>
      <c r="P1007" s="33"/>
      <c r="Q1007" s="33"/>
      <c r="R1007" s="33"/>
      <c r="S1007" s="33"/>
      <c r="T1007" s="33"/>
      <c r="U1007" s="33"/>
      <c r="V1007" s="33"/>
      <c r="W1007" s="33"/>
      <c r="X1007" s="33"/>
      <c r="Y1007" s="33"/>
      <c r="Z1007" s="33"/>
      <c r="AA1007" s="33"/>
      <c r="AB1007" s="3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3.5"/>
    <col customWidth="1" min="2" max="2" width="13.25"/>
    <col customWidth="1" min="3" max="3" width="18.25"/>
    <col customWidth="1" min="4" max="4" width="90.75"/>
  </cols>
  <sheetData>
    <row r="1">
      <c r="A1" s="86"/>
      <c r="B1" s="86"/>
      <c r="C1" s="86"/>
      <c r="D1" s="86"/>
      <c r="E1" s="86"/>
      <c r="F1" s="86"/>
      <c r="G1" s="86"/>
      <c r="H1" s="86"/>
      <c r="I1" s="86"/>
      <c r="J1" s="86"/>
      <c r="K1" s="97"/>
      <c r="L1" s="97"/>
      <c r="M1" s="97"/>
      <c r="N1" s="97"/>
      <c r="O1" s="97"/>
      <c r="P1" s="97"/>
      <c r="Q1" s="97"/>
      <c r="R1" s="97"/>
      <c r="S1" s="97"/>
      <c r="T1" s="97"/>
      <c r="U1" s="97"/>
      <c r="V1" s="97"/>
      <c r="W1" s="97"/>
      <c r="X1" s="97"/>
      <c r="Y1" s="97"/>
      <c r="Z1" s="97"/>
      <c r="AA1" s="97"/>
      <c r="AB1" s="97"/>
    </row>
    <row r="2">
      <c r="A2" s="21"/>
      <c r="B2" s="98"/>
      <c r="C2" s="98" t="s">
        <v>202</v>
      </c>
      <c r="D2" s="99" t="s">
        <v>203</v>
      </c>
      <c r="E2" s="98" t="s">
        <v>204</v>
      </c>
      <c r="F2" s="21"/>
      <c r="G2" s="21"/>
      <c r="H2" s="21"/>
      <c r="I2" s="23"/>
      <c r="J2" s="21"/>
      <c r="K2" s="21"/>
      <c r="L2" s="21"/>
      <c r="M2" s="24"/>
      <c r="N2" s="25"/>
      <c r="O2" s="26"/>
      <c r="P2" s="26"/>
      <c r="Q2" s="26"/>
      <c r="R2" s="26"/>
      <c r="S2" s="26"/>
      <c r="T2" s="26"/>
      <c r="U2" s="26"/>
      <c r="V2" s="26"/>
      <c r="W2" s="26"/>
      <c r="X2" s="26"/>
      <c r="Y2" s="26"/>
      <c r="Z2" s="26"/>
      <c r="AA2" s="26"/>
      <c r="AB2" s="26"/>
    </row>
    <row r="3">
      <c r="A3" s="100"/>
      <c r="B3" s="101" t="s">
        <v>205</v>
      </c>
      <c r="C3" s="56" t="s">
        <v>206</v>
      </c>
      <c r="D3" s="56" t="s">
        <v>207</v>
      </c>
      <c r="E3" s="56" t="s">
        <v>208</v>
      </c>
      <c r="F3" s="33"/>
      <c r="G3" s="33"/>
      <c r="H3" s="33"/>
      <c r="I3" s="33"/>
      <c r="J3" s="33"/>
      <c r="K3" s="33"/>
      <c r="L3" s="33"/>
      <c r="M3" s="33"/>
      <c r="N3" s="33"/>
      <c r="O3" s="33"/>
      <c r="P3" s="33"/>
      <c r="Q3" s="33"/>
      <c r="R3" s="33"/>
      <c r="S3" s="33"/>
      <c r="T3" s="33"/>
      <c r="U3" s="33"/>
      <c r="V3" s="33"/>
      <c r="W3" s="33"/>
      <c r="X3" s="33"/>
      <c r="Y3" s="33"/>
      <c r="Z3" s="33"/>
      <c r="AA3" s="33"/>
      <c r="AB3" s="33"/>
    </row>
    <row r="4">
      <c r="A4" s="102"/>
      <c r="B4" s="103"/>
      <c r="C4" s="104" t="s">
        <v>209</v>
      </c>
      <c r="D4" s="104" t="s">
        <v>210</v>
      </c>
      <c r="E4" s="104" t="s">
        <v>211</v>
      </c>
      <c r="F4" s="105"/>
      <c r="G4" s="105"/>
      <c r="H4" s="105"/>
      <c r="I4" s="105"/>
      <c r="J4" s="105"/>
      <c r="K4" s="105"/>
      <c r="L4" s="105"/>
      <c r="M4" s="105"/>
      <c r="N4" s="105"/>
      <c r="O4" s="105"/>
      <c r="P4" s="105"/>
      <c r="Q4" s="105"/>
      <c r="R4" s="105"/>
      <c r="S4" s="105"/>
      <c r="T4" s="105"/>
      <c r="U4" s="105"/>
      <c r="V4" s="105"/>
      <c r="W4" s="105"/>
      <c r="X4" s="105"/>
      <c r="Y4" s="105"/>
      <c r="Z4" s="105"/>
      <c r="AA4" s="105"/>
      <c r="AB4" s="105"/>
    </row>
    <row r="5">
      <c r="A5" s="100"/>
      <c r="B5" s="101" t="s">
        <v>212</v>
      </c>
      <c r="C5" s="56" t="s">
        <v>213</v>
      </c>
      <c r="D5" s="56" t="s">
        <v>214</v>
      </c>
      <c r="E5" s="56" t="s">
        <v>215</v>
      </c>
      <c r="F5" s="33"/>
      <c r="G5" s="33"/>
      <c r="H5" s="33"/>
      <c r="I5" s="33"/>
      <c r="J5" s="33"/>
      <c r="K5" s="33"/>
      <c r="L5" s="33"/>
      <c r="M5" s="33"/>
      <c r="N5" s="33"/>
      <c r="O5" s="33"/>
      <c r="P5" s="33"/>
      <c r="Q5" s="33"/>
      <c r="R5" s="33"/>
      <c r="S5" s="33"/>
      <c r="T5" s="33"/>
      <c r="U5" s="33"/>
      <c r="V5" s="33"/>
      <c r="W5" s="33"/>
      <c r="X5" s="33"/>
      <c r="Y5" s="33"/>
      <c r="Z5" s="33"/>
      <c r="AA5" s="33"/>
      <c r="AB5" s="33"/>
    </row>
    <row r="6">
      <c r="A6" s="100"/>
      <c r="C6" s="56" t="s">
        <v>216</v>
      </c>
      <c r="D6" s="56" t="s">
        <v>217</v>
      </c>
      <c r="E6" s="56" t="s">
        <v>218</v>
      </c>
      <c r="F6" s="33"/>
      <c r="G6" s="33"/>
      <c r="H6" s="33"/>
      <c r="I6" s="33"/>
      <c r="J6" s="33"/>
      <c r="K6" s="33"/>
      <c r="L6" s="33"/>
      <c r="M6" s="33"/>
      <c r="N6" s="33"/>
      <c r="O6" s="33"/>
      <c r="P6" s="33"/>
      <c r="Q6" s="33"/>
      <c r="R6" s="33"/>
      <c r="S6" s="33"/>
      <c r="T6" s="33"/>
      <c r="U6" s="33"/>
      <c r="V6" s="33"/>
      <c r="W6" s="33"/>
      <c r="X6" s="33"/>
      <c r="Y6" s="33"/>
      <c r="Z6" s="33"/>
      <c r="AA6" s="33"/>
      <c r="AB6" s="33"/>
    </row>
    <row r="7">
      <c r="A7" s="100"/>
      <c r="C7" s="56" t="s">
        <v>219</v>
      </c>
      <c r="D7" s="56" t="s">
        <v>220</v>
      </c>
      <c r="E7" s="56" t="s">
        <v>221</v>
      </c>
      <c r="F7" s="33"/>
      <c r="G7" s="33"/>
      <c r="H7" s="33"/>
      <c r="I7" s="33"/>
      <c r="J7" s="33"/>
      <c r="K7" s="33"/>
      <c r="L7" s="33"/>
      <c r="M7" s="33"/>
      <c r="N7" s="33"/>
      <c r="O7" s="33"/>
      <c r="P7" s="33"/>
      <c r="Q7" s="33"/>
      <c r="R7" s="33"/>
      <c r="S7" s="33"/>
      <c r="T7" s="33"/>
      <c r="U7" s="33"/>
      <c r="V7" s="33"/>
      <c r="W7" s="33"/>
      <c r="X7" s="33"/>
      <c r="Y7" s="33"/>
      <c r="Z7" s="33"/>
      <c r="AA7" s="33"/>
      <c r="AB7" s="33"/>
    </row>
    <row r="8">
      <c r="A8" s="102"/>
      <c r="B8" s="103"/>
      <c r="C8" s="104" t="s">
        <v>222</v>
      </c>
      <c r="D8" s="104" t="s">
        <v>223</v>
      </c>
      <c r="E8" s="106" t="s">
        <v>224</v>
      </c>
      <c r="F8" s="105"/>
      <c r="G8" s="105"/>
      <c r="H8" s="105"/>
      <c r="I8" s="105"/>
      <c r="J8" s="105"/>
      <c r="K8" s="105"/>
      <c r="L8" s="105"/>
      <c r="M8" s="105"/>
      <c r="N8" s="105"/>
      <c r="O8" s="105"/>
      <c r="P8" s="105"/>
      <c r="Q8" s="105"/>
      <c r="R8" s="105"/>
      <c r="S8" s="105"/>
      <c r="T8" s="105"/>
      <c r="U8" s="105"/>
      <c r="V8" s="105"/>
      <c r="W8" s="105"/>
      <c r="X8" s="105"/>
      <c r="Y8" s="105"/>
      <c r="Z8" s="105"/>
      <c r="AA8" s="105"/>
      <c r="AB8" s="105"/>
    </row>
    <row r="9">
      <c r="A9" s="100"/>
      <c r="B9" s="101" t="s">
        <v>225</v>
      </c>
      <c r="C9" s="56" t="s">
        <v>226</v>
      </c>
      <c r="D9" s="56" t="s">
        <v>227</v>
      </c>
      <c r="E9" s="56" t="s">
        <v>228</v>
      </c>
      <c r="F9" s="33"/>
      <c r="G9" s="33"/>
      <c r="H9" s="33"/>
      <c r="I9" s="33"/>
      <c r="J9" s="33"/>
      <c r="K9" s="33"/>
      <c r="L9" s="33"/>
      <c r="M9" s="33"/>
      <c r="N9" s="33"/>
      <c r="O9" s="33"/>
      <c r="P9" s="33"/>
      <c r="Q9" s="33"/>
      <c r="R9" s="33"/>
      <c r="S9" s="33"/>
      <c r="T9" s="33"/>
      <c r="U9" s="33"/>
      <c r="V9" s="33"/>
      <c r="W9" s="33"/>
      <c r="X9" s="33"/>
      <c r="Y9" s="33"/>
      <c r="Z9" s="33"/>
      <c r="AA9" s="33"/>
      <c r="AB9" s="33"/>
    </row>
    <row r="10">
      <c r="A10" s="100"/>
      <c r="C10" s="56" t="s">
        <v>229</v>
      </c>
      <c r="D10" s="56" t="s">
        <v>230</v>
      </c>
      <c r="E10" s="56" t="s">
        <v>231</v>
      </c>
      <c r="F10" s="33"/>
      <c r="G10" s="33"/>
      <c r="H10" s="33"/>
      <c r="I10" s="33"/>
      <c r="J10" s="33"/>
      <c r="K10" s="33"/>
      <c r="L10" s="33"/>
      <c r="M10" s="33"/>
      <c r="N10" s="33"/>
      <c r="O10" s="33"/>
      <c r="P10" s="33"/>
      <c r="Q10" s="33"/>
      <c r="R10" s="33"/>
      <c r="S10" s="33"/>
      <c r="T10" s="33"/>
      <c r="U10" s="33"/>
      <c r="V10" s="33"/>
      <c r="W10" s="33"/>
      <c r="X10" s="33"/>
      <c r="Y10" s="33"/>
      <c r="Z10" s="33"/>
      <c r="AA10" s="33"/>
      <c r="AB10" s="33"/>
    </row>
    <row r="11">
      <c r="A11" s="100"/>
      <c r="C11" s="56" t="s">
        <v>232</v>
      </c>
      <c r="D11" s="56" t="s">
        <v>233</v>
      </c>
      <c r="E11" s="56" t="s">
        <v>234</v>
      </c>
      <c r="F11" s="33"/>
      <c r="G11" s="33"/>
      <c r="H11" s="33"/>
      <c r="I11" s="33"/>
      <c r="J11" s="33"/>
      <c r="K11" s="33"/>
      <c r="L11" s="33"/>
      <c r="M11" s="33"/>
      <c r="N11" s="33"/>
      <c r="O11" s="33"/>
      <c r="P11" s="33"/>
      <c r="Q11" s="33"/>
      <c r="R11" s="33"/>
      <c r="S11" s="33"/>
      <c r="T11" s="33"/>
      <c r="U11" s="33"/>
      <c r="V11" s="33"/>
      <c r="W11" s="33"/>
      <c r="X11" s="33"/>
      <c r="Y11" s="33"/>
      <c r="Z11" s="33"/>
      <c r="AA11" s="33"/>
      <c r="AB11" s="33"/>
    </row>
    <row r="12">
      <c r="A12" s="100"/>
      <c r="C12" s="56" t="s">
        <v>235</v>
      </c>
      <c r="D12" s="56" t="s">
        <v>236</v>
      </c>
      <c r="E12" s="56" t="s">
        <v>237</v>
      </c>
      <c r="F12" s="33"/>
      <c r="G12" s="33"/>
      <c r="H12" s="33"/>
      <c r="I12" s="33"/>
      <c r="J12" s="33"/>
      <c r="K12" s="33"/>
      <c r="L12" s="33"/>
      <c r="M12" s="33"/>
      <c r="N12" s="33"/>
      <c r="O12" s="33"/>
      <c r="P12" s="33"/>
      <c r="Q12" s="33"/>
      <c r="R12" s="33"/>
      <c r="S12" s="33"/>
      <c r="T12" s="33"/>
      <c r="U12" s="33"/>
      <c r="V12" s="33"/>
      <c r="W12" s="33"/>
      <c r="X12" s="33"/>
      <c r="Y12" s="33"/>
      <c r="Z12" s="33"/>
      <c r="AA12" s="33"/>
      <c r="AB12" s="33"/>
    </row>
    <row r="13">
      <c r="A13" s="102"/>
      <c r="B13" s="103"/>
      <c r="C13" s="104" t="s">
        <v>238</v>
      </c>
      <c r="D13" s="104" t="s">
        <v>239</v>
      </c>
      <c r="E13" s="106" t="s">
        <v>240</v>
      </c>
      <c r="F13" s="105"/>
      <c r="G13" s="105"/>
      <c r="H13" s="105"/>
      <c r="I13" s="105"/>
      <c r="J13" s="105"/>
      <c r="K13" s="105"/>
      <c r="L13" s="105"/>
      <c r="M13" s="105"/>
      <c r="N13" s="105"/>
      <c r="O13" s="105"/>
      <c r="P13" s="105"/>
      <c r="Q13" s="105"/>
      <c r="R13" s="105"/>
      <c r="S13" s="105"/>
      <c r="T13" s="105"/>
      <c r="U13" s="105"/>
      <c r="V13" s="105"/>
      <c r="W13" s="105"/>
      <c r="X13" s="105"/>
      <c r="Y13" s="105"/>
      <c r="Z13" s="105"/>
      <c r="AA13" s="105"/>
      <c r="AB13" s="105"/>
    </row>
    <row r="14">
      <c r="A14" s="100"/>
      <c r="B14" s="101" t="s">
        <v>241</v>
      </c>
      <c r="C14" s="56" t="s">
        <v>242</v>
      </c>
      <c r="D14" s="56" t="s">
        <v>243</v>
      </c>
      <c r="E14" s="56" t="s">
        <v>244</v>
      </c>
      <c r="F14" s="33"/>
      <c r="G14" s="33"/>
      <c r="H14" s="33"/>
      <c r="I14" s="33"/>
      <c r="J14" s="33"/>
      <c r="K14" s="33"/>
      <c r="L14" s="33"/>
      <c r="M14" s="33"/>
      <c r="N14" s="33"/>
      <c r="O14" s="33"/>
      <c r="P14" s="33"/>
      <c r="Q14" s="33"/>
      <c r="R14" s="33"/>
      <c r="S14" s="33"/>
      <c r="T14" s="33"/>
      <c r="U14" s="33"/>
      <c r="V14" s="33"/>
      <c r="W14" s="33"/>
      <c r="X14" s="33"/>
      <c r="Y14" s="33"/>
      <c r="Z14" s="33"/>
      <c r="AA14" s="33"/>
      <c r="AB14" s="33"/>
    </row>
    <row r="15">
      <c r="A15" s="100"/>
      <c r="C15" s="56" t="s">
        <v>43</v>
      </c>
      <c r="D15" s="56" t="s">
        <v>245</v>
      </c>
      <c r="E15" s="56" t="s">
        <v>246</v>
      </c>
      <c r="F15" s="33"/>
      <c r="G15" s="33"/>
      <c r="H15" s="33"/>
      <c r="I15" s="33"/>
      <c r="J15" s="33"/>
      <c r="K15" s="33"/>
      <c r="L15" s="33"/>
      <c r="M15" s="33"/>
      <c r="N15" s="33"/>
      <c r="O15" s="33"/>
      <c r="P15" s="33"/>
      <c r="Q15" s="33"/>
      <c r="R15" s="33"/>
      <c r="S15" s="33"/>
      <c r="T15" s="33"/>
      <c r="U15" s="33"/>
      <c r="V15" s="33"/>
      <c r="W15" s="33"/>
      <c r="X15" s="33"/>
      <c r="Y15" s="33"/>
      <c r="Z15" s="33"/>
      <c r="AA15" s="33"/>
      <c r="AB15" s="33"/>
    </row>
    <row r="16">
      <c r="A16" s="102"/>
      <c r="B16" s="103"/>
      <c r="C16" s="104" t="s">
        <v>247</v>
      </c>
      <c r="D16" s="104" t="s">
        <v>248</v>
      </c>
      <c r="E16" s="106" t="s">
        <v>249</v>
      </c>
      <c r="F16" s="105"/>
      <c r="G16" s="105"/>
      <c r="H16" s="105"/>
      <c r="I16" s="105"/>
      <c r="J16" s="105"/>
      <c r="K16" s="105"/>
      <c r="L16" s="105"/>
      <c r="M16" s="105"/>
      <c r="N16" s="105"/>
      <c r="O16" s="105"/>
      <c r="P16" s="105"/>
      <c r="Q16" s="105"/>
      <c r="R16" s="105"/>
      <c r="S16" s="105"/>
      <c r="T16" s="105"/>
      <c r="U16" s="105"/>
      <c r="V16" s="105"/>
      <c r="W16" s="105"/>
      <c r="X16" s="105"/>
      <c r="Y16" s="105"/>
      <c r="Z16" s="105"/>
      <c r="AA16" s="105"/>
      <c r="AB16" s="105"/>
    </row>
    <row r="17">
      <c r="A17" s="33"/>
      <c r="B17" s="107"/>
      <c r="C17" s="108" t="s">
        <v>250</v>
      </c>
      <c r="D17" s="33"/>
      <c r="E17" s="33"/>
      <c r="F17" s="33"/>
      <c r="G17" s="33"/>
      <c r="H17" s="33"/>
      <c r="I17" s="33"/>
      <c r="J17" s="33"/>
      <c r="K17" s="33"/>
      <c r="L17" s="33"/>
      <c r="M17" s="33"/>
      <c r="N17" s="33"/>
      <c r="O17" s="33"/>
      <c r="P17" s="33"/>
      <c r="Q17" s="33"/>
      <c r="R17" s="33"/>
      <c r="S17" s="33"/>
      <c r="T17" s="33"/>
      <c r="U17" s="33"/>
      <c r="V17" s="33"/>
      <c r="W17" s="33"/>
      <c r="X17" s="33"/>
      <c r="Y17" s="33"/>
      <c r="Z17" s="33"/>
      <c r="AA17" s="33"/>
      <c r="AB17" s="33"/>
    </row>
    <row r="18">
      <c r="A18" s="33"/>
      <c r="B18" s="107"/>
      <c r="C18" s="109"/>
      <c r="D18" s="33"/>
      <c r="E18" s="33"/>
      <c r="F18" s="33"/>
      <c r="G18" s="33"/>
      <c r="H18" s="33"/>
      <c r="I18" s="33"/>
      <c r="J18" s="33"/>
      <c r="K18" s="33"/>
      <c r="L18" s="33"/>
      <c r="M18" s="33"/>
      <c r="N18" s="33"/>
      <c r="O18" s="33"/>
      <c r="P18" s="33"/>
      <c r="Q18" s="33"/>
      <c r="R18" s="33"/>
      <c r="S18" s="33"/>
      <c r="T18" s="33"/>
      <c r="U18" s="33"/>
      <c r="V18" s="33"/>
      <c r="W18" s="33"/>
      <c r="X18" s="33"/>
      <c r="Y18" s="33"/>
      <c r="Z18" s="33"/>
      <c r="AA18" s="33"/>
      <c r="AB18" s="33"/>
    </row>
    <row r="19">
      <c r="A19" s="96"/>
      <c r="B19" s="110" t="s">
        <v>251</v>
      </c>
      <c r="C19" s="109"/>
      <c r="D19" s="33"/>
      <c r="E19" s="33"/>
      <c r="F19" s="33"/>
      <c r="G19" s="33"/>
      <c r="H19" s="33"/>
      <c r="I19" s="33"/>
      <c r="J19" s="33"/>
      <c r="K19" s="33"/>
      <c r="L19" s="33"/>
      <c r="M19" s="33"/>
      <c r="N19" s="33"/>
      <c r="O19" s="33"/>
      <c r="P19" s="33"/>
      <c r="Q19" s="33"/>
      <c r="R19" s="33"/>
      <c r="S19" s="33"/>
      <c r="T19" s="33"/>
      <c r="U19" s="33"/>
      <c r="V19" s="33"/>
      <c r="W19" s="33"/>
      <c r="X19" s="33"/>
      <c r="Y19" s="33"/>
      <c r="Z19" s="33"/>
      <c r="AA19" s="33"/>
      <c r="AB19" s="33"/>
    </row>
    <row r="20">
      <c r="A20" s="56"/>
      <c r="B20" s="111" t="s">
        <v>252</v>
      </c>
      <c r="C20" s="109"/>
      <c r="D20" s="33"/>
      <c r="E20" s="33"/>
      <c r="F20" s="33"/>
      <c r="G20" s="33"/>
      <c r="H20" s="33"/>
      <c r="I20" s="33"/>
      <c r="J20" s="33"/>
      <c r="K20" s="33"/>
      <c r="L20" s="33"/>
      <c r="M20" s="33"/>
      <c r="N20" s="33"/>
      <c r="O20" s="33"/>
      <c r="P20" s="33"/>
      <c r="Q20" s="33"/>
      <c r="R20" s="33"/>
      <c r="S20" s="33"/>
      <c r="T20" s="33"/>
      <c r="U20" s="33"/>
      <c r="V20" s="33"/>
      <c r="W20" s="33"/>
      <c r="X20" s="33"/>
      <c r="Y20" s="33"/>
      <c r="Z20" s="33"/>
      <c r="AA20" s="33"/>
      <c r="AB20" s="33"/>
    </row>
    <row r="21">
      <c r="A21" s="56"/>
      <c r="B21" s="111" t="s">
        <v>253</v>
      </c>
      <c r="C21" s="109"/>
      <c r="D21" s="33"/>
      <c r="E21" s="33"/>
      <c r="F21" s="33"/>
      <c r="G21" s="33"/>
      <c r="H21" s="33"/>
      <c r="I21" s="33"/>
      <c r="J21" s="33"/>
      <c r="K21" s="33"/>
      <c r="L21" s="33"/>
      <c r="M21" s="33"/>
      <c r="N21" s="33"/>
      <c r="O21" s="33"/>
      <c r="P21" s="33"/>
      <c r="Q21" s="33"/>
      <c r="R21" s="33"/>
      <c r="S21" s="33"/>
      <c r="T21" s="33"/>
      <c r="U21" s="33"/>
      <c r="V21" s="33"/>
      <c r="W21" s="33"/>
      <c r="X21" s="33"/>
      <c r="Y21" s="33"/>
      <c r="Z21" s="33"/>
      <c r="AA21" s="33"/>
      <c r="AB21" s="33"/>
    </row>
    <row r="22">
      <c r="A22" s="56"/>
      <c r="B22" s="111" t="s">
        <v>254</v>
      </c>
      <c r="C22" s="109"/>
      <c r="D22" s="33"/>
      <c r="E22" s="33"/>
      <c r="F22" s="33"/>
      <c r="G22" s="33"/>
      <c r="H22" s="33"/>
      <c r="I22" s="33"/>
      <c r="J22" s="33"/>
      <c r="K22" s="33"/>
      <c r="L22" s="33"/>
      <c r="M22" s="33"/>
      <c r="N22" s="33"/>
      <c r="O22" s="33"/>
      <c r="P22" s="33"/>
      <c r="Q22" s="33"/>
      <c r="R22" s="33"/>
      <c r="S22" s="33"/>
      <c r="T22" s="33"/>
      <c r="U22" s="33"/>
      <c r="V22" s="33"/>
      <c r="W22" s="33"/>
      <c r="X22" s="33"/>
      <c r="Y22" s="33"/>
      <c r="Z22" s="33"/>
      <c r="AA22" s="33"/>
      <c r="AB22" s="33"/>
    </row>
    <row r="23">
      <c r="A23" s="33"/>
      <c r="B23" s="107"/>
      <c r="C23" s="109"/>
      <c r="D23" s="33"/>
      <c r="E23" s="33"/>
      <c r="F23" s="33"/>
      <c r="G23" s="33"/>
      <c r="H23" s="33"/>
      <c r="I23" s="33"/>
      <c r="J23" s="33"/>
      <c r="K23" s="33"/>
      <c r="L23" s="33"/>
      <c r="M23" s="33"/>
      <c r="N23" s="33"/>
      <c r="O23" s="33"/>
      <c r="P23" s="33"/>
      <c r="Q23" s="33"/>
      <c r="R23" s="33"/>
      <c r="S23" s="33"/>
      <c r="T23" s="33"/>
      <c r="U23" s="33"/>
      <c r="V23" s="33"/>
      <c r="W23" s="33"/>
      <c r="X23" s="33"/>
      <c r="Y23" s="33"/>
      <c r="Z23" s="33"/>
      <c r="AA23" s="33"/>
      <c r="AB23" s="33"/>
    </row>
    <row r="24">
      <c r="A24" s="33"/>
      <c r="B24" s="110" t="s">
        <v>255</v>
      </c>
      <c r="C24" s="109"/>
      <c r="D24" s="33"/>
      <c r="E24" s="33"/>
      <c r="F24" s="33"/>
      <c r="G24" s="33"/>
      <c r="H24" s="33"/>
      <c r="I24" s="33"/>
      <c r="J24" s="33"/>
      <c r="K24" s="33"/>
      <c r="L24" s="33"/>
      <c r="M24" s="33"/>
      <c r="N24" s="33"/>
      <c r="O24" s="33"/>
      <c r="P24" s="33"/>
      <c r="Q24" s="33"/>
      <c r="R24" s="33"/>
      <c r="S24" s="33"/>
      <c r="T24" s="33"/>
      <c r="U24" s="33"/>
      <c r="V24" s="33"/>
      <c r="W24" s="33"/>
      <c r="X24" s="33"/>
      <c r="Y24" s="33"/>
      <c r="Z24" s="33"/>
      <c r="AA24" s="33"/>
      <c r="AB24" s="33"/>
    </row>
    <row r="25">
      <c r="A25" s="33"/>
      <c r="B25" s="112" t="s">
        <v>256</v>
      </c>
      <c r="D25" s="113"/>
      <c r="E25" s="33"/>
      <c r="F25" s="33"/>
      <c r="G25" s="33"/>
      <c r="H25" s="33"/>
      <c r="I25" s="33"/>
      <c r="J25" s="33"/>
      <c r="K25" s="33"/>
      <c r="L25" s="33"/>
      <c r="M25" s="33"/>
      <c r="N25" s="33"/>
      <c r="O25" s="33"/>
      <c r="P25" s="33"/>
      <c r="Q25" s="33"/>
      <c r="R25" s="33"/>
      <c r="S25" s="33"/>
      <c r="T25" s="33"/>
      <c r="U25" s="33"/>
      <c r="V25" s="33"/>
      <c r="W25" s="33"/>
      <c r="X25" s="33"/>
      <c r="Y25" s="33"/>
      <c r="Z25" s="33"/>
      <c r="AA25" s="33"/>
      <c r="AB25" s="33"/>
    </row>
    <row r="26">
      <c r="A26" s="33"/>
      <c r="B26" s="114"/>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row>
    <row r="27">
      <c r="A27" s="33"/>
      <c r="B27" s="114"/>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row>
    <row r="28">
      <c r="A28" s="33"/>
      <c r="B28" s="114"/>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row>
    <row r="29">
      <c r="A29" s="33"/>
      <c r="B29" s="114"/>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row>
    <row r="30">
      <c r="A30" s="33"/>
      <c r="B30" s="114"/>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row>
    <row r="31">
      <c r="A31" s="33"/>
      <c r="B31" s="114"/>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row>
    <row r="32">
      <c r="A32" s="33"/>
      <c r="B32" s="114"/>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row>
    <row r="33">
      <c r="A33" s="33"/>
      <c r="B33" s="114"/>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row>
    <row r="34">
      <c r="A34" s="33"/>
      <c r="B34" s="114"/>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row>
    <row r="35">
      <c r="A35" s="33"/>
      <c r="B35" s="114"/>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row>
    <row r="36">
      <c r="A36" s="33"/>
      <c r="B36" s="114"/>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row>
    <row r="37">
      <c r="A37" s="33"/>
      <c r="B37" s="114"/>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row>
    <row r="38">
      <c r="A38" s="33"/>
      <c r="B38" s="114"/>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row>
    <row r="39">
      <c r="A39" s="33"/>
      <c r="B39" s="114"/>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row>
    <row r="40">
      <c r="A40" s="33"/>
      <c r="B40" s="114"/>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row>
    <row r="41">
      <c r="A41" s="33"/>
      <c r="B41" s="114"/>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row>
    <row r="42">
      <c r="A42" s="33"/>
      <c r="B42" s="114"/>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row>
    <row r="43">
      <c r="A43" s="33"/>
      <c r="B43" s="114"/>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row>
    <row r="44">
      <c r="A44" s="33"/>
      <c r="B44" s="114"/>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row>
    <row r="45">
      <c r="A45" s="33"/>
      <c r="B45" s="114"/>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row>
    <row r="46">
      <c r="A46" s="33"/>
      <c r="B46" s="114"/>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row>
    <row r="47">
      <c r="A47" s="33"/>
      <c r="B47" s="114"/>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row>
    <row r="48">
      <c r="A48" s="33"/>
      <c r="B48" s="114"/>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row>
    <row r="49">
      <c r="A49" s="33"/>
      <c r="B49" s="114"/>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row>
    <row r="50">
      <c r="A50" s="33"/>
      <c r="B50" s="114"/>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row>
    <row r="51">
      <c r="A51" s="33"/>
      <c r="B51" s="114"/>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row>
    <row r="52">
      <c r="A52" s="33"/>
      <c r="B52" s="114"/>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row>
    <row r="53">
      <c r="A53" s="33"/>
      <c r="B53" s="114"/>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row>
    <row r="54">
      <c r="A54" s="33"/>
      <c r="B54" s="114"/>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row>
    <row r="55">
      <c r="A55" s="33"/>
      <c r="B55" s="114"/>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row>
    <row r="56">
      <c r="A56" s="33"/>
      <c r="B56" s="114"/>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row>
    <row r="57">
      <c r="A57" s="33"/>
      <c r="B57" s="114"/>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row>
    <row r="58">
      <c r="A58" s="33"/>
      <c r="B58" s="114"/>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row>
    <row r="59">
      <c r="A59" s="33"/>
      <c r="B59" s="114"/>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row>
    <row r="60">
      <c r="A60" s="33"/>
      <c r="B60" s="114"/>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row>
    <row r="61">
      <c r="A61" s="33"/>
      <c r="B61" s="114"/>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row>
    <row r="62">
      <c r="A62" s="33"/>
      <c r="B62" s="114"/>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row>
    <row r="63">
      <c r="A63" s="33"/>
      <c r="B63" s="114"/>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row>
    <row r="64">
      <c r="A64" s="33"/>
      <c r="B64" s="114"/>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row>
    <row r="65">
      <c r="A65" s="33"/>
      <c r="B65" s="114"/>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row>
    <row r="66">
      <c r="A66" s="33"/>
      <c r="B66" s="114"/>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row>
    <row r="67">
      <c r="A67" s="33"/>
      <c r="B67" s="114"/>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row>
    <row r="68">
      <c r="A68" s="33"/>
      <c r="B68" s="114"/>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row>
    <row r="69">
      <c r="A69" s="33"/>
      <c r="B69" s="114"/>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row>
    <row r="70">
      <c r="A70" s="33"/>
      <c r="B70" s="114"/>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row>
    <row r="71">
      <c r="A71" s="33"/>
      <c r="B71" s="114"/>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row>
    <row r="72">
      <c r="A72" s="33"/>
      <c r="B72" s="114"/>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row>
    <row r="73">
      <c r="A73" s="33"/>
      <c r="B73" s="114"/>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row>
    <row r="74">
      <c r="A74" s="33"/>
      <c r="B74" s="114"/>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row>
    <row r="75">
      <c r="A75" s="33"/>
      <c r="B75" s="114"/>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row>
    <row r="76">
      <c r="A76" s="33"/>
      <c r="B76" s="114"/>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row>
    <row r="77">
      <c r="A77" s="33"/>
      <c r="B77" s="114"/>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row>
    <row r="78">
      <c r="A78" s="33"/>
      <c r="B78" s="114"/>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row>
    <row r="79">
      <c r="A79" s="33"/>
      <c r="B79" s="114"/>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row>
    <row r="80">
      <c r="A80" s="33"/>
      <c r="B80" s="114"/>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row>
    <row r="81">
      <c r="A81" s="33"/>
      <c r="B81" s="114"/>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row>
    <row r="82">
      <c r="A82" s="33"/>
      <c r="B82" s="114"/>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row>
    <row r="83">
      <c r="A83" s="33"/>
      <c r="B83" s="114"/>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row>
    <row r="84">
      <c r="A84" s="33"/>
      <c r="B84" s="114"/>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row>
    <row r="85">
      <c r="A85" s="33"/>
      <c r="B85" s="114"/>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row>
    <row r="86">
      <c r="A86" s="33"/>
      <c r="B86" s="114"/>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row>
    <row r="87">
      <c r="A87" s="33"/>
      <c r="B87" s="114"/>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row>
    <row r="88">
      <c r="A88" s="33"/>
      <c r="B88" s="114"/>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row>
    <row r="89">
      <c r="A89" s="33"/>
      <c r="B89" s="114"/>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row>
    <row r="90">
      <c r="A90" s="33"/>
      <c r="B90" s="114"/>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row>
    <row r="91">
      <c r="A91" s="33"/>
      <c r="B91" s="114"/>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row>
    <row r="92">
      <c r="A92" s="33"/>
      <c r="B92" s="114"/>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row>
    <row r="93">
      <c r="A93" s="33"/>
      <c r="B93" s="114"/>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row>
    <row r="94">
      <c r="A94" s="33"/>
      <c r="B94" s="114"/>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row>
    <row r="95">
      <c r="A95" s="33"/>
      <c r="B95" s="114"/>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row>
    <row r="96">
      <c r="A96" s="33"/>
      <c r="B96" s="114"/>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row>
    <row r="97">
      <c r="A97" s="33"/>
      <c r="B97" s="114"/>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row>
    <row r="98">
      <c r="A98" s="33"/>
      <c r="B98" s="114"/>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row>
    <row r="99">
      <c r="A99" s="33"/>
      <c r="B99" s="114"/>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row>
    <row r="100">
      <c r="A100" s="33"/>
      <c r="B100" s="114"/>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row>
    <row r="101">
      <c r="A101" s="33"/>
      <c r="B101" s="114"/>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row>
    <row r="102">
      <c r="A102" s="33"/>
      <c r="B102" s="114"/>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row>
    <row r="103">
      <c r="A103" s="33"/>
      <c r="B103" s="114"/>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row>
    <row r="104">
      <c r="A104" s="33"/>
      <c r="B104" s="114"/>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row>
    <row r="105">
      <c r="A105" s="33"/>
      <c r="B105" s="114"/>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row>
    <row r="106">
      <c r="A106" s="33"/>
      <c r="B106" s="114"/>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row>
    <row r="107">
      <c r="A107" s="33"/>
      <c r="B107" s="114"/>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row>
    <row r="108">
      <c r="A108" s="33"/>
      <c r="B108" s="114"/>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row>
    <row r="109">
      <c r="A109" s="33"/>
      <c r="B109" s="114"/>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row>
    <row r="110">
      <c r="A110" s="33"/>
      <c r="B110" s="114"/>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row>
    <row r="111">
      <c r="A111" s="33"/>
      <c r="B111" s="114"/>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row>
    <row r="112">
      <c r="A112" s="33"/>
      <c r="B112" s="114"/>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row>
    <row r="113">
      <c r="A113" s="33"/>
      <c r="B113" s="114"/>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row>
    <row r="114">
      <c r="A114" s="33"/>
      <c r="B114" s="114"/>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row>
    <row r="115">
      <c r="A115" s="33"/>
      <c r="B115" s="114"/>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row>
    <row r="116">
      <c r="A116" s="33"/>
      <c r="B116" s="114"/>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row>
    <row r="117">
      <c r="A117" s="33"/>
      <c r="B117" s="114"/>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row>
    <row r="118">
      <c r="A118" s="33"/>
      <c r="B118" s="114"/>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row>
    <row r="119">
      <c r="A119" s="33"/>
      <c r="B119" s="114"/>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row>
    <row r="120">
      <c r="A120" s="33"/>
      <c r="B120" s="114"/>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row>
    <row r="121">
      <c r="A121" s="33"/>
      <c r="B121" s="114"/>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row>
    <row r="122">
      <c r="A122" s="33"/>
      <c r="B122" s="114"/>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row>
    <row r="123">
      <c r="A123" s="33"/>
      <c r="B123" s="114"/>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row>
    <row r="124">
      <c r="A124" s="33"/>
      <c r="B124" s="114"/>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row>
    <row r="125">
      <c r="A125" s="33"/>
      <c r="B125" s="114"/>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row>
    <row r="126">
      <c r="A126" s="33"/>
      <c r="B126" s="114"/>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row>
    <row r="127">
      <c r="A127" s="33"/>
      <c r="B127" s="114"/>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row>
    <row r="128">
      <c r="A128" s="33"/>
      <c r="B128" s="114"/>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row>
    <row r="129">
      <c r="A129" s="33"/>
      <c r="B129" s="114"/>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row>
    <row r="130">
      <c r="A130" s="33"/>
      <c r="B130" s="114"/>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row>
    <row r="131">
      <c r="A131" s="33"/>
      <c r="B131" s="114"/>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row>
    <row r="132">
      <c r="A132" s="33"/>
      <c r="B132" s="114"/>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row>
    <row r="133">
      <c r="A133" s="33"/>
      <c r="B133" s="114"/>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row>
    <row r="134">
      <c r="A134" s="33"/>
      <c r="B134" s="114"/>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row>
    <row r="135">
      <c r="A135" s="33"/>
      <c r="B135" s="114"/>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row>
    <row r="136">
      <c r="A136" s="33"/>
      <c r="B136" s="114"/>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row>
    <row r="137">
      <c r="A137" s="33"/>
      <c r="B137" s="114"/>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row>
    <row r="138">
      <c r="A138" s="33"/>
      <c r="B138" s="114"/>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row>
    <row r="139">
      <c r="A139" s="33"/>
      <c r="B139" s="114"/>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row>
    <row r="140">
      <c r="A140" s="33"/>
      <c r="B140" s="114"/>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row>
    <row r="141">
      <c r="A141" s="33"/>
      <c r="B141" s="114"/>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row>
    <row r="142">
      <c r="A142" s="33"/>
      <c r="B142" s="114"/>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row>
    <row r="143">
      <c r="A143" s="33"/>
      <c r="B143" s="114"/>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row>
    <row r="144">
      <c r="A144" s="33"/>
      <c r="B144" s="114"/>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row>
    <row r="145">
      <c r="A145" s="33"/>
      <c r="B145" s="114"/>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row>
    <row r="146">
      <c r="A146" s="33"/>
      <c r="B146" s="114"/>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row>
    <row r="147">
      <c r="A147" s="33"/>
      <c r="B147" s="114"/>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row>
    <row r="148">
      <c r="A148" s="33"/>
      <c r="B148" s="114"/>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row>
    <row r="149">
      <c r="A149" s="33"/>
      <c r="B149" s="114"/>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row>
    <row r="150">
      <c r="A150" s="33"/>
      <c r="B150" s="114"/>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row>
    <row r="151">
      <c r="A151" s="33"/>
      <c r="B151" s="114"/>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row>
    <row r="152">
      <c r="A152" s="33"/>
      <c r="B152" s="114"/>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row>
    <row r="153">
      <c r="A153" s="33"/>
      <c r="B153" s="114"/>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row>
    <row r="154">
      <c r="A154" s="33"/>
      <c r="B154" s="114"/>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row>
    <row r="155">
      <c r="A155" s="33"/>
      <c r="B155" s="114"/>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row>
    <row r="156">
      <c r="A156" s="33"/>
      <c r="B156" s="114"/>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row>
    <row r="157">
      <c r="A157" s="33"/>
      <c r="B157" s="114"/>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row>
    <row r="158">
      <c r="A158" s="33"/>
      <c r="B158" s="114"/>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row>
    <row r="159">
      <c r="A159" s="33"/>
      <c r="B159" s="114"/>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row>
    <row r="160">
      <c r="A160" s="33"/>
      <c r="B160" s="114"/>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row>
    <row r="161">
      <c r="A161" s="33"/>
      <c r="B161" s="114"/>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row>
    <row r="162">
      <c r="A162" s="33"/>
      <c r="B162" s="114"/>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row>
    <row r="163">
      <c r="A163" s="33"/>
      <c r="B163" s="114"/>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row>
    <row r="164">
      <c r="A164" s="33"/>
      <c r="B164" s="114"/>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row>
    <row r="165">
      <c r="A165" s="33"/>
      <c r="B165" s="114"/>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row>
    <row r="166">
      <c r="A166" s="33"/>
      <c r="B166" s="114"/>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row>
    <row r="167">
      <c r="A167" s="33"/>
      <c r="B167" s="114"/>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row>
    <row r="168">
      <c r="A168" s="33"/>
      <c r="B168" s="114"/>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row>
    <row r="169">
      <c r="A169" s="33"/>
      <c r="B169" s="114"/>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row>
    <row r="170">
      <c r="A170" s="33"/>
      <c r="B170" s="114"/>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row>
    <row r="171">
      <c r="A171" s="33"/>
      <c r="B171" s="114"/>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row>
    <row r="172">
      <c r="A172" s="33"/>
      <c r="B172" s="114"/>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row>
    <row r="173">
      <c r="A173" s="33"/>
      <c r="B173" s="114"/>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row>
    <row r="174">
      <c r="A174" s="33"/>
      <c r="B174" s="114"/>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row>
    <row r="175">
      <c r="A175" s="33"/>
      <c r="B175" s="114"/>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row>
    <row r="176">
      <c r="A176" s="33"/>
      <c r="B176" s="114"/>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row>
    <row r="177">
      <c r="A177" s="33"/>
      <c r="B177" s="114"/>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row>
    <row r="178">
      <c r="A178" s="33"/>
      <c r="B178" s="114"/>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row>
    <row r="179">
      <c r="A179" s="33"/>
      <c r="B179" s="114"/>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row>
    <row r="180">
      <c r="A180" s="33"/>
      <c r="B180" s="114"/>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row>
    <row r="181">
      <c r="A181" s="33"/>
      <c r="B181" s="114"/>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row>
    <row r="182">
      <c r="A182" s="33"/>
      <c r="B182" s="114"/>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row>
    <row r="183">
      <c r="A183" s="33"/>
      <c r="B183" s="114"/>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row>
    <row r="184">
      <c r="A184" s="33"/>
      <c r="B184" s="114"/>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row>
    <row r="185">
      <c r="A185" s="33"/>
      <c r="B185" s="114"/>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row>
    <row r="186">
      <c r="A186" s="33"/>
      <c r="B186" s="114"/>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row>
    <row r="187">
      <c r="A187" s="33"/>
      <c r="B187" s="114"/>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row>
    <row r="188">
      <c r="A188" s="33"/>
      <c r="B188" s="114"/>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row>
    <row r="189">
      <c r="A189" s="33"/>
      <c r="B189" s="114"/>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row>
    <row r="190">
      <c r="A190" s="33"/>
      <c r="B190" s="114"/>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row>
    <row r="191">
      <c r="A191" s="33"/>
      <c r="B191" s="114"/>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row>
    <row r="192">
      <c r="A192" s="33"/>
      <c r="B192" s="114"/>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row>
    <row r="193">
      <c r="A193" s="33"/>
      <c r="B193" s="114"/>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row>
    <row r="194">
      <c r="A194" s="33"/>
      <c r="B194" s="114"/>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row>
    <row r="195">
      <c r="A195" s="33"/>
      <c r="B195" s="114"/>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row>
    <row r="196">
      <c r="A196" s="33"/>
      <c r="B196" s="114"/>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row>
    <row r="197">
      <c r="A197" s="33"/>
      <c r="B197" s="114"/>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row>
    <row r="198">
      <c r="A198" s="33"/>
      <c r="B198" s="114"/>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row>
    <row r="199">
      <c r="A199" s="33"/>
      <c r="B199" s="114"/>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row>
    <row r="200">
      <c r="A200" s="33"/>
      <c r="B200" s="114"/>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row>
    <row r="201">
      <c r="A201" s="33"/>
      <c r="B201" s="114"/>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row>
    <row r="202">
      <c r="A202" s="33"/>
      <c r="B202" s="114"/>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row>
    <row r="203">
      <c r="A203" s="33"/>
      <c r="B203" s="114"/>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row>
    <row r="204">
      <c r="A204" s="33"/>
      <c r="B204" s="114"/>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row>
    <row r="205">
      <c r="A205" s="33"/>
      <c r="B205" s="114"/>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row>
    <row r="206">
      <c r="A206" s="33"/>
      <c r="B206" s="114"/>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row>
    <row r="207">
      <c r="A207" s="33"/>
      <c r="B207" s="114"/>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row>
    <row r="208">
      <c r="A208" s="33"/>
      <c r="B208" s="114"/>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row>
    <row r="209">
      <c r="A209" s="33"/>
      <c r="B209" s="114"/>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row>
    <row r="210">
      <c r="A210" s="33"/>
      <c r="B210" s="114"/>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row>
    <row r="211">
      <c r="A211" s="33"/>
      <c r="B211" s="114"/>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row>
    <row r="212">
      <c r="A212" s="33"/>
      <c r="B212" s="114"/>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row>
    <row r="213">
      <c r="A213" s="33"/>
      <c r="B213" s="114"/>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row>
    <row r="214">
      <c r="A214" s="33"/>
      <c r="B214" s="114"/>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row>
    <row r="215">
      <c r="A215" s="33"/>
      <c r="B215" s="114"/>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row>
    <row r="216">
      <c r="A216" s="33"/>
      <c r="B216" s="114"/>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row>
    <row r="217">
      <c r="A217" s="33"/>
      <c r="B217" s="114"/>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row>
    <row r="218">
      <c r="A218" s="33"/>
      <c r="B218" s="114"/>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row>
    <row r="219">
      <c r="A219" s="33"/>
      <c r="B219" s="114"/>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row>
    <row r="220">
      <c r="A220" s="33"/>
      <c r="B220" s="114"/>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row>
    <row r="221">
      <c r="A221" s="33"/>
      <c r="B221" s="114"/>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row>
    <row r="222">
      <c r="A222" s="33"/>
      <c r="B222" s="114"/>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row>
    <row r="223">
      <c r="A223" s="33"/>
      <c r="B223" s="114"/>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row>
    <row r="224">
      <c r="A224" s="33"/>
      <c r="B224" s="114"/>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row>
    <row r="225">
      <c r="A225" s="33"/>
      <c r="B225" s="114"/>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row>
    <row r="226">
      <c r="A226" s="33"/>
      <c r="B226" s="114"/>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row>
    <row r="227">
      <c r="A227" s="33"/>
      <c r="B227" s="114"/>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row>
    <row r="228">
      <c r="A228" s="33"/>
      <c r="B228" s="114"/>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row>
    <row r="229">
      <c r="A229" s="33"/>
      <c r="B229" s="114"/>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row>
    <row r="230">
      <c r="A230" s="33"/>
      <c r="B230" s="114"/>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row>
    <row r="231">
      <c r="A231" s="33"/>
      <c r="B231" s="114"/>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row>
    <row r="232">
      <c r="A232" s="33"/>
      <c r="B232" s="114"/>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row>
    <row r="233">
      <c r="A233" s="33"/>
      <c r="B233" s="114"/>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row>
    <row r="234">
      <c r="A234" s="33"/>
      <c r="B234" s="114"/>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row>
    <row r="235">
      <c r="A235" s="33"/>
      <c r="B235" s="114"/>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row>
    <row r="236">
      <c r="A236" s="33"/>
      <c r="B236" s="114"/>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row>
    <row r="237">
      <c r="A237" s="33"/>
      <c r="B237" s="114"/>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row>
    <row r="238">
      <c r="A238" s="33"/>
      <c r="B238" s="114"/>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row>
    <row r="239">
      <c r="A239" s="33"/>
      <c r="B239" s="114"/>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row>
    <row r="240">
      <c r="A240" s="33"/>
      <c r="B240" s="114"/>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row>
    <row r="241">
      <c r="A241" s="33"/>
      <c r="B241" s="114"/>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row>
    <row r="242">
      <c r="A242" s="33"/>
      <c r="B242" s="114"/>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row>
    <row r="243">
      <c r="A243" s="33"/>
      <c r="B243" s="114"/>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row>
    <row r="244">
      <c r="A244" s="33"/>
      <c r="B244" s="114"/>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row>
    <row r="245">
      <c r="A245" s="33"/>
      <c r="B245" s="114"/>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row>
    <row r="246">
      <c r="A246" s="33"/>
      <c r="B246" s="114"/>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row>
    <row r="247">
      <c r="A247" s="33"/>
      <c r="B247" s="114"/>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row>
    <row r="248">
      <c r="A248" s="33"/>
      <c r="B248" s="114"/>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row>
    <row r="249">
      <c r="A249" s="33"/>
      <c r="B249" s="114"/>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row>
    <row r="250">
      <c r="A250" s="33"/>
      <c r="B250" s="114"/>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row>
    <row r="251">
      <c r="A251" s="33"/>
      <c r="B251" s="114"/>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row>
    <row r="252">
      <c r="A252" s="33"/>
      <c r="B252" s="114"/>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row>
    <row r="253">
      <c r="A253" s="33"/>
      <c r="B253" s="114"/>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row>
    <row r="254">
      <c r="A254" s="33"/>
      <c r="B254" s="114"/>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row>
    <row r="255">
      <c r="A255" s="33"/>
      <c r="B255" s="114"/>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row>
    <row r="256">
      <c r="A256" s="33"/>
      <c r="B256" s="114"/>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row>
    <row r="257">
      <c r="A257" s="33"/>
      <c r="B257" s="114"/>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row>
    <row r="258">
      <c r="A258" s="33"/>
      <c r="B258" s="114"/>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row>
    <row r="259">
      <c r="A259" s="33"/>
      <c r="B259" s="114"/>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row>
    <row r="260">
      <c r="A260" s="33"/>
      <c r="B260" s="114"/>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row>
    <row r="261">
      <c r="A261" s="33"/>
      <c r="B261" s="114"/>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row>
    <row r="262">
      <c r="A262" s="33"/>
      <c r="B262" s="114"/>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row>
    <row r="263">
      <c r="A263" s="33"/>
      <c r="B263" s="114"/>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row>
    <row r="264">
      <c r="A264" s="33"/>
      <c r="B264" s="114"/>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row>
    <row r="265">
      <c r="A265" s="33"/>
      <c r="B265" s="114"/>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row>
    <row r="266">
      <c r="A266" s="33"/>
      <c r="B266" s="114"/>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row>
    <row r="267">
      <c r="A267" s="33"/>
      <c r="B267" s="114"/>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row>
    <row r="268">
      <c r="A268" s="33"/>
      <c r="B268" s="114"/>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row>
    <row r="269">
      <c r="A269" s="33"/>
      <c r="B269" s="114"/>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row>
    <row r="270">
      <c r="A270" s="33"/>
      <c r="B270" s="114"/>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row>
    <row r="271">
      <c r="A271" s="33"/>
      <c r="B271" s="114"/>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row>
    <row r="272">
      <c r="A272" s="33"/>
      <c r="B272" s="114"/>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row>
    <row r="273">
      <c r="A273" s="33"/>
      <c r="B273" s="114"/>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row>
    <row r="274">
      <c r="A274" s="33"/>
      <c r="B274" s="114"/>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row>
    <row r="275">
      <c r="A275" s="33"/>
      <c r="B275" s="114"/>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row>
    <row r="276">
      <c r="A276" s="33"/>
      <c r="B276" s="114"/>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row>
    <row r="277">
      <c r="A277" s="33"/>
      <c r="B277" s="114"/>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row>
    <row r="278">
      <c r="A278" s="33"/>
      <c r="B278" s="114"/>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row>
    <row r="279">
      <c r="A279" s="33"/>
      <c r="B279" s="114"/>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row>
    <row r="280">
      <c r="A280" s="33"/>
      <c r="B280" s="114"/>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row>
    <row r="281">
      <c r="A281" s="33"/>
      <c r="B281" s="114"/>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row>
    <row r="282">
      <c r="A282" s="33"/>
      <c r="B282" s="114"/>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row>
    <row r="283">
      <c r="A283" s="33"/>
      <c r="B283" s="114"/>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row>
    <row r="284">
      <c r="A284" s="33"/>
      <c r="B284" s="114"/>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row>
    <row r="285">
      <c r="A285" s="33"/>
      <c r="B285" s="114"/>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row>
    <row r="286">
      <c r="A286" s="33"/>
      <c r="B286" s="114"/>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row>
    <row r="287">
      <c r="A287" s="33"/>
      <c r="B287" s="114"/>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row>
    <row r="288">
      <c r="A288" s="33"/>
      <c r="B288" s="114"/>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row>
    <row r="289">
      <c r="A289" s="33"/>
      <c r="B289" s="114"/>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row>
    <row r="290">
      <c r="A290" s="33"/>
      <c r="B290" s="114"/>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row>
    <row r="291">
      <c r="A291" s="33"/>
      <c r="B291" s="114"/>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row>
    <row r="292">
      <c r="A292" s="33"/>
      <c r="B292" s="114"/>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row>
    <row r="293">
      <c r="A293" s="33"/>
      <c r="B293" s="114"/>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row>
    <row r="294">
      <c r="A294" s="33"/>
      <c r="B294" s="114"/>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row>
    <row r="295">
      <c r="A295" s="33"/>
      <c r="B295" s="114"/>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row>
    <row r="296">
      <c r="A296" s="33"/>
      <c r="B296" s="114"/>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row>
    <row r="297">
      <c r="A297" s="33"/>
      <c r="B297" s="114"/>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row>
    <row r="298">
      <c r="A298" s="33"/>
      <c r="B298" s="114"/>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row>
    <row r="299">
      <c r="A299" s="33"/>
      <c r="B299" s="114"/>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row>
    <row r="300">
      <c r="A300" s="33"/>
      <c r="B300" s="114"/>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row>
    <row r="301">
      <c r="A301" s="33"/>
      <c r="B301" s="114"/>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row>
    <row r="302">
      <c r="A302" s="33"/>
      <c r="B302" s="114"/>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row>
    <row r="303">
      <c r="A303" s="33"/>
      <c r="B303" s="114"/>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row>
    <row r="304">
      <c r="A304" s="33"/>
      <c r="B304" s="114"/>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row>
    <row r="305">
      <c r="A305" s="33"/>
      <c r="B305" s="114"/>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row>
    <row r="306">
      <c r="A306" s="33"/>
      <c r="B306" s="114"/>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row>
    <row r="307">
      <c r="A307" s="33"/>
      <c r="B307" s="114"/>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row>
    <row r="308">
      <c r="A308" s="33"/>
      <c r="B308" s="114"/>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row>
    <row r="309">
      <c r="A309" s="33"/>
      <c r="B309" s="114"/>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row>
    <row r="310">
      <c r="A310" s="33"/>
      <c r="B310" s="114"/>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row>
    <row r="311">
      <c r="A311" s="33"/>
      <c r="B311" s="114"/>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row>
    <row r="312">
      <c r="A312" s="33"/>
      <c r="B312" s="114"/>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row>
    <row r="313">
      <c r="A313" s="33"/>
      <c r="B313" s="114"/>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row>
    <row r="314">
      <c r="A314" s="33"/>
      <c r="B314" s="114"/>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row>
    <row r="315">
      <c r="A315" s="33"/>
      <c r="B315" s="114"/>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row>
    <row r="316">
      <c r="A316" s="33"/>
      <c r="B316" s="114"/>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row>
    <row r="317">
      <c r="A317" s="33"/>
      <c r="B317" s="114"/>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row>
    <row r="318">
      <c r="A318" s="33"/>
      <c r="B318" s="114"/>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row>
    <row r="319">
      <c r="A319" s="33"/>
      <c r="B319" s="114"/>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row>
    <row r="320">
      <c r="A320" s="33"/>
      <c r="B320" s="114"/>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row>
    <row r="321">
      <c r="A321" s="33"/>
      <c r="B321" s="114"/>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row>
    <row r="322">
      <c r="A322" s="33"/>
      <c r="B322" s="114"/>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row>
    <row r="323">
      <c r="A323" s="33"/>
      <c r="B323" s="114"/>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row>
    <row r="324">
      <c r="A324" s="33"/>
      <c r="B324" s="114"/>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row>
    <row r="325">
      <c r="A325" s="33"/>
      <c r="B325" s="114"/>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row>
    <row r="326">
      <c r="A326" s="33"/>
      <c r="B326" s="114"/>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row>
    <row r="327">
      <c r="A327" s="33"/>
      <c r="B327" s="114"/>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row>
    <row r="328">
      <c r="A328" s="33"/>
      <c r="B328" s="114"/>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row>
    <row r="329">
      <c r="A329" s="33"/>
      <c r="B329" s="114"/>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row>
    <row r="330">
      <c r="A330" s="33"/>
      <c r="B330" s="114"/>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row>
    <row r="331">
      <c r="A331" s="33"/>
      <c r="B331" s="114"/>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row>
    <row r="332">
      <c r="A332" s="33"/>
      <c r="B332" s="114"/>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row>
    <row r="333">
      <c r="A333" s="33"/>
      <c r="B333" s="114"/>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row>
    <row r="334">
      <c r="A334" s="33"/>
      <c r="B334" s="114"/>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row>
    <row r="335">
      <c r="A335" s="33"/>
      <c r="B335" s="114"/>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row>
    <row r="336">
      <c r="A336" s="33"/>
      <c r="B336" s="114"/>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row>
    <row r="337">
      <c r="A337" s="33"/>
      <c r="B337" s="114"/>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row>
    <row r="338">
      <c r="A338" s="33"/>
      <c r="B338" s="114"/>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row>
    <row r="339">
      <c r="A339" s="33"/>
      <c r="B339" s="114"/>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row>
    <row r="340">
      <c r="A340" s="33"/>
      <c r="B340" s="114"/>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row>
    <row r="341">
      <c r="A341" s="33"/>
      <c r="B341" s="114"/>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row>
    <row r="342">
      <c r="A342" s="33"/>
      <c r="B342" s="114"/>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row>
    <row r="343">
      <c r="A343" s="33"/>
      <c r="B343" s="114"/>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row>
    <row r="344">
      <c r="A344" s="33"/>
      <c r="B344" s="114"/>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row>
    <row r="345">
      <c r="A345" s="33"/>
      <c r="B345" s="114"/>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row>
    <row r="346">
      <c r="A346" s="33"/>
      <c r="B346" s="114"/>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row>
    <row r="347">
      <c r="A347" s="33"/>
      <c r="B347" s="114"/>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row>
    <row r="348">
      <c r="A348" s="33"/>
      <c r="B348" s="114"/>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row>
    <row r="349">
      <c r="A349" s="33"/>
      <c r="B349" s="114"/>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row>
    <row r="350">
      <c r="A350" s="33"/>
      <c r="B350" s="114"/>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row>
    <row r="351">
      <c r="A351" s="33"/>
      <c r="B351" s="114"/>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row>
    <row r="352">
      <c r="A352" s="33"/>
      <c r="B352" s="114"/>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row>
    <row r="353">
      <c r="A353" s="33"/>
      <c r="B353" s="114"/>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row>
    <row r="354">
      <c r="A354" s="33"/>
      <c r="B354" s="114"/>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row>
    <row r="355">
      <c r="A355" s="33"/>
      <c r="B355" s="114"/>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row>
    <row r="356">
      <c r="A356" s="33"/>
      <c r="B356" s="114"/>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row>
    <row r="357">
      <c r="A357" s="33"/>
      <c r="B357" s="114"/>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row>
    <row r="358">
      <c r="A358" s="33"/>
      <c r="B358" s="114"/>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row>
    <row r="359">
      <c r="A359" s="33"/>
      <c r="B359" s="114"/>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row>
    <row r="360">
      <c r="A360" s="33"/>
      <c r="B360" s="114"/>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row>
    <row r="361">
      <c r="A361" s="33"/>
      <c r="B361" s="114"/>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row>
    <row r="362">
      <c r="A362" s="33"/>
      <c r="B362" s="114"/>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row>
    <row r="363">
      <c r="A363" s="33"/>
      <c r="B363" s="114"/>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row>
    <row r="364">
      <c r="A364" s="33"/>
      <c r="B364" s="114"/>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row>
    <row r="365">
      <c r="A365" s="33"/>
      <c r="B365" s="114"/>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row>
    <row r="366">
      <c r="A366" s="33"/>
      <c r="B366" s="114"/>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row>
    <row r="367">
      <c r="A367" s="33"/>
      <c r="B367" s="114"/>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row>
    <row r="368">
      <c r="A368" s="33"/>
      <c r="B368" s="114"/>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row>
    <row r="369">
      <c r="A369" s="33"/>
      <c r="B369" s="114"/>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row>
    <row r="370">
      <c r="A370" s="33"/>
      <c r="B370" s="114"/>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row>
    <row r="371">
      <c r="A371" s="33"/>
      <c r="B371" s="114"/>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row>
    <row r="372">
      <c r="A372" s="33"/>
      <c r="B372" s="114"/>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row>
    <row r="373">
      <c r="A373" s="33"/>
      <c r="B373" s="114"/>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row>
    <row r="374">
      <c r="A374" s="33"/>
      <c r="B374" s="114"/>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row>
    <row r="375">
      <c r="A375" s="33"/>
      <c r="B375" s="114"/>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row>
    <row r="376">
      <c r="A376" s="33"/>
      <c r="B376" s="114"/>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row>
    <row r="377">
      <c r="A377" s="33"/>
      <c r="B377" s="114"/>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row>
    <row r="378">
      <c r="A378" s="33"/>
      <c r="B378" s="114"/>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row>
    <row r="379">
      <c r="A379" s="33"/>
      <c r="B379" s="114"/>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row>
    <row r="380">
      <c r="A380" s="33"/>
      <c r="B380" s="114"/>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row>
    <row r="381">
      <c r="A381" s="33"/>
      <c r="B381" s="114"/>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row>
    <row r="382">
      <c r="A382" s="33"/>
      <c r="B382" s="114"/>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row>
    <row r="383">
      <c r="A383" s="33"/>
      <c r="B383" s="114"/>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row>
    <row r="384">
      <c r="A384" s="33"/>
      <c r="B384" s="114"/>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row>
    <row r="385">
      <c r="A385" s="33"/>
      <c r="B385" s="114"/>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row>
    <row r="386">
      <c r="A386" s="33"/>
      <c r="B386" s="114"/>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row>
    <row r="387">
      <c r="A387" s="33"/>
      <c r="B387" s="114"/>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row>
    <row r="388">
      <c r="A388" s="33"/>
      <c r="B388" s="114"/>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row>
    <row r="389">
      <c r="A389" s="33"/>
      <c r="B389" s="114"/>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row>
    <row r="390">
      <c r="A390" s="33"/>
      <c r="B390" s="114"/>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row>
    <row r="391">
      <c r="A391" s="33"/>
      <c r="B391" s="114"/>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row>
    <row r="392">
      <c r="A392" s="33"/>
      <c r="B392" s="114"/>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row>
    <row r="393">
      <c r="A393" s="33"/>
      <c r="B393" s="114"/>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row>
    <row r="394">
      <c r="A394" s="33"/>
      <c r="B394" s="114"/>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row>
    <row r="395">
      <c r="A395" s="33"/>
      <c r="B395" s="114"/>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row>
    <row r="396">
      <c r="A396" s="33"/>
      <c r="B396" s="114"/>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row>
    <row r="397">
      <c r="A397" s="33"/>
      <c r="B397" s="114"/>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row>
    <row r="398">
      <c r="A398" s="33"/>
      <c r="B398" s="114"/>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row>
    <row r="399">
      <c r="A399" s="33"/>
      <c r="B399" s="114"/>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row>
    <row r="400">
      <c r="A400" s="33"/>
      <c r="B400" s="114"/>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row>
    <row r="401">
      <c r="A401" s="33"/>
      <c r="B401" s="114"/>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row>
    <row r="402">
      <c r="A402" s="33"/>
      <c r="B402" s="114"/>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row>
    <row r="403">
      <c r="A403" s="33"/>
      <c r="B403" s="114"/>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row>
    <row r="404">
      <c r="A404" s="33"/>
      <c r="B404" s="114"/>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row>
    <row r="405">
      <c r="A405" s="33"/>
      <c r="B405" s="114"/>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row>
    <row r="406">
      <c r="A406" s="33"/>
      <c r="B406" s="114"/>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row>
    <row r="407">
      <c r="A407" s="33"/>
      <c r="B407" s="114"/>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row>
    <row r="408">
      <c r="A408" s="33"/>
      <c r="B408" s="114"/>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row>
    <row r="409">
      <c r="A409" s="33"/>
      <c r="B409" s="114"/>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row>
    <row r="410">
      <c r="A410" s="33"/>
      <c r="B410" s="114"/>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row>
    <row r="411">
      <c r="A411" s="33"/>
      <c r="B411" s="114"/>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row>
    <row r="412">
      <c r="A412" s="33"/>
      <c r="B412" s="114"/>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row>
    <row r="413">
      <c r="A413" s="33"/>
      <c r="B413" s="114"/>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row>
    <row r="414">
      <c r="A414" s="33"/>
      <c r="B414" s="114"/>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row>
    <row r="415">
      <c r="A415" s="33"/>
      <c r="B415" s="114"/>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row>
    <row r="416">
      <c r="A416" s="33"/>
      <c r="B416" s="114"/>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row>
    <row r="417">
      <c r="A417" s="33"/>
      <c r="B417" s="114"/>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row>
    <row r="418">
      <c r="A418" s="33"/>
      <c r="B418" s="114"/>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row>
    <row r="419">
      <c r="A419" s="33"/>
      <c r="B419" s="114"/>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row>
    <row r="420">
      <c r="A420" s="33"/>
      <c r="B420" s="114"/>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row>
    <row r="421">
      <c r="A421" s="33"/>
      <c r="B421" s="114"/>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row>
    <row r="422">
      <c r="A422" s="33"/>
      <c r="B422" s="114"/>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row>
    <row r="423">
      <c r="A423" s="33"/>
      <c r="B423" s="114"/>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row>
    <row r="424">
      <c r="A424" s="33"/>
      <c r="B424" s="114"/>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row>
    <row r="425">
      <c r="A425" s="33"/>
      <c r="B425" s="114"/>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row>
    <row r="426">
      <c r="A426" s="33"/>
      <c r="B426" s="114"/>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row>
    <row r="427">
      <c r="A427" s="33"/>
      <c r="B427" s="114"/>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row>
    <row r="428">
      <c r="A428" s="33"/>
      <c r="B428" s="114"/>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row>
    <row r="429">
      <c r="A429" s="33"/>
      <c r="B429" s="114"/>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row>
    <row r="430">
      <c r="A430" s="33"/>
      <c r="B430" s="114"/>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row>
    <row r="431">
      <c r="A431" s="33"/>
      <c r="B431" s="114"/>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row>
    <row r="432">
      <c r="A432" s="33"/>
      <c r="B432" s="114"/>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row>
    <row r="433">
      <c r="A433" s="33"/>
      <c r="B433" s="114"/>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row>
    <row r="434">
      <c r="A434" s="33"/>
      <c r="B434" s="114"/>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row>
    <row r="435">
      <c r="A435" s="33"/>
      <c r="B435" s="114"/>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row>
    <row r="436">
      <c r="A436" s="33"/>
      <c r="B436" s="114"/>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row>
    <row r="437">
      <c r="A437" s="33"/>
      <c r="B437" s="114"/>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row>
    <row r="438">
      <c r="A438" s="33"/>
      <c r="B438" s="114"/>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row>
    <row r="439">
      <c r="A439" s="33"/>
      <c r="B439" s="114"/>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row>
    <row r="440">
      <c r="A440" s="33"/>
      <c r="B440" s="114"/>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row>
    <row r="441">
      <c r="A441" s="33"/>
      <c r="B441" s="114"/>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row>
    <row r="442">
      <c r="A442" s="33"/>
      <c r="B442" s="114"/>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row>
    <row r="443">
      <c r="A443" s="33"/>
      <c r="B443" s="114"/>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row>
    <row r="444">
      <c r="A444" s="33"/>
      <c r="B444" s="114"/>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row>
    <row r="445">
      <c r="A445" s="33"/>
      <c r="B445" s="114"/>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row>
    <row r="446">
      <c r="A446" s="33"/>
      <c r="B446" s="114"/>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row>
    <row r="447">
      <c r="A447" s="33"/>
      <c r="B447" s="114"/>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row>
    <row r="448">
      <c r="A448" s="33"/>
      <c r="B448" s="114"/>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row>
    <row r="449">
      <c r="A449" s="33"/>
      <c r="B449" s="114"/>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row>
    <row r="450">
      <c r="A450" s="33"/>
      <c r="B450" s="114"/>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row>
    <row r="451">
      <c r="A451" s="33"/>
      <c r="B451" s="114"/>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row>
    <row r="452">
      <c r="A452" s="33"/>
      <c r="B452" s="114"/>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row>
    <row r="453">
      <c r="A453" s="33"/>
      <c r="B453" s="114"/>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row>
    <row r="454">
      <c r="A454" s="33"/>
      <c r="B454" s="114"/>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row>
    <row r="455">
      <c r="A455" s="33"/>
      <c r="B455" s="114"/>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row>
    <row r="456">
      <c r="A456" s="33"/>
      <c r="B456" s="114"/>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row>
    <row r="457">
      <c r="A457" s="33"/>
      <c r="B457" s="114"/>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row>
    <row r="458">
      <c r="A458" s="33"/>
      <c r="B458" s="114"/>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row>
    <row r="459">
      <c r="A459" s="33"/>
      <c r="B459" s="114"/>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row>
    <row r="460">
      <c r="A460" s="33"/>
      <c r="B460" s="114"/>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row>
    <row r="461">
      <c r="A461" s="33"/>
      <c r="B461" s="114"/>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row>
    <row r="462">
      <c r="A462" s="33"/>
      <c r="B462" s="114"/>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row>
    <row r="463">
      <c r="A463" s="33"/>
      <c r="B463" s="114"/>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row>
    <row r="464">
      <c r="A464" s="33"/>
      <c r="B464" s="114"/>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row>
    <row r="465">
      <c r="A465" s="33"/>
      <c r="B465" s="114"/>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row>
    <row r="466">
      <c r="A466" s="33"/>
      <c r="B466" s="114"/>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row>
    <row r="467">
      <c r="A467" s="33"/>
      <c r="B467" s="114"/>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row>
    <row r="468">
      <c r="A468" s="33"/>
      <c r="B468" s="114"/>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row>
    <row r="469">
      <c r="A469" s="33"/>
      <c r="B469" s="114"/>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row>
    <row r="470">
      <c r="A470" s="33"/>
      <c r="B470" s="114"/>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row>
    <row r="471">
      <c r="A471" s="33"/>
      <c r="B471" s="114"/>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row>
    <row r="472">
      <c r="A472" s="33"/>
      <c r="B472" s="114"/>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row>
    <row r="473">
      <c r="A473" s="33"/>
      <c r="B473" s="114"/>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row>
    <row r="474">
      <c r="A474" s="33"/>
      <c r="B474" s="114"/>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row>
    <row r="475">
      <c r="A475" s="33"/>
      <c r="B475" s="114"/>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row>
    <row r="476">
      <c r="A476" s="33"/>
      <c r="B476" s="114"/>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row>
    <row r="477">
      <c r="A477" s="33"/>
      <c r="B477" s="114"/>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row>
    <row r="478">
      <c r="A478" s="33"/>
      <c r="B478" s="114"/>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row>
    <row r="479">
      <c r="A479" s="33"/>
      <c r="B479" s="114"/>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row>
    <row r="480">
      <c r="A480" s="33"/>
      <c r="B480" s="114"/>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row>
    <row r="481">
      <c r="A481" s="33"/>
      <c r="B481" s="114"/>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row>
    <row r="482">
      <c r="A482" s="33"/>
      <c r="B482" s="114"/>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row>
    <row r="483">
      <c r="A483" s="33"/>
      <c r="B483" s="114"/>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row>
    <row r="484">
      <c r="A484" s="33"/>
      <c r="B484" s="114"/>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row>
    <row r="485">
      <c r="A485" s="33"/>
      <c r="B485" s="114"/>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row>
    <row r="486">
      <c r="A486" s="33"/>
      <c r="B486" s="114"/>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row>
    <row r="487">
      <c r="A487" s="33"/>
      <c r="B487" s="114"/>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row>
    <row r="488">
      <c r="A488" s="33"/>
      <c r="B488" s="114"/>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row>
    <row r="489">
      <c r="A489" s="33"/>
      <c r="B489" s="114"/>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row>
    <row r="490">
      <c r="A490" s="33"/>
      <c r="B490" s="114"/>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row>
    <row r="491">
      <c r="A491" s="33"/>
      <c r="B491" s="114"/>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row>
    <row r="492">
      <c r="A492" s="33"/>
      <c r="B492" s="114"/>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row>
    <row r="493">
      <c r="A493" s="33"/>
      <c r="B493" s="114"/>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row>
    <row r="494">
      <c r="A494" s="33"/>
      <c r="B494" s="114"/>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row>
    <row r="495">
      <c r="A495" s="33"/>
      <c r="B495" s="114"/>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row>
    <row r="496">
      <c r="A496" s="33"/>
      <c r="B496" s="114"/>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row>
    <row r="497">
      <c r="A497" s="33"/>
      <c r="B497" s="114"/>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row>
    <row r="498">
      <c r="A498" s="33"/>
      <c r="B498" s="114"/>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row>
    <row r="499">
      <c r="A499" s="33"/>
      <c r="B499" s="114"/>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row>
    <row r="500">
      <c r="A500" s="33"/>
      <c r="B500" s="114"/>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row>
    <row r="501">
      <c r="A501" s="33"/>
      <c r="B501" s="114"/>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row>
    <row r="502">
      <c r="A502" s="33"/>
      <c r="B502" s="114"/>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row>
    <row r="503">
      <c r="A503" s="33"/>
      <c r="B503" s="114"/>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row>
    <row r="504">
      <c r="A504" s="33"/>
      <c r="B504" s="114"/>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row>
    <row r="505">
      <c r="A505" s="33"/>
      <c r="B505" s="114"/>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row>
    <row r="506">
      <c r="A506" s="33"/>
      <c r="B506" s="114"/>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row>
    <row r="507">
      <c r="A507" s="33"/>
      <c r="B507" s="114"/>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row>
    <row r="508">
      <c r="A508" s="33"/>
      <c r="B508" s="114"/>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row>
    <row r="509">
      <c r="A509" s="33"/>
      <c r="B509" s="114"/>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row>
    <row r="510">
      <c r="A510" s="33"/>
      <c r="B510" s="114"/>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row>
    <row r="511">
      <c r="A511" s="33"/>
      <c r="B511" s="114"/>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row>
    <row r="512">
      <c r="A512" s="33"/>
      <c r="B512" s="114"/>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row>
    <row r="513">
      <c r="A513" s="33"/>
      <c r="B513" s="114"/>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row>
    <row r="514">
      <c r="A514" s="33"/>
      <c r="B514" s="114"/>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row>
    <row r="515">
      <c r="A515" s="33"/>
      <c r="B515" s="114"/>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row>
    <row r="516">
      <c r="A516" s="33"/>
      <c r="B516" s="114"/>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row>
    <row r="517">
      <c r="A517" s="33"/>
      <c r="B517" s="114"/>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row>
    <row r="518">
      <c r="A518" s="33"/>
      <c r="B518" s="114"/>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row>
    <row r="519">
      <c r="A519" s="33"/>
      <c r="B519" s="114"/>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row>
    <row r="520">
      <c r="A520" s="33"/>
      <c r="B520" s="114"/>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row>
    <row r="521">
      <c r="A521" s="33"/>
      <c r="B521" s="114"/>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row>
    <row r="522">
      <c r="A522" s="33"/>
      <c r="B522" s="114"/>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row>
    <row r="523">
      <c r="A523" s="33"/>
      <c r="B523" s="114"/>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row>
    <row r="524">
      <c r="A524" s="33"/>
      <c r="B524" s="114"/>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row>
    <row r="525">
      <c r="A525" s="33"/>
      <c r="B525" s="114"/>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row>
    <row r="526">
      <c r="A526" s="33"/>
      <c r="B526" s="114"/>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row>
    <row r="527">
      <c r="A527" s="33"/>
      <c r="B527" s="114"/>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row>
    <row r="528">
      <c r="A528" s="33"/>
      <c r="B528" s="114"/>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row>
    <row r="529">
      <c r="A529" s="33"/>
      <c r="B529" s="114"/>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row>
    <row r="530">
      <c r="A530" s="33"/>
      <c r="B530" s="114"/>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row>
    <row r="531">
      <c r="A531" s="33"/>
      <c r="B531" s="114"/>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row>
    <row r="532">
      <c r="A532" s="33"/>
      <c r="B532" s="114"/>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row>
    <row r="533">
      <c r="A533" s="33"/>
      <c r="B533" s="114"/>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row>
    <row r="534">
      <c r="A534" s="33"/>
      <c r="B534" s="114"/>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row>
    <row r="535">
      <c r="A535" s="33"/>
      <c r="B535" s="114"/>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row>
    <row r="536">
      <c r="A536" s="33"/>
      <c r="B536" s="114"/>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row>
    <row r="537">
      <c r="A537" s="33"/>
      <c r="B537" s="114"/>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row>
    <row r="538">
      <c r="A538" s="33"/>
      <c r="B538" s="114"/>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row>
    <row r="539">
      <c r="A539" s="33"/>
      <c r="B539" s="114"/>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row>
    <row r="540">
      <c r="A540" s="33"/>
      <c r="B540" s="114"/>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row>
    <row r="541">
      <c r="A541" s="33"/>
      <c r="B541" s="114"/>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row>
    <row r="542">
      <c r="A542" s="33"/>
      <c r="B542" s="114"/>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row>
    <row r="543">
      <c r="A543" s="33"/>
      <c r="B543" s="114"/>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row>
    <row r="544">
      <c r="A544" s="33"/>
      <c r="B544" s="114"/>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row>
    <row r="545">
      <c r="A545" s="33"/>
      <c r="B545" s="114"/>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row>
    <row r="546">
      <c r="A546" s="33"/>
      <c r="B546" s="114"/>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row>
    <row r="547">
      <c r="A547" s="33"/>
      <c r="B547" s="114"/>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row>
    <row r="548">
      <c r="A548" s="33"/>
      <c r="B548" s="114"/>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row>
    <row r="549">
      <c r="A549" s="33"/>
      <c r="B549" s="114"/>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row>
    <row r="550">
      <c r="A550" s="33"/>
      <c r="B550" s="114"/>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row>
    <row r="551">
      <c r="A551" s="33"/>
      <c r="B551" s="114"/>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row>
    <row r="552">
      <c r="A552" s="33"/>
      <c r="B552" s="114"/>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row>
    <row r="553">
      <c r="A553" s="33"/>
      <c r="B553" s="114"/>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row>
    <row r="554">
      <c r="A554" s="33"/>
      <c r="B554" s="114"/>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row>
    <row r="555">
      <c r="A555" s="33"/>
      <c r="B555" s="114"/>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row>
    <row r="556">
      <c r="A556" s="33"/>
      <c r="B556" s="114"/>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row>
    <row r="557">
      <c r="A557" s="33"/>
      <c r="B557" s="114"/>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row>
    <row r="558">
      <c r="A558" s="33"/>
      <c r="B558" s="114"/>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row>
    <row r="559">
      <c r="A559" s="33"/>
      <c r="B559" s="114"/>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row>
    <row r="560">
      <c r="A560" s="33"/>
      <c r="B560" s="114"/>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row>
    <row r="561">
      <c r="A561" s="33"/>
      <c r="B561" s="114"/>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row>
    <row r="562">
      <c r="A562" s="33"/>
      <c r="B562" s="114"/>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row>
    <row r="563">
      <c r="A563" s="33"/>
      <c r="B563" s="114"/>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row>
    <row r="564">
      <c r="A564" s="33"/>
      <c r="B564" s="114"/>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row>
    <row r="565">
      <c r="A565" s="33"/>
      <c r="B565" s="114"/>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row>
    <row r="566">
      <c r="A566" s="33"/>
      <c r="B566" s="114"/>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row>
    <row r="567">
      <c r="A567" s="33"/>
      <c r="B567" s="114"/>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row>
    <row r="568">
      <c r="A568" s="33"/>
      <c r="B568" s="114"/>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row>
    <row r="569">
      <c r="A569" s="33"/>
      <c r="B569" s="114"/>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row>
    <row r="570">
      <c r="A570" s="33"/>
      <c r="B570" s="114"/>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row>
    <row r="571">
      <c r="A571" s="33"/>
      <c r="B571" s="114"/>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row>
    <row r="572">
      <c r="A572" s="33"/>
      <c r="B572" s="114"/>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row>
    <row r="573">
      <c r="A573" s="33"/>
      <c r="B573" s="114"/>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row>
    <row r="574">
      <c r="A574" s="33"/>
      <c r="B574" s="114"/>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row>
    <row r="575">
      <c r="A575" s="33"/>
      <c r="B575" s="114"/>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row>
    <row r="576">
      <c r="A576" s="33"/>
      <c r="B576" s="114"/>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row>
    <row r="577">
      <c r="A577" s="33"/>
      <c r="B577" s="114"/>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row>
    <row r="578">
      <c r="A578" s="33"/>
      <c r="B578" s="114"/>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row>
    <row r="579">
      <c r="A579" s="33"/>
      <c r="B579" s="114"/>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row>
    <row r="580">
      <c r="A580" s="33"/>
      <c r="B580" s="114"/>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row>
    <row r="581">
      <c r="A581" s="33"/>
      <c r="B581" s="114"/>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row>
    <row r="582">
      <c r="A582" s="33"/>
      <c r="B582" s="114"/>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row>
    <row r="583">
      <c r="A583" s="33"/>
      <c r="B583" s="114"/>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row>
    <row r="584">
      <c r="A584" s="33"/>
      <c r="B584" s="114"/>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row>
    <row r="585">
      <c r="A585" s="33"/>
      <c r="B585" s="114"/>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row>
    <row r="586">
      <c r="A586" s="33"/>
      <c r="B586" s="114"/>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row>
    <row r="587">
      <c r="A587" s="33"/>
      <c r="B587" s="114"/>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row>
    <row r="588">
      <c r="A588" s="33"/>
      <c r="B588" s="114"/>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row>
    <row r="589">
      <c r="A589" s="33"/>
      <c r="B589" s="114"/>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row>
    <row r="590">
      <c r="A590" s="33"/>
      <c r="B590" s="114"/>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row>
    <row r="591">
      <c r="A591" s="33"/>
      <c r="B591" s="114"/>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row>
    <row r="592">
      <c r="A592" s="33"/>
      <c r="B592" s="114"/>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row>
    <row r="593">
      <c r="A593" s="33"/>
      <c r="B593" s="114"/>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row>
    <row r="594">
      <c r="A594" s="33"/>
      <c r="B594" s="114"/>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row>
    <row r="595">
      <c r="A595" s="33"/>
      <c r="B595" s="114"/>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row>
    <row r="596">
      <c r="A596" s="33"/>
      <c r="B596" s="114"/>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row>
    <row r="597">
      <c r="A597" s="33"/>
      <c r="B597" s="114"/>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row>
    <row r="598">
      <c r="A598" s="33"/>
      <c r="B598" s="114"/>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row>
    <row r="599">
      <c r="A599" s="33"/>
      <c r="B599" s="114"/>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row>
    <row r="600">
      <c r="A600" s="33"/>
      <c r="B600" s="114"/>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row>
    <row r="601">
      <c r="A601" s="33"/>
      <c r="B601" s="114"/>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row>
    <row r="602">
      <c r="A602" s="33"/>
      <c r="B602" s="114"/>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row>
    <row r="603">
      <c r="A603" s="33"/>
      <c r="B603" s="114"/>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row>
    <row r="604">
      <c r="A604" s="33"/>
      <c r="B604" s="114"/>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row>
    <row r="605">
      <c r="A605" s="33"/>
      <c r="B605" s="114"/>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row>
    <row r="606">
      <c r="A606" s="33"/>
      <c r="B606" s="114"/>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row>
    <row r="607">
      <c r="A607" s="33"/>
      <c r="B607" s="114"/>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row>
    <row r="608">
      <c r="A608" s="33"/>
      <c r="B608" s="114"/>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row>
    <row r="609">
      <c r="A609" s="33"/>
      <c r="B609" s="114"/>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row>
    <row r="610">
      <c r="A610" s="33"/>
      <c r="B610" s="114"/>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row>
    <row r="611">
      <c r="A611" s="33"/>
      <c r="B611" s="114"/>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row>
    <row r="612">
      <c r="A612" s="33"/>
      <c r="B612" s="114"/>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row>
    <row r="613">
      <c r="A613" s="33"/>
      <c r="B613" s="114"/>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row>
    <row r="614">
      <c r="A614" s="33"/>
      <c r="B614" s="114"/>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row>
    <row r="615">
      <c r="A615" s="33"/>
      <c r="B615" s="114"/>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row>
    <row r="616">
      <c r="A616" s="33"/>
      <c r="B616" s="114"/>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row>
    <row r="617">
      <c r="A617" s="33"/>
      <c r="B617" s="114"/>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row>
    <row r="618">
      <c r="A618" s="33"/>
      <c r="B618" s="114"/>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row>
    <row r="619">
      <c r="A619" s="33"/>
      <c r="B619" s="114"/>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row>
    <row r="620">
      <c r="A620" s="33"/>
      <c r="B620" s="114"/>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row>
    <row r="621">
      <c r="A621" s="33"/>
      <c r="B621" s="114"/>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row>
    <row r="622">
      <c r="A622" s="33"/>
      <c r="B622" s="114"/>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row>
    <row r="623">
      <c r="A623" s="33"/>
      <c r="B623" s="114"/>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row>
    <row r="624">
      <c r="A624" s="33"/>
      <c r="B624" s="114"/>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row>
    <row r="625">
      <c r="A625" s="33"/>
      <c r="B625" s="114"/>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row>
    <row r="626">
      <c r="A626" s="33"/>
      <c r="B626" s="114"/>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row>
    <row r="627">
      <c r="A627" s="33"/>
      <c r="B627" s="114"/>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row>
    <row r="628">
      <c r="A628" s="33"/>
      <c r="B628" s="114"/>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row>
    <row r="629">
      <c r="A629" s="33"/>
      <c r="B629" s="114"/>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row>
    <row r="630">
      <c r="A630" s="33"/>
      <c r="B630" s="114"/>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row>
    <row r="631">
      <c r="A631" s="33"/>
      <c r="B631" s="114"/>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row>
    <row r="632">
      <c r="A632" s="33"/>
      <c r="B632" s="114"/>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row>
    <row r="633">
      <c r="A633" s="33"/>
      <c r="B633" s="114"/>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row>
    <row r="634">
      <c r="A634" s="33"/>
      <c r="B634" s="114"/>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row>
    <row r="635">
      <c r="A635" s="33"/>
      <c r="B635" s="114"/>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row>
    <row r="636">
      <c r="A636" s="33"/>
      <c r="B636" s="114"/>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row>
    <row r="637">
      <c r="A637" s="33"/>
      <c r="B637" s="114"/>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row>
    <row r="638">
      <c r="A638" s="33"/>
      <c r="B638" s="114"/>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row>
    <row r="639">
      <c r="A639" s="33"/>
      <c r="B639" s="114"/>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row>
    <row r="640">
      <c r="A640" s="33"/>
      <c r="B640" s="114"/>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row>
    <row r="641">
      <c r="A641" s="33"/>
      <c r="B641" s="114"/>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row>
    <row r="642">
      <c r="A642" s="33"/>
      <c r="B642" s="114"/>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row>
    <row r="643">
      <c r="A643" s="33"/>
      <c r="B643" s="114"/>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row>
    <row r="644">
      <c r="A644" s="33"/>
      <c r="B644" s="114"/>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row>
    <row r="645">
      <c r="A645" s="33"/>
      <c r="B645" s="114"/>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row>
    <row r="646">
      <c r="A646" s="33"/>
      <c r="B646" s="114"/>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row>
    <row r="647">
      <c r="A647" s="33"/>
      <c r="B647" s="114"/>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row>
    <row r="648">
      <c r="A648" s="33"/>
      <c r="B648" s="114"/>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row>
    <row r="649">
      <c r="A649" s="33"/>
      <c r="B649" s="114"/>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row>
    <row r="650">
      <c r="A650" s="33"/>
      <c r="B650" s="114"/>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row>
    <row r="651">
      <c r="A651" s="33"/>
      <c r="B651" s="114"/>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row>
    <row r="652">
      <c r="A652" s="33"/>
      <c r="B652" s="114"/>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row>
    <row r="653">
      <c r="A653" s="33"/>
      <c r="B653" s="114"/>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row>
    <row r="654">
      <c r="A654" s="33"/>
      <c r="B654" s="114"/>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row>
    <row r="655">
      <c r="A655" s="33"/>
      <c r="B655" s="114"/>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row>
    <row r="656">
      <c r="A656" s="33"/>
      <c r="B656" s="114"/>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row>
    <row r="657">
      <c r="A657" s="33"/>
      <c r="B657" s="114"/>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row>
    <row r="658">
      <c r="A658" s="33"/>
      <c r="B658" s="114"/>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row>
    <row r="659">
      <c r="A659" s="33"/>
      <c r="B659" s="114"/>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row>
    <row r="660">
      <c r="A660" s="33"/>
      <c r="B660" s="114"/>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row>
    <row r="661">
      <c r="A661" s="33"/>
      <c r="B661" s="114"/>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row>
    <row r="662">
      <c r="A662" s="33"/>
      <c r="B662" s="114"/>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row>
    <row r="663">
      <c r="A663" s="33"/>
      <c r="B663" s="114"/>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row>
    <row r="664">
      <c r="A664" s="33"/>
      <c r="B664" s="114"/>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row>
    <row r="665">
      <c r="A665" s="33"/>
      <c r="B665" s="114"/>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row>
    <row r="666">
      <c r="A666" s="33"/>
      <c r="B666" s="114"/>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row>
    <row r="667">
      <c r="A667" s="33"/>
      <c r="B667" s="114"/>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row>
    <row r="668">
      <c r="A668" s="33"/>
      <c r="B668" s="114"/>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row>
    <row r="669">
      <c r="A669" s="33"/>
      <c r="B669" s="114"/>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row>
    <row r="670">
      <c r="A670" s="33"/>
      <c r="B670" s="114"/>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row>
    <row r="671">
      <c r="A671" s="33"/>
      <c r="B671" s="114"/>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row>
    <row r="672">
      <c r="A672" s="33"/>
      <c r="B672" s="114"/>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row>
    <row r="673">
      <c r="A673" s="33"/>
      <c r="B673" s="114"/>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row>
    <row r="674">
      <c r="A674" s="33"/>
      <c r="B674" s="114"/>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row>
    <row r="675">
      <c r="A675" s="33"/>
      <c r="B675" s="114"/>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row>
    <row r="676">
      <c r="A676" s="33"/>
      <c r="B676" s="114"/>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row>
    <row r="677">
      <c r="A677" s="33"/>
      <c r="B677" s="114"/>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row>
    <row r="678">
      <c r="A678" s="33"/>
      <c r="B678" s="114"/>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row>
    <row r="679">
      <c r="A679" s="33"/>
      <c r="B679" s="114"/>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row>
    <row r="680">
      <c r="A680" s="33"/>
      <c r="B680" s="114"/>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row>
    <row r="681">
      <c r="A681" s="33"/>
      <c r="B681" s="114"/>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row>
    <row r="682">
      <c r="A682" s="33"/>
      <c r="B682" s="114"/>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row>
    <row r="683">
      <c r="A683" s="33"/>
      <c r="B683" s="114"/>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row>
    <row r="684">
      <c r="A684" s="33"/>
      <c r="B684" s="114"/>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row>
    <row r="685">
      <c r="A685" s="33"/>
      <c r="B685" s="114"/>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row>
    <row r="686">
      <c r="A686" s="33"/>
      <c r="B686" s="114"/>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row>
    <row r="687">
      <c r="A687" s="33"/>
      <c r="B687" s="114"/>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row>
    <row r="688">
      <c r="A688" s="33"/>
      <c r="B688" s="114"/>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row>
    <row r="689">
      <c r="A689" s="33"/>
      <c r="B689" s="114"/>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row>
    <row r="690">
      <c r="A690" s="33"/>
      <c r="B690" s="114"/>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row>
    <row r="691">
      <c r="A691" s="33"/>
      <c r="B691" s="114"/>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row>
    <row r="692">
      <c r="A692" s="33"/>
      <c r="B692" s="114"/>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row>
    <row r="693">
      <c r="A693" s="33"/>
      <c r="B693" s="114"/>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row>
    <row r="694">
      <c r="A694" s="33"/>
      <c r="B694" s="114"/>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row>
    <row r="695">
      <c r="A695" s="33"/>
      <c r="B695" s="114"/>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row>
    <row r="696">
      <c r="A696" s="33"/>
      <c r="B696" s="114"/>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row>
    <row r="697">
      <c r="A697" s="33"/>
      <c r="B697" s="114"/>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row>
    <row r="698">
      <c r="A698" s="33"/>
      <c r="B698" s="114"/>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row>
    <row r="699">
      <c r="A699" s="33"/>
      <c r="B699" s="114"/>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row>
    <row r="700">
      <c r="A700" s="33"/>
      <c r="B700" s="114"/>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row>
    <row r="701">
      <c r="A701" s="33"/>
      <c r="B701" s="114"/>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row>
    <row r="702">
      <c r="A702" s="33"/>
      <c r="B702" s="114"/>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row>
    <row r="703">
      <c r="A703" s="33"/>
      <c r="B703" s="114"/>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row>
    <row r="704">
      <c r="A704" s="33"/>
      <c r="B704" s="114"/>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row>
    <row r="705">
      <c r="A705" s="33"/>
      <c r="B705" s="114"/>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row>
    <row r="706">
      <c r="A706" s="33"/>
      <c r="B706" s="114"/>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row>
    <row r="707">
      <c r="A707" s="33"/>
      <c r="B707" s="114"/>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row>
    <row r="708">
      <c r="A708" s="33"/>
      <c r="B708" s="114"/>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row>
    <row r="709">
      <c r="A709" s="33"/>
      <c r="B709" s="114"/>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row>
    <row r="710">
      <c r="A710" s="33"/>
      <c r="B710" s="114"/>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row>
    <row r="711">
      <c r="A711" s="33"/>
      <c r="B711" s="114"/>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row>
    <row r="712">
      <c r="A712" s="33"/>
      <c r="B712" s="114"/>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row>
    <row r="713">
      <c r="A713" s="33"/>
      <c r="B713" s="114"/>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row>
    <row r="714">
      <c r="A714" s="33"/>
      <c r="B714" s="114"/>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row>
    <row r="715">
      <c r="A715" s="33"/>
      <c r="B715" s="114"/>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row>
    <row r="716">
      <c r="A716" s="33"/>
      <c r="B716" s="114"/>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row>
    <row r="717">
      <c r="A717" s="33"/>
      <c r="B717" s="114"/>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row>
    <row r="718">
      <c r="A718" s="33"/>
      <c r="B718" s="114"/>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row>
    <row r="719">
      <c r="A719" s="33"/>
      <c r="B719" s="114"/>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row>
    <row r="720">
      <c r="A720" s="33"/>
      <c r="B720" s="114"/>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row>
    <row r="721">
      <c r="A721" s="33"/>
      <c r="B721" s="114"/>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row>
    <row r="722">
      <c r="A722" s="33"/>
      <c r="B722" s="114"/>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row>
    <row r="723">
      <c r="A723" s="33"/>
      <c r="B723" s="114"/>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row>
    <row r="724">
      <c r="A724" s="33"/>
      <c r="B724" s="114"/>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row>
    <row r="725">
      <c r="A725" s="33"/>
      <c r="B725" s="114"/>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row>
    <row r="726">
      <c r="A726" s="33"/>
      <c r="B726" s="114"/>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row>
    <row r="727">
      <c r="A727" s="33"/>
      <c r="B727" s="114"/>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row>
    <row r="728">
      <c r="A728" s="33"/>
      <c r="B728" s="114"/>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row>
    <row r="729">
      <c r="A729" s="33"/>
      <c r="B729" s="114"/>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row>
    <row r="730">
      <c r="A730" s="33"/>
      <c r="B730" s="114"/>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row>
    <row r="731">
      <c r="A731" s="33"/>
      <c r="B731" s="114"/>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row>
    <row r="732">
      <c r="A732" s="33"/>
      <c r="B732" s="114"/>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row>
    <row r="733">
      <c r="A733" s="33"/>
      <c r="B733" s="114"/>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row>
    <row r="734">
      <c r="A734" s="33"/>
      <c r="B734" s="114"/>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row>
    <row r="735">
      <c r="A735" s="33"/>
      <c r="B735" s="114"/>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row>
    <row r="736">
      <c r="A736" s="33"/>
      <c r="B736" s="114"/>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row>
    <row r="737">
      <c r="A737" s="33"/>
      <c r="B737" s="114"/>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row>
    <row r="738">
      <c r="A738" s="33"/>
      <c r="B738" s="114"/>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row>
    <row r="739">
      <c r="A739" s="33"/>
      <c r="B739" s="114"/>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row>
    <row r="740">
      <c r="A740" s="33"/>
      <c r="B740" s="114"/>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row>
    <row r="741">
      <c r="A741" s="33"/>
      <c r="B741" s="114"/>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row>
    <row r="742">
      <c r="A742" s="33"/>
      <c r="B742" s="114"/>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row>
    <row r="743">
      <c r="A743" s="33"/>
      <c r="B743" s="114"/>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row>
    <row r="744">
      <c r="A744" s="33"/>
      <c r="B744" s="114"/>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row>
    <row r="745">
      <c r="A745" s="33"/>
      <c r="B745" s="114"/>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row>
    <row r="746">
      <c r="A746" s="33"/>
      <c r="B746" s="114"/>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row>
    <row r="747">
      <c r="A747" s="33"/>
      <c r="B747" s="114"/>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row>
    <row r="748">
      <c r="A748" s="33"/>
      <c r="B748" s="114"/>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row>
    <row r="749">
      <c r="A749" s="33"/>
      <c r="B749" s="114"/>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row>
    <row r="750">
      <c r="A750" s="33"/>
      <c r="B750" s="114"/>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row>
    <row r="751">
      <c r="A751" s="33"/>
      <c r="B751" s="114"/>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row>
    <row r="752">
      <c r="A752" s="33"/>
      <c r="B752" s="114"/>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row>
    <row r="753">
      <c r="A753" s="33"/>
      <c r="B753" s="114"/>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row>
    <row r="754">
      <c r="A754" s="33"/>
      <c r="B754" s="114"/>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row>
    <row r="755">
      <c r="A755" s="33"/>
      <c r="B755" s="114"/>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row>
    <row r="756">
      <c r="A756" s="33"/>
      <c r="B756" s="114"/>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row>
    <row r="757">
      <c r="A757" s="33"/>
      <c r="B757" s="114"/>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row>
    <row r="758">
      <c r="A758" s="33"/>
      <c r="B758" s="114"/>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row>
    <row r="759">
      <c r="A759" s="33"/>
      <c r="B759" s="114"/>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row>
    <row r="760">
      <c r="A760" s="33"/>
      <c r="B760" s="114"/>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row>
    <row r="761">
      <c r="A761" s="33"/>
      <c r="B761" s="114"/>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row>
    <row r="762">
      <c r="A762" s="33"/>
      <c r="B762" s="114"/>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row>
    <row r="763">
      <c r="A763" s="33"/>
      <c r="B763" s="114"/>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row>
    <row r="764">
      <c r="A764" s="33"/>
      <c r="B764" s="114"/>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row>
    <row r="765">
      <c r="A765" s="33"/>
      <c r="B765" s="114"/>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row>
    <row r="766">
      <c r="A766" s="33"/>
      <c r="B766" s="114"/>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row>
    <row r="767">
      <c r="A767" s="33"/>
      <c r="B767" s="114"/>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row>
    <row r="768">
      <c r="A768" s="33"/>
      <c r="B768" s="114"/>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row>
    <row r="769">
      <c r="A769" s="33"/>
      <c r="B769" s="114"/>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row>
    <row r="770">
      <c r="A770" s="33"/>
      <c r="B770" s="114"/>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row>
    <row r="771">
      <c r="A771" s="33"/>
      <c r="B771" s="114"/>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row>
    <row r="772">
      <c r="A772" s="33"/>
      <c r="B772" s="114"/>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row>
    <row r="773">
      <c r="A773" s="33"/>
      <c r="B773" s="114"/>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row>
    <row r="774">
      <c r="A774" s="33"/>
      <c r="B774" s="114"/>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row>
    <row r="775">
      <c r="A775" s="33"/>
      <c r="B775" s="114"/>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row>
    <row r="776">
      <c r="A776" s="33"/>
      <c r="B776" s="114"/>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row>
    <row r="777">
      <c r="A777" s="33"/>
      <c r="B777" s="114"/>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row>
    <row r="778">
      <c r="A778" s="33"/>
      <c r="B778" s="114"/>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row>
    <row r="779">
      <c r="A779" s="33"/>
      <c r="B779" s="114"/>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row>
    <row r="780">
      <c r="A780" s="33"/>
      <c r="B780" s="114"/>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row>
    <row r="781">
      <c r="A781" s="33"/>
      <c r="B781" s="114"/>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row>
    <row r="782">
      <c r="A782" s="33"/>
      <c r="B782" s="114"/>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row>
    <row r="783">
      <c r="A783" s="33"/>
      <c r="B783" s="114"/>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row>
    <row r="784">
      <c r="A784" s="33"/>
      <c r="B784" s="114"/>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row>
    <row r="785">
      <c r="A785" s="33"/>
      <c r="B785" s="114"/>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row>
    <row r="786">
      <c r="A786" s="33"/>
      <c r="B786" s="114"/>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row>
    <row r="787">
      <c r="A787" s="33"/>
      <c r="B787" s="114"/>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row>
    <row r="788">
      <c r="A788" s="33"/>
      <c r="B788" s="114"/>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row>
    <row r="789">
      <c r="A789" s="33"/>
      <c r="B789" s="114"/>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row>
    <row r="790">
      <c r="A790" s="33"/>
      <c r="B790" s="114"/>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row>
    <row r="791">
      <c r="A791" s="33"/>
      <c r="B791" s="114"/>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row>
    <row r="792">
      <c r="A792" s="33"/>
      <c r="B792" s="114"/>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row>
    <row r="793">
      <c r="A793" s="33"/>
      <c r="B793" s="114"/>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row>
    <row r="794">
      <c r="A794" s="33"/>
      <c r="B794" s="114"/>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row>
    <row r="795">
      <c r="A795" s="33"/>
      <c r="B795" s="114"/>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row>
    <row r="796">
      <c r="A796" s="33"/>
      <c r="B796" s="114"/>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row>
    <row r="797">
      <c r="A797" s="33"/>
      <c r="B797" s="114"/>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row>
    <row r="798">
      <c r="A798" s="33"/>
      <c r="B798" s="114"/>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row>
    <row r="799">
      <c r="A799" s="33"/>
      <c r="B799" s="114"/>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row>
    <row r="800">
      <c r="A800" s="33"/>
      <c r="B800" s="114"/>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row>
    <row r="801">
      <c r="A801" s="33"/>
      <c r="B801" s="114"/>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row>
    <row r="802">
      <c r="A802" s="33"/>
      <c r="B802" s="114"/>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row>
    <row r="803">
      <c r="A803" s="33"/>
      <c r="B803" s="114"/>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row>
    <row r="804">
      <c r="A804" s="33"/>
      <c r="B804" s="114"/>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row>
    <row r="805">
      <c r="A805" s="33"/>
      <c r="B805" s="114"/>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row>
    <row r="806">
      <c r="A806" s="33"/>
      <c r="B806" s="114"/>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row>
    <row r="807">
      <c r="A807" s="33"/>
      <c r="B807" s="114"/>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row>
    <row r="808">
      <c r="A808" s="33"/>
      <c r="B808" s="114"/>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row>
    <row r="809">
      <c r="A809" s="33"/>
      <c r="B809" s="114"/>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row>
    <row r="810">
      <c r="A810" s="33"/>
      <c r="B810" s="114"/>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row>
    <row r="811">
      <c r="A811" s="33"/>
      <c r="B811" s="114"/>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row>
    <row r="812">
      <c r="A812" s="33"/>
      <c r="B812" s="114"/>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row>
    <row r="813">
      <c r="A813" s="33"/>
      <c r="B813" s="114"/>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row>
    <row r="814">
      <c r="A814" s="33"/>
      <c r="B814" s="114"/>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row>
    <row r="815">
      <c r="A815" s="33"/>
      <c r="B815" s="114"/>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row>
    <row r="816">
      <c r="A816" s="33"/>
      <c r="B816" s="114"/>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row>
    <row r="817">
      <c r="A817" s="33"/>
      <c r="B817" s="114"/>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row>
    <row r="818">
      <c r="A818" s="33"/>
      <c r="B818" s="114"/>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row>
    <row r="819">
      <c r="A819" s="33"/>
      <c r="B819" s="114"/>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row>
    <row r="820">
      <c r="A820" s="33"/>
      <c r="B820" s="114"/>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row>
    <row r="821">
      <c r="A821" s="33"/>
      <c r="B821" s="114"/>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row>
    <row r="822">
      <c r="A822" s="33"/>
      <c r="B822" s="114"/>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row>
    <row r="823">
      <c r="A823" s="33"/>
      <c r="B823" s="114"/>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row>
    <row r="824">
      <c r="A824" s="33"/>
      <c r="B824" s="114"/>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row>
    <row r="825">
      <c r="A825" s="33"/>
      <c r="B825" s="114"/>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row>
    <row r="826">
      <c r="A826" s="33"/>
      <c r="B826" s="114"/>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row>
    <row r="827">
      <c r="A827" s="33"/>
      <c r="B827" s="114"/>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row>
    <row r="828">
      <c r="A828" s="33"/>
      <c r="B828" s="114"/>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row>
    <row r="829">
      <c r="A829" s="33"/>
      <c r="B829" s="114"/>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row>
    <row r="830">
      <c r="A830" s="33"/>
      <c r="B830" s="114"/>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row>
    <row r="831">
      <c r="A831" s="33"/>
      <c r="B831" s="114"/>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row>
    <row r="832">
      <c r="A832" s="33"/>
      <c r="B832" s="114"/>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row>
    <row r="833">
      <c r="A833" s="33"/>
      <c r="B833" s="114"/>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row>
    <row r="834">
      <c r="A834" s="33"/>
      <c r="B834" s="114"/>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row>
    <row r="835">
      <c r="A835" s="33"/>
      <c r="B835" s="114"/>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row>
    <row r="836">
      <c r="A836" s="33"/>
      <c r="B836" s="114"/>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row>
    <row r="837">
      <c r="A837" s="33"/>
      <c r="B837" s="114"/>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row>
    <row r="838">
      <c r="A838" s="33"/>
      <c r="B838" s="114"/>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row>
    <row r="839">
      <c r="A839" s="33"/>
      <c r="B839" s="114"/>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row>
    <row r="840">
      <c r="A840" s="33"/>
      <c r="B840" s="114"/>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row>
    <row r="841">
      <c r="A841" s="33"/>
      <c r="B841" s="114"/>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row>
    <row r="842">
      <c r="A842" s="33"/>
      <c r="B842" s="114"/>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row>
    <row r="843">
      <c r="A843" s="33"/>
      <c r="B843" s="114"/>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row>
    <row r="844">
      <c r="A844" s="33"/>
      <c r="B844" s="114"/>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row>
    <row r="845">
      <c r="A845" s="33"/>
      <c r="B845" s="114"/>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row>
    <row r="846">
      <c r="A846" s="33"/>
      <c r="B846" s="114"/>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row>
    <row r="847">
      <c r="A847" s="33"/>
      <c r="B847" s="114"/>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row>
    <row r="848">
      <c r="A848" s="33"/>
      <c r="B848" s="114"/>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row>
    <row r="849">
      <c r="A849" s="33"/>
      <c r="B849" s="114"/>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row>
    <row r="850">
      <c r="A850" s="33"/>
      <c r="B850" s="114"/>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row>
    <row r="851">
      <c r="A851" s="33"/>
      <c r="B851" s="114"/>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row>
    <row r="852">
      <c r="A852" s="33"/>
      <c r="B852" s="114"/>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row>
    <row r="853">
      <c r="A853" s="33"/>
      <c r="B853" s="114"/>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row>
    <row r="854">
      <c r="A854" s="33"/>
      <c r="B854" s="114"/>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row>
    <row r="855">
      <c r="A855" s="33"/>
      <c r="B855" s="114"/>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row>
    <row r="856">
      <c r="A856" s="33"/>
      <c r="B856" s="114"/>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row>
    <row r="857">
      <c r="A857" s="33"/>
      <c r="B857" s="114"/>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row>
    <row r="858">
      <c r="A858" s="33"/>
      <c r="B858" s="114"/>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row>
    <row r="859">
      <c r="A859" s="33"/>
      <c r="B859" s="114"/>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row>
    <row r="860">
      <c r="A860" s="33"/>
      <c r="B860" s="114"/>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row>
    <row r="861">
      <c r="A861" s="33"/>
      <c r="B861" s="114"/>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row>
    <row r="862">
      <c r="A862" s="33"/>
      <c r="B862" s="114"/>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row>
    <row r="863">
      <c r="A863" s="33"/>
      <c r="B863" s="114"/>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row>
    <row r="864">
      <c r="A864" s="33"/>
      <c r="B864" s="114"/>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row>
    <row r="865">
      <c r="A865" s="33"/>
      <c r="B865" s="114"/>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row>
    <row r="866">
      <c r="A866" s="33"/>
      <c r="B866" s="114"/>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row>
    <row r="867">
      <c r="A867" s="33"/>
      <c r="B867" s="114"/>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row>
    <row r="868">
      <c r="A868" s="33"/>
      <c r="B868" s="114"/>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row>
    <row r="869">
      <c r="A869" s="33"/>
      <c r="B869" s="114"/>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row>
    <row r="870">
      <c r="A870" s="33"/>
      <c r="B870" s="114"/>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row>
    <row r="871">
      <c r="A871" s="33"/>
      <c r="B871" s="114"/>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row>
    <row r="872">
      <c r="A872" s="33"/>
      <c r="B872" s="114"/>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row>
    <row r="873">
      <c r="A873" s="33"/>
      <c r="B873" s="114"/>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row>
    <row r="874">
      <c r="A874" s="33"/>
      <c r="B874" s="114"/>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row>
    <row r="875">
      <c r="A875" s="33"/>
      <c r="B875" s="114"/>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row>
    <row r="876">
      <c r="A876" s="33"/>
      <c r="B876" s="114"/>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row>
    <row r="877">
      <c r="A877" s="33"/>
      <c r="B877" s="114"/>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row>
    <row r="878">
      <c r="A878" s="33"/>
      <c r="B878" s="114"/>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row>
    <row r="879">
      <c r="A879" s="33"/>
      <c r="B879" s="114"/>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row>
    <row r="880">
      <c r="A880" s="33"/>
      <c r="B880" s="114"/>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row>
    <row r="881">
      <c r="A881" s="33"/>
      <c r="B881" s="114"/>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row>
    <row r="882">
      <c r="A882" s="33"/>
      <c r="B882" s="114"/>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row>
    <row r="883">
      <c r="A883" s="33"/>
      <c r="B883" s="114"/>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row>
    <row r="884">
      <c r="A884" s="33"/>
      <c r="B884" s="114"/>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row>
    <row r="885">
      <c r="A885" s="33"/>
      <c r="B885" s="114"/>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row>
    <row r="886">
      <c r="A886" s="33"/>
      <c r="B886" s="114"/>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row>
    <row r="887">
      <c r="A887" s="33"/>
      <c r="B887" s="114"/>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row>
    <row r="888">
      <c r="A888" s="33"/>
      <c r="B888" s="114"/>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row>
    <row r="889">
      <c r="A889" s="33"/>
      <c r="B889" s="114"/>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row>
    <row r="890">
      <c r="A890" s="33"/>
      <c r="B890" s="114"/>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row>
    <row r="891">
      <c r="A891" s="33"/>
      <c r="B891" s="114"/>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row>
    <row r="892">
      <c r="A892" s="33"/>
      <c r="B892" s="114"/>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row>
    <row r="893">
      <c r="A893" s="33"/>
      <c r="B893" s="114"/>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row>
    <row r="894">
      <c r="A894" s="33"/>
      <c r="B894" s="114"/>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row>
    <row r="895">
      <c r="A895" s="33"/>
      <c r="B895" s="114"/>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row>
    <row r="896">
      <c r="A896" s="33"/>
      <c r="B896" s="114"/>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row>
    <row r="897">
      <c r="A897" s="33"/>
      <c r="B897" s="114"/>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row>
    <row r="898">
      <c r="A898" s="33"/>
      <c r="B898" s="114"/>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row>
    <row r="899">
      <c r="A899" s="33"/>
      <c r="B899" s="114"/>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row>
    <row r="900">
      <c r="A900" s="33"/>
      <c r="B900" s="114"/>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row>
    <row r="901">
      <c r="A901" s="33"/>
      <c r="B901" s="114"/>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row>
    <row r="902">
      <c r="A902" s="33"/>
      <c r="B902" s="114"/>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row>
    <row r="903">
      <c r="A903" s="33"/>
      <c r="B903" s="114"/>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row>
    <row r="904">
      <c r="A904" s="33"/>
      <c r="B904" s="114"/>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row>
    <row r="905">
      <c r="A905" s="33"/>
      <c r="B905" s="114"/>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row>
    <row r="906">
      <c r="A906" s="33"/>
      <c r="B906" s="114"/>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row>
    <row r="907">
      <c r="A907" s="33"/>
      <c r="B907" s="114"/>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row>
    <row r="908">
      <c r="A908" s="33"/>
      <c r="B908" s="114"/>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row>
    <row r="909">
      <c r="A909" s="33"/>
      <c r="B909" s="114"/>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row>
    <row r="910">
      <c r="A910" s="33"/>
      <c r="B910" s="114"/>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row>
    <row r="911">
      <c r="A911" s="33"/>
      <c r="B911" s="114"/>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row>
    <row r="912">
      <c r="A912" s="33"/>
      <c r="B912" s="114"/>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row>
    <row r="913">
      <c r="A913" s="33"/>
      <c r="B913" s="114"/>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row>
    <row r="914">
      <c r="A914" s="33"/>
      <c r="B914" s="114"/>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row>
    <row r="915">
      <c r="A915" s="33"/>
      <c r="B915" s="114"/>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row>
    <row r="916">
      <c r="A916" s="33"/>
      <c r="B916" s="114"/>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row>
    <row r="917">
      <c r="A917" s="33"/>
      <c r="B917" s="114"/>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row>
    <row r="918">
      <c r="A918" s="33"/>
      <c r="B918" s="114"/>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row>
    <row r="919">
      <c r="A919" s="33"/>
      <c r="B919" s="114"/>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row>
    <row r="920">
      <c r="A920" s="33"/>
      <c r="B920" s="114"/>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row>
    <row r="921">
      <c r="A921" s="33"/>
      <c r="B921" s="114"/>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row>
    <row r="922">
      <c r="A922" s="33"/>
      <c r="B922" s="114"/>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row>
    <row r="923">
      <c r="A923" s="33"/>
      <c r="B923" s="114"/>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row>
    <row r="924">
      <c r="A924" s="33"/>
      <c r="B924" s="114"/>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row>
    <row r="925">
      <c r="A925" s="33"/>
      <c r="B925" s="114"/>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row>
    <row r="926">
      <c r="A926" s="33"/>
      <c r="B926" s="114"/>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row>
    <row r="927">
      <c r="A927" s="33"/>
      <c r="B927" s="114"/>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row>
    <row r="928">
      <c r="A928" s="33"/>
      <c r="B928" s="114"/>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row>
    <row r="929">
      <c r="A929" s="33"/>
      <c r="B929" s="114"/>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row>
    <row r="930">
      <c r="A930" s="33"/>
      <c r="B930" s="114"/>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row>
    <row r="931">
      <c r="A931" s="33"/>
      <c r="B931" s="114"/>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row>
    <row r="932">
      <c r="A932" s="33"/>
      <c r="B932" s="114"/>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row>
    <row r="933">
      <c r="A933" s="33"/>
      <c r="B933" s="114"/>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row>
    <row r="934">
      <c r="A934" s="33"/>
      <c r="B934" s="114"/>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row>
    <row r="935">
      <c r="A935" s="33"/>
      <c r="B935" s="114"/>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row>
    <row r="936">
      <c r="A936" s="33"/>
      <c r="B936" s="114"/>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row>
    <row r="937">
      <c r="A937" s="33"/>
      <c r="B937" s="114"/>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row>
    <row r="938">
      <c r="A938" s="33"/>
      <c r="B938" s="114"/>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row>
    <row r="939">
      <c r="A939" s="33"/>
      <c r="B939" s="114"/>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row>
    <row r="940">
      <c r="A940" s="33"/>
      <c r="B940" s="114"/>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row>
    <row r="941">
      <c r="A941" s="33"/>
      <c r="B941" s="114"/>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row>
    <row r="942">
      <c r="A942" s="33"/>
      <c r="B942" s="114"/>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row>
    <row r="943">
      <c r="A943" s="33"/>
      <c r="B943" s="114"/>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row>
    <row r="944">
      <c r="A944" s="33"/>
      <c r="B944" s="114"/>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row>
    <row r="945">
      <c r="A945" s="33"/>
      <c r="B945" s="114"/>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row>
    <row r="946">
      <c r="A946" s="33"/>
      <c r="B946" s="114"/>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row>
    <row r="947">
      <c r="A947" s="33"/>
      <c r="B947" s="114"/>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row>
    <row r="948">
      <c r="A948" s="33"/>
      <c r="B948" s="114"/>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row>
    <row r="949">
      <c r="A949" s="33"/>
      <c r="B949" s="114"/>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row>
    <row r="950">
      <c r="A950" s="33"/>
      <c r="B950" s="114"/>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row>
    <row r="951">
      <c r="A951" s="33"/>
      <c r="B951" s="114"/>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row>
    <row r="952">
      <c r="A952" s="33"/>
      <c r="B952" s="114"/>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row>
    <row r="953">
      <c r="A953" s="33"/>
      <c r="B953" s="114"/>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row>
    <row r="954">
      <c r="A954" s="33"/>
      <c r="B954" s="114"/>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row>
    <row r="955">
      <c r="A955" s="33"/>
      <c r="B955" s="114"/>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row>
    <row r="956">
      <c r="A956" s="33"/>
      <c r="B956" s="114"/>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row>
    <row r="957">
      <c r="A957" s="33"/>
      <c r="B957" s="114"/>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row>
    <row r="958">
      <c r="A958" s="33"/>
      <c r="B958" s="114"/>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row>
    <row r="959">
      <c r="A959" s="33"/>
      <c r="B959" s="114"/>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row>
    <row r="960">
      <c r="A960" s="33"/>
      <c r="B960" s="114"/>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row>
    <row r="961">
      <c r="A961" s="33"/>
      <c r="B961" s="114"/>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row>
    <row r="962">
      <c r="A962" s="33"/>
      <c r="B962" s="114"/>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row>
    <row r="963">
      <c r="A963" s="33"/>
      <c r="B963" s="114"/>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row>
    <row r="964">
      <c r="A964" s="33"/>
      <c r="B964" s="114"/>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row>
    <row r="965">
      <c r="A965" s="33"/>
      <c r="B965" s="114"/>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row>
    <row r="966">
      <c r="A966" s="33"/>
      <c r="B966" s="114"/>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row>
    <row r="967">
      <c r="A967" s="33"/>
      <c r="B967" s="114"/>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row>
    <row r="968">
      <c r="A968" s="33"/>
      <c r="B968" s="114"/>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row>
    <row r="969">
      <c r="A969" s="33"/>
      <c r="B969" s="114"/>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row>
    <row r="970">
      <c r="A970" s="33"/>
      <c r="B970" s="114"/>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row>
    <row r="971">
      <c r="A971" s="33"/>
      <c r="B971" s="114"/>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row>
    <row r="972">
      <c r="A972" s="33"/>
      <c r="B972" s="114"/>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row>
    <row r="973">
      <c r="A973" s="33"/>
      <c r="B973" s="114"/>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row>
    <row r="974">
      <c r="A974" s="33"/>
      <c r="B974" s="114"/>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row>
    <row r="975">
      <c r="A975" s="33"/>
      <c r="B975" s="114"/>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row>
    <row r="976">
      <c r="A976" s="33"/>
      <c r="B976" s="114"/>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row>
    <row r="977">
      <c r="A977" s="33"/>
      <c r="B977" s="114"/>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row>
    <row r="978">
      <c r="A978" s="33"/>
      <c r="B978" s="114"/>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row>
    <row r="979">
      <c r="A979" s="33"/>
      <c r="B979" s="114"/>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row>
    <row r="980">
      <c r="A980" s="33"/>
      <c r="B980" s="114"/>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row>
    <row r="981">
      <c r="A981" s="33"/>
      <c r="B981" s="114"/>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row>
    <row r="982">
      <c r="A982" s="33"/>
      <c r="B982" s="114"/>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row>
    <row r="983">
      <c r="A983" s="33"/>
      <c r="B983" s="114"/>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row>
    <row r="984">
      <c r="A984" s="33"/>
      <c r="B984" s="114"/>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row>
    <row r="985">
      <c r="A985" s="33"/>
      <c r="B985" s="114"/>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row>
    <row r="986">
      <c r="A986" s="33"/>
      <c r="B986" s="114"/>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row>
    <row r="987">
      <c r="A987" s="33"/>
      <c r="B987" s="114"/>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row>
    <row r="988">
      <c r="A988" s="33"/>
      <c r="B988" s="114"/>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row>
    <row r="989">
      <c r="A989" s="33"/>
      <c r="B989" s="114"/>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row>
    <row r="990">
      <c r="A990" s="33"/>
      <c r="B990" s="114"/>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row>
    <row r="991">
      <c r="A991" s="33"/>
      <c r="B991" s="114"/>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row>
    <row r="992">
      <c r="A992" s="33"/>
      <c r="B992" s="114"/>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row>
    <row r="993">
      <c r="A993" s="33"/>
      <c r="B993" s="114"/>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row>
    <row r="994">
      <c r="A994" s="33"/>
      <c r="B994" s="114"/>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row>
    <row r="995">
      <c r="A995" s="33"/>
      <c r="B995" s="114"/>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row>
    <row r="996">
      <c r="A996" s="33"/>
      <c r="B996" s="114"/>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row>
    <row r="997">
      <c r="A997" s="33"/>
      <c r="B997" s="114"/>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row>
    <row r="998">
      <c r="A998" s="33"/>
      <c r="B998" s="114"/>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row>
  </sheetData>
  <mergeCells count="5">
    <mergeCell ref="B3:B4"/>
    <mergeCell ref="B5:B8"/>
    <mergeCell ref="B9:B13"/>
    <mergeCell ref="B14:B16"/>
    <mergeCell ref="B25:C2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sheetViews>
  <sheetFormatPr customHeight="1" defaultColWidth="12.63" defaultRowHeight="15.75"/>
  <cols>
    <col customWidth="1" min="1" max="1" width="5.0"/>
    <col customWidth="1" min="2" max="3" width="18.25"/>
    <col customWidth="1" min="4" max="4" width="21.13"/>
    <col customWidth="1" min="5" max="5" width="19.5"/>
    <col customWidth="1" min="10" max="12" width="18.25"/>
  </cols>
  <sheetData>
    <row r="1">
      <c r="A1" s="115"/>
      <c r="B1" s="115"/>
      <c r="C1" s="115"/>
      <c r="D1" s="115"/>
      <c r="E1" s="115"/>
      <c r="F1" s="116"/>
      <c r="G1" s="116"/>
      <c r="H1" s="116"/>
      <c r="I1" s="116"/>
      <c r="J1" s="116"/>
      <c r="K1" s="116"/>
      <c r="L1" s="116"/>
      <c r="M1" s="116"/>
      <c r="N1" s="116"/>
      <c r="O1" s="116"/>
      <c r="P1" s="116"/>
      <c r="Q1" s="116"/>
      <c r="R1" s="116"/>
      <c r="S1" s="116"/>
      <c r="T1" s="116"/>
      <c r="U1" s="116"/>
      <c r="V1" s="116"/>
      <c r="W1" s="116"/>
      <c r="X1" s="116"/>
      <c r="Y1" s="116"/>
      <c r="Z1" s="116"/>
      <c r="AA1" s="116"/>
    </row>
    <row r="2">
      <c r="A2" s="115"/>
      <c r="B2" s="117" t="s">
        <v>257</v>
      </c>
      <c r="C2" s="118" t="s">
        <v>258</v>
      </c>
      <c r="D2" s="119" t="s">
        <v>259</v>
      </c>
      <c r="E2" s="120" t="s">
        <v>260</v>
      </c>
      <c r="F2" s="116"/>
      <c r="G2" s="116"/>
      <c r="H2" s="116"/>
      <c r="I2" s="116"/>
      <c r="J2" s="116"/>
      <c r="K2" s="116"/>
      <c r="L2" s="116"/>
      <c r="M2" s="116"/>
      <c r="N2" s="116"/>
      <c r="O2" s="116"/>
      <c r="P2" s="116"/>
      <c r="Q2" s="116"/>
      <c r="R2" s="116"/>
      <c r="S2" s="116"/>
      <c r="T2" s="116"/>
      <c r="U2" s="116"/>
      <c r="V2" s="116"/>
      <c r="W2" s="116"/>
      <c r="X2" s="116"/>
      <c r="Y2" s="116"/>
      <c r="Z2" s="116"/>
      <c r="AA2" s="116"/>
    </row>
    <row r="3">
      <c r="A3" s="121"/>
      <c r="B3" s="122" t="s">
        <v>261</v>
      </c>
      <c r="C3" s="121" t="s">
        <v>262</v>
      </c>
      <c r="D3" s="121" t="s">
        <v>263</v>
      </c>
      <c r="E3" s="123" t="s">
        <v>264</v>
      </c>
      <c r="F3" s="33"/>
      <c r="G3" s="33"/>
      <c r="H3" s="33"/>
      <c r="I3" s="33"/>
      <c r="J3" s="33"/>
      <c r="K3" s="33"/>
      <c r="L3" s="33"/>
      <c r="M3" s="33"/>
      <c r="N3" s="33"/>
      <c r="O3" s="33"/>
      <c r="P3" s="33"/>
      <c r="Q3" s="33"/>
      <c r="R3" s="33"/>
      <c r="S3" s="33"/>
      <c r="T3" s="33"/>
      <c r="U3" s="33"/>
      <c r="V3" s="33"/>
      <c r="W3" s="33"/>
      <c r="X3" s="33"/>
      <c r="Y3" s="33"/>
      <c r="Z3" s="33"/>
      <c r="AA3" s="33"/>
    </row>
    <row r="4">
      <c r="A4" s="124"/>
      <c r="B4" s="125" t="s">
        <v>265</v>
      </c>
      <c r="E4" s="126"/>
      <c r="F4" s="33"/>
      <c r="G4" s="33"/>
      <c r="H4" s="33"/>
      <c r="I4" s="33"/>
      <c r="J4" s="33"/>
      <c r="K4" s="33"/>
      <c r="L4" s="33"/>
      <c r="M4" s="33"/>
      <c r="N4" s="33"/>
      <c r="O4" s="33"/>
      <c r="P4" s="33"/>
      <c r="Q4" s="33"/>
      <c r="R4" s="33"/>
      <c r="S4" s="33"/>
      <c r="T4" s="33"/>
      <c r="U4" s="33"/>
      <c r="V4" s="33"/>
      <c r="W4" s="33"/>
      <c r="X4" s="33"/>
      <c r="Y4" s="33"/>
      <c r="Z4" s="33"/>
      <c r="AA4" s="33"/>
    </row>
    <row r="5">
      <c r="A5" s="56"/>
      <c r="B5" s="127" t="s">
        <v>206</v>
      </c>
      <c r="C5" s="56" t="s">
        <v>242</v>
      </c>
      <c r="D5" s="56" t="s">
        <v>43</v>
      </c>
      <c r="E5" s="128" t="s">
        <v>213</v>
      </c>
      <c r="F5" s="33"/>
      <c r="G5" s="33"/>
      <c r="H5" s="33"/>
      <c r="I5" s="33"/>
      <c r="J5" s="33"/>
      <c r="K5" s="33"/>
      <c r="L5" s="33"/>
      <c r="M5" s="33"/>
      <c r="N5" s="33"/>
      <c r="O5" s="33"/>
      <c r="P5" s="33"/>
      <c r="Q5" s="33"/>
      <c r="R5" s="33"/>
      <c r="S5" s="33"/>
      <c r="T5" s="33"/>
      <c r="U5" s="33"/>
      <c r="V5" s="33"/>
      <c r="W5" s="33"/>
      <c r="X5" s="33"/>
      <c r="Y5" s="33"/>
      <c r="Z5" s="33"/>
      <c r="AA5" s="33"/>
    </row>
    <row r="6">
      <c r="A6" s="33"/>
      <c r="B6" s="129"/>
      <c r="C6" s="33"/>
      <c r="D6" s="33"/>
      <c r="E6" s="128" t="s">
        <v>247</v>
      </c>
      <c r="F6" s="33"/>
      <c r="G6" s="33"/>
      <c r="H6" s="33"/>
      <c r="I6" s="33"/>
      <c r="J6" s="33"/>
      <c r="K6" s="33"/>
      <c r="L6" s="33"/>
      <c r="M6" s="33"/>
      <c r="N6" s="33"/>
      <c r="O6" s="33"/>
      <c r="P6" s="33"/>
      <c r="Q6" s="33"/>
      <c r="R6" s="33"/>
      <c r="S6" s="33"/>
      <c r="T6" s="33"/>
      <c r="U6" s="33"/>
      <c r="V6" s="33"/>
      <c r="W6" s="33"/>
      <c r="X6" s="33"/>
      <c r="Y6" s="33"/>
      <c r="Z6" s="33"/>
      <c r="AA6" s="33"/>
    </row>
    <row r="7">
      <c r="A7" s="124"/>
      <c r="B7" s="125" t="s">
        <v>266</v>
      </c>
      <c r="E7" s="126"/>
      <c r="F7" s="33"/>
      <c r="G7" s="33"/>
      <c r="H7" s="33"/>
      <c r="I7" s="33"/>
      <c r="J7" s="33"/>
      <c r="K7" s="33"/>
      <c r="L7" s="33"/>
      <c r="M7" s="130"/>
      <c r="N7" s="33"/>
      <c r="O7" s="33"/>
      <c r="P7" s="33"/>
      <c r="Q7" s="33"/>
      <c r="R7" s="33"/>
      <c r="S7" s="33"/>
      <c r="T7" s="33"/>
      <c r="U7" s="33"/>
      <c r="V7" s="33"/>
      <c r="W7" s="33"/>
      <c r="X7" s="33"/>
      <c r="Y7" s="33"/>
      <c r="Z7" s="33"/>
      <c r="AA7" s="33"/>
    </row>
    <row r="8">
      <c r="A8" s="56"/>
      <c r="B8" s="127" t="s">
        <v>216</v>
      </c>
      <c r="C8" s="56" t="s">
        <v>232</v>
      </c>
      <c r="D8" s="56" t="s">
        <v>226</v>
      </c>
      <c r="E8" s="128" t="s">
        <v>206</v>
      </c>
      <c r="F8" s="33"/>
      <c r="G8" s="33"/>
      <c r="H8" s="33"/>
      <c r="I8" s="33"/>
      <c r="J8" s="33"/>
      <c r="K8" s="33"/>
      <c r="L8" s="33"/>
      <c r="M8" s="33"/>
      <c r="N8" s="33"/>
      <c r="O8" s="33"/>
      <c r="P8" s="33"/>
      <c r="Q8" s="33"/>
      <c r="R8" s="33"/>
      <c r="S8" s="33"/>
      <c r="T8" s="33"/>
      <c r="U8" s="33"/>
      <c r="V8" s="33"/>
      <c r="W8" s="33"/>
      <c r="X8" s="33"/>
      <c r="Y8" s="33"/>
      <c r="Z8" s="33"/>
      <c r="AA8" s="33"/>
    </row>
    <row r="9">
      <c r="A9" s="56"/>
      <c r="B9" s="127" t="s">
        <v>226</v>
      </c>
      <c r="C9" s="56" t="s">
        <v>43</v>
      </c>
      <c r="D9" s="56" t="s">
        <v>229</v>
      </c>
      <c r="E9" s="128" t="s">
        <v>209</v>
      </c>
      <c r="F9" s="33"/>
      <c r="G9" s="33"/>
      <c r="H9" s="33"/>
      <c r="I9" s="33"/>
      <c r="J9" s="33"/>
      <c r="K9" s="33"/>
      <c r="L9" s="33"/>
      <c r="M9" s="33"/>
      <c r="N9" s="33"/>
      <c r="O9" s="33"/>
      <c r="P9" s="33"/>
      <c r="Q9" s="33"/>
      <c r="R9" s="33"/>
      <c r="S9" s="33"/>
      <c r="T9" s="33"/>
      <c r="U9" s="33"/>
      <c r="V9" s="33"/>
      <c r="W9" s="33"/>
      <c r="X9" s="33"/>
      <c r="Y9" s="33"/>
      <c r="Z9" s="33"/>
      <c r="AA9" s="33"/>
    </row>
    <row r="10">
      <c r="A10" s="56"/>
      <c r="B10" s="127" t="s">
        <v>229</v>
      </c>
      <c r="C10" s="56" t="s">
        <v>216</v>
      </c>
      <c r="D10" s="56" t="s">
        <v>232</v>
      </c>
      <c r="E10" s="128" t="s">
        <v>226</v>
      </c>
      <c r="F10" s="33"/>
      <c r="G10" s="33"/>
      <c r="H10" s="33"/>
      <c r="I10" s="33"/>
      <c r="J10" s="33"/>
      <c r="K10" s="33"/>
      <c r="L10" s="33"/>
      <c r="M10" s="33"/>
      <c r="N10" s="33"/>
      <c r="O10" s="33"/>
      <c r="P10" s="33"/>
      <c r="Q10" s="33"/>
      <c r="R10" s="33"/>
      <c r="S10" s="33"/>
      <c r="T10" s="33"/>
      <c r="U10" s="33"/>
      <c r="V10" s="33"/>
      <c r="W10" s="33"/>
      <c r="X10" s="33"/>
      <c r="Y10" s="33"/>
      <c r="Z10" s="33"/>
      <c r="AA10" s="33"/>
    </row>
    <row r="11">
      <c r="A11" s="56"/>
      <c r="B11" s="127" t="s">
        <v>242</v>
      </c>
      <c r="C11" s="131"/>
      <c r="D11" s="33"/>
      <c r="E11" s="128" t="s">
        <v>229</v>
      </c>
      <c r="F11" s="33"/>
      <c r="G11" s="33"/>
      <c r="H11" s="33"/>
      <c r="I11" s="33"/>
      <c r="J11" s="33"/>
      <c r="K11" s="33"/>
      <c r="L11" s="33"/>
      <c r="M11" s="33"/>
      <c r="N11" s="33"/>
      <c r="O11" s="33"/>
      <c r="P11" s="33"/>
      <c r="Q11" s="33"/>
      <c r="R11" s="33"/>
      <c r="S11" s="33"/>
      <c r="T11" s="33"/>
      <c r="U11" s="33"/>
      <c r="V11" s="33"/>
      <c r="W11" s="33"/>
      <c r="X11" s="33"/>
      <c r="Y11" s="33"/>
      <c r="Z11" s="33"/>
      <c r="AA11" s="33"/>
    </row>
    <row r="12">
      <c r="A12" s="33"/>
      <c r="B12" s="129"/>
      <c r="C12" s="33"/>
      <c r="D12" s="33"/>
      <c r="E12" s="132"/>
      <c r="F12" s="33"/>
      <c r="G12" s="33"/>
      <c r="H12" s="33"/>
      <c r="I12" s="33"/>
      <c r="J12" s="33"/>
      <c r="K12" s="33"/>
      <c r="L12" s="33"/>
      <c r="M12" s="33"/>
      <c r="N12" s="33"/>
      <c r="O12" s="33"/>
      <c r="P12" s="33"/>
      <c r="Q12" s="33"/>
      <c r="R12" s="33"/>
      <c r="S12" s="33"/>
      <c r="T12" s="33"/>
      <c r="U12" s="33"/>
      <c r="V12" s="33"/>
      <c r="W12" s="33"/>
      <c r="X12" s="33"/>
      <c r="Y12" s="33"/>
      <c r="Z12" s="33"/>
      <c r="AA12" s="33"/>
    </row>
    <row r="13">
      <c r="A13" s="124"/>
      <c r="B13" s="125" t="s">
        <v>267</v>
      </c>
      <c r="E13" s="126"/>
      <c r="F13" s="33"/>
      <c r="G13" s="33"/>
      <c r="H13" s="33"/>
      <c r="I13" s="33"/>
      <c r="J13" s="33"/>
      <c r="K13" s="33"/>
      <c r="L13" s="33"/>
      <c r="M13" s="130"/>
      <c r="N13" s="33"/>
      <c r="O13" s="33"/>
      <c r="P13" s="33"/>
      <c r="Q13" s="33"/>
      <c r="R13" s="33"/>
      <c r="S13" s="33"/>
      <c r="T13" s="33"/>
      <c r="U13" s="33"/>
      <c r="V13" s="33"/>
      <c r="W13" s="33"/>
      <c r="X13" s="33"/>
      <c r="Y13" s="33"/>
      <c r="Z13" s="33"/>
      <c r="AA13" s="33"/>
    </row>
    <row r="14">
      <c r="A14" s="56"/>
      <c r="B14" s="127" t="s">
        <v>213</v>
      </c>
      <c r="C14" s="56" t="s">
        <v>226</v>
      </c>
      <c r="D14" s="56" t="s">
        <v>206</v>
      </c>
      <c r="E14" s="128" t="s">
        <v>219</v>
      </c>
      <c r="F14" s="33"/>
      <c r="G14" s="33"/>
      <c r="H14" s="33"/>
      <c r="I14" s="33"/>
      <c r="J14" s="33"/>
      <c r="K14" s="33"/>
      <c r="L14" s="33"/>
      <c r="M14" s="33"/>
      <c r="N14" s="33"/>
      <c r="O14" s="33"/>
      <c r="P14" s="33"/>
      <c r="Q14" s="33"/>
      <c r="R14" s="33"/>
      <c r="S14" s="33"/>
      <c r="T14" s="33"/>
      <c r="U14" s="33"/>
      <c r="V14" s="33"/>
      <c r="W14" s="33"/>
      <c r="X14" s="33"/>
      <c r="Y14" s="33"/>
      <c r="Z14" s="33"/>
      <c r="AA14" s="33"/>
    </row>
    <row r="15">
      <c r="A15" s="56"/>
      <c r="B15" s="127" t="s">
        <v>209</v>
      </c>
      <c r="C15" s="56" t="s">
        <v>229</v>
      </c>
      <c r="D15" s="56" t="s">
        <v>213</v>
      </c>
      <c r="E15" s="128" t="s">
        <v>242</v>
      </c>
      <c r="F15" s="33"/>
      <c r="G15" s="33"/>
      <c r="H15" s="33"/>
      <c r="I15" s="33"/>
      <c r="J15" s="33"/>
      <c r="K15" s="33"/>
      <c r="L15" s="33"/>
      <c r="M15" s="33"/>
      <c r="N15" s="33"/>
      <c r="O15" s="33"/>
      <c r="P15" s="33"/>
      <c r="Q15" s="33"/>
      <c r="R15" s="33"/>
      <c r="S15" s="33"/>
      <c r="T15" s="33"/>
      <c r="U15" s="33"/>
      <c r="V15" s="33"/>
      <c r="W15" s="33"/>
      <c r="X15" s="33"/>
      <c r="Y15" s="33"/>
      <c r="Z15" s="33"/>
      <c r="AA15" s="33"/>
    </row>
    <row r="16">
      <c r="A16" s="56"/>
      <c r="B16" s="127" t="s">
        <v>219</v>
      </c>
      <c r="C16" s="56" t="s">
        <v>219</v>
      </c>
      <c r="D16" s="56" t="s">
        <v>216</v>
      </c>
      <c r="E16" s="128" t="s">
        <v>43</v>
      </c>
      <c r="F16" s="33"/>
      <c r="G16" s="33"/>
      <c r="H16" s="33"/>
      <c r="I16" s="33"/>
      <c r="J16" s="33"/>
      <c r="K16" s="33"/>
      <c r="L16" s="33"/>
      <c r="M16" s="33"/>
      <c r="N16" s="33"/>
      <c r="O16" s="33"/>
      <c r="P16" s="33"/>
      <c r="Q16" s="33"/>
      <c r="R16" s="33"/>
      <c r="S16" s="33"/>
      <c r="T16" s="33"/>
      <c r="U16" s="33"/>
      <c r="V16" s="33"/>
      <c r="W16" s="33"/>
      <c r="X16" s="33"/>
      <c r="Y16" s="33"/>
      <c r="Z16" s="33"/>
      <c r="AA16" s="33"/>
    </row>
    <row r="17">
      <c r="A17" s="56"/>
      <c r="B17" s="127" t="s">
        <v>247</v>
      </c>
      <c r="C17" s="56" t="s">
        <v>238</v>
      </c>
      <c r="D17" s="56" t="s">
        <v>219</v>
      </c>
      <c r="E17" s="132"/>
      <c r="F17" s="33"/>
      <c r="G17" s="33"/>
      <c r="H17" s="33"/>
      <c r="I17" s="33"/>
      <c r="J17" s="33"/>
      <c r="K17" s="33"/>
      <c r="L17" s="33"/>
      <c r="M17" s="33"/>
      <c r="N17" s="33"/>
      <c r="O17" s="33"/>
      <c r="P17" s="33"/>
      <c r="Q17" s="33"/>
      <c r="R17" s="33"/>
      <c r="S17" s="33"/>
      <c r="T17" s="33"/>
      <c r="U17" s="33"/>
      <c r="V17" s="33"/>
      <c r="W17" s="33"/>
      <c r="X17" s="33"/>
      <c r="Y17" s="33"/>
      <c r="Z17" s="33"/>
      <c r="AA17" s="33"/>
    </row>
    <row r="18">
      <c r="A18" s="56"/>
      <c r="B18" s="127" t="s">
        <v>43</v>
      </c>
      <c r="C18" s="33"/>
      <c r="D18" s="56" t="s">
        <v>242</v>
      </c>
      <c r="E18" s="132"/>
      <c r="F18" s="33"/>
      <c r="G18" s="33"/>
      <c r="H18" s="33"/>
      <c r="I18" s="33"/>
      <c r="J18" s="33"/>
      <c r="K18" s="33"/>
      <c r="L18" s="33"/>
      <c r="M18" s="33"/>
      <c r="N18" s="33"/>
      <c r="O18" s="33"/>
      <c r="P18" s="33"/>
      <c r="Q18" s="33"/>
      <c r="R18" s="33"/>
      <c r="S18" s="33"/>
      <c r="T18" s="33"/>
      <c r="U18" s="33"/>
      <c r="V18" s="33"/>
      <c r="W18" s="33"/>
      <c r="X18" s="33"/>
      <c r="Y18" s="33"/>
      <c r="Z18" s="33"/>
      <c r="AA18" s="33"/>
    </row>
    <row r="19">
      <c r="A19" s="33"/>
      <c r="B19" s="129"/>
      <c r="C19" s="33"/>
      <c r="D19" s="33"/>
      <c r="E19" s="132"/>
      <c r="F19" s="33"/>
      <c r="G19" s="33"/>
      <c r="H19" s="33"/>
      <c r="I19" s="33"/>
      <c r="J19" s="33"/>
      <c r="K19" s="33"/>
      <c r="L19" s="33"/>
      <c r="M19" s="33"/>
      <c r="N19" s="33"/>
      <c r="O19" s="33"/>
      <c r="P19" s="33"/>
      <c r="Q19" s="33"/>
      <c r="R19" s="33"/>
      <c r="S19" s="33"/>
      <c r="T19" s="33"/>
      <c r="U19" s="33"/>
      <c r="V19" s="33"/>
      <c r="W19" s="33"/>
      <c r="X19" s="33"/>
      <c r="Y19" s="33"/>
      <c r="Z19" s="33"/>
      <c r="AA19" s="33"/>
    </row>
    <row r="20">
      <c r="A20" s="124"/>
      <c r="B20" s="125" t="s">
        <v>268</v>
      </c>
      <c r="E20" s="126"/>
      <c r="F20" s="33"/>
      <c r="G20" s="33"/>
      <c r="H20" s="33"/>
      <c r="I20" s="33"/>
      <c r="J20" s="130"/>
      <c r="K20" s="130"/>
      <c r="L20" s="130"/>
      <c r="M20" s="130"/>
      <c r="N20" s="33"/>
      <c r="O20" s="33"/>
      <c r="P20" s="33"/>
      <c r="Q20" s="33"/>
      <c r="R20" s="33"/>
      <c r="S20" s="33"/>
      <c r="T20" s="33"/>
      <c r="U20" s="33"/>
      <c r="V20" s="33"/>
      <c r="W20" s="33"/>
      <c r="X20" s="33"/>
      <c r="Y20" s="33"/>
      <c r="Z20" s="33"/>
      <c r="AA20" s="33"/>
    </row>
    <row r="21">
      <c r="A21" s="56"/>
      <c r="B21" s="127" t="s">
        <v>232</v>
      </c>
      <c r="C21" s="56" t="s">
        <v>213</v>
      </c>
      <c r="D21" s="56" t="s">
        <v>209</v>
      </c>
      <c r="E21" s="128" t="s">
        <v>216</v>
      </c>
      <c r="F21" s="33"/>
      <c r="G21" s="33"/>
      <c r="H21" s="33"/>
      <c r="I21" s="33"/>
      <c r="J21" s="33"/>
      <c r="K21" s="33"/>
      <c r="L21" s="33"/>
      <c r="M21" s="33"/>
      <c r="N21" s="33"/>
      <c r="O21" s="33"/>
      <c r="P21" s="33"/>
      <c r="Q21" s="33"/>
      <c r="R21" s="33"/>
      <c r="S21" s="33"/>
      <c r="T21" s="33"/>
      <c r="U21" s="33"/>
      <c r="V21" s="33"/>
      <c r="W21" s="33"/>
      <c r="X21" s="33"/>
      <c r="Y21" s="33"/>
      <c r="Z21" s="33"/>
      <c r="AA21" s="33"/>
    </row>
    <row r="22">
      <c r="A22" s="56"/>
      <c r="B22" s="127" t="s">
        <v>238</v>
      </c>
      <c r="C22" s="56" t="s">
        <v>247</v>
      </c>
      <c r="D22" s="56" t="s">
        <v>247</v>
      </c>
      <c r="E22" s="128" t="s">
        <v>232</v>
      </c>
      <c r="F22" s="33"/>
      <c r="G22" s="33"/>
      <c r="H22" s="33"/>
      <c r="I22" s="33"/>
      <c r="J22" s="33"/>
      <c r="K22" s="33"/>
      <c r="L22" s="33"/>
      <c r="M22" s="33"/>
      <c r="N22" s="33"/>
      <c r="O22" s="33"/>
      <c r="P22" s="33"/>
      <c r="Q22" s="33"/>
      <c r="R22" s="33"/>
      <c r="S22" s="33"/>
      <c r="T22" s="33"/>
      <c r="U22" s="33"/>
      <c r="V22" s="33"/>
      <c r="W22" s="33"/>
      <c r="X22" s="33"/>
      <c r="Y22" s="33"/>
      <c r="Z22" s="33"/>
      <c r="AA22" s="33"/>
    </row>
    <row r="23">
      <c r="A23" s="33"/>
      <c r="B23" s="129"/>
      <c r="C23" s="56" t="s">
        <v>235</v>
      </c>
      <c r="D23" s="56" t="s">
        <v>238</v>
      </c>
      <c r="E23" s="128" t="s">
        <v>238</v>
      </c>
      <c r="F23" s="33"/>
      <c r="G23" s="33"/>
      <c r="H23" s="33"/>
      <c r="I23" s="33"/>
      <c r="J23" s="33"/>
      <c r="K23" s="33"/>
      <c r="L23" s="33"/>
      <c r="M23" s="33"/>
      <c r="N23" s="33"/>
      <c r="O23" s="33"/>
      <c r="P23" s="33"/>
      <c r="Q23" s="33"/>
      <c r="R23" s="33"/>
      <c r="S23" s="33"/>
      <c r="T23" s="33"/>
      <c r="U23" s="33"/>
      <c r="V23" s="33"/>
      <c r="W23" s="33"/>
      <c r="X23" s="33"/>
      <c r="Y23" s="33"/>
      <c r="Z23" s="33"/>
      <c r="AA23" s="33"/>
    </row>
    <row r="24">
      <c r="A24" s="33"/>
      <c r="B24" s="129"/>
      <c r="C24" s="33"/>
      <c r="D24" s="33"/>
      <c r="E24" s="132"/>
      <c r="F24" s="33"/>
      <c r="G24" s="33"/>
      <c r="H24" s="33"/>
      <c r="I24" s="33"/>
      <c r="J24" s="33"/>
      <c r="K24" s="33"/>
      <c r="L24" s="33"/>
      <c r="M24" s="33"/>
      <c r="N24" s="33"/>
      <c r="O24" s="33"/>
      <c r="P24" s="33"/>
      <c r="Q24" s="33"/>
      <c r="R24" s="33"/>
      <c r="S24" s="33"/>
      <c r="T24" s="33"/>
      <c r="U24" s="33"/>
      <c r="V24" s="33"/>
      <c r="W24" s="33"/>
      <c r="X24" s="33"/>
      <c r="Y24" s="33"/>
      <c r="Z24" s="33"/>
      <c r="AA24" s="33"/>
    </row>
    <row r="25">
      <c r="A25" s="33"/>
      <c r="B25" s="129"/>
      <c r="C25" s="33"/>
      <c r="D25" s="33"/>
      <c r="E25" s="132"/>
      <c r="F25" s="33"/>
      <c r="G25" s="33"/>
      <c r="H25" s="33"/>
      <c r="I25" s="33"/>
      <c r="J25" s="33"/>
      <c r="K25" s="33"/>
      <c r="L25" s="33"/>
      <c r="M25" s="33"/>
      <c r="N25" s="33"/>
      <c r="O25" s="33"/>
      <c r="P25" s="33"/>
      <c r="Q25" s="33"/>
      <c r="R25" s="33"/>
      <c r="S25" s="33"/>
      <c r="T25" s="33"/>
      <c r="U25" s="33"/>
      <c r="V25" s="33"/>
      <c r="W25" s="33"/>
      <c r="X25" s="33"/>
      <c r="Y25" s="33"/>
      <c r="Z25" s="33"/>
      <c r="AA25" s="33"/>
    </row>
    <row r="26">
      <c r="A26" s="124"/>
      <c r="B26" s="125" t="s">
        <v>269</v>
      </c>
      <c r="E26" s="126"/>
      <c r="F26" s="33"/>
      <c r="G26" s="33"/>
      <c r="H26" s="33"/>
      <c r="I26" s="33"/>
      <c r="J26" s="33"/>
      <c r="K26" s="33"/>
      <c r="L26" s="33"/>
      <c r="M26" s="33"/>
      <c r="N26" s="33"/>
      <c r="O26" s="33"/>
      <c r="P26" s="33"/>
      <c r="Q26" s="33"/>
      <c r="R26" s="33"/>
      <c r="S26" s="33"/>
      <c r="T26" s="33"/>
      <c r="U26" s="33"/>
      <c r="V26" s="33"/>
      <c r="W26" s="33"/>
      <c r="X26" s="33"/>
      <c r="Y26" s="33"/>
      <c r="Z26" s="33"/>
      <c r="AA26" s="33"/>
    </row>
    <row r="27">
      <c r="A27" s="56"/>
      <c r="B27" s="127" t="s">
        <v>222</v>
      </c>
      <c r="C27" s="56" t="s">
        <v>222</v>
      </c>
      <c r="D27" s="56" t="s">
        <v>222</v>
      </c>
      <c r="E27" s="128" t="s">
        <v>222</v>
      </c>
      <c r="F27" s="33"/>
      <c r="G27" s="33"/>
      <c r="H27" s="33"/>
      <c r="I27" s="33"/>
      <c r="J27" s="33"/>
      <c r="K27" s="33"/>
      <c r="L27" s="33"/>
      <c r="M27" s="33"/>
      <c r="N27" s="33"/>
      <c r="O27" s="33"/>
      <c r="P27" s="33"/>
      <c r="Q27" s="33"/>
      <c r="R27" s="33"/>
      <c r="S27" s="33"/>
      <c r="T27" s="33"/>
      <c r="U27" s="33"/>
      <c r="V27" s="33"/>
      <c r="W27" s="33"/>
      <c r="X27" s="33"/>
      <c r="Y27" s="33"/>
      <c r="Z27" s="33"/>
      <c r="AA27" s="33"/>
    </row>
    <row r="28">
      <c r="A28" s="56"/>
      <c r="B28" s="127" t="s">
        <v>235</v>
      </c>
      <c r="C28" s="56" t="s">
        <v>206</v>
      </c>
      <c r="D28" s="56" t="s">
        <v>235</v>
      </c>
      <c r="E28" s="128" t="s">
        <v>235</v>
      </c>
      <c r="F28" s="33"/>
      <c r="G28" s="33"/>
      <c r="H28" s="33"/>
      <c r="I28" s="33"/>
      <c r="J28" s="33"/>
      <c r="K28" s="33"/>
      <c r="L28" s="33"/>
      <c r="M28" s="33"/>
      <c r="N28" s="33"/>
      <c r="O28" s="33"/>
      <c r="P28" s="33"/>
      <c r="Q28" s="33"/>
      <c r="R28" s="33"/>
      <c r="S28" s="33"/>
      <c r="T28" s="33"/>
      <c r="U28" s="33"/>
      <c r="V28" s="33"/>
      <c r="W28" s="33"/>
      <c r="X28" s="33"/>
      <c r="Y28" s="33"/>
      <c r="Z28" s="33"/>
      <c r="AA28" s="33"/>
    </row>
    <row r="29">
      <c r="A29" s="56"/>
      <c r="B29" s="127"/>
      <c r="C29" s="56" t="s">
        <v>209</v>
      </c>
      <c r="D29" s="56"/>
      <c r="E29" s="128"/>
      <c r="F29" s="33"/>
      <c r="G29" s="33"/>
      <c r="H29" s="33"/>
      <c r="I29" s="33"/>
      <c r="J29" s="33"/>
      <c r="K29" s="33"/>
      <c r="L29" s="33"/>
      <c r="M29" s="33"/>
      <c r="N29" s="33"/>
      <c r="O29" s="33"/>
      <c r="P29" s="33"/>
      <c r="Q29" s="33"/>
      <c r="R29" s="33"/>
      <c r="S29" s="33"/>
      <c r="T29" s="33"/>
      <c r="U29" s="33"/>
      <c r="V29" s="33"/>
      <c r="W29" s="33"/>
      <c r="X29" s="33"/>
      <c r="Y29" s="33"/>
      <c r="Z29" s="33"/>
      <c r="AA29" s="33"/>
    </row>
    <row r="30">
      <c r="A30" s="33"/>
      <c r="B30" s="133"/>
      <c r="C30" s="134"/>
      <c r="D30" s="134"/>
      <c r="E30" s="135"/>
      <c r="F30" s="33"/>
      <c r="G30" s="33"/>
      <c r="H30" s="33"/>
      <c r="I30" s="33"/>
      <c r="J30" s="33"/>
      <c r="K30" s="33"/>
      <c r="L30" s="33"/>
      <c r="M30" s="33"/>
      <c r="N30" s="33"/>
      <c r="O30" s="33"/>
      <c r="P30" s="33"/>
      <c r="Q30" s="33"/>
      <c r="R30" s="33"/>
      <c r="S30" s="33"/>
      <c r="T30" s="33"/>
      <c r="U30" s="33"/>
      <c r="V30" s="33"/>
      <c r="W30" s="33"/>
      <c r="X30" s="33"/>
      <c r="Y30" s="33"/>
      <c r="Z30" s="33"/>
      <c r="AA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row>
    <row r="32">
      <c r="A32" s="131"/>
      <c r="B32" s="131" t="s">
        <v>270</v>
      </c>
      <c r="C32" s="131" t="s">
        <v>271</v>
      </c>
      <c r="D32" s="131" t="s">
        <v>272</v>
      </c>
      <c r="E32" s="131" t="s">
        <v>273</v>
      </c>
      <c r="F32" s="33"/>
      <c r="G32" s="33"/>
      <c r="H32" s="33"/>
      <c r="I32" s="33"/>
      <c r="J32" s="33"/>
      <c r="K32" s="33"/>
      <c r="L32" s="33"/>
      <c r="M32" s="33"/>
      <c r="N32" s="33"/>
      <c r="O32" s="33"/>
      <c r="P32" s="33"/>
      <c r="Q32" s="33"/>
      <c r="R32" s="33"/>
      <c r="S32" s="33"/>
      <c r="T32" s="33"/>
      <c r="U32" s="33"/>
      <c r="V32" s="33"/>
      <c r="W32" s="33"/>
      <c r="X32" s="33"/>
      <c r="Y32" s="33"/>
      <c r="Z32" s="33"/>
      <c r="AA32" s="33"/>
    </row>
    <row r="33">
      <c r="A33" s="131"/>
      <c r="B33" s="131" t="s">
        <v>274</v>
      </c>
      <c r="C33" s="131" t="s">
        <v>275</v>
      </c>
      <c r="D33" s="131" t="s">
        <v>276</v>
      </c>
      <c r="E33" s="131" t="s">
        <v>277</v>
      </c>
      <c r="F33" s="33"/>
      <c r="G33" s="33"/>
      <c r="H33" s="33"/>
      <c r="I33" s="33"/>
      <c r="J33" s="33"/>
      <c r="K33" s="33"/>
      <c r="L33" s="33"/>
      <c r="M33" s="33"/>
      <c r="N33" s="33"/>
      <c r="O33" s="33"/>
      <c r="P33" s="33"/>
      <c r="Q33" s="33"/>
      <c r="R33" s="33"/>
      <c r="S33" s="33"/>
      <c r="T33" s="33"/>
      <c r="U33" s="33"/>
      <c r="V33" s="33"/>
      <c r="W33" s="33"/>
      <c r="X33" s="33"/>
      <c r="Y33" s="33"/>
      <c r="Z33" s="33"/>
      <c r="AA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row>
    <row r="100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row>
  </sheetData>
  <mergeCells count="5">
    <mergeCell ref="B4:E4"/>
    <mergeCell ref="B7:E7"/>
    <mergeCell ref="B13:E13"/>
    <mergeCell ref="B20:E20"/>
    <mergeCell ref="B26:E2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15.13"/>
    <col customWidth="1" min="3" max="3" width="13.75"/>
    <col customWidth="1" min="4" max="4" width="15.88"/>
    <col customWidth="1" min="5" max="5" width="14.38"/>
    <col customWidth="1" min="8" max="8" width="15.13"/>
    <col customWidth="1" min="9" max="9" width="14.13"/>
    <col customWidth="1" min="10" max="10" width="15.88"/>
    <col customWidth="1" min="11" max="11" width="13.0"/>
  </cols>
  <sheetData>
    <row r="1" ht="22.5" customHeight="1">
      <c r="A1" s="136" t="s">
        <v>202</v>
      </c>
      <c r="B1" s="137" t="s">
        <v>257</v>
      </c>
      <c r="C1" s="137" t="s">
        <v>258</v>
      </c>
      <c r="D1" s="137" t="s">
        <v>259</v>
      </c>
      <c r="E1" s="137" t="s">
        <v>260</v>
      </c>
      <c r="F1" s="138"/>
      <c r="G1" s="138"/>
      <c r="I1" s="138"/>
      <c r="J1" s="138"/>
      <c r="K1" s="138"/>
      <c r="L1" s="138"/>
      <c r="M1" s="138"/>
      <c r="N1" s="138"/>
      <c r="O1" s="138"/>
      <c r="P1" s="138"/>
      <c r="Q1" s="138"/>
      <c r="R1" s="138"/>
      <c r="S1" s="138"/>
      <c r="T1" s="138"/>
      <c r="U1" s="138"/>
      <c r="V1" s="138"/>
    </row>
    <row r="2" ht="22.5" customHeight="1">
      <c r="A2" s="139" t="s">
        <v>206</v>
      </c>
      <c r="B2" s="140">
        <f>IFS(
  ISNUMBER(MATCH($A2, CATEGORY_WEIGHTS!B$5:B$6, 0)), 0.06,
  ISNUMBER(MATCH($A2, CATEGORY_WEIGHTS!B$8:B$12, 0)), 0.045,
  ISNUMBER(MATCH($A2, CATEGORY_WEIGHTS!B$14:B$19, 0)), 0.03,
  ISNUMBER(MATCH($A2, CATEGORY_WEIGHTS!B$21:B$25, 0)), 0.018,
  ISNUMBER(MATCH($A2, CATEGORY_WEIGHTS!B$27:B$30, 0)), 0.01
)</f>
        <v>0.06</v>
      </c>
      <c r="C2" s="140">
        <f>IFS(
  ISNUMBER(MATCH($A2, CATEGORY_WEIGHTS!C$5:C$6, 0)), 0.06,
  ISNUMBER(MATCH($A2, CATEGORY_WEIGHTS!C$8:C$12, 0)), 0.045,
  ISNUMBER(MATCH($A2, CATEGORY_WEIGHTS!C$14:C$19, 0)), 0.03,
  ISNUMBER(MATCH($A2, CATEGORY_WEIGHTS!C$21:C$25, 0)), 0.018,
  ISNUMBER(MATCH($A2, CATEGORY_WEIGHTS!C$27:C$30, 0)), 0.01
)</f>
        <v>0.01</v>
      </c>
      <c r="D2" s="140">
        <f>IFS(
  ISNUMBER(MATCH($A2, CATEGORY_WEIGHTS!D$5:D$6, 0)), 0.06,
  ISNUMBER(MATCH($A2, CATEGORY_WEIGHTS!D$8:D$12, 0)), 0.045,
  ISNUMBER(MATCH($A2, CATEGORY_WEIGHTS!D$14:D$19, 0)), 0.03,
  ISNUMBER(MATCH($A2, CATEGORY_WEIGHTS!D$21:D$25, 0)), 0.018,
  ISNUMBER(MATCH($A2, CATEGORY_WEIGHTS!D$27:D$30, 0)), 0.01
)</f>
        <v>0.03</v>
      </c>
      <c r="E2" s="140">
        <f>IFS(
  ISNUMBER(MATCH($A2, CATEGORY_WEIGHTS!E$5:E$6, 0)), 0.06,
  ISNUMBER(MATCH($A2, CATEGORY_WEIGHTS!E$8:E$12, 0)), 0.045,
  ISNUMBER(MATCH($A2, CATEGORY_WEIGHTS!E$14:E$19, 0)), 0.03,
  ISNUMBER(MATCH($A2, CATEGORY_WEIGHTS!E$21:E$25, 0)), 0.018,
  ISNUMBER(MATCH($A2, CATEGORY_WEIGHTS!E$27:E$30, 0)), 0.01
)</f>
        <v>0.045</v>
      </c>
    </row>
    <row r="3" ht="22.5" customHeight="1">
      <c r="A3" s="139" t="s">
        <v>216</v>
      </c>
      <c r="B3" s="140">
        <f>IFS(
  ISNUMBER(MATCH($A3, CATEGORY_WEIGHTS!B$5:B$6, 0)), 0.06,
  ISNUMBER(MATCH($A3, CATEGORY_WEIGHTS!B$8:B$12, 0)), 0.045,
  ISNUMBER(MATCH($A3, CATEGORY_WEIGHTS!B$14:B$19, 0)), 0.03,
  ISNUMBER(MATCH($A3, CATEGORY_WEIGHTS!B$21:B$25, 0)), 0.018,
  ISNUMBER(MATCH($A3, CATEGORY_WEIGHTS!B$27:B$30, 0)), 0.01
)</f>
        <v>0.045</v>
      </c>
      <c r="C3" s="140">
        <f>IFS(
  ISNUMBER(MATCH($A3, CATEGORY_WEIGHTS!C$5:C$6, 0)), 0.06,
  ISNUMBER(MATCH($A3, CATEGORY_WEIGHTS!C$8:C$12, 0)), 0.045,
  ISNUMBER(MATCH($A3, CATEGORY_WEIGHTS!C$14:C$19, 0)), 0.03,
  ISNUMBER(MATCH($A3, CATEGORY_WEIGHTS!C$21:C$25, 0)), 0.018,
  ISNUMBER(MATCH($A3, CATEGORY_WEIGHTS!C$27:C$30, 0)), 0.01
)</f>
        <v>0.045</v>
      </c>
      <c r="D3" s="140">
        <f>IFS(
  ISNUMBER(MATCH($A3, CATEGORY_WEIGHTS!D$5:D$6, 0)), 0.06,
  ISNUMBER(MATCH($A3, CATEGORY_WEIGHTS!D$8:D$12, 0)), 0.045,
  ISNUMBER(MATCH($A3, CATEGORY_WEIGHTS!D$14:D$19, 0)), 0.03,
  ISNUMBER(MATCH($A3, CATEGORY_WEIGHTS!D$21:D$25, 0)), 0.018,
  ISNUMBER(MATCH($A3, CATEGORY_WEIGHTS!D$27:D$30, 0)), 0.01
)</f>
        <v>0.03</v>
      </c>
      <c r="E3" s="140">
        <f>IFS(
  ISNUMBER(MATCH($A3, CATEGORY_WEIGHTS!E$5:E$6, 0)), 0.06,
  ISNUMBER(MATCH($A3, CATEGORY_WEIGHTS!E$8:E$12, 0)), 0.045,
  ISNUMBER(MATCH($A3, CATEGORY_WEIGHTS!E$14:E$19, 0)), 0.03,
  ISNUMBER(MATCH($A3, CATEGORY_WEIGHTS!E$21:E$25, 0)), 0.018,
  ISNUMBER(MATCH($A3, CATEGORY_WEIGHTS!E$27:E$30, 0)), 0.01
)</f>
        <v>0.018</v>
      </c>
      <c r="G3" s="141" t="s">
        <v>81</v>
      </c>
      <c r="H3" s="137" t="s">
        <v>257</v>
      </c>
      <c r="I3" s="137" t="s">
        <v>258</v>
      </c>
      <c r="J3" s="137" t="s">
        <v>259</v>
      </c>
      <c r="K3" s="137" t="s">
        <v>260</v>
      </c>
    </row>
    <row r="4" ht="22.5" customHeight="1">
      <c r="A4" s="139" t="s">
        <v>226</v>
      </c>
      <c r="B4" s="140">
        <f>IFS(
  ISNUMBER(MATCH($A4, CATEGORY_WEIGHTS!B$5:B$6, 0)), 0.06,
  ISNUMBER(MATCH($A4, CATEGORY_WEIGHTS!B$8:B$12, 0)), 0.045,
  ISNUMBER(MATCH($A4, CATEGORY_WEIGHTS!B$14:B$19, 0)), 0.03,
  ISNUMBER(MATCH($A4, CATEGORY_WEIGHTS!B$21:B$25, 0)), 0.018,
  ISNUMBER(MATCH($A4, CATEGORY_WEIGHTS!B$27:B$30, 0)), 0.01
)</f>
        <v>0.045</v>
      </c>
      <c r="C4" s="140">
        <f>IFS(
  ISNUMBER(MATCH($A4, CATEGORY_WEIGHTS!C$5:C$6, 0)), 0.06,
  ISNUMBER(MATCH($A4, CATEGORY_WEIGHTS!C$8:C$12, 0)), 0.045,
  ISNUMBER(MATCH($A4, CATEGORY_WEIGHTS!C$14:C$19, 0)), 0.03,
  ISNUMBER(MATCH($A4, CATEGORY_WEIGHTS!C$21:C$25, 0)), 0.018,
  ISNUMBER(MATCH($A4, CATEGORY_WEIGHTS!C$27:C$30, 0)), 0.01
)</f>
        <v>0.03</v>
      </c>
      <c r="D4" s="140">
        <f>IFS(
  ISNUMBER(MATCH($A4, CATEGORY_WEIGHTS!D$5:D$6, 0)), 0.06,
  ISNUMBER(MATCH($A4, CATEGORY_WEIGHTS!D$8:D$12, 0)), 0.045,
  ISNUMBER(MATCH($A4, CATEGORY_WEIGHTS!D$14:D$19, 0)), 0.03,
  ISNUMBER(MATCH($A4, CATEGORY_WEIGHTS!D$21:D$25, 0)), 0.018,
  ISNUMBER(MATCH($A4, CATEGORY_WEIGHTS!D$27:D$30, 0)), 0.01
)</f>
        <v>0.045</v>
      </c>
      <c r="E4" s="140">
        <f>IFS(
  ISNUMBER(MATCH($A4, CATEGORY_WEIGHTS!E$5:E$6, 0)), 0.06,
  ISNUMBER(MATCH($A4, CATEGORY_WEIGHTS!E$8:E$12, 0)), 0.045,
  ISNUMBER(MATCH($A4, CATEGORY_WEIGHTS!E$14:E$19, 0)), 0.03,
  ISNUMBER(MATCH($A4, CATEGORY_WEIGHTS!E$21:E$25, 0)), 0.018,
  ISNUMBER(MATCH($A4, CATEGORY_WEIGHTS!E$27:E$30, 0)), 0.01
)</f>
        <v>0.045</v>
      </c>
      <c r="G4" s="139" t="s">
        <v>278</v>
      </c>
      <c r="H4" s="140">
        <v>0.4</v>
      </c>
      <c r="I4" s="140">
        <v>0.3</v>
      </c>
      <c r="J4" s="140">
        <v>0.2</v>
      </c>
      <c r="K4" s="140">
        <v>0.1</v>
      </c>
    </row>
    <row r="5" ht="22.5" customHeight="1">
      <c r="A5" s="139" t="s">
        <v>229</v>
      </c>
      <c r="B5" s="140">
        <f>IFS(
  ISNUMBER(MATCH($A5, CATEGORY_WEIGHTS!B$5:B$6, 0)), 0.06,
  ISNUMBER(MATCH($A5, CATEGORY_WEIGHTS!B$8:B$12, 0)), 0.045,
  ISNUMBER(MATCH($A5, CATEGORY_WEIGHTS!B$14:B$19, 0)), 0.03,
  ISNUMBER(MATCH($A5, CATEGORY_WEIGHTS!B$21:B$25, 0)), 0.018,
  ISNUMBER(MATCH($A5, CATEGORY_WEIGHTS!B$27:B$30, 0)), 0.01
)</f>
        <v>0.045</v>
      </c>
      <c r="C5" s="140">
        <f>IFS(
  ISNUMBER(MATCH($A5, CATEGORY_WEIGHTS!C$5:C$6, 0)), 0.06,
  ISNUMBER(MATCH($A5, CATEGORY_WEIGHTS!C$8:C$12, 0)), 0.045,
  ISNUMBER(MATCH($A5, CATEGORY_WEIGHTS!C$14:C$19, 0)), 0.03,
  ISNUMBER(MATCH($A5, CATEGORY_WEIGHTS!C$21:C$25, 0)), 0.018,
  ISNUMBER(MATCH($A5, CATEGORY_WEIGHTS!C$27:C$30, 0)), 0.01
)</f>
        <v>0.03</v>
      </c>
      <c r="D5" s="140">
        <f>IFS(
  ISNUMBER(MATCH($A5, CATEGORY_WEIGHTS!D$5:D$6, 0)), 0.06,
  ISNUMBER(MATCH($A5, CATEGORY_WEIGHTS!D$8:D$12, 0)), 0.045,
  ISNUMBER(MATCH($A5, CATEGORY_WEIGHTS!D$14:D$19, 0)), 0.03,
  ISNUMBER(MATCH($A5, CATEGORY_WEIGHTS!D$21:D$25, 0)), 0.018,
  ISNUMBER(MATCH($A5, CATEGORY_WEIGHTS!D$27:D$30, 0)), 0.01
)</f>
        <v>0.045</v>
      </c>
      <c r="E5" s="140">
        <f>IFS(
  ISNUMBER(MATCH($A5, CATEGORY_WEIGHTS!E$5:E$6, 0)), 0.06,
  ISNUMBER(MATCH($A5, CATEGORY_WEIGHTS!E$8:E$12, 0)), 0.045,
  ISNUMBER(MATCH($A5, CATEGORY_WEIGHTS!E$14:E$19, 0)), 0.03,
  ISNUMBER(MATCH($A5, CATEGORY_WEIGHTS!E$21:E$25, 0)), 0.018,
  ISNUMBER(MATCH($A5, CATEGORY_WEIGHTS!E$27:E$30, 0)), 0.01
)</f>
        <v>0.045</v>
      </c>
    </row>
    <row r="6" ht="22.5" customHeight="1">
      <c r="A6" s="139" t="s">
        <v>242</v>
      </c>
      <c r="B6" s="140">
        <f>IFS(
  ISNUMBER(MATCH($A6, CATEGORY_WEIGHTS!B$5:B$6, 0)), 0.06,
  ISNUMBER(MATCH($A6, CATEGORY_WEIGHTS!B$8:B$12, 0)), 0.045,
  ISNUMBER(MATCH($A6, CATEGORY_WEIGHTS!B$14:B$19, 0)), 0.03,
  ISNUMBER(MATCH($A6, CATEGORY_WEIGHTS!B$21:B$25, 0)), 0.018,
  ISNUMBER(MATCH($A6, CATEGORY_WEIGHTS!B$27:B$30, 0)), 0.01
)</f>
        <v>0.045</v>
      </c>
      <c r="C6" s="140">
        <f>IFS(
  ISNUMBER(MATCH($A6, CATEGORY_WEIGHTS!C$5:C$6, 0)), 0.06,
  ISNUMBER(MATCH($A6, CATEGORY_WEIGHTS!C$8:C$12, 0)), 0.045,
  ISNUMBER(MATCH($A6, CATEGORY_WEIGHTS!C$14:C$19, 0)), 0.03,
  ISNUMBER(MATCH($A6, CATEGORY_WEIGHTS!C$21:C$25, 0)), 0.018,
  ISNUMBER(MATCH($A6, CATEGORY_WEIGHTS!C$27:C$30, 0)), 0.01
)</f>
        <v>0.06</v>
      </c>
      <c r="D6" s="140">
        <f>IFS(
  ISNUMBER(MATCH($A6, CATEGORY_WEIGHTS!D$5:D$6, 0)), 0.06,
  ISNUMBER(MATCH($A6, CATEGORY_WEIGHTS!D$8:D$12, 0)), 0.045,
  ISNUMBER(MATCH($A6, CATEGORY_WEIGHTS!D$14:D$19, 0)), 0.03,
  ISNUMBER(MATCH($A6, CATEGORY_WEIGHTS!D$21:D$25, 0)), 0.018,
  ISNUMBER(MATCH($A6, CATEGORY_WEIGHTS!D$27:D$30, 0)), 0.01
)</f>
        <v>0.03</v>
      </c>
      <c r="E6" s="140">
        <f>IFS(
  ISNUMBER(MATCH($A6, CATEGORY_WEIGHTS!E$5:E$6, 0)), 0.06,
  ISNUMBER(MATCH($A6, CATEGORY_WEIGHTS!E$8:E$12, 0)), 0.045,
  ISNUMBER(MATCH($A6, CATEGORY_WEIGHTS!E$14:E$19, 0)), 0.03,
  ISNUMBER(MATCH($A6, CATEGORY_WEIGHTS!E$21:E$25, 0)), 0.018,
  ISNUMBER(MATCH($A6, CATEGORY_WEIGHTS!E$27:E$30, 0)), 0.01
)</f>
        <v>0.03</v>
      </c>
    </row>
    <row r="7" ht="22.5" customHeight="1">
      <c r="A7" s="139" t="s">
        <v>213</v>
      </c>
      <c r="B7" s="140">
        <f>IFS(
  ISNUMBER(MATCH($A7, CATEGORY_WEIGHTS!B$5:B$6, 0)), 0.06,
  ISNUMBER(MATCH($A7, CATEGORY_WEIGHTS!B$8:B$12, 0)), 0.045,
  ISNUMBER(MATCH($A7, CATEGORY_WEIGHTS!B$14:B$19, 0)), 0.03,
  ISNUMBER(MATCH($A7, CATEGORY_WEIGHTS!B$21:B$25, 0)), 0.018,
  ISNUMBER(MATCH($A7, CATEGORY_WEIGHTS!B$27:B$30, 0)), 0.01
)</f>
        <v>0.03</v>
      </c>
      <c r="C7" s="140">
        <f>IFS(
  ISNUMBER(MATCH($A7, CATEGORY_WEIGHTS!C$5:C$6, 0)), 0.06,
  ISNUMBER(MATCH($A7, CATEGORY_WEIGHTS!C$8:C$12, 0)), 0.045,
  ISNUMBER(MATCH($A7, CATEGORY_WEIGHTS!C$14:C$19, 0)), 0.03,
  ISNUMBER(MATCH($A7, CATEGORY_WEIGHTS!C$21:C$25, 0)), 0.018,
  ISNUMBER(MATCH($A7, CATEGORY_WEIGHTS!C$27:C$30, 0)), 0.01
)</f>
        <v>0.018</v>
      </c>
      <c r="D7" s="140">
        <f>IFS(
  ISNUMBER(MATCH($A7, CATEGORY_WEIGHTS!D$5:D$6, 0)), 0.06,
  ISNUMBER(MATCH($A7, CATEGORY_WEIGHTS!D$8:D$12, 0)), 0.045,
  ISNUMBER(MATCH($A7, CATEGORY_WEIGHTS!D$14:D$19, 0)), 0.03,
  ISNUMBER(MATCH($A7, CATEGORY_WEIGHTS!D$21:D$25, 0)), 0.018,
  ISNUMBER(MATCH($A7, CATEGORY_WEIGHTS!D$27:D$30, 0)), 0.01
)</f>
        <v>0.03</v>
      </c>
      <c r="E7" s="140">
        <f>IFS(
  ISNUMBER(MATCH($A7, CATEGORY_WEIGHTS!E$5:E$6, 0)), 0.06,
  ISNUMBER(MATCH($A7, CATEGORY_WEIGHTS!E$8:E$12, 0)), 0.045,
  ISNUMBER(MATCH($A7, CATEGORY_WEIGHTS!E$14:E$19, 0)), 0.03,
  ISNUMBER(MATCH($A7, CATEGORY_WEIGHTS!E$21:E$25, 0)), 0.018,
  ISNUMBER(MATCH($A7, CATEGORY_WEIGHTS!E$27:E$30, 0)), 0.01
)</f>
        <v>0.06</v>
      </c>
    </row>
    <row r="8" ht="22.5" customHeight="1">
      <c r="A8" s="139" t="s">
        <v>209</v>
      </c>
      <c r="B8" s="140">
        <f>IFS(
  ISNUMBER(MATCH($A8, CATEGORY_WEIGHTS!B$5:B$6, 0)), 0.06,
  ISNUMBER(MATCH($A8, CATEGORY_WEIGHTS!B$8:B$12, 0)), 0.045,
  ISNUMBER(MATCH($A8, CATEGORY_WEIGHTS!B$14:B$19, 0)), 0.03,
  ISNUMBER(MATCH($A8, CATEGORY_WEIGHTS!B$21:B$25, 0)), 0.018,
  ISNUMBER(MATCH($A8, CATEGORY_WEIGHTS!B$27:B$30, 0)), 0.01
)</f>
        <v>0.03</v>
      </c>
      <c r="C8" s="140">
        <f>IFS(
  ISNUMBER(MATCH($A8, CATEGORY_WEIGHTS!C$5:C$6, 0)), 0.06,
  ISNUMBER(MATCH($A8, CATEGORY_WEIGHTS!C$8:C$12, 0)), 0.045,
  ISNUMBER(MATCH($A8, CATEGORY_WEIGHTS!C$14:C$19, 0)), 0.03,
  ISNUMBER(MATCH($A8, CATEGORY_WEIGHTS!C$21:C$25, 0)), 0.018,
  ISNUMBER(MATCH($A8, CATEGORY_WEIGHTS!C$27:C$30, 0)), 0.01
)</f>
        <v>0.01</v>
      </c>
      <c r="D8" s="140">
        <f>IFS(
  ISNUMBER(MATCH($A8, CATEGORY_WEIGHTS!D$5:D$6, 0)), 0.06,
  ISNUMBER(MATCH($A8, CATEGORY_WEIGHTS!D$8:D$12, 0)), 0.045,
  ISNUMBER(MATCH($A8, CATEGORY_WEIGHTS!D$14:D$19, 0)), 0.03,
  ISNUMBER(MATCH($A8, CATEGORY_WEIGHTS!D$21:D$25, 0)), 0.018,
  ISNUMBER(MATCH($A8, CATEGORY_WEIGHTS!D$27:D$30, 0)), 0.01
)</f>
        <v>0.018</v>
      </c>
      <c r="E8" s="140">
        <f>IFS(
  ISNUMBER(MATCH($A8, CATEGORY_WEIGHTS!E$5:E$6, 0)), 0.06,
  ISNUMBER(MATCH($A8, CATEGORY_WEIGHTS!E$8:E$12, 0)), 0.045,
  ISNUMBER(MATCH($A8, CATEGORY_WEIGHTS!E$14:E$19, 0)), 0.03,
  ISNUMBER(MATCH($A8, CATEGORY_WEIGHTS!E$21:E$25, 0)), 0.018,
  ISNUMBER(MATCH($A8, CATEGORY_WEIGHTS!E$27:E$30, 0)), 0.01
)</f>
        <v>0.045</v>
      </c>
    </row>
    <row r="9" ht="22.5" customHeight="1">
      <c r="A9" s="139" t="s">
        <v>219</v>
      </c>
      <c r="B9" s="140">
        <f>IFS(
  ISNUMBER(MATCH($A9, CATEGORY_WEIGHTS!B$5:B$6, 0)), 0.06,
  ISNUMBER(MATCH($A9, CATEGORY_WEIGHTS!B$8:B$12, 0)), 0.045,
  ISNUMBER(MATCH($A9, CATEGORY_WEIGHTS!B$14:B$19, 0)), 0.03,
  ISNUMBER(MATCH($A9, CATEGORY_WEIGHTS!B$21:B$25, 0)), 0.018,
  ISNUMBER(MATCH($A9, CATEGORY_WEIGHTS!B$27:B$30, 0)), 0.01
)</f>
        <v>0.03</v>
      </c>
      <c r="C9" s="140">
        <f>IFS(
  ISNUMBER(MATCH($A9, CATEGORY_WEIGHTS!C$5:C$6, 0)), 0.06,
  ISNUMBER(MATCH($A9, CATEGORY_WEIGHTS!C$8:C$12, 0)), 0.045,
  ISNUMBER(MATCH($A9, CATEGORY_WEIGHTS!C$14:C$19, 0)), 0.03,
  ISNUMBER(MATCH($A9, CATEGORY_WEIGHTS!C$21:C$25, 0)), 0.018,
  ISNUMBER(MATCH($A9, CATEGORY_WEIGHTS!C$27:C$30, 0)), 0.01
)</f>
        <v>0.03</v>
      </c>
      <c r="D9" s="140">
        <f>IFS(
  ISNUMBER(MATCH($A9, CATEGORY_WEIGHTS!D$5:D$6, 0)), 0.06,
  ISNUMBER(MATCH($A9, CATEGORY_WEIGHTS!D$8:D$12, 0)), 0.045,
  ISNUMBER(MATCH($A9, CATEGORY_WEIGHTS!D$14:D$19, 0)), 0.03,
  ISNUMBER(MATCH($A9, CATEGORY_WEIGHTS!D$21:D$25, 0)), 0.018,
  ISNUMBER(MATCH($A9, CATEGORY_WEIGHTS!D$27:D$30, 0)), 0.01
)</f>
        <v>0.03</v>
      </c>
      <c r="E9" s="140">
        <f>IFS(
  ISNUMBER(MATCH($A9, CATEGORY_WEIGHTS!E$5:E$6, 0)), 0.06,
  ISNUMBER(MATCH($A9, CATEGORY_WEIGHTS!E$8:E$12, 0)), 0.045,
  ISNUMBER(MATCH($A9, CATEGORY_WEIGHTS!E$14:E$19, 0)), 0.03,
  ISNUMBER(MATCH($A9, CATEGORY_WEIGHTS!E$21:E$25, 0)), 0.018,
  ISNUMBER(MATCH($A9, CATEGORY_WEIGHTS!E$27:E$30, 0)), 0.01
)</f>
        <v>0.03</v>
      </c>
    </row>
    <row r="10" ht="22.5" customHeight="1">
      <c r="A10" s="139" t="s">
        <v>247</v>
      </c>
      <c r="B10" s="140">
        <f>IFS(
  ISNUMBER(MATCH($A10, CATEGORY_WEIGHTS!B$5:B$6, 0)), 0.06,
  ISNUMBER(MATCH($A10, CATEGORY_WEIGHTS!B$8:B$12, 0)), 0.045,
  ISNUMBER(MATCH($A10, CATEGORY_WEIGHTS!B$14:B$19, 0)), 0.03,
  ISNUMBER(MATCH($A10, CATEGORY_WEIGHTS!B$21:B$25, 0)), 0.018,
  ISNUMBER(MATCH($A10, CATEGORY_WEIGHTS!B$27:B$30, 0)), 0.01
)</f>
        <v>0.03</v>
      </c>
      <c r="C10" s="140">
        <f>IFS(
  ISNUMBER(MATCH($A10, CATEGORY_WEIGHTS!C$5:C$6, 0)), 0.06,
  ISNUMBER(MATCH($A10, CATEGORY_WEIGHTS!C$8:C$12, 0)), 0.045,
  ISNUMBER(MATCH($A10, CATEGORY_WEIGHTS!C$14:C$19, 0)), 0.03,
  ISNUMBER(MATCH($A10, CATEGORY_WEIGHTS!C$21:C$25, 0)), 0.018,
  ISNUMBER(MATCH($A10, CATEGORY_WEIGHTS!C$27:C$30, 0)), 0.01
)</f>
        <v>0.018</v>
      </c>
      <c r="D10" s="140">
        <f>IFS(
  ISNUMBER(MATCH($A10, CATEGORY_WEIGHTS!D$5:D$6, 0)), 0.06,
  ISNUMBER(MATCH($A10, CATEGORY_WEIGHTS!D$8:D$12, 0)), 0.045,
  ISNUMBER(MATCH($A10, CATEGORY_WEIGHTS!D$14:D$19, 0)), 0.03,
  ISNUMBER(MATCH($A10, CATEGORY_WEIGHTS!D$21:D$25, 0)), 0.018,
  ISNUMBER(MATCH($A10, CATEGORY_WEIGHTS!D$27:D$30, 0)), 0.01
)</f>
        <v>0.018</v>
      </c>
      <c r="E10" s="140">
        <f>IFS(
  ISNUMBER(MATCH($A10, CATEGORY_WEIGHTS!E$5:E$6, 0)), 0.06,
  ISNUMBER(MATCH($A10, CATEGORY_WEIGHTS!E$8:E$12, 0)), 0.045,
  ISNUMBER(MATCH($A10, CATEGORY_WEIGHTS!E$14:E$19, 0)), 0.03,
  ISNUMBER(MATCH($A10, CATEGORY_WEIGHTS!E$21:E$25, 0)), 0.018,
  ISNUMBER(MATCH($A10, CATEGORY_WEIGHTS!E$27:E$30, 0)), 0.01
)</f>
        <v>0.06</v>
      </c>
    </row>
    <row r="11" ht="22.5" customHeight="1">
      <c r="A11" s="139" t="s">
        <v>43</v>
      </c>
      <c r="B11" s="140">
        <f>IFS(
  ISNUMBER(MATCH($A11, CATEGORY_WEIGHTS!B$5:B$6, 0)), 0.06,
  ISNUMBER(MATCH($A11, CATEGORY_WEIGHTS!B$8:B$12, 0)), 0.045,
  ISNUMBER(MATCH($A11, CATEGORY_WEIGHTS!B$14:B$19, 0)), 0.03,
  ISNUMBER(MATCH($A11, CATEGORY_WEIGHTS!B$21:B$25, 0)), 0.018,
  ISNUMBER(MATCH($A11, CATEGORY_WEIGHTS!B$27:B$30, 0)), 0.01
)</f>
        <v>0.03</v>
      </c>
      <c r="C11" s="140">
        <f>IFS(
  ISNUMBER(MATCH($A11, CATEGORY_WEIGHTS!C$5:C$6, 0)), 0.06,
  ISNUMBER(MATCH($A11, CATEGORY_WEIGHTS!C$8:C$12, 0)), 0.045,
  ISNUMBER(MATCH($A11, CATEGORY_WEIGHTS!C$14:C$19, 0)), 0.03,
  ISNUMBER(MATCH($A11, CATEGORY_WEIGHTS!C$21:C$25, 0)), 0.018,
  ISNUMBER(MATCH($A11, CATEGORY_WEIGHTS!C$27:C$30, 0)), 0.01
)</f>
        <v>0.045</v>
      </c>
      <c r="D11" s="140">
        <f>IFS(
  ISNUMBER(MATCH($A11, CATEGORY_WEIGHTS!D$5:D$6, 0)), 0.06,
  ISNUMBER(MATCH($A11, CATEGORY_WEIGHTS!D$8:D$12, 0)), 0.045,
  ISNUMBER(MATCH($A11, CATEGORY_WEIGHTS!D$14:D$19, 0)), 0.03,
  ISNUMBER(MATCH($A11, CATEGORY_WEIGHTS!D$21:D$25, 0)), 0.018,
  ISNUMBER(MATCH($A11, CATEGORY_WEIGHTS!D$27:D$30, 0)), 0.01
)</f>
        <v>0.06</v>
      </c>
      <c r="E11" s="140">
        <f>IFS(
  ISNUMBER(MATCH($A11, CATEGORY_WEIGHTS!E$5:E$6, 0)), 0.06,
  ISNUMBER(MATCH($A11, CATEGORY_WEIGHTS!E$8:E$12, 0)), 0.045,
  ISNUMBER(MATCH($A11, CATEGORY_WEIGHTS!E$14:E$19, 0)), 0.03,
  ISNUMBER(MATCH($A11, CATEGORY_WEIGHTS!E$21:E$25, 0)), 0.018,
  ISNUMBER(MATCH($A11, CATEGORY_WEIGHTS!E$27:E$30, 0)), 0.01
)</f>
        <v>0.03</v>
      </c>
    </row>
    <row r="12" ht="22.5" customHeight="1">
      <c r="A12" s="139" t="s">
        <v>232</v>
      </c>
      <c r="B12" s="140">
        <f>IFS(
  ISNUMBER(MATCH($A12, CATEGORY_WEIGHTS!B$5:B$6, 0)), 0.06,
  ISNUMBER(MATCH($A12, CATEGORY_WEIGHTS!B$8:B$12, 0)), 0.045,
  ISNUMBER(MATCH($A12, CATEGORY_WEIGHTS!B$14:B$19, 0)), 0.03,
  ISNUMBER(MATCH($A12, CATEGORY_WEIGHTS!B$21:B$25, 0)), 0.018,
  ISNUMBER(MATCH($A12, CATEGORY_WEIGHTS!B$27:B$30, 0)), 0.01
)</f>
        <v>0.018</v>
      </c>
      <c r="C12" s="140">
        <f>IFS(
  ISNUMBER(MATCH($A12, CATEGORY_WEIGHTS!C$5:C$6, 0)), 0.06,
  ISNUMBER(MATCH($A12, CATEGORY_WEIGHTS!C$8:C$12, 0)), 0.045,
  ISNUMBER(MATCH($A12, CATEGORY_WEIGHTS!C$14:C$19, 0)), 0.03,
  ISNUMBER(MATCH($A12, CATEGORY_WEIGHTS!C$21:C$25, 0)), 0.018,
  ISNUMBER(MATCH($A12, CATEGORY_WEIGHTS!C$27:C$30, 0)), 0.01
)</f>
        <v>0.045</v>
      </c>
      <c r="D12" s="140">
        <f>IFS(
  ISNUMBER(MATCH($A12, CATEGORY_WEIGHTS!D$5:D$6, 0)), 0.06,
  ISNUMBER(MATCH($A12, CATEGORY_WEIGHTS!D$8:D$12, 0)), 0.045,
  ISNUMBER(MATCH($A12, CATEGORY_WEIGHTS!D$14:D$19, 0)), 0.03,
  ISNUMBER(MATCH($A12, CATEGORY_WEIGHTS!D$21:D$25, 0)), 0.018,
  ISNUMBER(MATCH($A12, CATEGORY_WEIGHTS!D$27:D$30, 0)), 0.01
)</f>
        <v>0.045</v>
      </c>
      <c r="E12" s="140">
        <f>IFS(
  ISNUMBER(MATCH($A12, CATEGORY_WEIGHTS!E$5:E$6, 0)), 0.06,
  ISNUMBER(MATCH($A12, CATEGORY_WEIGHTS!E$8:E$12, 0)), 0.045,
  ISNUMBER(MATCH($A12, CATEGORY_WEIGHTS!E$14:E$19, 0)), 0.03,
  ISNUMBER(MATCH($A12, CATEGORY_WEIGHTS!E$21:E$25, 0)), 0.018,
  ISNUMBER(MATCH($A12, CATEGORY_WEIGHTS!E$27:E$30, 0)), 0.01
)</f>
        <v>0.018</v>
      </c>
    </row>
    <row r="13" ht="22.5" customHeight="1">
      <c r="A13" s="139" t="s">
        <v>238</v>
      </c>
      <c r="B13" s="140">
        <f>IFS(
  ISNUMBER(MATCH($A13, CATEGORY_WEIGHTS!B$5:B$6, 0)), 0.06,
  ISNUMBER(MATCH($A13, CATEGORY_WEIGHTS!B$8:B$12, 0)), 0.045,
  ISNUMBER(MATCH($A13, CATEGORY_WEIGHTS!B$14:B$19, 0)), 0.03,
  ISNUMBER(MATCH($A13, CATEGORY_WEIGHTS!B$21:B$25, 0)), 0.018,
  ISNUMBER(MATCH($A13, CATEGORY_WEIGHTS!B$27:B$30, 0)), 0.01
)</f>
        <v>0.018</v>
      </c>
      <c r="C13" s="140">
        <f>IFS(
  ISNUMBER(MATCH($A13, CATEGORY_WEIGHTS!C$5:C$6, 0)), 0.06,
  ISNUMBER(MATCH($A13, CATEGORY_WEIGHTS!C$8:C$12, 0)), 0.045,
  ISNUMBER(MATCH($A13, CATEGORY_WEIGHTS!C$14:C$19, 0)), 0.03,
  ISNUMBER(MATCH($A13, CATEGORY_WEIGHTS!C$21:C$25, 0)), 0.018,
  ISNUMBER(MATCH($A13, CATEGORY_WEIGHTS!C$27:C$30, 0)), 0.01
)</f>
        <v>0.03</v>
      </c>
      <c r="D13" s="140">
        <f>IFS(
  ISNUMBER(MATCH($A13, CATEGORY_WEIGHTS!D$5:D$6, 0)), 0.06,
  ISNUMBER(MATCH($A13, CATEGORY_WEIGHTS!D$8:D$12, 0)), 0.045,
  ISNUMBER(MATCH($A13, CATEGORY_WEIGHTS!D$14:D$19, 0)), 0.03,
  ISNUMBER(MATCH($A13, CATEGORY_WEIGHTS!D$21:D$25, 0)), 0.018,
  ISNUMBER(MATCH($A13, CATEGORY_WEIGHTS!D$27:D$30, 0)), 0.01
)</f>
        <v>0.018</v>
      </c>
      <c r="E13" s="140">
        <f>IFS(
  ISNUMBER(MATCH($A13, CATEGORY_WEIGHTS!E$5:E$6, 0)), 0.06,
  ISNUMBER(MATCH($A13, CATEGORY_WEIGHTS!E$8:E$12, 0)), 0.045,
  ISNUMBER(MATCH($A13, CATEGORY_WEIGHTS!E$14:E$19, 0)), 0.03,
  ISNUMBER(MATCH($A13, CATEGORY_WEIGHTS!E$21:E$25, 0)), 0.018,
  ISNUMBER(MATCH($A13, CATEGORY_WEIGHTS!E$27:E$30, 0)), 0.01
)</f>
        <v>0.018</v>
      </c>
    </row>
    <row r="14" ht="22.5" customHeight="1">
      <c r="A14" s="139" t="s">
        <v>222</v>
      </c>
      <c r="B14" s="140">
        <f>IFS(
  ISNUMBER(MATCH($A14, CATEGORY_WEIGHTS!B$5:B$6, 0)), 0.06,
  ISNUMBER(MATCH($A14, CATEGORY_WEIGHTS!B$8:B$12, 0)), 0.045,
  ISNUMBER(MATCH($A14, CATEGORY_WEIGHTS!B$14:B$19, 0)), 0.03,
  ISNUMBER(MATCH($A14, CATEGORY_WEIGHTS!B$21:B$25, 0)), 0.018,
  ISNUMBER(MATCH($A14, CATEGORY_WEIGHTS!B$27:B$30, 0)), 0.01
)</f>
        <v>0.01</v>
      </c>
      <c r="C14" s="140">
        <f>IFS(
  ISNUMBER(MATCH($A14, CATEGORY_WEIGHTS!C$5:C$6, 0)), 0.06,
  ISNUMBER(MATCH($A14, CATEGORY_WEIGHTS!C$8:C$12, 0)), 0.045,
  ISNUMBER(MATCH($A14, CATEGORY_WEIGHTS!C$14:C$19, 0)), 0.03,
  ISNUMBER(MATCH($A14, CATEGORY_WEIGHTS!C$21:C$25, 0)), 0.018,
  ISNUMBER(MATCH($A14, CATEGORY_WEIGHTS!C$27:C$30, 0)), 0.01
)</f>
        <v>0.01</v>
      </c>
      <c r="D14" s="140">
        <f>IFS(
  ISNUMBER(MATCH($A14, CATEGORY_WEIGHTS!D$5:D$6, 0)), 0.06,
  ISNUMBER(MATCH($A14, CATEGORY_WEIGHTS!D$8:D$12, 0)), 0.045,
  ISNUMBER(MATCH($A14, CATEGORY_WEIGHTS!D$14:D$19, 0)), 0.03,
  ISNUMBER(MATCH($A14, CATEGORY_WEIGHTS!D$21:D$25, 0)), 0.018,
  ISNUMBER(MATCH($A14, CATEGORY_WEIGHTS!D$27:D$30, 0)), 0.01
)</f>
        <v>0.01</v>
      </c>
      <c r="E14" s="140">
        <f>IFS(
  ISNUMBER(MATCH($A14, CATEGORY_WEIGHTS!E$5:E$6, 0)), 0.06,
  ISNUMBER(MATCH($A14, CATEGORY_WEIGHTS!E$8:E$12, 0)), 0.045,
  ISNUMBER(MATCH($A14, CATEGORY_WEIGHTS!E$14:E$19, 0)), 0.03,
  ISNUMBER(MATCH($A14, CATEGORY_WEIGHTS!E$21:E$25, 0)), 0.018,
  ISNUMBER(MATCH($A14, CATEGORY_WEIGHTS!E$27:E$30, 0)), 0.01
)</f>
        <v>0.01</v>
      </c>
    </row>
    <row r="15" ht="22.5" customHeight="1">
      <c r="A15" s="139" t="s">
        <v>235</v>
      </c>
      <c r="B15" s="140">
        <f>IFS(
  ISNUMBER(MATCH($A15, CATEGORY_WEIGHTS!B$5:B$6, 0)), 0.06,
  ISNUMBER(MATCH($A15, CATEGORY_WEIGHTS!B$8:B$12, 0)), 0.045,
  ISNUMBER(MATCH($A15, CATEGORY_WEIGHTS!B$14:B$19, 0)), 0.03,
  ISNUMBER(MATCH($A15, CATEGORY_WEIGHTS!B$21:B$25, 0)), 0.018,
  ISNUMBER(MATCH($A15, CATEGORY_WEIGHTS!B$27:B$30, 0)), 0.01
)</f>
        <v>0.01</v>
      </c>
      <c r="C15" s="140">
        <f>IFS(
  ISNUMBER(MATCH($A15, CATEGORY_WEIGHTS!C$5:C$6, 0)), 0.06,
  ISNUMBER(MATCH($A15, CATEGORY_WEIGHTS!C$8:C$12, 0)), 0.045,
  ISNUMBER(MATCH($A15, CATEGORY_WEIGHTS!C$14:C$19, 0)), 0.03,
  ISNUMBER(MATCH($A15, CATEGORY_WEIGHTS!C$21:C$25, 0)), 0.018,
  ISNUMBER(MATCH($A15, CATEGORY_WEIGHTS!C$27:C$30, 0)), 0.01
)</f>
        <v>0.018</v>
      </c>
      <c r="D15" s="140">
        <f>IFS(
  ISNUMBER(MATCH($A15, CATEGORY_WEIGHTS!D$5:D$6, 0)), 0.06,
  ISNUMBER(MATCH($A15, CATEGORY_WEIGHTS!D$8:D$12, 0)), 0.045,
  ISNUMBER(MATCH($A15, CATEGORY_WEIGHTS!D$14:D$19, 0)), 0.03,
  ISNUMBER(MATCH($A15, CATEGORY_WEIGHTS!D$21:D$25, 0)), 0.018,
  ISNUMBER(MATCH($A15, CATEGORY_WEIGHTS!D$27:D$30, 0)), 0.01
)</f>
        <v>0.01</v>
      </c>
      <c r="E15" s="140">
        <f>IFS(
  ISNUMBER(MATCH($A15, CATEGORY_WEIGHTS!E$5:E$6, 0)), 0.06,
  ISNUMBER(MATCH($A15, CATEGORY_WEIGHTS!E$8:E$12, 0)), 0.045,
  ISNUMBER(MATCH($A15, CATEGORY_WEIGHTS!E$14:E$19, 0)), 0.03,
  ISNUMBER(MATCH($A15, CATEGORY_WEIGHTS!E$21:E$25, 0)), 0.018,
  ISNUMBER(MATCH($A15, CATEGORY_WEIGHTS!E$27:E$30, 0)), 0.01
)</f>
        <v>0.01</v>
      </c>
    </row>
    <row r="16" ht="22.5" customHeight="1">
      <c r="A16" s="142" t="s">
        <v>279</v>
      </c>
      <c r="B16" s="143">
        <f>SUM(Weights_by_Category[GREATEST])</f>
        <v>0.446</v>
      </c>
      <c r="C16" s="143">
        <f>sum(Weights_by_Category[BEST])</f>
        <v>0.399</v>
      </c>
      <c r="D16" s="143">
        <f>sum(Weights_by_Category[DOMINANT])</f>
        <v>0.419</v>
      </c>
      <c r="E16" s="143">
        <f>SUM(Weights_by_Category[CLUTCH])</f>
        <v>0.464</v>
      </c>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15.0"/>
    <col customWidth="1" min="3" max="3" width="15.63"/>
  </cols>
  <sheetData>
    <row r="1" ht="43.5" customHeight="1">
      <c r="A1" s="144" t="s">
        <v>38</v>
      </c>
      <c r="B1" s="144" t="s">
        <v>90</v>
      </c>
      <c r="C1" s="145" t="s">
        <v>280</v>
      </c>
      <c r="D1" s="144" t="s">
        <v>281</v>
      </c>
      <c r="E1" s="144" t="s">
        <v>209</v>
      </c>
      <c r="F1" s="144" t="s">
        <v>213</v>
      </c>
      <c r="G1" s="144" t="s">
        <v>216</v>
      </c>
      <c r="H1" s="144" t="s">
        <v>282</v>
      </c>
      <c r="I1" s="144" t="s">
        <v>222</v>
      </c>
      <c r="J1" s="144" t="s">
        <v>283</v>
      </c>
      <c r="K1" s="144" t="s">
        <v>284</v>
      </c>
      <c r="L1" s="144" t="s">
        <v>232</v>
      </c>
      <c r="M1" s="144" t="s">
        <v>235</v>
      </c>
      <c r="N1" s="144" t="s">
        <v>238</v>
      </c>
      <c r="O1" s="144" t="s">
        <v>242</v>
      </c>
      <c r="P1" s="144" t="s">
        <v>43</v>
      </c>
      <c r="Q1" s="144" t="s">
        <v>247</v>
      </c>
      <c r="R1" s="146" t="s">
        <v>285</v>
      </c>
    </row>
    <row r="2">
      <c r="A2" s="29">
        <v>1.0</v>
      </c>
      <c r="B2" s="29" t="s">
        <v>51</v>
      </c>
      <c r="C2" s="33">
        <f>R2/Weights_by_Category[[#TOTALS],[GREATEST]]</f>
        <v>81.94388872</v>
      </c>
      <c r="D2" s="33">
        <f>NORMALIZED_DATA!B2*TIER_WEIGHTS!$B$2</f>
        <v>6</v>
      </c>
      <c r="E2" s="33">
        <f>NORMALIZED_DATA!C2*TIER_WEIGHTS!$B$8</f>
        <v>3</v>
      </c>
      <c r="F2" s="33">
        <f>NORMALIZED_DATA!D2*TIER_WEIGHTS!$B$7</f>
        <v>3</v>
      </c>
      <c r="G2" s="33">
        <f>NORMALIZED_DATA!F2*TIER_WEIGHTS!$B$3</f>
        <v>3.537117904</v>
      </c>
      <c r="H2" s="33">
        <f>NORMALIZED_DATA!G2*TIER_WEIGHTS!$B$9</f>
        <v>1.588235294</v>
      </c>
      <c r="I2" s="33">
        <f>NORMALIZED_DATA!H2*TIER_WEIGHTS!$B$14</f>
        <v>1</v>
      </c>
      <c r="J2" s="33">
        <f>NORMALIZED_DATA!I2*TIER_WEIGHTS!$B$4</f>
        <v>4.5</v>
      </c>
      <c r="K2" s="33">
        <f>NORMALIZED_DATA!N2*TIER_WEIGHTS!$B$5</f>
        <v>4.5</v>
      </c>
      <c r="L2" s="33">
        <f>NORMALIZED_DATA!U2*TIER_WEIGHTS!$B$12</f>
        <v>0.9692307692</v>
      </c>
      <c r="M2" s="33">
        <f>NORMALIZED_DATA!V2*TIER_WEIGHTS!$B$15</f>
        <v>0.05354584527</v>
      </c>
      <c r="N2" s="33">
        <f>NORMALIZED_DATA!W2*TIER_WEIGHTS!$B$13</f>
        <v>1.773913043</v>
      </c>
      <c r="O2" s="33">
        <f>NORMALIZED_DATA!Y2*TIER_WEIGHTS!$B$6</f>
        <v>3.254464286</v>
      </c>
      <c r="P2" s="33">
        <f>NORMALIZED_DATA!Z2*TIER_WEIGHTS!$B$11</f>
        <v>1.666666667</v>
      </c>
      <c r="Q2" s="33">
        <f>NORMALIZED_DATA!AA2*TIER_WEIGHTS!$B$10</f>
        <v>1.703800562</v>
      </c>
      <c r="R2" s="147">
        <f t="shared" ref="R2:R26" si="1">sum(D2:Q2)</f>
        <v>36.54697437</v>
      </c>
    </row>
    <row r="3">
      <c r="A3" s="29">
        <v>2.0</v>
      </c>
      <c r="B3" s="29" t="s">
        <v>52</v>
      </c>
      <c r="C3" s="33">
        <f>R3/Weights_by_Category[[#TOTALS],[GREATEST]]</f>
        <v>66.81797588</v>
      </c>
      <c r="D3" s="33">
        <f>NORMALIZED_DATA!B4*TIER_WEIGHTS!$B$2</f>
        <v>1.714285714</v>
      </c>
      <c r="E3" s="33">
        <f>NORMALIZED_DATA!C4*TIER_WEIGHTS!$B$8</f>
        <v>1.208333333</v>
      </c>
      <c r="F3" s="33">
        <f>NORMALIZED_DATA!D4*TIER_WEIGHTS!$B$7</f>
        <v>0.6</v>
      </c>
      <c r="G3" s="33">
        <f>NORMALIZED_DATA!F4*TIER_WEIGHTS!$B$3</f>
        <v>4.5</v>
      </c>
      <c r="H3" s="33">
        <f>NORMALIZED_DATA!G4*TIER_WEIGHTS!$B$9</f>
        <v>3</v>
      </c>
      <c r="I3" s="33">
        <f>NORMALIZED_DATA!H4*TIER_WEIGHTS!$B$14</f>
        <v>0.9166666667</v>
      </c>
      <c r="J3" s="33">
        <f>NORMALIZED_DATA!I4*TIER_WEIGHTS!$B$4</f>
        <v>3.345458056</v>
      </c>
      <c r="K3" s="33">
        <f>NORMALIZED_DATA!N4*TIER_WEIGHTS!$B$5</f>
        <v>3.504024145</v>
      </c>
      <c r="L3" s="33">
        <f>NORMALIZED_DATA!U4*TIER_WEIGHTS!$B$12</f>
        <v>1.246153846</v>
      </c>
      <c r="M3" s="33">
        <f>NORMALIZED_DATA!V4*TIER_WEIGHTS!$B$15</f>
        <v>0.03850286533</v>
      </c>
      <c r="N3" s="33">
        <f>NORMALIZED_DATA!W4*TIER_WEIGHTS!$B$13</f>
        <v>1.434782609</v>
      </c>
      <c r="O3" s="33">
        <f>NORMALIZED_DATA!Y4*TIER_WEIGHTS!$B$6</f>
        <v>4.017857143</v>
      </c>
      <c r="P3" s="33">
        <f>NORMALIZED_DATA!Z4*TIER_WEIGHTS!$B$11</f>
        <v>2.666666667</v>
      </c>
      <c r="Q3" s="33">
        <f>NORMALIZED_DATA!AA4*TIER_WEIGHTS!$B$10</f>
        <v>1.608086196</v>
      </c>
      <c r="R3" s="147">
        <f t="shared" si="1"/>
        <v>29.80081724</v>
      </c>
    </row>
    <row r="4">
      <c r="A4" s="29">
        <v>3.0</v>
      </c>
      <c r="B4" s="29" t="s">
        <v>54</v>
      </c>
      <c r="C4" s="33">
        <f>R4/Weights_by_Category[[#TOTALS],[GREATEST]]</f>
        <v>52.88205602</v>
      </c>
      <c r="D4" s="33">
        <f>NORMALIZED_DATA!B7*TIER_WEIGHTS!$B$2</f>
        <v>0.8571428571</v>
      </c>
      <c r="E4" s="33">
        <f>NORMALIZED_DATA!C7*TIER_WEIGHTS!$B$8</f>
        <v>0.8333333333</v>
      </c>
      <c r="F4" s="33">
        <f>NORMALIZED_DATA!D7*TIER_WEIGHTS!$B$7</f>
        <v>0.6</v>
      </c>
      <c r="G4" s="33">
        <f>NORMALIZED_DATA!F7*TIER_WEIGHTS!$B$3</f>
        <v>3.222707424</v>
      </c>
      <c r="H4" s="33">
        <f>NORMALIZED_DATA!G7*TIER_WEIGHTS!$B$9</f>
        <v>1.588235294</v>
      </c>
      <c r="I4" s="33">
        <f>NORMALIZED_DATA!H7*TIER_WEIGHTS!$B$14</f>
        <v>0.5833333333</v>
      </c>
      <c r="J4" s="33">
        <f>NORMALIZED_DATA!I7*TIER_WEIGHTS!$B$4</f>
        <v>2.966759743</v>
      </c>
      <c r="K4" s="33">
        <f>NORMALIZED_DATA!N7*TIER_WEIGHTS!$B$5</f>
        <v>3.395372233</v>
      </c>
      <c r="L4" s="33">
        <f>NORMALIZED_DATA!U7*TIER_WEIGHTS!$B$12</f>
        <v>0.9</v>
      </c>
      <c r="M4" s="33">
        <f>NORMALIZED_DATA!V7*TIER_WEIGHTS!$B$15</f>
        <v>0.2406876791</v>
      </c>
      <c r="N4" s="33">
        <f>NORMALIZED_DATA!W7*TIER_WEIGHTS!$B$13</f>
        <v>1.486956522</v>
      </c>
      <c r="O4" s="33">
        <f>NORMALIZED_DATA!Y7*TIER_WEIGHTS!$B$6</f>
        <v>3.415178571</v>
      </c>
      <c r="P4" s="33">
        <f>NORMALIZED_DATA!Z7*TIER_WEIGHTS!$B$11</f>
        <v>1.666666667</v>
      </c>
      <c r="Q4" s="33">
        <f>NORMALIZED_DATA!AA7*TIER_WEIGHTS!$B$10</f>
        <v>1.829023328</v>
      </c>
      <c r="R4" s="147">
        <f t="shared" si="1"/>
        <v>23.58539699</v>
      </c>
    </row>
    <row r="5">
      <c r="A5" s="29">
        <v>4.0</v>
      </c>
      <c r="B5" s="29" t="s">
        <v>53</v>
      </c>
      <c r="C5" s="33">
        <f>R5/Weights_by_Category[[#TOTALS],[GREATEST]]</f>
        <v>49.75789899</v>
      </c>
      <c r="D5" s="33">
        <f>NORMALIZED_DATA!B16*TIER_WEIGHTS!$B$2</f>
        <v>6</v>
      </c>
      <c r="E5" s="33">
        <f>NORMALIZED_DATA!C16*TIER_WEIGHTS!$B$8</f>
        <v>0.3333333333</v>
      </c>
      <c r="F5" s="33">
        <f>NORMALIZED_DATA!D16*TIER_WEIGHTS!$B$7</f>
        <v>0</v>
      </c>
      <c r="G5" s="33">
        <f>NORMALIZED_DATA!F16*TIER_WEIGHTS!$B$3</f>
        <v>2.073144105</v>
      </c>
      <c r="H5" s="33">
        <f>NORMALIZED_DATA!G16*TIER_WEIGHTS!$B$9</f>
        <v>1.764705882</v>
      </c>
      <c r="I5" s="33">
        <f>NORMALIZED_DATA!H16*TIER_WEIGHTS!$B$14</f>
        <v>0.1666666667</v>
      </c>
      <c r="J5" s="33">
        <f>NORMALIZED_DATA!I16*TIER_WEIGHTS!$B$4</f>
        <v>0.1134891873</v>
      </c>
      <c r="K5" s="33">
        <f>NORMALIZED_DATA!N16*TIER_WEIGHTS!$B$5</f>
        <v>0.199195171</v>
      </c>
      <c r="L5" s="33">
        <f>NORMALIZED_DATA!U16*TIER_WEIGHTS!$B$12</f>
        <v>1.8</v>
      </c>
      <c r="M5" s="33">
        <f>NORMALIZED_DATA!V16*TIER_WEIGHTS!$B$15</f>
        <v>0.1189111748</v>
      </c>
      <c r="N5" s="33">
        <f>NORMALIZED_DATA!W16*TIER_WEIGHTS!$B$13</f>
        <v>1.773913043</v>
      </c>
      <c r="O5" s="33">
        <f>NORMALIZED_DATA!Y16*TIER_WEIGHTS!$B$6</f>
        <v>4.178571429</v>
      </c>
      <c r="P5" s="33">
        <f>NORMALIZED_DATA!Z16*TIER_WEIGHTS!$B$11</f>
        <v>2.666666667</v>
      </c>
      <c r="Q5" s="33">
        <f>NORMALIZED_DATA!AA16*TIER_WEIGHTS!$B$10</f>
        <v>1.003426291</v>
      </c>
      <c r="R5" s="147">
        <f t="shared" si="1"/>
        <v>22.19202295</v>
      </c>
    </row>
    <row r="6">
      <c r="A6" s="29">
        <v>5.0</v>
      </c>
      <c r="B6" s="29" t="s">
        <v>56</v>
      </c>
      <c r="C6" s="33">
        <f>R6/Weights_by_Category[[#TOTALS],[GREATEST]]</f>
        <v>46.85312174</v>
      </c>
      <c r="D6" s="33">
        <f>NORMALIZED_DATA!B3*TIER_WEIGHTS!$B$2</f>
        <v>3.428571429</v>
      </c>
      <c r="E6" s="33">
        <f>NORMALIZED_DATA!C3*TIER_WEIGHTS!$B$8</f>
        <v>1.291666667</v>
      </c>
      <c r="F6" s="33">
        <f>NORMALIZED_DATA!D3*TIER_WEIGHTS!$B$7</f>
        <v>1.8</v>
      </c>
      <c r="G6" s="33">
        <f>NORMALIZED_DATA!F3*TIER_WEIGHTS!$B$3</f>
        <v>1.601528384</v>
      </c>
      <c r="H6" s="33">
        <f>NORMALIZED_DATA!G3*TIER_WEIGHTS!$B$9</f>
        <v>1.411764706</v>
      </c>
      <c r="I6" s="33">
        <f>NORMALIZED_DATA!H3*TIER_WEIGHTS!$B$14</f>
        <v>0.4166666667</v>
      </c>
      <c r="J6" s="33">
        <f>NORMALIZED_DATA!I3*TIER_WEIGHTS!$B$4</f>
        <v>1.247512179</v>
      </c>
      <c r="K6" s="33">
        <f>NORMALIZED_DATA!N3*TIER_WEIGHTS!$B$5</f>
        <v>1.095573441</v>
      </c>
      <c r="L6" s="33">
        <f>NORMALIZED_DATA!U3*TIER_WEIGHTS!$B$12</f>
        <v>1.246153846</v>
      </c>
      <c r="M6" s="33">
        <f>NORMALIZED_DATA!V3*TIER_WEIGHTS!$B$15</f>
        <v>0.1498925501</v>
      </c>
      <c r="N6" s="33">
        <f>NORMALIZED_DATA!W3*TIER_WEIGHTS!$B$13</f>
        <v>1.72173913</v>
      </c>
      <c r="O6" s="33">
        <f>NORMALIZED_DATA!Y3*TIER_WEIGHTS!$B$6</f>
        <v>2.330357143</v>
      </c>
      <c r="P6" s="33">
        <f>NORMALIZED_DATA!Z3*TIER_WEIGHTS!$B$11</f>
        <v>1</v>
      </c>
      <c r="Q6" s="33">
        <f>NORMALIZED_DATA!AA3*TIER_WEIGHTS!$B$10</f>
        <v>2.155066154</v>
      </c>
      <c r="R6" s="147">
        <f t="shared" si="1"/>
        <v>20.8964923</v>
      </c>
    </row>
    <row r="7">
      <c r="A7" s="29">
        <v>6.0</v>
      </c>
      <c r="B7" s="29" t="s">
        <v>58</v>
      </c>
      <c r="C7" s="33">
        <f>R7/Weights_by_Category[[#TOTALS],[GREATEST]]</f>
        <v>46.63025401</v>
      </c>
      <c r="D7" s="33">
        <f>NORMALIZED_DATA!B5*TIER_WEIGHTS!$B$2</f>
        <v>0.8571428571</v>
      </c>
      <c r="E7" s="33">
        <f>NORMALIZED_DATA!C5*TIER_WEIGHTS!$B$8</f>
        <v>0.5833333333</v>
      </c>
      <c r="F7" s="33">
        <f>NORMALIZED_DATA!D5*TIER_WEIGHTS!$B$7</f>
        <v>0.6</v>
      </c>
      <c r="G7" s="33">
        <f>NORMALIZED_DATA!F5*TIER_WEIGHTS!$B$3</f>
        <v>0.442139738</v>
      </c>
      <c r="H7" s="33">
        <f>NORMALIZED_DATA!G5*TIER_WEIGHTS!$B$9</f>
        <v>1.058823529</v>
      </c>
      <c r="I7" s="33">
        <f>NORMALIZED_DATA!H5*TIER_WEIGHTS!$B$14</f>
        <v>0.8333333333</v>
      </c>
      <c r="J7" s="33">
        <f>NORMALIZED_DATA!I5*TIER_WEIGHTS!$B$4</f>
        <v>3.90809173</v>
      </c>
      <c r="K7" s="33">
        <f>NORMALIZED_DATA!N5*TIER_WEIGHTS!$B$5</f>
        <v>3.793762575</v>
      </c>
      <c r="L7" s="33">
        <f>NORMALIZED_DATA!U5*TIER_WEIGHTS!$B$12</f>
        <v>0.9692307692</v>
      </c>
      <c r="M7" s="33">
        <f>NORMALIZED_DATA!V5*TIER_WEIGHTS!$B$15</f>
        <v>0.04047277937</v>
      </c>
      <c r="N7" s="33">
        <f>NORMALIZED_DATA!W5*TIER_WEIGHTS!$B$13</f>
        <v>1.408695652</v>
      </c>
      <c r="O7" s="33">
        <f>NORMALIZED_DATA!Y5*TIER_WEIGHTS!$B$6</f>
        <v>2.049107143</v>
      </c>
      <c r="P7" s="33">
        <f>NORMALIZED_DATA!Z5*TIER_WEIGHTS!$B$11</f>
        <v>2.333333333</v>
      </c>
      <c r="Q7" s="33">
        <f>NORMALIZED_DATA!AA5*TIER_WEIGHTS!$B$10</f>
        <v>1.919626514</v>
      </c>
      <c r="R7" s="147">
        <f t="shared" si="1"/>
        <v>20.79709329</v>
      </c>
    </row>
    <row r="8">
      <c r="A8" s="29">
        <v>7.0</v>
      </c>
      <c r="B8" s="29" t="s">
        <v>55</v>
      </c>
      <c r="C8" s="33">
        <f>R8/Weights_by_Category[[#TOTALS],[GREATEST]]</f>
        <v>44.49219585</v>
      </c>
      <c r="D8" s="33">
        <f>NORMALIZED_DATA!B9*TIER_WEIGHTS!$B$2</f>
        <v>2.571428571</v>
      </c>
      <c r="E8" s="33">
        <f>NORMALIZED_DATA!C9*TIER_WEIGHTS!$B$8</f>
        <v>1.5</v>
      </c>
      <c r="F8" s="33">
        <f>NORMALIZED_DATA!D9*TIER_WEIGHTS!$B$7</f>
        <v>1.8</v>
      </c>
      <c r="G8" s="33">
        <f>NORMALIZED_DATA!F9*TIER_WEIGHTS!$B$3</f>
        <v>1.89628821</v>
      </c>
      <c r="H8" s="33">
        <f>NORMALIZED_DATA!G9*TIER_WEIGHTS!$B$9</f>
        <v>0.8823529412</v>
      </c>
      <c r="I8" s="33">
        <f>NORMALIZED_DATA!H9*TIER_WEIGHTS!$B$14</f>
        <v>0.25</v>
      </c>
      <c r="J8" s="33">
        <f>NORMALIZED_DATA!I9*TIER_WEIGHTS!$B$4</f>
        <v>0.9392600404</v>
      </c>
      <c r="K8" s="33">
        <f>NORMALIZED_DATA!N9*TIER_WEIGHTS!$B$5</f>
        <v>1.041247485</v>
      </c>
      <c r="L8" s="33">
        <f>NORMALIZED_DATA!U9*TIER_WEIGHTS!$B$12</f>
        <v>1.038461538</v>
      </c>
      <c r="M8" s="33">
        <f>NORMALIZED_DATA!V9*TIER_WEIGHTS!$B$15</f>
        <v>0.3732091691</v>
      </c>
      <c r="N8" s="33">
        <f>NORMALIZED_DATA!W9*TIER_WEIGHTS!$B$13</f>
        <v>1.382608696</v>
      </c>
      <c r="O8" s="33">
        <f>NORMALIZED_DATA!Y9*TIER_WEIGHTS!$B$6</f>
        <v>2.8125</v>
      </c>
      <c r="P8" s="33">
        <f>NORMALIZED_DATA!Z9*TIER_WEIGHTS!$B$11</f>
        <v>1.333333333</v>
      </c>
      <c r="Q8" s="33">
        <f>NORMALIZED_DATA!AA9*TIER_WEIGHTS!$B$10</f>
        <v>2.022829365</v>
      </c>
      <c r="R8" s="147">
        <f t="shared" si="1"/>
        <v>19.84351935</v>
      </c>
    </row>
    <row r="9">
      <c r="A9" s="29">
        <v>8.0</v>
      </c>
      <c r="B9" s="29" t="s">
        <v>61</v>
      </c>
      <c r="C9" s="33">
        <f>R9/Weights_by_Category[[#TOTALS],[GREATEST]]</f>
        <v>42.7729173</v>
      </c>
      <c r="D9" s="33">
        <f>NORMALIZED_DATA!B17*TIER_WEIGHTS!$B$2</f>
        <v>0.8571428571</v>
      </c>
      <c r="E9" s="33">
        <f>NORMALIZED_DATA!C17*TIER_WEIGHTS!$B$8</f>
        <v>0.9583333333</v>
      </c>
      <c r="F9" s="33">
        <f>NORMALIZED_DATA!D17*TIER_WEIGHTS!$B$7</f>
        <v>0</v>
      </c>
      <c r="G9" s="33">
        <f>NORMALIZED_DATA!F17*TIER_WEIGHTS!$B$3</f>
        <v>2.13209607</v>
      </c>
      <c r="H9" s="33">
        <f>NORMALIZED_DATA!G17*TIER_WEIGHTS!$B$9</f>
        <v>1.588235294</v>
      </c>
      <c r="I9" s="33">
        <f>NORMALIZED_DATA!H17*TIER_WEIGHTS!$B$14</f>
        <v>0.6666666667</v>
      </c>
      <c r="J9" s="33">
        <f>NORMALIZED_DATA!I17*TIER_WEIGHTS!$B$4</f>
        <v>3.338640684</v>
      </c>
      <c r="K9" s="33">
        <f>NORMALIZED_DATA!N17*TIER_WEIGHTS!$B$5</f>
        <v>3.22334004</v>
      </c>
      <c r="L9" s="33">
        <f>NORMALIZED_DATA!U17*TIER_WEIGHTS!$B$12</f>
        <v>0.4153846154</v>
      </c>
      <c r="M9" s="33">
        <f>NORMALIZED_DATA!V17*TIER_WEIGHTS!$B$15</f>
        <v>0.1029727794</v>
      </c>
      <c r="N9" s="33">
        <f>NORMALIZED_DATA!W17*TIER_WEIGHTS!$B$13</f>
        <v>0.7565217391</v>
      </c>
      <c r="O9" s="33">
        <f>NORMALIZED_DATA!Y17*TIER_WEIGHTS!$B$6</f>
        <v>1.245535714</v>
      </c>
      <c r="P9" s="33">
        <f>NORMALIZED_DATA!Z17*TIER_WEIGHTS!$B$11</f>
        <v>1.666666667</v>
      </c>
      <c r="Q9" s="33">
        <f>NORMALIZED_DATA!AA17*TIER_WEIGHTS!$B$10</f>
        <v>2.125184654</v>
      </c>
      <c r="R9" s="147">
        <f t="shared" si="1"/>
        <v>19.07672111</v>
      </c>
    </row>
    <row r="10">
      <c r="A10" s="29">
        <v>9.0</v>
      </c>
      <c r="B10" s="29" t="s">
        <v>57</v>
      </c>
      <c r="C10" s="33">
        <f>R10/Weights_by_Category[[#TOTALS],[GREATEST]]</f>
        <v>42.20458406</v>
      </c>
      <c r="D10" s="33">
        <f>NORMALIZED_DATA!B13*TIER_WEIGHTS!$B$2</f>
        <v>0.8571428571</v>
      </c>
      <c r="E10" s="33">
        <f>NORMALIZED_DATA!C13*TIER_WEIGHTS!$B$8</f>
        <v>1.166666667</v>
      </c>
      <c r="F10" s="33">
        <f>NORMALIZED_DATA!D13*TIER_WEIGHTS!$B$7</f>
        <v>0.6</v>
      </c>
      <c r="G10" s="33">
        <f>NORMALIZED_DATA!F13*TIER_WEIGHTS!$B$3</f>
        <v>1.748908297</v>
      </c>
      <c r="H10" s="33">
        <f>NORMALIZED_DATA!G13*TIER_WEIGHTS!$B$9</f>
        <v>1.588235294</v>
      </c>
      <c r="I10" s="33">
        <f>NORMALIZED_DATA!H13*TIER_WEIGHTS!$B$14</f>
        <v>0.3333333333</v>
      </c>
      <c r="J10" s="33">
        <f>NORMALIZED_DATA!I13*TIER_WEIGHTS!$B$4</f>
        <v>0.7511139496</v>
      </c>
      <c r="K10" s="33">
        <f>NORMALIZED_DATA!N13*TIER_WEIGHTS!$B$5</f>
        <v>0.7243460765</v>
      </c>
      <c r="L10" s="33">
        <f>NORMALIZED_DATA!U13*TIER_WEIGHTS!$B$12</f>
        <v>1.384615385</v>
      </c>
      <c r="M10" s="33">
        <f>NORMALIZED_DATA!V13*TIER_WEIGHTS!$B$15</f>
        <v>0.4430515759</v>
      </c>
      <c r="N10" s="33">
        <f>NORMALIZED_DATA!W13*TIER_WEIGHTS!$B$13</f>
        <v>1.095652174</v>
      </c>
      <c r="O10" s="33">
        <f>NORMALIZED_DATA!Y13*TIER_WEIGHTS!$B$6</f>
        <v>4.5</v>
      </c>
      <c r="P10" s="33">
        <f>NORMALIZED_DATA!Z13*TIER_WEIGHTS!$B$11</f>
        <v>2</v>
      </c>
      <c r="Q10" s="33">
        <f>NORMALIZED_DATA!AA13*TIER_WEIGHTS!$B$10</f>
        <v>1.630178882</v>
      </c>
      <c r="R10" s="147">
        <f t="shared" si="1"/>
        <v>18.82324449</v>
      </c>
    </row>
    <row r="11">
      <c r="A11" s="29">
        <v>10.0</v>
      </c>
      <c r="B11" s="29" t="s">
        <v>59</v>
      </c>
      <c r="C11" s="33">
        <f>R11/Weights_by_Category[[#TOTALS],[GREATEST]]</f>
        <v>41.47068999</v>
      </c>
      <c r="D11" s="33">
        <f>NORMALIZED_DATA!B10*TIER_WEIGHTS!$B$2</f>
        <v>0</v>
      </c>
      <c r="E11" s="33">
        <f>NORMALIZED_DATA!C10*TIER_WEIGHTS!$B$8</f>
        <v>0.5833333333</v>
      </c>
      <c r="F11" s="33">
        <f>NORMALIZED_DATA!D10*TIER_WEIGHTS!$B$7</f>
        <v>0</v>
      </c>
      <c r="G11" s="33">
        <f>NORMALIZED_DATA!F10*TIER_WEIGHTS!$B$3</f>
        <v>0.7565502183</v>
      </c>
      <c r="H11" s="33">
        <f>NORMALIZED_DATA!G10*TIER_WEIGHTS!$B$9</f>
        <v>1.588235294</v>
      </c>
      <c r="I11" s="33">
        <f>NORMALIZED_DATA!H10*TIER_WEIGHTS!$B$14</f>
        <v>0.5</v>
      </c>
      <c r="J11" s="33">
        <f>NORMALIZED_DATA!I10*TIER_WEIGHTS!$B$4</f>
        <v>2.638389674</v>
      </c>
      <c r="K11" s="33">
        <f>NORMALIZED_DATA!N10*TIER_WEIGHTS!$B$5</f>
        <v>2.426559356</v>
      </c>
      <c r="L11" s="33">
        <f>NORMALIZED_DATA!U10*TIER_WEIGHTS!$B$12</f>
        <v>1.176923077</v>
      </c>
      <c r="M11" s="33">
        <f>NORMALIZED_DATA!V10*TIER_WEIGHTS!$B$15</f>
        <v>0</v>
      </c>
      <c r="N11" s="33">
        <f>NORMALIZED_DATA!W10*TIER_WEIGHTS!$B$13</f>
        <v>1.695652174</v>
      </c>
      <c r="O11" s="33">
        <f>NORMALIZED_DATA!Y10*TIER_WEIGHTS!$B$6</f>
        <v>3.616071429</v>
      </c>
      <c r="P11" s="33">
        <f>NORMALIZED_DATA!Z10*TIER_WEIGHTS!$B$11</f>
        <v>2</v>
      </c>
      <c r="Q11" s="33">
        <f>NORMALIZED_DATA!AA10*TIER_WEIGHTS!$B$10</f>
        <v>1.514213178</v>
      </c>
      <c r="R11" s="147">
        <f t="shared" si="1"/>
        <v>18.49592773</v>
      </c>
    </row>
    <row r="12">
      <c r="A12" s="29">
        <v>11.0</v>
      </c>
      <c r="B12" s="29" t="s">
        <v>62</v>
      </c>
      <c r="C12" s="33">
        <f>R12/Weights_by_Category[[#TOTALS],[GREATEST]]</f>
        <v>37.79677394</v>
      </c>
      <c r="D12" s="33">
        <f>NORMALIZED_DATA!B8*TIER_WEIGHTS!$B$2</f>
        <v>2.571428571</v>
      </c>
      <c r="E12" s="33">
        <f>NORMALIZED_DATA!C8*TIER_WEIGHTS!$B$8</f>
        <v>0.3333333333</v>
      </c>
      <c r="F12" s="33">
        <f>NORMALIZED_DATA!D8*TIER_WEIGHTS!$B$7</f>
        <v>0</v>
      </c>
      <c r="G12" s="33">
        <f>NORMALIZED_DATA!F8*TIER_WEIGHTS!$B$3</f>
        <v>2.741266376</v>
      </c>
      <c r="H12" s="33">
        <f>NORMALIZED_DATA!G8*TIER_WEIGHTS!$B$9</f>
        <v>2.294117647</v>
      </c>
      <c r="I12" s="33">
        <f>NORMALIZED_DATA!H8*TIER_WEIGHTS!$B$14</f>
        <v>0.5833333333</v>
      </c>
      <c r="J12" s="33">
        <f>NORMALIZED_DATA!I8*TIER_WEIGHTS!$B$4</f>
        <v>1.226659042</v>
      </c>
      <c r="K12" s="33">
        <f>NORMALIZED_DATA!N8*TIER_WEIGHTS!$B$5</f>
        <v>1.249496982</v>
      </c>
      <c r="L12" s="33">
        <f>NORMALIZED_DATA!U8*TIER_WEIGHTS!$B$12</f>
        <v>0.3461538462</v>
      </c>
      <c r="M12" s="33">
        <f>NORMALIZED_DATA!V8*TIER_WEIGHTS!$B$15</f>
        <v>0.1443409742</v>
      </c>
      <c r="N12" s="33">
        <f>NORMALIZED_DATA!W8*TIER_WEIGHTS!$B$13</f>
        <v>1.051304348</v>
      </c>
      <c r="O12" s="33">
        <f>NORMALIZED_DATA!Y8*TIER_WEIGHTS!$B$6</f>
        <v>1.767857143</v>
      </c>
      <c r="P12" s="33">
        <f>NORMALIZED_DATA!Z8*TIER_WEIGHTS!$B$11</f>
        <v>1.333333333</v>
      </c>
      <c r="Q12" s="33">
        <f>NORMALIZED_DATA!AA8*TIER_WEIGHTS!$B$10</f>
        <v>1.214736249</v>
      </c>
      <c r="R12" s="147">
        <f t="shared" si="1"/>
        <v>16.85736118</v>
      </c>
    </row>
    <row r="13">
      <c r="A13" s="29">
        <v>12.0</v>
      </c>
      <c r="B13" s="29" t="s">
        <v>60</v>
      </c>
      <c r="C13" s="33">
        <f>R13/Weights_by_Category[[#TOTALS],[GREATEST]]</f>
        <v>35.33223031</v>
      </c>
      <c r="D13" s="33">
        <f>NORMALIZED_DATA!B23*TIER_WEIGHTS!$B$2</f>
        <v>1.714285714</v>
      </c>
      <c r="E13" s="33">
        <f>NORMALIZED_DATA!C23*TIER_WEIGHTS!$B$8</f>
        <v>0.1666666667</v>
      </c>
      <c r="F13" s="33">
        <f>NORMALIZED_DATA!D23*TIER_WEIGHTS!$B$7</f>
        <v>0</v>
      </c>
      <c r="G13" s="33">
        <f>NORMALIZED_DATA!F23*TIER_WEIGHTS!$B$3</f>
        <v>0</v>
      </c>
      <c r="H13" s="33">
        <f>NORMALIZED_DATA!G23*TIER_WEIGHTS!$B$9</f>
        <v>2.117647059</v>
      </c>
      <c r="I13" s="33">
        <f>NORMALIZED_DATA!H23*TIER_WEIGHTS!$B$14</f>
        <v>0.25</v>
      </c>
      <c r="J13" s="33">
        <f>NORMALIZED_DATA!I23*TIER_WEIGHTS!$B$4</f>
        <v>0</v>
      </c>
      <c r="K13" s="33">
        <f>NORMALIZED_DATA!N23*TIER_WEIGHTS!$B$5</f>
        <v>0.3169014085</v>
      </c>
      <c r="L13" s="33">
        <f>NORMALIZED_DATA!U23*TIER_WEIGHTS!$B$12</f>
        <v>1.176923077</v>
      </c>
      <c r="M13" s="33">
        <f>NORMALIZED_DATA!V23*TIER_WEIGHTS!$B$15</f>
        <v>0.02847421203</v>
      </c>
      <c r="N13" s="33">
        <f>NORMALIZED_DATA!W23*TIER_WEIGHTS!$B$13</f>
        <v>1.8</v>
      </c>
      <c r="O13" s="33">
        <f>NORMALIZED_DATA!Y23*TIER_WEIGHTS!$B$6</f>
        <v>2.953125</v>
      </c>
      <c r="P13" s="33">
        <f>NORMALIZED_DATA!Z23*TIER_WEIGHTS!$B$11</f>
        <v>3</v>
      </c>
      <c r="Q13" s="33">
        <f>NORMALIZED_DATA!AA23*TIER_WEIGHTS!$B$10</f>
        <v>2.234151581</v>
      </c>
      <c r="R13" s="147">
        <f t="shared" si="1"/>
        <v>15.75817472</v>
      </c>
    </row>
    <row r="14">
      <c r="A14" s="29">
        <v>13.0</v>
      </c>
      <c r="B14" s="29" t="s">
        <v>66</v>
      </c>
      <c r="C14" s="33">
        <f>R14/Weights_by_Category[[#TOTALS],[GREATEST]]</f>
        <v>31.83405798</v>
      </c>
      <c r="D14" s="33">
        <f>NORMALIZED_DATA!B6*TIER_WEIGHTS!$B$2</f>
        <v>4.285714286</v>
      </c>
      <c r="E14" s="33">
        <f>NORMALIZED_DATA!C6*TIER_WEIGHTS!$B$8</f>
        <v>0.5833333333</v>
      </c>
      <c r="F14" s="33">
        <f>NORMALIZED_DATA!D6*TIER_WEIGHTS!$B$7</f>
        <v>1.2</v>
      </c>
      <c r="G14" s="33">
        <f>NORMALIZED_DATA!F6*TIER_WEIGHTS!$B$3</f>
        <v>0.4126637555</v>
      </c>
      <c r="H14" s="33">
        <f>NORMALIZED_DATA!G6*TIER_WEIGHTS!$B$9</f>
        <v>0.8823529412</v>
      </c>
      <c r="I14" s="33">
        <f>NORMALIZED_DATA!H6*TIER_WEIGHTS!$B$14</f>
        <v>0.08333333333</v>
      </c>
      <c r="J14" s="33">
        <f>NORMALIZED_DATA!I6*TIER_WEIGHTS!$B$4</f>
        <v>0.1892823194</v>
      </c>
      <c r="K14" s="33">
        <f>NORMALIZED_DATA!N6*TIER_WEIGHTS!$B$5</f>
        <v>0</v>
      </c>
      <c r="L14" s="33">
        <f>NORMALIZED_DATA!U6*TIER_WEIGHTS!$B$12</f>
        <v>0.6230769231</v>
      </c>
      <c r="M14" s="33">
        <f>NORMALIZED_DATA!V6*TIER_WEIGHTS!$B$15</f>
        <v>0.1130014327</v>
      </c>
      <c r="N14" s="33">
        <f>NORMALIZED_DATA!W6*TIER_WEIGHTS!$B$13</f>
        <v>0.7630434783</v>
      </c>
      <c r="O14" s="33">
        <f>NORMALIZED_DATA!Y6*TIER_WEIGHTS!$B$6</f>
        <v>1.285714286</v>
      </c>
      <c r="P14" s="33">
        <f>NORMALIZED_DATA!Z6*TIER_WEIGHTS!$B$11</f>
        <v>1</v>
      </c>
      <c r="Q14" s="33">
        <f>NORMALIZED_DATA!AA6*TIER_WEIGHTS!$B$10</f>
        <v>2.77647377</v>
      </c>
      <c r="R14" s="147">
        <f t="shared" si="1"/>
        <v>14.19798986</v>
      </c>
    </row>
    <row r="15">
      <c r="A15" s="29">
        <v>14.0</v>
      </c>
      <c r="B15" s="29" t="s">
        <v>63</v>
      </c>
      <c r="C15" s="33">
        <f>R15/Weights_by_Category[[#TOTALS],[GREATEST]]</f>
        <v>31.57056827</v>
      </c>
      <c r="D15" s="33">
        <f>NORMALIZED_DATA!B20*TIER_WEIGHTS!$B$2</f>
        <v>0</v>
      </c>
      <c r="E15" s="33">
        <f>NORMALIZED_DATA!C20*TIER_WEIGHTS!$B$8</f>
        <v>0.2083333333</v>
      </c>
      <c r="F15" s="33">
        <f>NORMALIZED_DATA!D20*TIER_WEIGHTS!$B$7</f>
        <v>0</v>
      </c>
      <c r="G15" s="33">
        <f>NORMALIZED_DATA!F20*TIER_WEIGHTS!$B$3</f>
        <v>0.7467248908</v>
      </c>
      <c r="H15" s="33">
        <f>NORMALIZED_DATA!G20*TIER_WEIGHTS!$B$9</f>
        <v>1.058823529</v>
      </c>
      <c r="I15" s="33">
        <f>NORMALIZED_DATA!H20*TIER_WEIGHTS!$B$14</f>
        <v>0.25</v>
      </c>
      <c r="J15" s="33">
        <f>NORMALIZED_DATA!I20*TIER_WEIGHTS!$B$4</f>
        <v>1.413869415</v>
      </c>
      <c r="K15" s="33">
        <f>NORMALIZED_DATA!N20*TIER_WEIGHTS!$B$5</f>
        <v>0.9235412475</v>
      </c>
      <c r="L15" s="33">
        <f>NORMALIZED_DATA!U20*TIER_WEIGHTS!$B$12</f>
        <v>1.038461538</v>
      </c>
      <c r="M15" s="33">
        <f>NORMALIZED_DATA!V20*TIER_WEIGHTS!$B$15</f>
        <v>0.04065186246</v>
      </c>
      <c r="N15" s="33">
        <f>NORMALIZED_DATA!W20*TIER_WEIGHTS!$B$13</f>
        <v>1.12173913</v>
      </c>
      <c r="O15" s="33">
        <f>NORMALIZED_DATA!Y20*TIER_WEIGHTS!$B$6</f>
        <v>3.334821429</v>
      </c>
      <c r="P15" s="33">
        <f>NORMALIZED_DATA!Z20*TIER_WEIGHTS!$B$11</f>
        <v>2.333333333</v>
      </c>
      <c r="Q15" s="33">
        <f>NORMALIZED_DATA!AA20*TIER_WEIGHTS!$B$10</f>
        <v>1.610173739</v>
      </c>
      <c r="R15" s="147">
        <f t="shared" si="1"/>
        <v>14.08047345</v>
      </c>
    </row>
    <row r="16">
      <c r="A16" s="29">
        <v>15.0</v>
      </c>
      <c r="B16" s="29" t="s">
        <v>65</v>
      </c>
      <c r="C16" s="33">
        <f>R16/Weights_by_Category[[#TOTALS],[GREATEST]]</f>
        <v>31.50307395</v>
      </c>
      <c r="D16" s="33">
        <f>NORMALIZED_DATA!B12*TIER_WEIGHTS!$B$2</f>
        <v>3.428571429</v>
      </c>
      <c r="E16" s="33">
        <f>NORMALIZED_DATA!C12*TIER_WEIGHTS!$B$8</f>
        <v>1.166666667</v>
      </c>
      <c r="F16" s="33">
        <f>NORMALIZED_DATA!D12*TIER_WEIGHTS!$B$7</f>
        <v>1.2</v>
      </c>
      <c r="G16" s="33">
        <f>NORMALIZED_DATA!F12*TIER_WEIGHTS!$B$3</f>
        <v>0.481441048</v>
      </c>
      <c r="H16" s="33">
        <f>NORMALIZED_DATA!G12*TIER_WEIGHTS!$B$9</f>
        <v>0.3529411765</v>
      </c>
      <c r="I16" s="33">
        <f>NORMALIZED_DATA!H12*TIER_WEIGHTS!$B$14</f>
        <v>0</v>
      </c>
      <c r="J16" s="33">
        <f>NORMALIZED_DATA!I12*TIER_WEIGHTS!$B$4</f>
        <v>0.4079060718</v>
      </c>
      <c r="K16" s="33">
        <f>NORMALIZED_DATA!N12*TIER_WEIGHTS!$B$5</f>
        <v>0.5432595573</v>
      </c>
      <c r="L16" s="33">
        <f>NORMALIZED_DATA!U12*TIER_WEIGHTS!$B$12</f>
        <v>0.3461538462</v>
      </c>
      <c r="M16" s="33">
        <f>NORMALIZED_DATA!V12*TIER_WEIGHTS!$B$15</f>
        <v>0.2335243553</v>
      </c>
      <c r="N16" s="33">
        <f>NORMALIZED_DATA!W12*TIER_WEIGHTS!$B$13</f>
        <v>0.4434782609</v>
      </c>
      <c r="O16" s="33">
        <f>NORMALIZED_DATA!Y12*TIER_WEIGHTS!$B$6</f>
        <v>1.446428571</v>
      </c>
      <c r="P16" s="33">
        <f>NORMALIZED_DATA!Z12*TIER_WEIGHTS!$B$11</f>
        <v>1</v>
      </c>
      <c r="Q16" s="33">
        <f>NORMALIZED_DATA!AA12*TIER_WEIGHTS!$B$10</f>
        <v>3</v>
      </c>
      <c r="R16" s="147">
        <f t="shared" si="1"/>
        <v>14.05037098</v>
      </c>
    </row>
    <row r="17">
      <c r="A17" s="29">
        <v>16.0</v>
      </c>
      <c r="B17" s="29" t="s">
        <v>68</v>
      </c>
      <c r="C17" s="33">
        <f>R17/Weights_by_Category[[#TOTALS],[GREATEST]]</f>
        <v>30.02030911</v>
      </c>
      <c r="D17" s="33">
        <f>NORMALIZED_DATA!B11*TIER_WEIGHTS!$B$2</f>
        <v>1.714285714</v>
      </c>
      <c r="E17" s="33">
        <f>NORMALIZED_DATA!C11*TIER_WEIGHTS!$B$8</f>
        <v>1.375</v>
      </c>
      <c r="F17" s="33">
        <f>NORMALIZED_DATA!D11*TIER_WEIGHTS!$B$7</f>
        <v>0.6</v>
      </c>
      <c r="G17" s="33">
        <f>NORMALIZED_DATA!F11*TIER_WEIGHTS!$B$3</f>
        <v>0.9334061135</v>
      </c>
      <c r="H17" s="33">
        <f>NORMALIZED_DATA!G11*TIER_WEIGHTS!$B$9</f>
        <v>0.5294117647</v>
      </c>
      <c r="I17" s="33">
        <f>NORMALIZED_DATA!H11*TIER_WEIGHTS!$B$14</f>
        <v>0.5</v>
      </c>
      <c r="J17" s="33">
        <f>NORMALIZED_DATA!I11*TIER_WEIGHTS!$B$4</f>
        <v>1.977639318</v>
      </c>
      <c r="K17" s="33">
        <f>NORMALIZED_DATA!N11*TIER_WEIGHTS!$B$5</f>
        <v>1.340040241</v>
      </c>
      <c r="L17" s="33">
        <f>NORMALIZED_DATA!U11*TIER_WEIGHTS!$B$12</f>
        <v>0.2769230769</v>
      </c>
      <c r="M17" s="33">
        <f>NORMALIZED_DATA!V11*TIER_WEIGHTS!$B$15</f>
        <v>0.2550143266</v>
      </c>
      <c r="N17" s="33">
        <f>NORMALIZED_DATA!W11*TIER_WEIGHTS!$B$13</f>
        <v>1.017391304</v>
      </c>
      <c r="O17" s="33">
        <f>NORMALIZED_DATA!Y11*TIER_WEIGHTS!$B$6</f>
        <v>0.6026785714</v>
      </c>
      <c r="P17" s="33">
        <f>NORMALIZED_DATA!Z11*TIER_WEIGHTS!$B$11</f>
        <v>0</v>
      </c>
      <c r="Q17" s="33">
        <f>NORMALIZED_DATA!AA11*TIER_WEIGHTS!$B$10</f>
        <v>2.267267431</v>
      </c>
      <c r="R17" s="147">
        <f t="shared" si="1"/>
        <v>13.38905786</v>
      </c>
    </row>
    <row r="18">
      <c r="A18" s="29">
        <v>17.0</v>
      </c>
      <c r="B18" s="29" t="s">
        <v>71</v>
      </c>
      <c r="C18" s="33">
        <f>R18/Weights_by_Category[[#TOTALS],[GREATEST]]</f>
        <v>27.81916356</v>
      </c>
      <c r="D18" s="33">
        <f>NORMALIZED_DATA!B19*TIER_WEIGHTS!$B$2</f>
        <v>1.714285714</v>
      </c>
      <c r="E18" s="33">
        <f>NORMALIZED_DATA!C19*TIER_WEIGHTS!$B$8</f>
        <v>1.041666667</v>
      </c>
      <c r="F18" s="33">
        <f>NORMALIZED_DATA!D19*TIER_WEIGHTS!$B$7</f>
        <v>0</v>
      </c>
      <c r="G18" s="33">
        <f>NORMALIZED_DATA!F19*TIER_WEIGHTS!$B$3</f>
        <v>0</v>
      </c>
      <c r="H18" s="33">
        <f>NORMALIZED_DATA!G19*TIER_WEIGHTS!$B$9</f>
        <v>0</v>
      </c>
      <c r="I18" s="33">
        <f>NORMALIZED_DATA!H19*TIER_WEIGHTS!$B$14</f>
        <v>0.25</v>
      </c>
      <c r="J18" s="33">
        <f>NORMALIZED_DATA!I19*TIER_WEIGHTS!$B$4</f>
        <v>2.820654111</v>
      </c>
      <c r="K18" s="33">
        <f>NORMALIZED_DATA!N19*TIER_WEIGHTS!$B$5</f>
        <v>2.408450704</v>
      </c>
      <c r="L18" s="33">
        <f>NORMALIZED_DATA!U19*TIER_WEIGHTS!$B$12</f>
        <v>0.4846153846</v>
      </c>
      <c r="M18" s="33">
        <f>NORMALIZED_DATA!V19*TIER_WEIGHTS!$B$15</f>
        <v>0.0922277937</v>
      </c>
      <c r="N18" s="33">
        <f>NORMALIZED_DATA!W19*TIER_WEIGHTS!$B$13</f>
        <v>0.7304347826</v>
      </c>
      <c r="O18" s="33">
        <f>NORMALIZED_DATA!Y19*TIER_WEIGHTS!$B$6</f>
        <v>0.4821428571</v>
      </c>
      <c r="P18" s="33">
        <f>NORMALIZED_DATA!Z19*TIER_WEIGHTS!$B$11</f>
        <v>0.6666666667</v>
      </c>
      <c r="Q18" s="33">
        <f>NORMALIZED_DATA!AA19*TIER_WEIGHTS!$B$10</f>
        <v>1.716202265</v>
      </c>
      <c r="R18" s="147">
        <f t="shared" si="1"/>
        <v>12.40734695</v>
      </c>
    </row>
    <row r="19">
      <c r="A19" s="29">
        <v>18.0</v>
      </c>
      <c r="B19" s="29" t="s">
        <v>64</v>
      </c>
      <c r="C19" s="33">
        <f>R19/Weights_by_Category[[#TOTALS],[GREATEST]]</f>
        <v>26.49674844</v>
      </c>
      <c r="D19" s="33">
        <f>NORMALIZED_DATA!B14*TIER_WEIGHTS!$B$2</f>
        <v>1.714285714</v>
      </c>
      <c r="E19" s="33">
        <f>NORMALIZED_DATA!C14*TIER_WEIGHTS!$B$8</f>
        <v>1.333333333</v>
      </c>
      <c r="F19" s="33">
        <f>NORMALIZED_DATA!D14*TIER_WEIGHTS!$B$7</f>
        <v>0.6</v>
      </c>
      <c r="G19" s="33">
        <f>NORMALIZED_DATA!F14*TIER_WEIGHTS!$B$3</f>
        <v>0.2358078603</v>
      </c>
      <c r="H19" s="33">
        <f>NORMALIZED_DATA!G14*TIER_WEIGHTS!$B$9</f>
        <v>0.1764705882</v>
      </c>
      <c r="I19" s="33">
        <f>NORMALIZED_DATA!H14*TIER_WEIGHTS!$B$14</f>
        <v>0.25</v>
      </c>
      <c r="J19" s="33">
        <f>NORMALIZED_DATA!I14*TIER_WEIGHTS!$B$4</f>
        <v>0.05440529943</v>
      </c>
      <c r="K19" s="33">
        <f>NORMALIZED_DATA!N14*TIER_WEIGHTS!$B$5</f>
        <v>0.009054325956</v>
      </c>
      <c r="L19" s="33">
        <f>NORMALIZED_DATA!U14*TIER_WEIGHTS!$B$12</f>
        <v>1.107692308</v>
      </c>
      <c r="M19" s="33">
        <f>NORMALIZED_DATA!V14*TIER_WEIGHTS!$B$15</f>
        <v>0.3033667622</v>
      </c>
      <c r="N19" s="33">
        <f>NORMALIZED_DATA!W14*TIER_WEIGHTS!$B$13</f>
        <v>1.095652174</v>
      </c>
      <c r="O19" s="33">
        <f>NORMALIZED_DATA!Y14*TIER_WEIGHTS!$B$6</f>
        <v>2.370535714</v>
      </c>
      <c r="P19" s="33">
        <f>NORMALIZED_DATA!Z14*TIER_WEIGHTS!$B$11</f>
        <v>1.333333333</v>
      </c>
      <c r="Q19" s="33">
        <f>NORMALIZED_DATA!AA14*TIER_WEIGHTS!$B$10</f>
        <v>1.233612391</v>
      </c>
      <c r="R19" s="147">
        <f t="shared" si="1"/>
        <v>11.8175498</v>
      </c>
    </row>
    <row r="20">
      <c r="A20" s="29">
        <v>19.0</v>
      </c>
      <c r="B20" s="29" t="s">
        <v>70</v>
      </c>
      <c r="C20" s="33">
        <f>R20/Weights_by_Category[[#TOTALS],[GREATEST]]</f>
        <v>24.35209316</v>
      </c>
      <c r="D20" s="33">
        <f>NORMALIZED_DATA!B15*TIER_WEIGHTS!$B$2</f>
        <v>0</v>
      </c>
      <c r="E20" s="33">
        <f>NORMALIZED_DATA!C15*TIER_WEIGHTS!$B$8</f>
        <v>0.75</v>
      </c>
      <c r="F20" s="33">
        <f>NORMALIZED_DATA!D15*TIER_WEIGHTS!$B$7</f>
        <v>0</v>
      </c>
      <c r="G20" s="33">
        <f>NORMALIZED_DATA!F15*TIER_WEIGHTS!$B$3</f>
        <v>0.03930131004</v>
      </c>
      <c r="H20" s="33">
        <f>NORMALIZED_DATA!G15*TIER_WEIGHTS!$B$9</f>
        <v>0.5294117647</v>
      </c>
      <c r="I20" s="33">
        <f>NORMALIZED_DATA!H15*TIER_WEIGHTS!$B$14</f>
        <v>0.5</v>
      </c>
      <c r="J20" s="33">
        <f>NORMALIZED_DATA!I15*TIER_WEIGHTS!$B$4</f>
        <v>1.678744356</v>
      </c>
      <c r="K20" s="33">
        <f>NORMALIZED_DATA!N15*TIER_WEIGHTS!$B$5</f>
        <v>1.720321932</v>
      </c>
      <c r="L20" s="33">
        <f>NORMALIZED_DATA!U15*TIER_WEIGHTS!$B$12</f>
        <v>0.6923076923</v>
      </c>
      <c r="M20" s="33">
        <f>NORMALIZED_DATA!V15*TIER_WEIGHTS!$B$15</f>
        <v>0.2603868195</v>
      </c>
      <c r="N20" s="33">
        <f>NORMALIZED_DATA!W15*TIER_WEIGHTS!$B$13</f>
        <v>1.27826087</v>
      </c>
      <c r="O20" s="33">
        <f>NORMALIZED_DATA!Y15*TIER_WEIGHTS!$B$6</f>
        <v>1.727678571</v>
      </c>
      <c r="P20" s="33">
        <f>NORMALIZED_DATA!Z15*TIER_WEIGHTS!$B$11</f>
        <v>0.6666666667</v>
      </c>
      <c r="Q20" s="33">
        <f>NORMALIZED_DATA!AA15*TIER_WEIGHTS!$B$10</f>
        <v>1.017953568</v>
      </c>
      <c r="R20" s="147">
        <f t="shared" si="1"/>
        <v>10.86103355</v>
      </c>
    </row>
    <row r="21">
      <c r="A21" s="29">
        <v>20.0</v>
      </c>
      <c r="B21" s="29" t="s">
        <v>67</v>
      </c>
      <c r="C21" s="33">
        <f>R21/Weights_by_Category[[#TOTALS],[GREATEST]]</f>
        <v>23.55619804</v>
      </c>
      <c r="D21" s="33">
        <f>NORMALIZED_DATA!B22*TIER_WEIGHTS!$B$2</f>
        <v>0.8571428571</v>
      </c>
      <c r="E21" s="33">
        <f>NORMALIZED_DATA!C22*TIER_WEIGHTS!$B$8</f>
        <v>0.8333333333</v>
      </c>
      <c r="F21" s="33">
        <f>NORMALIZED_DATA!D22*TIER_WEIGHTS!$B$7</f>
        <v>0.6</v>
      </c>
      <c r="G21" s="33">
        <f>NORMALIZED_DATA!F22*TIER_WEIGHTS!$B$3</f>
        <v>1.090611354</v>
      </c>
      <c r="H21" s="33">
        <f>NORMALIZED_DATA!G22*TIER_WEIGHTS!$B$9</f>
        <v>0.7058823529</v>
      </c>
      <c r="I21" s="33">
        <f>NORMALIZED_DATA!H22*TIER_WEIGHTS!$B$14</f>
        <v>0.08333333333</v>
      </c>
      <c r="J21" s="33">
        <f>NORMALIZED_DATA!I22*TIER_WEIGHTS!$B$4</f>
        <v>0.6989811074</v>
      </c>
      <c r="K21" s="33">
        <f>NORMALIZED_DATA!N22*TIER_WEIGHTS!$B$5</f>
        <v>0.5070422535</v>
      </c>
      <c r="L21" s="33">
        <f>NORMALIZED_DATA!U22*TIER_WEIGHTS!$B$12</f>
        <v>0.9692307692</v>
      </c>
      <c r="M21" s="33">
        <f>NORMALIZED_DATA!V22*TIER_WEIGHTS!$B$15</f>
        <v>0.03492120344</v>
      </c>
      <c r="N21" s="33">
        <f>NORMALIZED_DATA!W22*TIER_WEIGHTS!$B$13</f>
        <v>0.6</v>
      </c>
      <c r="O21" s="33">
        <f>NORMALIZED_DATA!Y22*TIER_WEIGHTS!$B$6</f>
        <v>0</v>
      </c>
      <c r="P21" s="33">
        <f>NORMALIZED_DATA!Z22*TIER_WEIGHTS!$B$11</f>
        <v>1</v>
      </c>
      <c r="Q21" s="33">
        <f>NORMALIZED_DATA!AA22*TIER_WEIGHTS!$B$10</f>
        <v>2.525585762</v>
      </c>
      <c r="R21" s="147">
        <f t="shared" si="1"/>
        <v>10.50606433</v>
      </c>
    </row>
    <row r="22">
      <c r="A22" s="29">
        <v>21.0</v>
      </c>
      <c r="B22" s="29" t="s">
        <v>69</v>
      </c>
      <c r="C22" s="33">
        <f>R22/Weights_by_Category[[#TOTALS],[GREATEST]]</f>
        <v>21.21149376</v>
      </c>
      <c r="D22" s="33">
        <f>NORMALIZED_DATA!B21*TIER_WEIGHTS!$B$2</f>
        <v>0</v>
      </c>
      <c r="E22" s="33">
        <f>NORMALIZED_DATA!C21*TIER_WEIGHTS!$B$8</f>
        <v>0.1666666667</v>
      </c>
      <c r="F22" s="33">
        <f>NORMALIZED_DATA!D21*TIER_WEIGHTS!$B$7</f>
        <v>0</v>
      </c>
      <c r="G22" s="33">
        <f>NORMALIZED_DATA!F21*TIER_WEIGHTS!$B$3</f>
        <v>2.662663755</v>
      </c>
      <c r="H22" s="33">
        <f>NORMALIZED_DATA!G21*TIER_WEIGHTS!$B$9</f>
        <v>1.058823529</v>
      </c>
      <c r="I22" s="33">
        <f>NORMALIZED_DATA!H21*TIER_WEIGHTS!$B$14</f>
        <v>0.08333333333</v>
      </c>
      <c r="J22" s="33">
        <f>NORMALIZED_DATA!I21*TIER_WEIGHTS!$B$4</f>
        <v>0.04825629753</v>
      </c>
      <c r="K22" s="33">
        <f>NORMALIZED_DATA!N21*TIER_WEIGHTS!$B$5</f>
        <v>0.3169014085</v>
      </c>
      <c r="L22" s="33">
        <f>NORMALIZED_DATA!U21*TIER_WEIGHTS!$B$12</f>
        <v>0.9692307692</v>
      </c>
      <c r="M22" s="33">
        <f>NORMALIZED_DATA!V21*TIER_WEIGHTS!$B$15</f>
        <v>1</v>
      </c>
      <c r="N22" s="33">
        <f>NORMALIZED_DATA!W21*TIER_WEIGHTS!$B$13</f>
        <v>0.8086956522</v>
      </c>
      <c r="O22" s="33">
        <f>NORMALIZED_DATA!Y21*TIER_WEIGHTS!$B$6</f>
        <v>0.8035714286</v>
      </c>
      <c r="P22" s="33">
        <f>NORMALIZED_DATA!Z21*TIER_WEIGHTS!$B$11</f>
        <v>0.3333333333</v>
      </c>
      <c r="Q22" s="33">
        <f>NORMALIZED_DATA!AA21*TIER_WEIGHTS!$B$10</f>
        <v>1.208850045</v>
      </c>
      <c r="R22" s="147">
        <f t="shared" si="1"/>
        <v>9.460326219</v>
      </c>
    </row>
    <row r="23">
      <c r="A23" s="29">
        <v>22.0</v>
      </c>
      <c r="B23" s="29" t="s">
        <v>72</v>
      </c>
      <c r="C23" s="33">
        <f>R23/Weights_by_Category[[#TOTALS],[GREATEST]]</f>
        <v>20.90485699</v>
      </c>
      <c r="D23" s="33">
        <f>NORMALIZED_DATA!B24*TIER_WEIGHTS!$B$2</f>
        <v>0</v>
      </c>
      <c r="E23" s="33">
        <f>NORMALIZED_DATA!C24*TIER_WEIGHTS!$B$8</f>
        <v>0.125</v>
      </c>
      <c r="F23" s="33">
        <f>NORMALIZED_DATA!D24*TIER_WEIGHTS!$B$7</f>
        <v>0</v>
      </c>
      <c r="G23" s="33">
        <f>NORMALIZED_DATA!F24*TIER_WEIGHTS!$B$3</f>
        <v>0.2358078603</v>
      </c>
      <c r="H23" s="33">
        <f>NORMALIZED_DATA!G24*TIER_WEIGHTS!$B$9</f>
        <v>0.1764705882</v>
      </c>
      <c r="I23" s="33">
        <f>NORMALIZED_DATA!H24*TIER_WEIGHTS!$B$14</f>
        <v>0.5</v>
      </c>
      <c r="J23" s="33">
        <f>NORMALIZED_DATA!I24*TIER_WEIGHTS!$B$4</f>
        <v>1.833939817</v>
      </c>
      <c r="K23" s="33">
        <f>NORMALIZED_DATA!N24*TIER_WEIGHTS!$B$5</f>
        <v>1.258551308</v>
      </c>
      <c r="L23" s="33">
        <f>NORMALIZED_DATA!U24*TIER_WEIGHTS!$B$12</f>
        <v>0.2769230769</v>
      </c>
      <c r="M23" s="33">
        <f>NORMALIZED_DATA!V24*TIER_WEIGHTS!$B$15</f>
        <v>0.1430873926</v>
      </c>
      <c r="N23" s="33">
        <f>NORMALIZED_DATA!W24*TIER_WEIGHTS!$B$13</f>
        <v>0.7826086957</v>
      </c>
      <c r="O23" s="33">
        <f>NORMALIZED_DATA!Y24*TIER_WEIGHTS!$B$6</f>
        <v>1.366071429</v>
      </c>
      <c r="P23" s="33">
        <f>NORMALIZED_DATA!Z24*TIER_WEIGHTS!$B$11</f>
        <v>0.6666666667</v>
      </c>
      <c r="Q23" s="33">
        <f>NORMALIZED_DATA!AA24*TIER_WEIGHTS!$B$10</f>
        <v>1.958439385</v>
      </c>
      <c r="R23" s="147">
        <f t="shared" si="1"/>
        <v>9.323566218</v>
      </c>
    </row>
    <row r="24">
      <c r="A24" s="29">
        <v>23.0</v>
      </c>
      <c r="B24" s="29" t="s">
        <v>74</v>
      </c>
      <c r="C24" s="33">
        <f>R24/Weights_by_Category[[#TOTALS],[GREATEST]]</f>
        <v>18.59320999</v>
      </c>
      <c r="D24" s="33">
        <f>NORMALIZED_DATA!B26*TIER_WEIGHTS!$B$2</f>
        <v>0.8571428571</v>
      </c>
      <c r="E24" s="33">
        <f>NORMALIZED_DATA!C26*TIER_WEIGHTS!$B$8</f>
        <v>0.5833333333</v>
      </c>
      <c r="F24" s="33">
        <f>NORMALIZED_DATA!D26*TIER_WEIGHTS!$B$7</f>
        <v>0</v>
      </c>
      <c r="G24" s="33">
        <f>NORMALIZED_DATA!F26*TIER_WEIGHTS!$B$3</f>
        <v>0.6484716157</v>
      </c>
      <c r="H24" s="33">
        <f>NORMALIZED_DATA!G26*TIER_WEIGHTS!$B$9</f>
        <v>0.5294117647</v>
      </c>
      <c r="I24" s="33">
        <f>NORMALIZED_DATA!H26*TIER_WEIGHTS!$B$14</f>
        <v>0.08333333333</v>
      </c>
      <c r="J24" s="33">
        <f>NORMALIZED_DATA!I26*TIER_WEIGHTS!$B$4</f>
        <v>0.4044973859</v>
      </c>
      <c r="K24" s="33">
        <f>NORMALIZED_DATA!N26*TIER_WEIGHTS!$B$5</f>
        <v>0.3802816901</v>
      </c>
      <c r="L24" s="33">
        <f>NORMALIZED_DATA!U26*TIER_WEIGHTS!$B$12</f>
        <v>0</v>
      </c>
      <c r="M24" s="33">
        <f>NORMALIZED_DATA!V26*TIER_WEIGHTS!$B$15</f>
        <v>0.002686246418</v>
      </c>
      <c r="N24" s="33">
        <f>NORMALIZED_DATA!W26*TIER_WEIGHTS!$B$13</f>
        <v>0</v>
      </c>
      <c r="O24" s="33">
        <f>NORMALIZED_DATA!Y26*TIER_WEIGHTS!$B$6</f>
        <v>1.526785714</v>
      </c>
      <c r="P24" s="33">
        <f>NORMALIZED_DATA!Z26*TIER_WEIGHTS!$B$11</f>
        <v>0.6666666667</v>
      </c>
      <c r="Q24" s="33">
        <f>NORMALIZED_DATA!AA26*TIER_WEIGHTS!$B$10</f>
        <v>2.60996105</v>
      </c>
      <c r="R24" s="147">
        <f t="shared" si="1"/>
        <v>8.292571658</v>
      </c>
    </row>
    <row r="25">
      <c r="A25" s="29">
        <v>24.0</v>
      </c>
      <c r="B25" s="29" t="s">
        <v>73</v>
      </c>
      <c r="C25" s="33">
        <f>R25/Weights_by_Category[[#TOTALS],[GREATEST]]</f>
        <v>18.09950504</v>
      </c>
      <c r="D25" s="33">
        <f>NORMALIZED_DATA!B25*TIER_WEIGHTS!$B$2</f>
        <v>0</v>
      </c>
      <c r="E25" s="33">
        <f>NORMALIZED_DATA!C25*TIER_WEIGHTS!$B$8</f>
        <v>1.041666667</v>
      </c>
      <c r="F25" s="33">
        <f>NORMALIZED_DATA!D25*TIER_WEIGHTS!$B$7</f>
        <v>0</v>
      </c>
      <c r="G25" s="33">
        <f>NORMALIZED_DATA!F25*TIER_WEIGHTS!$B$3</f>
        <v>0.2751091703</v>
      </c>
      <c r="H25" s="33">
        <f>NORMALIZED_DATA!G25*TIER_WEIGHTS!$B$9</f>
        <v>0.5294117647</v>
      </c>
      <c r="I25" s="33">
        <f>NORMALIZED_DATA!H25*TIER_WEIGHTS!$B$14</f>
        <v>0.1666666667</v>
      </c>
      <c r="J25" s="33">
        <f>NORMALIZED_DATA!I25*TIER_WEIGHTS!$B$4</f>
        <v>0.9077129872</v>
      </c>
      <c r="K25" s="33">
        <f>NORMALIZED_DATA!N25*TIER_WEIGHTS!$B$5</f>
        <v>0.7696177062</v>
      </c>
      <c r="L25" s="33">
        <f>NORMALIZED_DATA!U25*TIER_WEIGHTS!$B$12</f>
        <v>0.4846153846</v>
      </c>
      <c r="M25" s="33">
        <f>NORMALIZED_DATA!V25*TIER_WEIGHTS!$B$15</f>
        <v>0.1110315186</v>
      </c>
      <c r="N25" s="33">
        <f>NORMALIZED_DATA!W25*TIER_WEIGHTS!$B$13</f>
        <v>0.5739130435</v>
      </c>
      <c r="O25" s="33">
        <f>NORMALIZED_DATA!Y25*TIER_WEIGHTS!$B$6</f>
        <v>1.004464286</v>
      </c>
      <c r="P25" s="33">
        <f>NORMALIZED_DATA!Z25*TIER_WEIGHTS!$B$11</f>
        <v>0.6666666667</v>
      </c>
      <c r="Q25" s="33">
        <f>NORMALIZED_DATA!AA25*TIER_WEIGHTS!$B$10</f>
        <v>1.541503388</v>
      </c>
      <c r="R25" s="147">
        <f t="shared" si="1"/>
        <v>8.072379248</v>
      </c>
    </row>
    <row r="26">
      <c r="A26" s="29">
        <v>25.0</v>
      </c>
      <c r="B26" s="29" t="s">
        <v>75</v>
      </c>
      <c r="C26" s="33">
        <f>R26/Weights_by_Category[[#TOTALS],[GREATEST]]</f>
        <v>16.27893516</v>
      </c>
      <c r="D26" s="33">
        <f>NORMALIZED_DATA!B18*TIER_WEIGHTS!$B$2</f>
        <v>0</v>
      </c>
      <c r="E26" s="33">
        <f>NORMALIZED_DATA!C18*TIER_WEIGHTS!$B$8</f>
        <v>0</v>
      </c>
      <c r="F26" s="33">
        <f>NORMALIZED_DATA!D18*TIER_WEIGHTS!$B$7</f>
        <v>0</v>
      </c>
      <c r="G26" s="33">
        <f>NORMALIZED_DATA!F18*TIER_WEIGHTS!$B$3</f>
        <v>1.346069869</v>
      </c>
      <c r="H26" s="33">
        <f>NORMALIZED_DATA!G18*TIER_WEIGHTS!$B$9</f>
        <v>1.058823529</v>
      </c>
      <c r="I26" s="33">
        <f>NORMALIZED_DATA!H18*TIER_WEIGHTS!$B$14</f>
        <v>0.3333333333</v>
      </c>
      <c r="J26" s="33">
        <f>NORMALIZED_DATA!I18*TIER_WEIGHTS!$B$4</f>
        <v>0.7475047529</v>
      </c>
      <c r="K26" s="33">
        <f>NORMALIZED_DATA!N18*TIER_WEIGHTS!$B$5</f>
        <v>0.814889336</v>
      </c>
      <c r="L26" s="33">
        <f>NORMALIZED_DATA!U18*TIER_WEIGHTS!$B$12</f>
        <v>0.5538461538</v>
      </c>
      <c r="M26" s="33">
        <f>NORMALIZED_DATA!V18*TIER_WEIGHTS!$B$15</f>
        <v>0.1027936963</v>
      </c>
      <c r="N26" s="33">
        <f>NORMALIZED_DATA!W18*TIER_WEIGHTS!$B$13</f>
        <v>0.1826086957</v>
      </c>
      <c r="O26" s="33">
        <f>NORMALIZED_DATA!Y18*TIER_WEIGHTS!$B$6</f>
        <v>0.1205357143</v>
      </c>
      <c r="P26" s="33">
        <f>NORMALIZED_DATA!Z18*TIER_WEIGHTS!$B$11</f>
        <v>2</v>
      </c>
      <c r="Q26" s="33">
        <f>NORMALIZED_DATA!AA18*TIER_WEIGHTS!$B$10</f>
        <v>0</v>
      </c>
      <c r="R26" s="147">
        <f t="shared" si="1"/>
        <v>7.260405081</v>
      </c>
    </row>
    <row r="27">
      <c r="A27" s="29"/>
      <c r="B27" s="29"/>
      <c r="C27" s="33"/>
      <c r="D27" s="33"/>
      <c r="E27" s="33"/>
      <c r="F27" s="33"/>
      <c r="G27" s="33"/>
      <c r="H27" s="33"/>
      <c r="I27" s="33"/>
      <c r="J27" s="33"/>
      <c r="K27" s="33"/>
      <c r="L27" s="33"/>
      <c r="M27" s="33"/>
      <c r="N27" s="33"/>
      <c r="O27" s="33"/>
      <c r="P27" s="33"/>
      <c r="Q27" s="33"/>
      <c r="R27" s="33"/>
    </row>
    <row r="28">
      <c r="A28" s="33"/>
      <c r="B28" s="33"/>
      <c r="C28" s="33"/>
      <c r="D28" s="33"/>
      <c r="E28" s="33"/>
      <c r="F28" s="33"/>
      <c r="G28" s="33"/>
      <c r="H28" s="33"/>
      <c r="I28" s="33"/>
      <c r="J28" s="33"/>
      <c r="K28" s="33"/>
      <c r="L28" s="33"/>
      <c r="M28" s="33"/>
      <c r="N28" s="33"/>
      <c r="O28" s="33"/>
      <c r="P28" s="33"/>
      <c r="Q28" s="33"/>
      <c r="R28" s="33"/>
    </row>
    <row r="29">
      <c r="A29" s="33"/>
      <c r="B29" s="33"/>
      <c r="C29" s="33"/>
      <c r="D29" s="33"/>
      <c r="E29" s="33"/>
      <c r="F29" s="33"/>
      <c r="G29" s="33"/>
      <c r="H29" s="33"/>
      <c r="I29" s="33"/>
      <c r="J29" s="33"/>
      <c r="K29" s="33"/>
      <c r="L29" s="33"/>
      <c r="M29" s="33"/>
      <c r="N29" s="33"/>
      <c r="O29" s="33"/>
      <c r="P29" s="33"/>
      <c r="Q29" s="33"/>
      <c r="R29" s="33"/>
    </row>
    <row r="30">
      <c r="A30" s="33"/>
      <c r="B30" s="33"/>
      <c r="C30" s="33"/>
      <c r="D30" s="33"/>
      <c r="E30" s="33"/>
      <c r="F30" s="33"/>
      <c r="G30" s="33"/>
      <c r="H30" s="33"/>
      <c r="I30" s="33"/>
      <c r="J30" s="33"/>
      <c r="K30" s="33"/>
      <c r="L30" s="33"/>
      <c r="M30" s="33"/>
      <c r="N30" s="33"/>
      <c r="O30" s="33"/>
      <c r="P30" s="33"/>
      <c r="Q30" s="33"/>
      <c r="R30" s="33"/>
    </row>
    <row r="31">
      <c r="A31" s="33"/>
      <c r="B31" s="33"/>
      <c r="C31" s="33"/>
      <c r="D31" s="33"/>
      <c r="E31" s="33"/>
      <c r="F31" s="33"/>
      <c r="G31" s="33"/>
      <c r="H31" s="33"/>
      <c r="I31" s="33"/>
      <c r="J31" s="33"/>
      <c r="K31" s="33"/>
      <c r="L31" s="33"/>
      <c r="M31" s="33"/>
      <c r="N31" s="33"/>
      <c r="O31" s="33"/>
      <c r="P31" s="33"/>
      <c r="Q31" s="33"/>
      <c r="R31" s="33"/>
    </row>
    <row r="32">
      <c r="A32" s="33"/>
      <c r="B32" s="33"/>
      <c r="C32" s="33"/>
      <c r="D32" s="33"/>
      <c r="E32" s="33"/>
      <c r="F32" s="33"/>
      <c r="G32" s="33"/>
      <c r="H32" s="33"/>
      <c r="I32" s="33"/>
      <c r="J32" s="33"/>
      <c r="K32" s="33"/>
      <c r="L32" s="33"/>
      <c r="M32" s="33"/>
      <c r="N32" s="33"/>
      <c r="O32" s="33"/>
      <c r="P32" s="33"/>
      <c r="Q32" s="33"/>
      <c r="R32" s="33"/>
    </row>
    <row r="33">
      <c r="A33" s="33"/>
      <c r="B33" s="33"/>
      <c r="C33" s="33"/>
      <c r="D33" s="33"/>
      <c r="E33" s="33"/>
      <c r="F33" s="33"/>
      <c r="G33" s="33"/>
      <c r="H33" s="33"/>
      <c r="I33" s="33"/>
      <c r="J33" s="33"/>
      <c r="K33" s="33"/>
      <c r="L33" s="33"/>
      <c r="M33" s="33"/>
      <c r="N33" s="33"/>
      <c r="O33" s="33"/>
      <c r="P33" s="33"/>
      <c r="Q33" s="33"/>
      <c r="R33" s="33"/>
    </row>
    <row r="34">
      <c r="A34" s="33"/>
      <c r="B34" s="33"/>
      <c r="C34" s="33"/>
      <c r="D34" s="33"/>
      <c r="E34" s="33"/>
      <c r="F34" s="33"/>
      <c r="G34" s="33"/>
      <c r="H34" s="33"/>
      <c r="I34" s="33"/>
      <c r="J34" s="33"/>
      <c r="K34" s="33"/>
      <c r="L34" s="33"/>
      <c r="M34" s="33"/>
      <c r="N34" s="33"/>
      <c r="O34" s="33"/>
      <c r="P34" s="33"/>
      <c r="Q34" s="33"/>
      <c r="R34" s="33"/>
    </row>
    <row r="35">
      <c r="A35" s="33"/>
      <c r="B35" s="33"/>
      <c r="C35" s="33"/>
      <c r="D35" s="33"/>
      <c r="E35" s="33"/>
      <c r="F35" s="33"/>
      <c r="G35" s="33"/>
      <c r="H35" s="33"/>
      <c r="I35" s="33"/>
      <c r="J35" s="33"/>
      <c r="K35" s="33"/>
      <c r="L35" s="33"/>
      <c r="M35" s="33"/>
      <c r="N35" s="33"/>
      <c r="O35" s="33"/>
      <c r="P35" s="33"/>
      <c r="Q35" s="33"/>
      <c r="R35" s="33"/>
    </row>
    <row r="36">
      <c r="A36" s="33"/>
      <c r="B36" s="33"/>
      <c r="C36" s="33"/>
      <c r="D36" s="33"/>
      <c r="E36" s="33"/>
      <c r="F36" s="33"/>
      <c r="G36" s="33"/>
      <c r="H36" s="33"/>
      <c r="I36" s="33"/>
      <c r="J36" s="33"/>
      <c r="K36" s="33"/>
      <c r="L36" s="33"/>
      <c r="M36" s="33"/>
      <c r="N36" s="33"/>
      <c r="O36" s="33"/>
      <c r="P36" s="33"/>
      <c r="Q36" s="33"/>
      <c r="R36" s="33"/>
    </row>
    <row r="37">
      <c r="A37" s="33"/>
      <c r="B37" s="33"/>
      <c r="C37" s="33"/>
      <c r="D37" s="33"/>
      <c r="E37" s="33"/>
      <c r="F37" s="33"/>
      <c r="G37" s="33"/>
      <c r="H37" s="33"/>
      <c r="I37" s="33"/>
      <c r="J37" s="33"/>
      <c r="K37" s="33"/>
      <c r="L37" s="33"/>
      <c r="M37" s="33"/>
      <c r="N37" s="33"/>
      <c r="O37" s="33"/>
      <c r="P37" s="33"/>
      <c r="Q37" s="33"/>
      <c r="R37" s="33"/>
    </row>
    <row r="38">
      <c r="A38" s="33"/>
      <c r="B38" s="33"/>
      <c r="C38" s="33"/>
      <c r="D38" s="33"/>
      <c r="E38" s="33"/>
      <c r="F38" s="33"/>
      <c r="G38" s="33"/>
      <c r="H38" s="33"/>
      <c r="I38" s="33"/>
      <c r="J38" s="33"/>
      <c r="K38" s="33"/>
      <c r="L38" s="33"/>
      <c r="M38" s="33"/>
      <c r="N38" s="33"/>
      <c r="O38" s="33"/>
      <c r="P38" s="33"/>
      <c r="Q38" s="33"/>
      <c r="R38" s="33"/>
    </row>
    <row r="39">
      <c r="A39" s="33"/>
      <c r="B39" s="33"/>
      <c r="C39" s="33"/>
      <c r="D39" s="33"/>
      <c r="E39" s="33"/>
      <c r="F39" s="33"/>
      <c r="G39" s="33"/>
      <c r="H39" s="33"/>
      <c r="I39" s="33"/>
      <c r="J39" s="33"/>
      <c r="K39" s="33"/>
      <c r="L39" s="33"/>
      <c r="M39" s="33"/>
      <c r="N39" s="33"/>
      <c r="O39" s="33"/>
      <c r="P39" s="33"/>
      <c r="Q39" s="33"/>
      <c r="R39" s="33"/>
    </row>
    <row r="40">
      <c r="A40" s="33"/>
      <c r="B40" s="33"/>
      <c r="C40" s="33"/>
      <c r="D40" s="33"/>
      <c r="E40" s="33"/>
      <c r="F40" s="33"/>
      <c r="G40" s="33"/>
      <c r="H40" s="33"/>
      <c r="I40" s="33"/>
      <c r="J40" s="33"/>
      <c r="K40" s="33"/>
      <c r="L40" s="33"/>
      <c r="M40" s="33"/>
      <c r="N40" s="33"/>
      <c r="O40" s="33"/>
      <c r="P40" s="33"/>
      <c r="Q40" s="33"/>
      <c r="R40" s="33"/>
    </row>
    <row r="41">
      <c r="A41" s="33"/>
      <c r="B41" s="33"/>
      <c r="C41" s="33"/>
      <c r="D41" s="33"/>
      <c r="E41" s="33"/>
      <c r="F41" s="33"/>
      <c r="G41" s="33"/>
      <c r="H41" s="33"/>
      <c r="I41" s="33"/>
      <c r="J41" s="33"/>
      <c r="K41" s="33"/>
      <c r="L41" s="33"/>
      <c r="M41" s="33"/>
      <c r="N41" s="33"/>
      <c r="O41" s="33"/>
      <c r="P41" s="33"/>
      <c r="Q41" s="33"/>
      <c r="R41" s="33"/>
    </row>
    <row r="42">
      <c r="A42" s="33"/>
      <c r="B42" s="33"/>
      <c r="C42" s="33"/>
      <c r="D42" s="33"/>
      <c r="E42" s="33"/>
      <c r="F42" s="33"/>
      <c r="G42" s="33"/>
      <c r="H42" s="33"/>
      <c r="I42" s="33"/>
      <c r="J42" s="33"/>
      <c r="K42" s="33"/>
      <c r="L42" s="33"/>
      <c r="M42" s="33"/>
      <c r="N42" s="33"/>
      <c r="O42" s="33"/>
      <c r="P42" s="33"/>
      <c r="Q42" s="33"/>
      <c r="R42" s="33"/>
    </row>
    <row r="43">
      <c r="A43" s="33"/>
      <c r="B43" s="33"/>
      <c r="C43" s="33"/>
      <c r="D43" s="33"/>
      <c r="E43" s="33"/>
      <c r="F43" s="33"/>
      <c r="G43" s="33"/>
      <c r="H43" s="33"/>
      <c r="I43" s="33"/>
      <c r="J43" s="33"/>
      <c r="K43" s="33"/>
      <c r="L43" s="33"/>
      <c r="M43" s="33"/>
      <c r="N43" s="33"/>
      <c r="O43" s="33"/>
      <c r="P43" s="33"/>
      <c r="Q43" s="33"/>
      <c r="R43" s="33"/>
    </row>
    <row r="44">
      <c r="A44" s="33"/>
      <c r="B44" s="33"/>
      <c r="C44" s="33"/>
      <c r="D44" s="33"/>
      <c r="E44" s="33"/>
      <c r="F44" s="33"/>
      <c r="G44" s="33"/>
      <c r="H44" s="33"/>
      <c r="I44" s="33"/>
      <c r="J44" s="33"/>
      <c r="K44" s="33"/>
      <c r="L44" s="33"/>
      <c r="M44" s="33"/>
      <c r="N44" s="33"/>
      <c r="O44" s="33"/>
      <c r="P44" s="33"/>
      <c r="Q44" s="33"/>
      <c r="R44" s="33"/>
    </row>
    <row r="45">
      <c r="A45" s="33"/>
      <c r="B45" s="33"/>
      <c r="C45" s="33"/>
      <c r="D45" s="33"/>
      <c r="E45" s="33"/>
      <c r="F45" s="33"/>
      <c r="G45" s="33"/>
      <c r="H45" s="33"/>
      <c r="I45" s="33"/>
      <c r="J45" s="33"/>
      <c r="K45" s="33"/>
      <c r="L45" s="33"/>
      <c r="M45" s="33"/>
      <c r="N45" s="33"/>
      <c r="O45" s="33"/>
      <c r="P45" s="33"/>
      <c r="Q45" s="33"/>
      <c r="R45" s="33"/>
    </row>
    <row r="46">
      <c r="A46" s="33"/>
      <c r="B46" s="33"/>
      <c r="C46" s="33"/>
      <c r="D46" s="33"/>
      <c r="E46" s="33"/>
      <c r="F46" s="33"/>
      <c r="G46" s="33"/>
      <c r="H46" s="33"/>
      <c r="I46" s="33"/>
      <c r="J46" s="33"/>
      <c r="K46" s="33"/>
      <c r="L46" s="33"/>
      <c r="M46" s="33"/>
      <c r="N46" s="33"/>
      <c r="O46" s="33"/>
      <c r="P46" s="33"/>
      <c r="Q46" s="33"/>
      <c r="R46" s="33"/>
    </row>
    <row r="47">
      <c r="A47" s="33"/>
      <c r="B47" s="33"/>
      <c r="C47" s="33"/>
      <c r="D47" s="33"/>
      <c r="E47" s="33"/>
      <c r="F47" s="33"/>
      <c r="G47" s="33"/>
      <c r="H47" s="33"/>
      <c r="I47" s="33"/>
      <c r="J47" s="33"/>
      <c r="K47" s="33"/>
      <c r="L47" s="33"/>
      <c r="M47" s="33"/>
      <c r="N47" s="33"/>
      <c r="O47" s="33"/>
      <c r="P47" s="33"/>
      <c r="Q47" s="33"/>
      <c r="R47" s="33"/>
    </row>
    <row r="48">
      <c r="A48" s="33"/>
      <c r="B48" s="33"/>
      <c r="C48" s="33"/>
      <c r="D48" s="33"/>
      <c r="E48" s="33"/>
      <c r="F48" s="33"/>
      <c r="G48" s="33"/>
      <c r="H48" s="33"/>
      <c r="I48" s="33"/>
      <c r="J48" s="33"/>
      <c r="K48" s="33"/>
      <c r="L48" s="33"/>
      <c r="M48" s="33"/>
      <c r="N48" s="33"/>
      <c r="O48" s="33"/>
      <c r="P48" s="33"/>
      <c r="Q48" s="33"/>
      <c r="R48" s="33"/>
    </row>
    <row r="49">
      <c r="A49" s="33"/>
      <c r="B49" s="33"/>
      <c r="C49" s="33"/>
      <c r="D49" s="33"/>
      <c r="E49" s="33"/>
      <c r="F49" s="33"/>
      <c r="G49" s="33"/>
      <c r="H49" s="33"/>
      <c r="I49" s="33"/>
      <c r="J49" s="33"/>
      <c r="K49" s="33"/>
      <c r="L49" s="33"/>
      <c r="M49" s="33"/>
      <c r="N49" s="33"/>
      <c r="O49" s="33"/>
      <c r="P49" s="33"/>
      <c r="Q49" s="33"/>
      <c r="R49" s="33"/>
    </row>
    <row r="50">
      <c r="A50" s="33"/>
      <c r="B50" s="33"/>
      <c r="C50" s="33"/>
      <c r="D50" s="33"/>
      <c r="E50" s="33"/>
      <c r="F50" s="33"/>
      <c r="G50" s="33"/>
      <c r="H50" s="33"/>
      <c r="I50" s="33"/>
      <c r="J50" s="33"/>
      <c r="K50" s="33"/>
      <c r="L50" s="33"/>
      <c r="M50" s="33"/>
      <c r="N50" s="33"/>
      <c r="O50" s="33"/>
      <c r="P50" s="33"/>
      <c r="Q50" s="33"/>
      <c r="R50" s="33"/>
    </row>
    <row r="51">
      <c r="A51" s="33"/>
      <c r="B51" s="33"/>
      <c r="C51" s="33"/>
      <c r="D51" s="33"/>
      <c r="E51" s="33"/>
      <c r="F51" s="33"/>
      <c r="G51" s="33"/>
      <c r="H51" s="33"/>
      <c r="I51" s="33"/>
      <c r="J51" s="33"/>
      <c r="K51" s="33"/>
      <c r="L51" s="33"/>
      <c r="M51" s="33"/>
      <c r="N51" s="33"/>
      <c r="O51" s="33"/>
      <c r="P51" s="33"/>
      <c r="Q51" s="33"/>
      <c r="R51" s="33"/>
    </row>
    <row r="52">
      <c r="A52" s="33"/>
      <c r="B52" s="33"/>
      <c r="C52" s="33"/>
      <c r="D52" s="33"/>
      <c r="E52" s="33"/>
      <c r="F52" s="33"/>
      <c r="G52" s="33"/>
      <c r="H52" s="33"/>
      <c r="I52" s="33"/>
      <c r="J52" s="33"/>
      <c r="K52" s="33"/>
      <c r="L52" s="33"/>
      <c r="M52" s="33"/>
      <c r="N52" s="33"/>
      <c r="O52" s="33"/>
      <c r="P52" s="33"/>
      <c r="Q52" s="33"/>
      <c r="R52" s="33"/>
    </row>
    <row r="53">
      <c r="A53" s="33"/>
      <c r="B53" s="33"/>
      <c r="C53" s="33"/>
      <c r="D53" s="33"/>
      <c r="E53" s="33"/>
      <c r="F53" s="33"/>
      <c r="G53" s="33"/>
      <c r="H53" s="33"/>
      <c r="I53" s="33"/>
      <c r="J53" s="33"/>
      <c r="K53" s="33"/>
      <c r="L53" s="33"/>
      <c r="M53" s="33"/>
      <c r="N53" s="33"/>
      <c r="O53" s="33"/>
      <c r="P53" s="33"/>
      <c r="Q53" s="33"/>
      <c r="R53" s="33"/>
    </row>
    <row r="54">
      <c r="A54" s="33"/>
      <c r="B54" s="33"/>
      <c r="C54" s="33"/>
      <c r="D54" s="33"/>
      <c r="E54" s="33"/>
      <c r="F54" s="33"/>
      <c r="G54" s="33"/>
      <c r="H54" s="33"/>
      <c r="I54" s="33"/>
      <c r="J54" s="33"/>
      <c r="K54" s="33"/>
      <c r="L54" s="33"/>
      <c r="M54" s="33"/>
      <c r="N54" s="33"/>
      <c r="O54" s="33"/>
      <c r="P54" s="33"/>
      <c r="Q54" s="33"/>
      <c r="R54" s="33"/>
    </row>
    <row r="55">
      <c r="A55" s="33"/>
      <c r="B55" s="33"/>
      <c r="C55" s="33"/>
      <c r="D55" s="33"/>
      <c r="E55" s="33"/>
      <c r="F55" s="33"/>
      <c r="G55" s="33"/>
      <c r="H55" s="33"/>
      <c r="I55" s="33"/>
      <c r="J55" s="33"/>
      <c r="K55" s="33"/>
      <c r="L55" s="33"/>
      <c r="M55" s="33"/>
      <c r="N55" s="33"/>
      <c r="O55" s="33"/>
      <c r="P55" s="33"/>
      <c r="Q55" s="33"/>
      <c r="R55" s="33"/>
    </row>
    <row r="56">
      <c r="A56" s="33"/>
      <c r="B56" s="33"/>
      <c r="C56" s="33"/>
      <c r="D56" s="33"/>
      <c r="E56" s="33"/>
      <c r="F56" s="33"/>
      <c r="G56" s="33"/>
      <c r="H56" s="33"/>
      <c r="I56" s="33"/>
      <c r="J56" s="33"/>
      <c r="K56" s="33"/>
      <c r="L56" s="33"/>
      <c r="M56" s="33"/>
      <c r="N56" s="33"/>
      <c r="O56" s="33"/>
      <c r="P56" s="33"/>
      <c r="Q56" s="33"/>
      <c r="R56" s="33"/>
    </row>
    <row r="57">
      <c r="A57" s="33"/>
      <c r="B57" s="33"/>
      <c r="C57" s="33"/>
      <c r="D57" s="33"/>
      <c r="E57" s="33"/>
      <c r="F57" s="33"/>
      <c r="G57" s="33"/>
      <c r="H57" s="33"/>
      <c r="I57" s="33"/>
      <c r="J57" s="33"/>
      <c r="K57" s="33"/>
      <c r="L57" s="33"/>
      <c r="M57" s="33"/>
      <c r="N57" s="33"/>
      <c r="O57" s="33"/>
      <c r="P57" s="33"/>
      <c r="Q57" s="33"/>
      <c r="R57" s="33"/>
    </row>
    <row r="58">
      <c r="A58" s="33"/>
      <c r="B58" s="33"/>
      <c r="C58" s="33"/>
      <c r="D58" s="33"/>
      <c r="E58" s="33"/>
      <c r="F58" s="33"/>
      <c r="G58" s="33"/>
      <c r="H58" s="33"/>
      <c r="I58" s="33"/>
      <c r="J58" s="33"/>
      <c r="K58" s="33"/>
      <c r="L58" s="33"/>
      <c r="M58" s="33"/>
      <c r="N58" s="33"/>
      <c r="O58" s="33"/>
      <c r="P58" s="33"/>
      <c r="Q58" s="33"/>
      <c r="R58" s="33"/>
    </row>
    <row r="59">
      <c r="A59" s="33"/>
      <c r="B59" s="33"/>
      <c r="C59" s="33"/>
      <c r="D59" s="33"/>
      <c r="E59" s="33"/>
      <c r="F59" s="33"/>
      <c r="G59" s="33"/>
      <c r="H59" s="33"/>
      <c r="I59" s="33"/>
      <c r="J59" s="33"/>
      <c r="K59" s="33"/>
      <c r="L59" s="33"/>
      <c r="M59" s="33"/>
      <c r="N59" s="33"/>
      <c r="O59" s="33"/>
      <c r="P59" s="33"/>
      <c r="Q59" s="33"/>
      <c r="R59" s="33"/>
    </row>
    <row r="60">
      <c r="A60" s="33"/>
      <c r="B60" s="33"/>
      <c r="C60" s="33"/>
      <c r="D60" s="33"/>
      <c r="E60" s="33"/>
      <c r="F60" s="33"/>
      <c r="G60" s="33"/>
      <c r="H60" s="33"/>
      <c r="I60" s="33"/>
      <c r="J60" s="33"/>
      <c r="K60" s="33"/>
      <c r="L60" s="33"/>
      <c r="M60" s="33"/>
      <c r="N60" s="33"/>
      <c r="O60" s="33"/>
      <c r="P60" s="33"/>
      <c r="Q60" s="33"/>
      <c r="R60" s="33"/>
    </row>
    <row r="61">
      <c r="A61" s="33"/>
      <c r="B61" s="33"/>
      <c r="C61" s="33"/>
      <c r="D61" s="33"/>
      <c r="E61" s="33"/>
      <c r="F61" s="33"/>
      <c r="G61" s="33"/>
      <c r="H61" s="33"/>
      <c r="I61" s="33"/>
      <c r="J61" s="33"/>
      <c r="K61" s="33"/>
      <c r="L61" s="33"/>
      <c r="M61" s="33"/>
      <c r="N61" s="33"/>
      <c r="O61" s="33"/>
      <c r="P61" s="33"/>
      <c r="Q61" s="33"/>
      <c r="R61" s="33"/>
    </row>
    <row r="62">
      <c r="A62" s="33"/>
      <c r="B62" s="33"/>
      <c r="C62" s="33"/>
      <c r="D62" s="33"/>
      <c r="E62" s="33"/>
      <c r="F62" s="33"/>
      <c r="G62" s="33"/>
      <c r="H62" s="33"/>
      <c r="I62" s="33"/>
      <c r="J62" s="33"/>
      <c r="K62" s="33"/>
      <c r="L62" s="33"/>
      <c r="M62" s="33"/>
      <c r="N62" s="33"/>
      <c r="O62" s="33"/>
      <c r="P62" s="33"/>
      <c r="Q62" s="33"/>
      <c r="R62" s="33"/>
    </row>
    <row r="63">
      <c r="A63" s="33"/>
      <c r="B63" s="33"/>
      <c r="C63" s="33"/>
      <c r="D63" s="33"/>
      <c r="E63" s="33"/>
      <c r="F63" s="33"/>
      <c r="G63" s="33"/>
      <c r="H63" s="33"/>
      <c r="I63" s="33"/>
      <c r="J63" s="33"/>
      <c r="K63" s="33"/>
      <c r="L63" s="33"/>
      <c r="M63" s="33"/>
      <c r="N63" s="33"/>
      <c r="O63" s="33"/>
      <c r="P63" s="33"/>
      <c r="Q63" s="33"/>
      <c r="R63" s="33"/>
    </row>
    <row r="64">
      <c r="A64" s="33"/>
      <c r="B64" s="33"/>
      <c r="C64" s="33"/>
      <c r="D64" s="33"/>
      <c r="E64" s="33"/>
      <c r="F64" s="33"/>
      <c r="G64" s="33"/>
      <c r="H64" s="33"/>
      <c r="I64" s="33"/>
      <c r="J64" s="33"/>
      <c r="K64" s="33"/>
      <c r="L64" s="33"/>
      <c r="M64" s="33"/>
      <c r="N64" s="33"/>
      <c r="O64" s="33"/>
      <c r="P64" s="33"/>
      <c r="Q64" s="33"/>
      <c r="R64" s="33"/>
    </row>
    <row r="65">
      <c r="A65" s="33"/>
      <c r="B65" s="33"/>
      <c r="C65" s="33"/>
      <c r="D65" s="33"/>
      <c r="E65" s="33"/>
      <c r="F65" s="33"/>
      <c r="G65" s="33"/>
      <c r="H65" s="33"/>
      <c r="I65" s="33"/>
      <c r="J65" s="33"/>
      <c r="K65" s="33"/>
      <c r="L65" s="33"/>
      <c r="M65" s="33"/>
      <c r="N65" s="33"/>
      <c r="O65" s="33"/>
      <c r="P65" s="33"/>
      <c r="Q65" s="33"/>
      <c r="R65" s="33"/>
    </row>
    <row r="66">
      <c r="A66" s="33"/>
      <c r="B66" s="33"/>
      <c r="C66" s="33"/>
      <c r="D66" s="33"/>
      <c r="E66" s="33"/>
      <c r="F66" s="33"/>
      <c r="G66" s="33"/>
      <c r="H66" s="33"/>
      <c r="I66" s="33"/>
      <c r="J66" s="33"/>
      <c r="K66" s="33"/>
      <c r="L66" s="33"/>
      <c r="M66" s="33"/>
      <c r="N66" s="33"/>
      <c r="O66" s="33"/>
      <c r="P66" s="33"/>
      <c r="Q66" s="33"/>
      <c r="R66" s="33"/>
    </row>
    <row r="67">
      <c r="A67" s="33"/>
      <c r="B67" s="33"/>
      <c r="C67" s="33"/>
      <c r="D67" s="33"/>
      <c r="E67" s="33"/>
      <c r="F67" s="33"/>
      <c r="G67" s="33"/>
      <c r="H67" s="33"/>
      <c r="I67" s="33"/>
      <c r="J67" s="33"/>
      <c r="K67" s="33"/>
      <c r="L67" s="33"/>
      <c r="M67" s="33"/>
      <c r="N67" s="33"/>
      <c r="O67" s="33"/>
      <c r="P67" s="33"/>
      <c r="Q67" s="33"/>
      <c r="R67" s="33"/>
    </row>
    <row r="68">
      <c r="A68" s="33"/>
      <c r="B68" s="33"/>
      <c r="C68" s="33"/>
      <c r="D68" s="33"/>
      <c r="E68" s="33"/>
      <c r="F68" s="33"/>
      <c r="G68" s="33"/>
      <c r="H68" s="33"/>
      <c r="I68" s="33"/>
      <c r="J68" s="33"/>
      <c r="K68" s="33"/>
      <c r="L68" s="33"/>
      <c r="M68" s="33"/>
      <c r="N68" s="33"/>
      <c r="O68" s="33"/>
      <c r="P68" s="33"/>
      <c r="Q68" s="33"/>
      <c r="R68" s="33"/>
    </row>
    <row r="69">
      <c r="A69" s="33"/>
      <c r="B69" s="33"/>
      <c r="C69" s="33"/>
      <c r="D69" s="33"/>
      <c r="E69" s="33"/>
      <c r="F69" s="33"/>
      <c r="G69" s="33"/>
      <c r="H69" s="33"/>
      <c r="I69" s="33"/>
      <c r="J69" s="33"/>
      <c r="K69" s="33"/>
      <c r="L69" s="33"/>
      <c r="M69" s="33"/>
      <c r="N69" s="33"/>
      <c r="O69" s="33"/>
      <c r="P69" s="33"/>
      <c r="Q69" s="33"/>
      <c r="R69" s="33"/>
    </row>
    <row r="70">
      <c r="A70" s="33"/>
      <c r="B70" s="33"/>
      <c r="C70" s="33"/>
      <c r="D70" s="33"/>
      <c r="E70" s="33"/>
      <c r="F70" s="33"/>
      <c r="G70" s="33"/>
      <c r="H70" s="33"/>
      <c r="I70" s="33"/>
      <c r="J70" s="33"/>
      <c r="K70" s="33"/>
      <c r="L70" s="33"/>
      <c r="M70" s="33"/>
      <c r="N70" s="33"/>
      <c r="O70" s="33"/>
      <c r="P70" s="33"/>
      <c r="Q70" s="33"/>
      <c r="R70" s="33"/>
    </row>
    <row r="71">
      <c r="A71" s="33"/>
      <c r="B71" s="33"/>
      <c r="C71" s="33"/>
      <c r="D71" s="33"/>
      <c r="E71" s="33"/>
      <c r="F71" s="33"/>
      <c r="G71" s="33"/>
      <c r="H71" s="33"/>
      <c r="I71" s="33"/>
      <c r="J71" s="33"/>
      <c r="K71" s="33"/>
      <c r="L71" s="33"/>
      <c r="M71" s="33"/>
      <c r="N71" s="33"/>
      <c r="O71" s="33"/>
      <c r="P71" s="33"/>
      <c r="Q71" s="33"/>
      <c r="R71" s="33"/>
    </row>
    <row r="72">
      <c r="A72" s="33"/>
      <c r="B72" s="33"/>
      <c r="C72" s="33"/>
      <c r="D72" s="33"/>
      <c r="E72" s="33"/>
      <c r="F72" s="33"/>
      <c r="G72" s="33"/>
      <c r="H72" s="33"/>
      <c r="I72" s="33"/>
      <c r="J72" s="33"/>
      <c r="K72" s="33"/>
      <c r="L72" s="33"/>
      <c r="M72" s="33"/>
      <c r="N72" s="33"/>
      <c r="O72" s="33"/>
      <c r="P72" s="33"/>
      <c r="Q72" s="33"/>
      <c r="R72" s="33"/>
    </row>
    <row r="73">
      <c r="A73" s="33"/>
      <c r="B73" s="33"/>
      <c r="C73" s="33"/>
      <c r="D73" s="33"/>
      <c r="E73" s="33"/>
      <c r="F73" s="33"/>
      <c r="G73" s="33"/>
      <c r="H73" s="33"/>
      <c r="I73" s="33"/>
      <c r="J73" s="33"/>
      <c r="K73" s="33"/>
      <c r="L73" s="33"/>
      <c r="M73" s="33"/>
      <c r="N73" s="33"/>
      <c r="O73" s="33"/>
      <c r="P73" s="33"/>
      <c r="Q73" s="33"/>
      <c r="R73" s="33"/>
    </row>
    <row r="74">
      <c r="A74" s="33"/>
      <c r="B74" s="33"/>
      <c r="C74" s="33"/>
      <c r="D74" s="33"/>
      <c r="E74" s="33"/>
      <c r="F74" s="33"/>
      <c r="G74" s="33"/>
      <c r="H74" s="33"/>
      <c r="I74" s="33"/>
      <c r="J74" s="33"/>
      <c r="K74" s="33"/>
      <c r="L74" s="33"/>
      <c r="M74" s="33"/>
      <c r="N74" s="33"/>
      <c r="O74" s="33"/>
      <c r="P74" s="33"/>
      <c r="Q74" s="33"/>
      <c r="R74" s="33"/>
    </row>
    <row r="75">
      <c r="A75" s="33"/>
      <c r="B75" s="33"/>
      <c r="C75" s="33"/>
      <c r="D75" s="33"/>
      <c r="E75" s="33"/>
      <c r="F75" s="33"/>
      <c r="G75" s="33"/>
      <c r="H75" s="33"/>
      <c r="I75" s="33"/>
      <c r="J75" s="33"/>
      <c r="K75" s="33"/>
      <c r="L75" s="33"/>
      <c r="M75" s="33"/>
      <c r="N75" s="33"/>
      <c r="O75" s="33"/>
      <c r="P75" s="33"/>
      <c r="Q75" s="33"/>
      <c r="R75" s="33"/>
    </row>
    <row r="76">
      <c r="A76" s="33"/>
      <c r="B76" s="33"/>
      <c r="C76" s="33"/>
      <c r="D76" s="33"/>
      <c r="E76" s="33"/>
      <c r="F76" s="33"/>
      <c r="G76" s="33"/>
      <c r="H76" s="33"/>
      <c r="I76" s="33"/>
      <c r="J76" s="33"/>
      <c r="K76" s="33"/>
      <c r="L76" s="33"/>
      <c r="M76" s="33"/>
      <c r="N76" s="33"/>
      <c r="O76" s="33"/>
      <c r="P76" s="33"/>
      <c r="Q76" s="33"/>
      <c r="R76" s="33"/>
    </row>
    <row r="77">
      <c r="A77" s="33"/>
      <c r="B77" s="33"/>
      <c r="C77" s="33"/>
      <c r="D77" s="33"/>
      <c r="E77" s="33"/>
      <c r="F77" s="33"/>
      <c r="G77" s="33"/>
      <c r="H77" s="33"/>
      <c r="I77" s="33"/>
      <c r="J77" s="33"/>
      <c r="K77" s="33"/>
      <c r="L77" s="33"/>
      <c r="M77" s="33"/>
      <c r="N77" s="33"/>
      <c r="O77" s="33"/>
      <c r="P77" s="33"/>
      <c r="Q77" s="33"/>
      <c r="R77" s="33"/>
    </row>
    <row r="78">
      <c r="A78" s="33"/>
      <c r="B78" s="33"/>
      <c r="C78" s="33"/>
      <c r="D78" s="33"/>
      <c r="E78" s="33"/>
      <c r="F78" s="33"/>
      <c r="G78" s="33"/>
      <c r="H78" s="33"/>
      <c r="I78" s="33"/>
      <c r="J78" s="33"/>
      <c r="K78" s="33"/>
      <c r="L78" s="33"/>
      <c r="M78" s="33"/>
      <c r="N78" s="33"/>
      <c r="O78" s="33"/>
      <c r="P78" s="33"/>
      <c r="Q78" s="33"/>
      <c r="R78" s="33"/>
    </row>
    <row r="79">
      <c r="A79" s="33"/>
      <c r="B79" s="33"/>
      <c r="C79" s="33"/>
      <c r="D79" s="33"/>
      <c r="E79" s="33"/>
      <c r="F79" s="33"/>
      <c r="G79" s="33"/>
      <c r="H79" s="33"/>
      <c r="I79" s="33"/>
      <c r="J79" s="33"/>
      <c r="K79" s="33"/>
      <c r="L79" s="33"/>
      <c r="M79" s="33"/>
      <c r="N79" s="33"/>
      <c r="O79" s="33"/>
      <c r="P79" s="33"/>
      <c r="Q79" s="33"/>
      <c r="R79" s="33"/>
    </row>
    <row r="80">
      <c r="A80" s="33"/>
      <c r="B80" s="33"/>
      <c r="C80" s="33"/>
      <c r="D80" s="33"/>
      <c r="E80" s="33"/>
      <c r="F80" s="33"/>
      <c r="G80" s="33"/>
      <c r="H80" s="33"/>
      <c r="I80" s="33"/>
      <c r="J80" s="33"/>
      <c r="K80" s="33"/>
      <c r="L80" s="33"/>
      <c r="M80" s="33"/>
      <c r="N80" s="33"/>
      <c r="O80" s="33"/>
      <c r="P80" s="33"/>
      <c r="Q80" s="33"/>
      <c r="R80" s="33"/>
    </row>
    <row r="81">
      <c r="A81" s="33"/>
      <c r="B81" s="33"/>
      <c r="C81" s="33"/>
      <c r="D81" s="33"/>
      <c r="E81" s="33"/>
      <c r="F81" s="33"/>
      <c r="G81" s="33"/>
      <c r="H81" s="33"/>
      <c r="I81" s="33"/>
      <c r="J81" s="33"/>
      <c r="K81" s="33"/>
      <c r="L81" s="33"/>
      <c r="M81" s="33"/>
      <c r="N81" s="33"/>
      <c r="O81" s="33"/>
      <c r="P81" s="33"/>
      <c r="Q81" s="33"/>
      <c r="R81" s="33"/>
    </row>
    <row r="82">
      <c r="A82" s="33"/>
      <c r="B82" s="33"/>
      <c r="C82" s="33"/>
      <c r="D82" s="33"/>
      <c r="E82" s="33"/>
      <c r="F82" s="33"/>
      <c r="G82" s="33"/>
      <c r="H82" s="33"/>
      <c r="I82" s="33"/>
      <c r="J82" s="33"/>
      <c r="K82" s="33"/>
      <c r="L82" s="33"/>
      <c r="M82" s="33"/>
      <c r="N82" s="33"/>
      <c r="O82" s="33"/>
      <c r="P82" s="33"/>
      <c r="Q82" s="33"/>
      <c r="R82" s="33"/>
    </row>
    <row r="83">
      <c r="A83" s="33"/>
      <c r="B83" s="33"/>
      <c r="C83" s="33"/>
      <c r="D83" s="33"/>
      <c r="E83" s="33"/>
      <c r="F83" s="33"/>
      <c r="G83" s="33"/>
      <c r="H83" s="33"/>
      <c r="I83" s="33"/>
      <c r="J83" s="33"/>
      <c r="K83" s="33"/>
      <c r="L83" s="33"/>
      <c r="M83" s="33"/>
      <c r="N83" s="33"/>
      <c r="O83" s="33"/>
      <c r="P83" s="33"/>
      <c r="Q83" s="33"/>
      <c r="R83" s="33"/>
    </row>
    <row r="84">
      <c r="A84" s="33"/>
      <c r="B84" s="33"/>
      <c r="C84" s="33"/>
      <c r="D84" s="33"/>
      <c r="E84" s="33"/>
      <c r="F84" s="33"/>
      <c r="G84" s="33"/>
      <c r="H84" s="33"/>
      <c r="I84" s="33"/>
      <c r="J84" s="33"/>
      <c r="K84" s="33"/>
      <c r="L84" s="33"/>
      <c r="M84" s="33"/>
      <c r="N84" s="33"/>
      <c r="O84" s="33"/>
      <c r="P84" s="33"/>
      <c r="Q84" s="33"/>
      <c r="R84" s="33"/>
    </row>
    <row r="85">
      <c r="A85" s="33"/>
      <c r="B85" s="33"/>
      <c r="C85" s="33"/>
      <c r="D85" s="33"/>
      <c r="E85" s="33"/>
      <c r="F85" s="33"/>
      <c r="G85" s="33"/>
      <c r="H85" s="33"/>
      <c r="I85" s="33"/>
      <c r="J85" s="33"/>
      <c r="K85" s="33"/>
      <c r="L85" s="33"/>
      <c r="M85" s="33"/>
      <c r="N85" s="33"/>
      <c r="O85" s="33"/>
      <c r="P85" s="33"/>
      <c r="Q85" s="33"/>
      <c r="R85" s="33"/>
    </row>
    <row r="86">
      <c r="A86" s="33"/>
      <c r="B86" s="33"/>
      <c r="C86" s="33"/>
      <c r="D86" s="33"/>
      <c r="E86" s="33"/>
      <c r="F86" s="33"/>
      <c r="G86" s="33"/>
      <c r="H86" s="33"/>
      <c r="I86" s="33"/>
      <c r="J86" s="33"/>
      <c r="K86" s="33"/>
      <c r="L86" s="33"/>
      <c r="M86" s="33"/>
      <c r="N86" s="33"/>
      <c r="O86" s="33"/>
      <c r="P86" s="33"/>
      <c r="Q86" s="33"/>
      <c r="R86" s="33"/>
    </row>
    <row r="87">
      <c r="A87" s="33"/>
      <c r="B87" s="33"/>
      <c r="C87" s="33"/>
      <c r="D87" s="33"/>
      <c r="E87" s="33"/>
      <c r="F87" s="33"/>
      <c r="G87" s="33"/>
      <c r="H87" s="33"/>
      <c r="I87" s="33"/>
      <c r="J87" s="33"/>
      <c r="K87" s="33"/>
      <c r="L87" s="33"/>
      <c r="M87" s="33"/>
      <c r="N87" s="33"/>
      <c r="O87" s="33"/>
      <c r="P87" s="33"/>
      <c r="Q87" s="33"/>
      <c r="R87" s="33"/>
    </row>
    <row r="88">
      <c r="A88" s="33"/>
      <c r="B88" s="33"/>
      <c r="C88" s="33"/>
      <c r="D88" s="33"/>
      <c r="E88" s="33"/>
      <c r="F88" s="33"/>
      <c r="G88" s="33"/>
      <c r="H88" s="33"/>
      <c r="I88" s="33"/>
      <c r="J88" s="33"/>
      <c r="K88" s="33"/>
      <c r="L88" s="33"/>
      <c r="M88" s="33"/>
      <c r="N88" s="33"/>
      <c r="O88" s="33"/>
      <c r="P88" s="33"/>
      <c r="Q88" s="33"/>
      <c r="R88" s="33"/>
    </row>
    <row r="89">
      <c r="A89" s="33"/>
      <c r="B89" s="33"/>
      <c r="C89" s="33"/>
      <c r="D89" s="33"/>
      <c r="E89" s="33"/>
      <c r="F89" s="33"/>
      <c r="G89" s="33"/>
      <c r="H89" s="33"/>
      <c r="I89" s="33"/>
      <c r="J89" s="33"/>
      <c r="K89" s="33"/>
      <c r="L89" s="33"/>
      <c r="M89" s="33"/>
      <c r="N89" s="33"/>
      <c r="O89" s="33"/>
      <c r="P89" s="33"/>
      <c r="Q89" s="33"/>
      <c r="R89" s="33"/>
    </row>
    <row r="90">
      <c r="A90" s="33"/>
      <c r="B90" s="33"/>
      <c r="C90" s="33"/>
      <c r="D90" s="33"/>
      <c r="E90" s="33"/>
      <c r="F90" s="33"/>
      <c r="G90" s="33"/>
      <c r="H90" s="33"/>
      <c r="I90" s="33"/>
      <c r="J90" s="33"/>
      <c r="K90" s="33"/>
      <c r="L90" s="33"/>
      <c r="M90" s="33"/>
      <c r="N90" s="33"/>
      <c r="O90" s="33"/>
      <c r="P90" s="33"/>
      <c r="Q90" s="33"/>
      <c r="R90" s="33"/>
    </row>
    <row r="91">
      <c r="A91" s="33"/>
      <c r="B91" s="33"/>
      <c r="C91" s="33"/>
      <c r="D91" s="33"/>
      <c r="E91" s="33"/>
      <c r="F91" s="33"/>
      <c r="G91" s="33"/>
      <c r="H91" s="33"/>
      <c r="I91" s="33"/>
      <c r="J91" s="33"/>
      <c r="K91" s="33"/>
      <c r="L91" s="33"/>
      <c r="M91" s="33"/>
      <c r="N91" s="33"/>
      <c r="O91" s="33"/>
      <c r="P91" s="33"/>
      <c r="Q91" s="33"/>
      <c r="R91" s="33"/>
    </row>
    <row r="92">
      <c r="A92" s="33"/>
      <c r="B92" s="33"/>
      <c r="C92" s="33"/>
      <c r="D92" s="33"/>
      <c r="E92" s="33"/>
      <c r="F92" s="33"/>
      <c r="G92" s="33"/>
      <c r="H92" s="33"/>
      <c r="I92" s="33"/>
      <c r="J92" s="33"/>
      <c r="K92" s="33"/>
      <c r="L92" s="33"/>
      <c r="M92" s="33"/>
      <c r="N92" s="33"/>
      <c r="O92" s="33"/>
      <c r="P92" s="33"/>
      <c r="Q92" s="33"/>
      <c r="R92" s="33"/>
    </row>
    <row r="93">
      <c r="A93" s="33"/>
      <c r="B93" s="33"/>
      <c r="C93" s="33"/>
      <c r="D93" s="33"/>
      <c r="E93" s="33"/>
      <c r="F93" s="33"/>
      <c r="G93" s="33"/>
      <c r="H93" s="33"/>
      <c r="I93" s="33"/>
      <c r="J93" s="33"/>
      <c r="K93" s="33"/>
      <c r="L93" s="33"/>
      <c r="M93" s="33"/>
      <c r="N93" s="33"/>
      <c r="O93" s="33"/>
      <c r="P93" s="33"/>
      <c r="Q93" s="33"/>
      <c r="R93" s="33"/>
    </row>
    <row r="94">
      <c r="A94" s="33"/>
      <c r="B94" s="33"/>
      <c r="C94" s="33"/>
      <c r="D94" s="33"/>
      <c r="E94" s="33"/>
      <c r="F94" s="33"/>
      <c r="G94" s="33"/>
      <c r="H94" s="33"/>
      <c r="I94" s="33"/>
      <c r="J94" s="33"/>
      <c r="K94" s="33"/>
      <c r="L94" s="33"/>
      <c r="M94" s="33"/>
      <c r="N94" s="33"/>
      <c r="O94" s="33"/>
      <c r="P94" s="33"/>
      <c r="Q94" s="33"/>
      <c r="R94" s="33"/>
    </row>
    <row r="95">
      <c r="A95" s="33"/>
      <c r="B95" s="33"/>
      <c r="C95" s="33"/>
      <c r="D95" s="33"/>
      <c r="E95" s="33"/>
      <c r="F95" s="33"/>
      <c r="G95" s="33"/>
      <c r="H95" s="33"/>
      <c r="I95" s="33"/>
      <c r="J95" s="33"/>
      <c r="K95" s="33"/>
      <c r="L95" s="33"/>
      <c r="M95" s="33"/>
      <c r="N95" s="33"/>
      <c r="O95" s="33"/>
      <c r="P95" s="33"/>
      <c r="Q95" s="33"/>
      <c r="R95" s="33"/>
    </row>
    <row r="96">
      <c r="A96" s="33"/>
      <c r="B96" s="33"/>
      <c r="C96" s="33"/>
      <c r="D96" s="33"/>
      <c r="E96" s="33"/>
      <c r="F96" s="33"/>
      <c r="G96" s="33"/>
      <c r="H96" s="33"/>
      <c r="I96" s="33"/>
      <c r="J96" s="33"/>
      <c r="K96" s="33"/>
      <c r="L96" s="33"/>
      <c r="M96" s="33"/>
      <c r="N96" s="33"/>
      <c r="O96" s="33"/>
      <c r="P96" s="33"/>
      <c r="Q96" s="33"/>
      <c r="R96" s="33"/>
    </row>
    <row r="97">
      <c r="A97" s="33"/>
      <c r="B97" s="33"/>
      <c r="C97" s="33"/>
      <c r="D97" s="33"/>
      <c r="E97" s="33"/>
      <c r="F97" s="33"/>
      <c r="G97" s="33"/>
      <c r="H97" s="33"/>
      <c r="I97" s="33"/>
      <c r="J97" s="33"/>
      <c r="K97" s="33"/>
      <c r="L97" s="33"/>
      <c r="M97" s="33"/>
      <c r="N97" s="33"/>
      <c r="O97" s="33"/>
      <c r="P97" s="33"/>
      <c r="Q97" s="33"/>
      <c r="R97" s="33"/>
    </row>
    <row r="98">
      <c r="A98" s="33"/>
      <c r="B98" s="33"/>
      <c r="C98" s="33"/>
      <c r="D98" s="33"/>
      <c r="E98" s="33"/>
      <c r="F98" s="33"/>
      <c r="G98" s="33"/>
      <c r="H98" s="33"/>
      <c r="I98" s="33"/>
      <c r="J98" s="33"/>
      <c r="K98" s="33"/>
      <c r="L98" s="33"/>
      <c r="M98" s="33"/>
      <c r="N98" s="33"/>
      <c r="O98" s="33"/>
      <c r="P98" s="33"/>
      <c r="Q98" s="33"/>
      <c r="R98" s="33"/>
    </row>
    <row r="99">
      <c r="A99" s="33"/>
      <c r="B99" s="33"/>
      <c r="C99" s="33"/>
      <c r="D99" s="33"/>
      <c r="E99" s="33"/>
      <c r="F99" s="33"/>
      <c r="G99" s="33"/>
      <c r="H99" s="33"/>
      <c r="I99" s="33"/>
      <c r="J99" s="33"/>
      <c r="K99" s="33"/>
      <c r="L99" s="33"/>
      <c r="M99" s="33"/>
      <c r="N99" s="33"/>
      <c r="O99" s="33"/>
      <c r="P99" s="33"/>
      <c r="Q99" s="33"/>
      <c r="R99" s="33"/>
    </row>
    <row r="100">
      <c r="A100" s="33"/>
      <c r="B100" s="33"/>
      <c r="C100" s="33"/>
      <c r="D100" s="33"/>
      <c r="E100" s="33"/>
      <c r="F100" s="33"/>
      <c r="G100" s="33"/>
      <c r="H100" s="33"/>
      <c r="I100" s="33"/>
      <c r="J100" s="33"/>
      <c r="K100" s="33"/>
      <c r="L100" s="33"/>
      <c r="M100" s="33"/>
      <c r="N100" s="33"/>
      <c r="O100" s="33"/>
      <c r="P100" s="33"/>
      <c r="Q100" s="33"/>
      <c r="R100" s="33"/>
    </row>
    <row r="101">
      <c r="A101" s="33"/>
      <c r="B101" s="33"/>
      <c r="C101" s="33"/>
      <c r="D101" s="33"/>
      <c r="E101" s="33"/>
      <c r="F101" s="33"/>
      <c r="G101" s="33"/>
      <c r="H101" s="33"/>
      <c r="I101" s="33"/>
      <c r="J101" s="33"/>
      <c r="K101" s="33"/>
      <c r="L101" s="33"/>
      <c r="M101" s="33"/>
      <c r="N101" s="33"/>
      <c r="O101" s="33"/>
      <c r="P101" s="33"/>
      <c r="Q101" s="33"/>
      <c r="R101" s="33"/>
    </row>
    <row r="102">
      <c r="A102" s="33"/>
      <c r="B102" s="33"/>
      <c r="C102" s="33"/>
      <c r="D102" s="33"/>
      <c r="E102" s="33"/>
      <c r="F102" s="33"/>
      <c r="G102" s="33"/>
      <c r="H102" s="33"/>
      <c r="I102" s="33"/>
      <c r="J102" s="33"/>
      <c r="K102" s="33"/>
      <c r="L102" s="33"/>
      <c r="M102" s="33"/>
      <c r="N102" s="33"/>
      <c r="O102" s="33"/>
      <c r="P102" s="33"/>
      <c r="Q102" s="33"/>
      <c r="R102" s="33"/>
    </row>
    <row r="103">
      <c r="A103" s="33"/>
      <c r="B103" s="33"/>
      <c r="C103" s="33"/>
      <c r="D103" s="33"/>
      <c r="E103" s="33"/>
      <c r="F103" s="33"/>
      <c r="G103" s="33"/>
      <c r="H103" s="33"/>
      <c r="I103" s="33"/>
      <c r="J103" s="33"/>
      <c r="K103" s="33"/>
      <c r="L103" s="33"/>
      <c r="M103" s="33"/>
      <c r="N103" s="33"/>
      <c r="O103" s="33"/>
      <c r="P103" s="33"/>
      <c r="Q103" s="33"/>
      <c r="R103" s="33"/>
    </row>
    <row r="104">
      <c r="A104" s="33"/>
      <c r="B104" s="33"/>
      <c r="C104" s="33"/>
      <c r="D104" s="33"/>
      <c r="E104" s="33"/>
      <c r="F104" s="33"/>
      <c r="G104" s="33"/>
      <c r="H104" s="33"/>
      <c r="I104" s="33"/>
      <c r="J104" s="33"/>
      <c r="K104" s="33"/>
      <c r="L104" s="33"/>
      <c r="M104" s="33"/>
      <c r="N104" s="33"/>
      <c r="O104" s="33"/>
      <c r="P104" s="33"/>
      <c r="Q104" s="33"/>
      <c r="R104" s="33"/>
    </row>
    <row r="105">
      <c r="A105" s="33"/>
      <c r="B105" s="33"/>
      <c r="C105" s="33"/>
      <c r="D105" s="33"/>
      <c r="E105" s="33"/>
      <c r="F105" s="33"/>
      <c r="G105" s="33"/>
      <c r="H105" s="33"/>
      <c r="I105" s="33"/>
      <c r="J105" s="33"/>
      <c r="K105" s="33"/>
      <c r="L105" s="33"/>
      <c r="M105" s="33"/>
      <c r="N105" s="33"/>
      <c r="O105" s="33"/>
      <c r="P105" s="33"/>
      <c r="Q105" s="33"/>
      <c r="R105" s="33"/>
    </row>
    <row r="106">
      <c r="A106" s="33"/>
      <c r="B106" s="33"/>
      <c r="C106" s="33"/>
      <c r="D106" s="33"/>
      <c r="E106" s="33"/>
      <c r="F106" s="33"/>
      <c r="G106" s="33"/>
      <c r="H106" s="33"/>
      <c r="I106" s="33"/>
      <c r="J106" s="33"/>
      <c r="K106" s="33"/>
      <c r="L106" s="33"/>
      <c r="M106" s="33"/>
      <c r="N106" s="33"/>
      <c r="O106" s="33"/>
      <c r="P106" s="33"/>
      <c r="Q106" s="33"/>
      <c r="R106" s="33"/>
    </row>
    <row r="107">
      <c r="A107" s="33"/>
      <c r="B107" s="33"/>
      <c r="C107" s="33"/>
      <c r="D107" s="33"/>
      <c r="E107" s="33"/>
      <c r="F107" s="33"/>
      <c r="G107" s="33"/>
      <c r="H107" s="33"/>
      <c r="I107" s="33"/>
      <c r="J107" s="33"/>
      <c r="K107" s="33"/>
      <c r="L107" s="33"/>
      <c r="M107" s="33"/>
      <c r="N107" s="33"/>
      <c r="O107" s="33"/>
      <c r="P107" s="33"/>
      <c r="Q107" s="33"/>
      <c r="R107" s="33"/>
    </row>
    <row r="108">
      <c r="A108" s="33"/>
      <c r="B108" s="33"/>
      <c r="C108" s="33"/>
      <c r="D108" s="33"/>
      <c r="E108" s="33"/>
      <c r="F108" s="33"/>
      <c r="G108" s="33"/>
      <c r="H108" s="33"/>
      <c r="I108" s="33"/>
      <c r="J108" s="33"/>
      <c r="K108" s="33"/>
      <c r="L108" s="33"/>
      <c r="M108" s="33"/>
      <c r="N108" s="33"/>
      <c r="O108" s="33"/>
      <c r="P108" s="33"/>
      <c r="Q108" s="33"/>
      <c r="R108" s="33"/>
    </row>
    <row r="109">
      <c r="A109" s="33"/>
      <c r="B109" s="33"/>
      <c r="C109" s="33"/>
      <c r="D109" s="33"/>
      <c r="E109" s="33"/>
      <c r="F109" s="33"/>
      <c r="G109" s="33"/>
      <c r="H109" s="33"/>
      <c r="I109" s="33"/>
      <c r="J109" s="33"/>
      <c r="K109" s="33"/>
      <c r="L109" s="33"/>
      <c r="M109" s="33"/>
      <c r="N109" s="33"/>
      <c r="O109" s="33"/>
      <c r="P109" s="33"/>
      <c r="Q109" s="33"/>
      <c r="R109" s="33"/>
    </row>
    <row r="110">
      <c r="A110" s="33"/>
      <c r="B110" s="33"/>
      <c r="C110" s="33"/>
      <c r="D110" s="33"/>
      <c r="E110" s="33"/>
      <c r="F110" s="33"/>
      <c r="G110" s="33"/>
      <c r="H110" s="33"/>
      <c r="I110" s="33"/>
      <c r="J110" s="33"/>
      <c r="K110" s="33"/>
      <c r="L110" s="33"/>
      <c r="M110" s="33"/>
      <c r="N110" s="33"/>
      <c r="O110" s="33"/>
      <c r="P110" s="33"/>
      <c r="Q110" s="33"/>
      <c r="R110" s="33"/>
    </row>
    <row r="111">
      <c r="A111" s="33"/>
      <c r="B111" s="33"/>
      <c r="C111" s="33"/>
      <c r="D111" s="33"/>
      <c r="E111" s="33"/>
      <c r="F111" s="33"/>
      <c r="G111" s="33"/>
      <c r="H111" s="33"/>
      <c r="I111" s="33"/>
      <c r="J111" s="33"/>
      <c r="K111" s="33"/>
      <c r="L111" s="33"/>
      <c r="M111" s="33"/>
      <c r="N111" s="33"/>
      <c r="O111" s="33"/>
      <c r="P111" s="33"/>
      <c r="Q111" s="33"/>
      <c r="R111" s="33"/>
    </row>
    <row r="112">
      <c r="A112" s="33"/>
      <c r="B112" s="33"/>
      <c r="C112" s="33"/>
      <c r="D112" s="33"/>
      <c r="E112" s="33"/>
      <c r="F112" s="33"/>
      <c r="G112" s="33"/>
      <c r="H112" s="33"/>
      <c r="I112" s="33"/>
      <c r="J112" s="33"/>
      <c r="K112" s="33"/>
      <c r="L112" s="33"/>
      <c r="M112" s="33"/>
      <c r="N112" s="33"/>
      <c r="O112" s="33"/>
      <c r="P112" s="33"/>
      <c r="Q112" s="33"/>
      <c r="R112" s="33"/>
    </row>
    <row r="113">
      <c r="A113" s="33"/>
      <c r="B113" s="33"/>
      <c r="C113" s="33"/>
      <c r="D113" s="33"/>
      <c r="E113" s="33"/>
      <c r="F113" s="33"/>
      <c r="G113" s="33"/>
      <c r="H113" s="33"/>
      <c r="I113" s="33"/>
      <c r="J113" s="33"/>
      <c r="K113" s="33"/>
      <c r="L113" s="33"/>
      <c r="M113" s="33"/>
      <c r="N113" s="33"/>
      <c r="O113" s="33"/>
      <c r="P113" s="33"/>
      <c r="Q113" s="33"/>
      <c r="R113" s="33"/>
    </row>
    <row r="114">
      <c r="A114" s="33"/>
      <c r="B114" s="33"/>
      <c r="C114" s="33"/>
      <c r="D114" s="33"/>
      <c r="E114" s="33"/>
      <c r="F114" s="33"/>
      <c r="G114" s="33"/>
      <c r="H114" s="33"/>
      <c r="I114" s="33"/>
      <c r="J114" s="33"/>
      <c r="K114" s="33"/>
      <c r="L114" s="33"/>
      <c r="M114" s="33"/>
      <c r="N114" s="33"/>
      <c r="O114" s="33"/>
      <c r="P114" s="33"/>
      <c r="Q114" s="33"/>
      <c r="R114" s="33"/>
    </row>
    <row r="115">
      <c r="A115" s="33"/>
      <c r="B115" s="33"/>
      <c r="C115" s="33"/>
      <c r="D115" s="33"/>
      <c r="E115" s="33"/>
      <c r="F115" s="33"/>
      <c r="G115" s="33"/>
      <c r="H115" s="33"/>
      <c r="I115" s="33"/>
      <c r="J115" s="33"/>
      <c r="K115" s="33"/>
      <c r="L115" s="33"/>
      <c r="M115" s="33"/>
      <c r="N115" s="33"/>
      <c r="O115" s="33"/>
      <c r="P115" s="33"/>
      <c r="Q115" s="33"/>
      <c r="R115" s="33"/>
    </row>
    <row r="116">
      <c r="A116" s="33"/>
      <c r="B116" s="33"/>
      <c r="C116" s="33"/>
      <c r="D116" s="33"/>
      <c r="E116" s="33"/>
      <c r="F116" s="33"/>
      <c r="G116" s="33"/>
      <c r="H116" s="33"/>
      <c r="I116" s="33"/>
      <c r="J116" s="33"/>
      <c r="K116" s="33"/>
      <c r="L116" s="33"/>
      <c r="M116" s="33"/>
      <c r="N116" s="33"/>
      <c r="O116" s="33"/>
      <c r="P116" s="33"/>
      <c r="Q116" s="33"/>
      <c r="R116" s="33"/>
    </row>
    <row r="117">
      <c r="A117" s="33"/>
      <c r="B117" s="33"/>
      <c r="C117" s="33"/>
      <c r="D117" s="33"/>
      <c r="E117" s="33"/>
      <c r="F117" s="33"/>
      <c r="G117" s="33"/>
      <c r="H117" s="33"/>
      <c r="I117" s="33"/>
      <c r="J117" s="33"/>
      <c r="K117" s="33"/>
      <c r="L117" s="33"/>
      <c r="M117" s="33"/>
      <c r="N117" s="33"/>
      <c r="O117" s="33"/>
      <c r="P117" s="33"/>
      <c r="Q117" s="33"/>
      <c r="R117" s="33"/>
    </row>
    <row r="118">
      <c r="A118" s="33"/>
      <c r="B118" s="33"/>
      <c r="C118" s="33"/>
      <c r="D118" s="33"/>
      <c r="E118" s="33"/>
      <c r="F118" s="33"/>
      <c r="G118" s="33"/>
      <c r="H118" s="33"/>
      <c r="I118" s="33"/>
      <c r="J118" s="33"/>
      <c r="K118" s="33"/>
      <c r="L118" s="33"/>
      <c r="M118" s="33"/>
      <c r="N118" s="33"/>
      <c r="O118" s="33"/>
      <c r="P118" s="33"/>
      <c r="Q118" s="33"/>
      <c r="R118" s="33"/>
    </row>
    <row r="119">
      <c r="A119" s="33"/>
      <c r="B119" s="33"/>
      <c r="C119" s="33"/>
      <c r="D119" s="33"/>
      <c r="E119" s="33"/>
      <c r="F119" s="33"/>
      <c r="G119" s="33"/>
      <c r="H119" s="33"/>
      <c r="I119" s="33"/>
      <c r="J119" s="33"/>
      <c r="K119" s="33"/>
      <c r="L119" s="33"/>
      <c r="M119" s="33"/>
      <c r="N119" s="33"/>
      <c r="O119" s="33"/>
      <c r="P119" s="33"/>
      <c r="Q119" s="33"/>
      <c r="R119" s="33"/>
    </row>
    <row r="120">
      <c r="A120" s="33"/>
      <c r="B120" s="33"/>
      <c r="C120" s="33"/>
      <c r="D120" s="33"/>
      <c r="E120" s="33"/>
      <c r="F120" s="33"/>
      <c r="G120" s="33"/>
      <c r="H120" s="33"/>
      <c r="I120" s="33"/>
      <c r="J120" s="33"/>
      <c r="K120" s="33"/>
      <c r="L120" s="33"/>
      <c r="M120" s="33"/>
      <c r="N120" s="33"/>
      <c r="O120" s="33"/>
      <c r="P120" s="33"/>
      <c r="Q120" s="33"/>
      <c r="R120" s="33"/>
    </row>
    <row r="121">
      <c r="A121" s="33"/>
      <c r="B121" s="33"/>
      <c r="C121" s="33"/>
      <c r="D121" s="33"/>
      <c r="E121" s="33"/>
      <c r="F121" s="33"/>
      <c r="G121" s="33"/>
      <c r="H121" s="33"/>
      <c r="I121" s="33"/>
      <c r="J121" s="33"/>
      <c r="K121" s="33"/>
      <c r="L121" s="33"/>
      <c r="M121" s="33"/>
      <c r="N121" s="33"/>
      <c r="O121" s="33"/>
      <c r="P121" s="33"/>
      <c r="Q121" s="33"/>
      <c r="R121" s="33"/>
    </row>
    <row r="122">
      <c r="A122" s="33"/>
      <c r="B122" s="33"/>
      <c r="C122" s="33"/>
      <c r="D122" s="33"/>
      <c r="E122" s="33"/>
      <c r="F122" s="33"/>
      <c r="G122" s="33"/>
      <c r="H122" s="33"/>
      <c r="I122" s="33"/>
      <c r="J122" s="33"/>
      <c r="K122" s="33"/>
      <c r="L122" s="33"/>
      <c r="M122" s="33"/>
      <c r="N122" s="33"/>
      <c r="O122" s="33"/>
      <c r="P122" s="33"/>
      <c r="Q122" s="33"/>
      <c r="R122" s="33"/>
    </row>
    <row r="123">
      <c r="A123" s="33"/>
      <c r="B123" s="33"/>
      <c r="C123" s="33"/>
      <c r="D123" s="33"/>
      <c r="E123" s="33"/>
      <c r="F123" s="33"/>
      <c r="G123" s="33"/>
      <c r="H123" s="33"/>
      <c r="I123" s="33"/>
      <c r="J123" s="33"/>
      <c r="K123" s="33"/>
      <c r="L123" s="33"/>
      <c r="M123" s="33"/>
      <c r="N123" s="33"/>
      <c r="O123" s="33"/>
      <c r="P123" s="33"/>
      <c r="Q123" s="33"/>
      <c r="R123" s="33"/>
    </row>
    <row r="124">
      <c r="A124" s="33"/>
      <c r="B124" s="33"/>
      <c r="C124" s="33"/>
      <c r="D124" s="33"/>
      <c r="E124" s="33"/>
      <c r="F124" s="33"/>
      <c r="G124" s="33"/>
      <c r="H124" s="33"/>
      <c r="I124" s="33"/>
      <c r="J124" s="33"/>
      <c r="K124" s="33"/>
      <c r="L124" s="33"/>
      <c r="M124" s="33"/>
      <c r="N124" s="33"/>
      <c r="O124" s="33"/>
      <c r="P124" s="33"/>
      <c r="Q124" s="33"/>
      <c r="R124" s="33"/>
    </row>
    <row r="125">
      <c r="A125" s="33"/>
      <c r="B125" s="33"/>
      <c r="C125" s="33"/>
      <c r="D125" s="33"/>
      <c r="E125" s="33"/>
      <c r="F125" s="33"/>
      <c r="G125" s="33"/>
      <c r="H125" s="33"/>
      <c r="I125" s="33"/>
      <c r="J125" s="33"/>
      <c r="K125" s="33"/>
      <c r="L125" s="33"/>
      <c r="M125" s="33"/>
      <c r="N125" s="33"/>
      <c r="O125" s="33"/>
      <c r="P125" s="33"/>
      <c r="Q125" s="33"/>
      <c r="R125" s="33"/>
    </row>
    <row r="126">
      <c r="A126" s="33"/>
      <c r="B126" s="33"/>
      <c r="C126" s="33"/>
      <c r="D126" s="33"/>
      <c r="E126" s="33"/>
      <c r="F126" s="33"/>
      <c r="G126" s="33"/>
      <c r="H126" s="33"/>
      <c r="I126" s="33"/>
      <c r="J126" s="33"/>
      <c r="K126" s="33"/>
      <c r="L126" s="33"/>
      <c r="M126" s="33"/>
      <c r="N126" s="33"/>
      <c r="O126" s="33"/>
      <c r="P126" s="33"/>
      <c r="Q126" s="33"/>
      <c r="R126" s="33"/>
    </row>
    <row r="127">
      <c r="A127" s="33"/>
      <c r="B127" s="33"/>
      <c r="C127" s="33"/>
      <c r="D127" s="33"/>
      <c r="E127" s="33"/>
      <c r="F127" s="33"/>
      <c r="G127" s="33"/>
      <c r="H127" s="33"/>
      <c r="I127" s="33"/>
      <c r="J127" s="33"/>
      <c r="K127" s="33"/>
      <c r="L127" s="33"/>
      <c r="M127" s="33"/>
      <c r="N127" s="33"/>
      <c r="O127" s="33"/>
      <c r="P127" s="33"/>
      <c r="Q127" s="33"/>
      <c r="R127" s="33"/>
    </row>
    <row r="128">
      <c r="A128" s="33"/>
      <c r="B128" s="33"/>
      <c r="C128" s="33"/>
      <c r="D128" s="33"/>
      <c r="E128" s="33"/>
      <c r="F128" s="33"/>
      <c r="G128" s="33"/>
      <c r="H128" s="33"/>
      <c r="I128" s="33"/>
      <c r="J128" s="33"/>
      <c r="K128" s="33"/>
      <c r="L128" s="33"/>
      <c r="M128" s="33"/>
      <c r="N128" s="33"/>
      <c r="O128" s="33"/>
      <c r="P128" s="33"/>
      <c r="Q128" s="33"/>
      <c r="R128" s="33"/>
    </row>
    <row r="129">
      <c r="A129" s="33"/>
      <c r="B129" s="33"/>
      <c r="C129" s="33"/>
      <c r="D129" s="33"/>
      <c r="E129" s="33"/>
      <c r="F129" s="33"/>
      <c r="G129" s="33"/>
      <c r="H129" s="33"/>
      <c r="I129" s="33"/>
      <c r="J129" s="33"/>
      <c r="K129" s="33"/>
      <c r="L129" s="33"/>
      <c r="M129" s="33"/>
      <c r="N129" s="33"/>
      <c r="O129" s="33"/>
      <c r="P129" s="33"/>
      <c r="Q129" s="33"/>
      <c r="R129" s="33"/>
    </row>
    <row r="130">
      <c r="A130" s="33"/>
      <c r="B130" s="33"/>
      <c r="C130" s="33"/>
      <c r="D130" s="33"/>
      <c r="E130" s="33"/>
      <c r="F130" s="33"/>
      <c r="G130" s="33"/>
      <c r="H130" s="33"/>
      <c r="I130" s="33"/>
      <c r="J130" s="33"/>
      <c r="K130" s="33"/>
      <c r="L130" s="33"/>
      <c r="M130" s="33"/>
      <c r="N130" s="33"/>
      <c r="O130" s="33"/>
      <c r="P130" s="33"/>
      <c r="Q130" s="33"/>
      <c r="R130" s="33"/>
    </row>
    <row r="131">
      <c r="A131" s="33"/>
      <c r="B131" s="33"/>
      <c r="C131" s="33"/>
      <c r="D131" s="33"/>
      <c r="E131" s="33"/>
      <c r="F131" s="33"/>
      <c r="G131" s="33"/>
      <c r="H131" s="33"/>
      <c r="I131" s="33"/>
      <c r="J131" s="33"/>
      <c r="K131" s="33"/>
      <c r="L131" s="33"/>
      <c r="M131" s="33"/>
      <c r="N131" s="33"/>
      <c r="O131" s="33"/>
      <c r="P131" s="33"/>
      <c r="Q131" s="33"/>
      <c r="R131" s="33"/>
    </row>
    <row r="132">
      <c r="A132" s="33"/>
      <c r="B132" s="33"/>
      <c r="C132" s="33"/>
      <c r="D132" s="33"/>
      <c r="E132" s="33"/>
      <c r="F132" s="33"/>
      <c r="G132" s="33"/>
      <c r="H132" s="33"/>
      <c r="I132" s="33"/>
      <c r="J132" s="33"/>
      <c r="K132" s="33"/>
      <c r="L132" s="33"/>
      <c r="M132" s="33"/>
      <c r="N132" s="33"/>
      <c r="O132" s="33"/>
      <c r="P132" s="33"/>
      <c r="Q132" s="33"/>
      <c r="R132" s="33"/>
    </row>
    <row r="133">
      <c r="A133" s="33"/>
      <c r="B133" s="33"/>
      <c r="C133" s="33"/>
      <c r="D133" s="33"/>
      <c r="E133" s="33"/>
      <c r="F133" s="33"/>
      <c r="G133" s="33"/>
      <c r="H133" s="33"/>
      <c r="I133" s="33"/>
      <c r="J133" s="33"/>
      <c r="K133" s="33"/>
      <c r="L133" s="33"/>
      <c r="M133" s="33"/>
      <c r="N133" s="33"/>
      <c r="O133" s="33"/>
      <c r="P133" s="33"/>
      <c r="Q133" s="33"/>
      <c r="R133" s="33"/>
    </row>
    <row r="134">
      <c r="A134" s="33"/>
      <c r="B134" s="33"/>
      <c r="C134" s="33"/>
      <c r="D134" s="33"/>
      <c r="E134" s="33"/>
      <c r="F134" s="33"/>
      <c r="G134" s="33"/>
      <c r="H134" s="33"/>
      <c r="I134" s="33"/>
      <c r="J134" s="33"/>
      <c r="K134" s="33"/>
      <c r="L134" s="33"/>
      <c r="M134" s="33"/>
      <c r="N134" s="33"/>
      <c r="O134" s="33"/>
      <c r="P134" s="33"/>
      <c r="Q134" s="33"/>
      <c r="R134" s="33"/>
    </row>
    <row r="135">
      <c r="A135" s="33"/>
      <c r="B135" s="33"/>
      <c r="C135" s="33"/>
      <c r="D135" s="33"/>
      <c r="E135" s="33"/>
      <c r="F135" s="33"/>
      <c r="G135" s="33"/>
      <c r="H135" s="33"/>
      <c r="I135" s="33"/>
      <c r="J135" s="33"/>
      <c r="K135" s="33"/>
      <c r="L135" s="33"/>
      <c r="M135" s="33"/>
      <c r="N135" s="33"/>
      <c r="O135" s="33"/>
      <c r="P135" s="33"/>
      <c r="Q135" s="33"/>
      <c r="R135" s="33"/>
    </row>
    <row r="136">
      <c r="A136" s="33"/>
      <c r="B136" s="33"/>
      <c r="C136" s="33"/>
      <c r="D136" s="33"/>
      <c r="E136" s="33"/>
      <c r="F136" s="33"/>
      <c r="G136" s="33"/>
      <c r="H136" s="33"/>
      <c r="I136" s="33"/>
      <c r="J136" s="33"/>
      <c r="K136" s="33"/>
      <c r="L136" s="33"/>
      <c r="M136" s="33"/>
      <c r="N136" s="33"/>
      <c r="O136" s="33"/>
      <c r="P136" s="33"/>
      <c r="Q136" s="33"/>
      <c r="R136" s="33"/>
    </row>
    <row r="137">
      <c r="A137" s="33"/>
      <c r="B137" s="33"/>
      <c r="C137" s="33"/>
      <c r="D137" s="33"/>
      <c r="E137" s="33"/>
      <c r="F137" s="33"/>
      <c r="G137" s="33"/>
      <c r="H137" s="33"/>
      <c r="I137" s="33"/>
      <c r="J137" s="33"/>
      <c r="K137" s="33"/>
      <c r="L137" s="33"/>
      <c r="M137" s="33"/>
      <c r="N137" s="33"/>
      <c r="O137" s="33"/>
      <c r="P137" s="33"/>
      <c r="Q137" s="33"/>
      <c r="R137" s="33"/>
    </row>
    <row r="138">
      <c r="A138" s="33"/>
      <c r="B138" s="33"/>
      <c r="C138" s="33"/>
      <c r="D138" s="33"/>
      <c r="E138" s="33"/>
      <c r="F138" s="33"/>
      <c r="G138" s="33"/>
      <c r="H138" s="33"/>
      <c r="I138" s="33"/>
      <c r="J138" s="33"/>
      <c r="K138" s="33"/>
      <c r="L138" s="33"/>
      <c r="M138" s="33"/>
      <c r="N138" s="33"/>
      <c r="O138" s="33"/>
      <c r="P138" s="33"/>
      <c r="Q138" s="33"/>
      <c r="R138" s="33"/>
    </row>
    <row r="139">
      <c r="A139" s="33"/>
      <c r="B139" s="33"/>
      <c r="C139" s="33"/>
      <c r="D139" s="33"/>
      <c r="E139" s="33"/>
      <c r="F139" s="33"/>
      <c r="G139" s="33"/>
      <c r="H139" s="33"/>
      <c r="I139" s="33"/>
      <c r="J139" s="33"/>
      <c r="K139" s="33"/>
      <c r="L139" s="33"/>
      <c r="M139" s="33"/>
      <c r="N139" s="33"/>
      <c r="O139" s="33"/>
      <c r="P139" s="33"/>
      <c r="Q139" s="33"/>
      <c r="R139" s="33"/>
    </row>
    <row r="140">
      <c r="A140" s="33"/>
      <c r="B140" s="33"/>
      <c r="C140" s="33"/>
      <c r="D140" s="33"/>
      <c r="E140" s="33"/>
      <c r="F140" s="33"/>
      <c r="G140" s="33"/>
      <c r="H140" s="33"/>
      <c r="I140" s="33"/>
      <c r="J140" s="33"/>
      <c r="K140" s="33"/>
      <c r="L140" s="33"/>
      <c r="M140" s="33"/>
      <c r="N140" s="33"/>
      <c r="O140" s="33"/>
      <c r="P140" s="33"/>
      <c r="Q140" s="33"/>
      <c r="R140" s="33"/>
    </row>
    <row r="141">
      <c r="A141" s="33"/>
      <c r="B141" s="33"/>
      <c r="C141" s="33"/>
      <c r="D141" s="33"/>
      <c r="E141" s="33"/>
      <c r="F141" s="33"/>
      <c r="G141" s="33"/>
      <c r="H141" s="33"/>
      <c r="I141" s="33"/>
      <c r="J141" s="33"/>
      <c r="K141" s="33"/>
      <c r="L141" s="33"/>
      <c r="M141" s="33"/>
      <c r="N141" s="33"/>
      <c r="O141" s="33"/>
      <c r="P141" s="33"/>
      <c r="Q141" s="33"/>
      <c r="R141" s="33"/>
    </row>
    <row r="142">
      <c r="A142" s="33"/>
      <c r="B142" s="33"/>
      <c r="C142" s="33"/>
      <c r="D142" s="33"/>
      <c r="E142" s="33"/>
      <c r="F142" s="33"/>
      <c r="G142" s="33"/>
      <c r="H142" s="33"/>
      <c r="I142" s="33"/>
      <c r="J142" s="33"/>
      <c r="K142" s="33"/>
      <c r="L142" s="33"/>
      <c r="M142" s="33"/>
      <c r="N142" s="33"/>
      <c r="O142" s="33"/>
      <c r="P142" s="33"/>
      <c r="Q142" s="33"/>
      <c r="R142" s="33"/>
    </row>
    <row r="143">
      <c r="A143" s="33"/>
      <c r="B143" s="33"/>
      <c r="C143" s="33"/>
      <c r="D143" s="33"/>
      <c r="E143" s="33"/>
      <c r="F143" s="33"/>
      <c r="G143" s="33"/>
      <c r="H143" s="33"/>
      <c r="I143" s="33"/>
      <c r="J143" s="33"/>
      <c r="K143" s="33"/>
      <c r="L143" s="33"/>
      <c r="M143" s="33"/>
      <c r="N143" s="33"/>
      <c r="O143" s="33"/>
      <c r="P143" s="33"/>
      <c r="Q143" s="33"/>
      <c r="R143" s="33"/>
    </row>
    <row r="144">
      <c r="A144" s="33"/>
      <c r="B144" s="33"/>
      <c r="C144" s="33"/>
      <c r="D144" s="33"/>
      <c r="E144" s="33"/>
      <c r="F144" s="33"/>
      <c r="G144" s="33"/>
      <c r="H144" s="33"/>
      <c r="I144" s="33"/>
      <c r="J144" s="33"/>
      <c r="K144" s="33"/>
      <c r="L144" s="33"/>
      <c r="M144" s="33"/>
      <c r="N144" s="33"/>
      <c r="O144" s="33"/>
      <c r="P144" s="33"/>
      <c r="Q144" s="33"/>
      <c r="R144" s="33"/>
    </row>
    <row r="145">
      <c r="A145" s="33"/>
      <c r="B145" s="33"/>
      <c r="C145" s="33"/>
      <c r="D145" s="33"/>
      <c r="E145" s="33"/>
      <c r="F145" s="33"/>
      <c r="G145" s="33"/>
      <c r="H145" s="33"/>
      <c r="I145" s="33"/>
      <c r="J145" s="33"/>
      <c r="K145" s="33"/>
      <c r="L145" s="33"/>
      <c r="M145" s="33"/>
      <c r="N145" s="33"/>
      <c r="O145" s="33"/>
      <c r="P145" s="33"/>
      <c r="Q145" s="33"/>
      <c r="R145" s="33"/>
    </row>
    <row r="146">
      <c r="A146" s="33"/>
      <c r="B146" s="33"/>
      <c r="C146" s="33"/>
      <c r="D146" s="33"/>
      <c r="E146" s="33"/>
      <c r="F146" s="33"/>
      <c r="G146" s="33"/>
      <c r="H146" s="33"/>
      <c r="I146" s="33"/>
      <c r="J146" s="33"/>
      <c r="K146" s="33"/>
      <c r="L146" s="33"/>
      <c r="M146" s="33"/>
      <c r="N146" s="33"/>
      <c r="O146" s="33"/>
      <c r="P146" s="33"/>
      <c r="Q146" s="33"/>
      <c r="R146" s="33"/>
    </row>
    <row r="147">
      <c r="A147" s="33"/>
      <c r="B147" s="33"/>
      <c r="C147" s="33"/>
      <c r="D147" s="33"/>
      <c r="E147" s="33"/>
      <c r="F147" s="33"/>
      <c r="G147" s="33"/>
      <c r="H147" s="33"/>
      <c r="I147" s="33"/>
      <c r="J147" s="33"/>
      <c r="K147" s="33"/>
      <c r="L147" s="33"/>
      <c r="M147" s="33"/>
      <c r="N147" s="33"/>
      <c r="O147" s="33"/>
      <c r="P147" s="33"/>
      <c r="Q147" s="33"/>
      <c r="R147" s="33"/>
    </row>
    <row r="148">
      <c r="A148" s="33"/>
      <c r="B148" s="33"/>
      <c r="C148" s="33"/>
      <c r="D148" s="33"/>
      <c r="E148" s="33"/>
      <c r="F148" s="33"/>
      <c r="G148" s="33"/>
      <c r="H148" s="33"/>
      <c r="I148" s="33"/>
      <c r="J148" s="33"/>
      <c r="K148" s="33"/>
      <c r="L148" s="33"/>
      <c r="M148" s="33"/>
      <c r="N148" s="33"/>
      <c r="O148" s="33"/>
      <c r="P148" s="33"/>
      <c r="Q148" s="33"/>
      <c r="R148" s="33"/>
    </row>
    <row r="149">
      <c r="A149" s="33"/>
      <c r="B149" s="33"/>
      <c r="C149" s="33"/>
      <c r="D149" s="33"/>
      <c r="E149" s="33"/>
      <c r="F149" s="33"/>
      <c r="G149" s="33"/>
      <c r="H149" s="33"/>
      <c r="I149" s="33"/>
      <c r="J149" s="33"/>
      <c r="K149" s="33"/>
      <c r="L149" s="33"/>
      <c r="M149" s="33"/>
      <c r="N149" s="33"/>
      <c r="O149" s="33"/>
      <c r="P149" s="33"/>
      <c r="Q149" s="33"/>
      <c r="R149" s="33"/>
    </row>
    <row r="150">
      <c r="A150" s="33"/>
      <c r="B150" s="33"/>
      <c r="C150" s="33"/>
      <c r="D150" s="33"/>
      <c r="E150" s="33"/>
      <c r="F150" s="33"/>
      <c r="G150" s="33"/>
      <c r="H150" s="33"/>
      <c r="I150" s="33"/>
      <c r="J150" s="33"/>
      <c r="K150" s="33"/>
      <c r="L150" s="33"/>
      <c r="M150" s="33"/>
      <c r="N150" s="33"/>
      <c r="O150" s="33"/>
      <c r="P150" s="33"/>
      <c r="Q150" s="33"/>
      <c r="R150" s="33"/>
    </row>
    <row r="151">
      <c r="A151" s="33"/>
      <c r="B151" s="33"/>
      <c r="C151" s="33"/>
      <c r="D151" s="33"/>
      <c r="E151" s="33"/>
      <c r="F151" s="33"/>
      <c r="G151" s="33"/>
      <c r="H151" s="33"/>
      <c r="I151" s="33"/>
      <c r="J151" s="33"/>
      <c r="K151" s="33"/>
      <c r="L151" s="33"/>
      <c r="M151" s="33"/>
      <c r="N151" s="33"/>
      <c r="O151" s="33"/>
      <c r="P151" s="33"/>
      <c r="Q151" s="33"/>
      <c r="R151" s="33"/>
    </row>
    <row r="152">
      <c r="A152" s="33"/>
      <c r="B152" s="33"/>
      <c r="C152" s="33"/>
      <c r="D152" s="33"/>
      <c r="E152" s="33"/>
      <c r="F152" s="33"/>
      <c r="G152" s="33"/>
      <c r="H152" s="33"/>
      <c r="I152" s="33"/>
      <c r="J152" s="33"/>
      <c r="K152" s="33"/>
      <c r="L152" s="33"/>
      <c r="M152" s="33"/>
      <c r="N152" s="33"/>
      <c r="O152" s="33"/>
      <c r="P152" s="33"/>
      <c r="Q152" s="33"/>
      <c r="R152" s="33"/>
    </row>
    <row r="153">
      <c r="A153" s="33"/>
      <c r="B153" s="33"/>
      <c r="C153" s="33"/>
      <c r="D153" s="33"/>
      <c r="E153" s="33"/>
      <c r="F153" s="33"/>
      <c r="G153" s="33"/>
      <c r="H153" s="33"/>
      <c r="I153" s="33"/>
      <c r="J153" s="33"/>
      <c r="K153" s="33"/>
      <c r="L153" s="33"/>
      <c r="M153" s="33"/>
      <c r="N153" s="33"/>
      <c r="O153" s="33"/>
      <c r="P153" s="33"/>
      <c r="Q153" s="33"/>
      <c r="R153" s="33"/>
    </row>
    <row r="154">
      <c r="A154" s="33"/>
      <c r="B154" s="33"/>
      <c r="C154" s="33"/>
      <c r="D154" s="33"/>
      <c r="E154" s="33"/>
      <c r="F154" s="33"/>
      <c r="G154" s="33"/>
      <c r="H154" s="33"/>
      <c r="I154" s="33"/>
      <c r="J154" s="33"/>
      <c r="K154" s="33"/>
      <c r="L154" s="33"/>
      <c r="M154" s="33"/>
      <c r="N154" s="33"/>
      <c r="O154" s="33"/>
      <c r="P154" s="33"/>
      <c r="Q154" s="33"/>
      <c r="R154" s="33"/>
    </row>
    <row r="155">
      <c r="A155" s="33"/>
      <c r="B155" s="33"/>
      <c r="C155" s="33"/>
      <c r="D155" s="33"/>
      <c r="E155" s="33"/>
      <c r="F155" s="33"/>
      <c r="G155" s="33"/>
      <c r="H155" s="33"/>
      <c r="I155" s="33"/>
      <c r="J155" s="33"/>
      <c r="K155" s="33"/>
      <c r="L155" s="33"/>
      <c r="M155" s="33"/>
      <c r="N155" s="33"/>
      <c r="O155" s="33"/>
      <c r="P155" s="33"/>
      <c r="Q155" s="33"/>
      <c r="R155" s="33"/>
    </row>
    <row r="156">
      <c r="A156" s="33"/>
      <c r="B156" s="33"/>
      <c r="C156" s="33"/>
      <c r="D156" s="33"/>
      <c r="E156" s="33"/>
      <c r="F156" s="33"/>
      <c r="G156" s="33"/>
      <c r="H156" s="33"/>
      <c r="I156" s="33"/>
      <c r="J156" s="33"/>
      <c r="K156" s="33"/>
      <c r="L156" s="33"/>
      <c r="M156" s="33"/>
      <c r="N156" s="33"/>
      <c r="O156" s="33"/>
      <c r="P156" s="33"/>
      <c r="Q156" s="33"/>
      <c r="R156" s="33"/>
    </row>
    <row r="157">
      <c r="A157" s="33"/>
      <c r="B157" s="33"/>
      <c r="C157" s="33"/>
      <c r="D157" s="33"/>
      <c r="E157" s="33"/>
      <c r="F157" s="33"/>
      <c r="G157" s="33"/>
      <c r="H157" s="33"/>
      <c r="I157" s="33"/>
      <c r="J157" s="33"/>
      <c r="K157" s="33"/>
      <c r="L157" s="33"/>
      <c r="M157" s="33"/>
      <c r="N157" s="33"/>
      <c r="O157" s="33"/>
      <c r="P157" s="33"/>
      <c r="Q157" s="33"/>
      <c r="R157" s="33"/>
    </row>
    <row r="158">
      <c r="A158" s="33"/>
      <c r="B158" s="33"/>
      <c r="C158" s="33"/>
      <c r="D158" s="33"/>
      <c r="E158" s="33"/>
      <c r="F158" s="33"/>
      <c r="G158" s="33"/>
      <c r="H158" s="33"/>
      <c r="I158" s="33"/>
      <c r="J158" s="33"/>
      <c r="K158" s="33"/>
      <c r="L158" s="33"/>
      <c r="M158" s="33"/>
      <c r="N158" s="33"/>
      <c r="O158" s="33"/>
      <c r="P158" s="33"/>
      <c r="Q158" s="33"/>
      <c r="R158" s="33"/>
    </row>
    <row r="159">
      <c r="A159" s="33"/>
      <c r="B159" s="33"/>
      <c r="C159" s="33"/>
      <c r="D159" s="33"/>
      <c r="E159" s="33"/>
      <c r="F159" s="33"/>
      <c r="G159" s="33"/>
      <c r="H159" s="33"/>
      <c r="I159" s="33"/>
      <c r="J159" s="33"/>
      <c r="K159" s="33"/>
      <c r="L159" s="33"/>
      <c r="M159" s="33"/>
      <c r="N159" s="33"/>
      <c r="O159" s="33"/>
      <c r="P159" s="33"/>
      <c r="Q159" s="33"/>
      <c r="R159" s="33"/>
    </row>
    <row r="160">
      <c r="A160" s="33"/>
      <c r="B160" s="33"/>
      <c r="C160" s="33"/>
      <c r="D160" s="33"/>
      <c r="E160" s="33"/>
      <c r="F160" s="33"/>
      <c r="G160" s="33"/>
      <c r="H160" s="33"/>
      <c r="I160" s="33"/>
      <c r="J160" s="33"/>
      <c r="K160" s="33"/>
      <c r="L160" s="33"/>
      <c r="M160" s="33"/>
      <c r="N160" s="33"/>
      <c r="O160" s="33"/>
      <c r="P160" s="33"/>
      <c r="Q160" s="33"/>
      <c r="R160" s="33"/>
    </row>
    <row r="161">
      <c r="A161" s="33"/>
      <c r="B161" s="33"/>
      <c r="C161" s="33"/>
      <c r="D161" s="33"/>
      <c r="E161" s="33"/>
      <c r="F161" s="33"/>
      <c r="G161" s="33"/>
      <c r="H161" s="33"/>
      <c r="I161" s="33"/>
      <c r="J161" s="33"/>
      <c r="K161" s="33"/>
      <c r="L161" s="33"/>
      <c r="M161" s="33"/>
      <c r="N161" s="33"/>
      <c r="O161" s="33"/>
      <c r="P161" s="33"/>
      <c r="Q161" s="33"/>
      <c r="R161" s="33"/>
    </row>
    <row r="162">
      <c r="A162" s="33"/>
      <c r="B162" s="33"/>
      <c r="C162" s="33"/>
      <c r="D162" s="33"/>
      <c r="E162" s="33"/>
      <c r="F162" s="33"/>
      <c r="G162" s="33"/>
      <c r="H162" s="33"/>
      <c r="I162" s="33"/>
      <c r="J162" s="33"/>
      <c r="K162" s="33"/>
      <c r="L162" s="33"/>
      <c r="M162" s="33"/>
      <c r="N162" s="33"/>
      <c r="O162" s="33"/>
      <c r="P162" s="33"/>
      <c r="Q162" s="33"/>
      <c r="R162" s="33"/>
    </row>
    <row r="163">
      <c r="A163" s="33"/>
      <c r="B163" s="33"/>
      <c r="C163" s="33"/>
      <c r="D163" s="33"/>
      <c r="E163" s="33"/>
      <c r="F163" s="33"/>
      <c r="G163" s="33"/>
      <c r="H163" s="33"/>
      <c r="I163" s="33"/>
      <c r="J163" s="33"/>
      <c r="K163" s="33"/>
      <c r="L163" s="33"/>
      <c r="M163" s="33"/>
      <c r="N163" s="33"/>
      <c r="O163" s="33"/>
      <c r="P163" s="33"/>
      <c r="Q163" s="33"/>
      <c r="R163" s="33"/>
    </row>
    <row r="164">
      <c r="A164" s="33"/>
      <c r="B164" s="33"/>
      <c r="C164" s="33"/>
      <c r="D164" s="33"/>
      <c r="E164" s="33"/>
      <c r="F164" s="33"/>
      <c r="G164" s="33"/>
      <c r="H164" s="33"/>
      <c r="I164" s="33"/>
      <c r="J164" s="33"/>
      <c r="K164" s="33"/>
      <c r="L164" s="33"/>
      <c r="M164" s="33"/>
      <c r="N164" s="33"/>
      <c r="O164" s="33"/>
      <c r="P164" s="33"/>
      <c r="Q164" s="33"/>
      <c r="R164" s="33"/>
    </row>
    <row r="165">
      <c r="A165" s="33"/>
      <c r="B165" s="33"/>
      <c r="C165" s="33"/>
      <c r="D165" s="33"/>
      <c r="E165" s="33"/>
      <c r="F165" s="33"/>
      <c r="G165" s="33"/>
      <c r="H165" s="33"/>
      <c r="I165" s="33"/>
      <c r="J165" s="33"/>
      <c r="K165" s="33"/>
      <c r="L165" s="33"/>
      <c r="M165" s="33"/>
      <c r="N165" s="33"/>
      <c r="O165" s="33"/>
      <c r="P165" s="33"/>
      <c r="Q165" s="33"/>
      <c r="R165" s="33"/>
    </row>
    <row r="166">
      <c r="A166" s="33"/>
      <c r="B166" s="33"/>
      <c r="C166" s="33"/>
      <c r="D166" s="33"/>
      <c r="E166" s="33"/>
      <c r="F166" s="33"/>
      <c r="G166" s="33"/>
      <c r="H166" s="33"/>
      <c r="I166" s="33"/>
      <c r="J166" s="33"/>
      <c r="K166" s="33"/>
      <c r="L166" s="33"/>
      <c r="M166" s="33"/>
      <c r="N166" s="33"/>
      <c r="O166" s="33"/>
      <c r="P166" s="33"/>
      <c r="Q166" s="33"/>
      <c r="R166" s="33"/>
    </row>
    <row r="167">
      <c r="A167" s="33"/>
      <c r="B167" s="33"/>
      <c r="C167" s="33"/>
      <c r="D167" s="33"/>
      <c r="E167" s="33"/>
      <c r="F167" s="33"/>
      <c r="G167" s="33"/>
      <c r="H167" s="33"/>
      <c r="I167" s="33"/>
      <c r="J167" s="33"/>
      <c r="K167" s="33"/>
      <c r="L167" s="33"/>
      <c r="M167" s="33"/>
      <c r="N167" s="33"/>
      <c r="O167" s="33"/>
      <c r="P167" s="33"/>
      <c r="Q167" s="33"/>
      <c r="R167" s="33"/>
    </row>
    <row r="168">
      <c r="A168" s="33"/>
      <c r="B168" s="33"/>
      <c r="C168" s="33"/>
      <c r="D168" s="33"/>
      <c r="E168" s="33"/>
      <c r="F168" s="33"/>
      <c r="G168" s="33"/>
      <c r="H168" s="33"/>
      <c r="I168" s="33"/>
      <c r="J168" s="33"/>
      <c r="K168" s="33"/>
      <c r="L168" s="33"/>
      <c r="M168" s="33"/>
      <c r="N168" s="33"/>
      <c r="O168" s="33"/>
      <c r="P168" s="33"/>
      <c r="Q168" s="33"/>
      <c r="R168" s="33"/>
    </row>
    <row r="169">
      <c r="A169" s="33"/>
      <c r="B169" s="33"/>
      <c r="C169" s="33"/>
      <c r="D169" s="33"/>
      <c r="E169" s="33"/>
      <c r="F169" s="33"/>
      <c r="G169" s="33"/>
      <c r="H169" s="33"/>
      <c r="I169" s="33"/>
      <c r="J169" s="33"/>
      <c r="K169" s="33"/>
      <c r="L169" s="33"/>
      <c r="M169" s="33"/>
      <c r="N169" s="33"/>
      <c r="O169" s="33"/>
      <c r="P169" s="33"/>
      <c r="Q169" s="33"/>
      <c r="R169" s="33"/>
    </row>
    <row r="170">
      <c r="A170" s="33"/>
      <c r="B170" s="33"/>
      <c r="C170" s="33"/>
      <c r="D170" s="33"/>
      <c r="E170" s="33"/>
      <c r="F170" s="33"/>
      <c r="G170" s="33"/>
      <c r="H170" s="33"/>
      <c r="I170" s="33"/>
      <c r="J170" s="33"/>
      <c r="K170" s="33"/>
      <c r="L170" s="33"/>
      <c r="M170" s="33"/>
      <c r="N170" s="33"/>
      <c r="O170" s="33"/>
      <c r="P170" s="33"/>
      <c r="Q170" s="33"/>
      <c r="R170" s="33"/>
    </row>
    <row r="171">
      <c r="A171" s="33"/>
      <c r="B171" s="33"/>
      <c r="C171" s="33"/>
      <c r="D171" s="33"/>
      <c r="E171" s="33"/>
      <c r="F171" s="33"/>
      <c r="G171" s="33"/>
      <c r="H171" s="33"/>
      <c r="I171" s="33"/>
      <c r="J171" s="33"/>
      <c r="K171" s="33"/>
      <c r="L171" s="33"/>
      <c r="M171" s="33"/>
      <c r="N171" s="33"/>
      <c r="O171" s="33"/>
      <c r="P171" s="33"/>
      <c r="Q171" s="33"/>
      <c r="R171" s="33"/>
    </row>
    <row r="172">
      <c r="A172" s="33"/>
      <c r="B172" s="33"/>
      <c r="C172" s="33"/>
      <c r="D172" s="33"/>
      <c r="E172" s="33"/>
      <c r="F172" s="33"/>
      <c r="G172" s="33"/>
      <c r="H172" s="33"/>
      <c r="I172" s="33"/>
      <c r="J172" s="33"/>
      <c r="K172" s="33"/>
      <c r="L172" s="33"/>
      <c r="M172" s="33"/>
      <c r="N172" s="33"/>
      <c r="O172" s="33"/>
      <c r="P172" s="33"/>
      <c r="Q172" s="33"/>
      <c r="R172" s="33"/>
    </row>
    <row r="173">
      <c r="A173" s="33"/>
      <c r="B173" s="33"/>
      <c r="C173" s="33"/>
      <c r="D173" s="33"/>
      <c r="E173" s="33"/>
      <c r="F173" s="33"/>
      <c r="G173" s="33"/>
      <c r="H173" s="33"/>
      <c r="I173" s="33"/>
      <c r="J173" s="33"/>
      <c r="K173" s="33"/>
      <c r="L173" s="33"/>
      <c r="M173" s="33"/>
      <c r="N173" s="33"/>
      <c r="O173" s="33"/>
      <c r="P173" s="33"/>
      <c r="Q173" s="33"/>
      <c r="R173" s="33"/>
    </row>
    <row r="174">
      <c r="A174" s="33"/>
      <c r="B174" s="33"/>
      <c r="C174" s="33"/>
      <c r="D174" s="33"/>
      <c r="E174" s="33"/>
      <c r="F174" s="33"/>
      <c r="G174" s="33"/>
      <c r="H174" s="33"/>
      <c r="I174" s="33"/>
      <c r="J174" s="33"/>
      <c r="K174" s="33"/>
      <c r="L174" s="33"/>
      <c r="M174" s="33"/>
      <c r="N174" s="33"/>
      <c r="O174" s="33"/>
      <c r="P174" s="33"/>
      <c r="Q174" s="33"/>
      <c r="R174" s="33"/>
    </row>
    <row r="175">
      <c r="A175" s="33"/>
      <c r="B175" s="33"/>
      <c r="C175" s="33"/>
      <c r="D175" s="33"/>
      <c r="E175" s="33"/>
      <c r="F175" s="33"/>
      <c r="G175" s="33"/>
      <c r="H175" s="33"/>
      <c r="I175" s="33"/>
      <c r="J175" s="33"/>
      <c r="K175" s="33"/>
      <c r="L175" s="33"/>
      <c r="M175" s="33"/>
      <c r="N175" s="33"/>
      <c r="O175" s="33"/>
      <c r="P175" s="33"/>
      <c r="Q175" s="33"/>
      <c r="R175" s="33"/>
    </row>
    <row r="176">
      <c r="A176" s="33"/>
      <c r="B176" s="33"/>
      <c r="C176" s="33"/>
      <c r="D176" s="33"/>
      <c r="E176" s="33"/>
      <c r="F176" s="33"/>
      <c r="G176" s="33"/>
      <c r="H176" s="33"/>
      <c r="I176" s="33"/>
      <c r="J176" s="33"/>
      <c r="K176" s="33"/>
      <c r="L176" s="33"/>
      <c r="M176" s="33"/>
      <c r="N176" s="33"/>
      <c r="O176" s="33"/>
      <c r="P176" s="33"/>
      <c r="Q176" s="33"/>
      <c r="R176" s="33"/>
    </row>
    <row r="177">
      <c r="A177" s="33"/>
      <c r="B177" s="33"/>
      <c r="C177" s="33"/>
      <c r="D177" s="33"/>
      <c r="E177" s="33"/>
      <c r="F177" s="33"/>
      <c r="G177" s="33"/>
      <c r="H177" s="33"/>
      <c r="I177" s="33"/>
      <c r="J177" s="33"/>
      <c r="K177" s="33"/>
      <c r="L177" s="33"/>
      <c r="M177" s="33"/>
      <c r="N177" s="33"/>
      <c r="O177" s="33"/>
      <c r="P177" s="33"/>
      <c r="Q177" s="33"/>
      <c r="R177" s="33"/>
    </row>
    <row r="178">
      <c r="A178" s="33"/>
      <c r="B178" s="33"/>
      <c r="C178" s="33"/>
      <c r="D178" s="33"/>
      <c r="E178" s="33"/>
      <c r="F178" s="33"/>
      <c r="G178" s="33"/>
      <c r="H178" s="33"/>
      <c r="I178" s="33"/>
      <c r="J178" s="33"/>
      <c r="K178" s="33"/>
      <c r="L178" s="33"/>
      <c r="M178" s="33"/>
      <c r="N178" s="33"/>
      <c r="O178" s="33"/>
      <c r="P178" s="33"/>
      <c r="Q178" s="33"/>
      <c r="R178" s="33"/>
    </row>
    <row r="179">
      <c r="A179" s="33"/>
      <c r="B179" s="33"/>
      <c r="C179" s="33"/>
      <c r="D179" s="33"/>
      <c r="E179" s="33"/>
      <c r="F179" s="33"/>
      <c r="G179" s="33"/>
      <c r="H179" s="33"/>
      <c r="I179" s="33"/>
      <c r="J179" s="33"/>
      <c r="K179" s="33"/>
      <c r="L179" s="33"/>
      <c r="M179" s="33"/>
      <c r="N179" s="33"/>
      <c r="O179" s="33"/>
      <c r="P179" s="33"/>
      <c r="Q179" s="33"/>
      <c r="R179" s="33"/>
    </row>
    <row r="180">
      <c r="A180" s="33"/>
      <c r="B180" s="33"/>
      <c r="C180" s="33"/>
      <c r="D180" s="33"/>
      <c r="E180" s="33"/>
      <c r="F180" s="33"/>
      <c r="G180" s="33"/>
      <c r="H180" s="33"/>
      <c r="I180" s="33"/>
      <c r="J180" s="33"/>
      <c r="K180" s="33"/>
      <c r="L180" s="33"/>
      <c r="M180" s="33"/>
      <c r="N180" s="33"/>
      <c r="O180" s="33"/>
      <c r="P180" s="33"/>
      <c r="Q180" s="33"/>
      <c r="R180" s="33"/>
    </row>
    <row r="181">
      <c r="A181" s="33"/>
      <c r="B181" s="33"/>
      <c r="C181" s="33"/>
      <c r="D181" s="33"/>
      <c r="E181" s="33"/>
      <c r="F181" s="33"/>
      <c r="G181" s="33"/>
      <c r="H181" s="33"/>
      <c r="I181" s="33"/>
      <c r="J181" s="33"/>
      <c r="K181" s="33"/>
      <c r="L181" s="33"/>
      <c r="M181" s="33"/>
      <c r="N181" s="33"/>
      <c r="O181" s="33"/>
      <c r="P181" s="33"/>
      <c r="Q181" s="33"/>
      <c r="R181" s="33"/>
    </row>
    <row r="182">
      <c r="A182" s="33"/>
      <c r="B182" s="33"/>
      <c r="C182" s="33"/>
      <c r="D182" s="33"/>
      <c r="E182" s="33"/>
      <c r="F182" s="33"/>
      <c r="G182" s="33"/>
      <c r="H182" s="33"/>
      <c r="I182" s="33"/>
      <c r="J182" s="33"/>
      <c r="K182" s="33"/>
      <c r="L182" s="33"/>
      <c r="M182" s="33"/>
      <c r="N182" s="33"/>
      <c r="O182" s="33"/>
      <c r="P182" s="33"/>
      <c r="Q182" s="33"/>
      <c r="R182" s="33"/>
    </row>
    <row r="183">
      <c r="A183" s="33"/>
      <c r="B183" s="33"/>
      <c r="C183" s="33"/>
      <c r="D183" s="33"/>
      <c r="E183" s="33"/>
      <c r="F183" s="33"/>
      <c r="G183" s="33"/>
      <c r="H183" s="33"/>
      <c r="I183" s="33"/>
      <c r="J183" s="33"/>
      <c r="K183" s="33"/>
      <c r="L183" s="33"/>
      <c r="M183" s="33"/>
      <c r="N183" s="33"/>
      <c r="O183" s="33"/>
      <c r="P183" s="33"/>
      <c r="Q183" s="33"/>
      <c r="R183" s="33"/>
    </row>
    <row r="184">
      <c r="A184" s="33"/>
      <c r="B184" s="33"/>
      <c r="C184" s="33"/>
      <c r="D184" s="33"/>
      <c r="E184" s="33"/>
      <c r="F184" s="33"/>
      <c r="G184" s="33"/>
      <c r="H184" s="33"/>
      <c r="I184" s="33"/>
      <c r="J184" s="33"/>
      <c r="K184" s="33"/>
      <c r="L184" s="33"/>
      <c r="M184" s="33"/>
      <c r="N184" s="33"/>
      <c r="O184" s="33"/>
      <c r="P184" s="33"/>
      <c r="Q184" s="33"/>
      <c r="R184" s="33"/>
    </row>
    <row r="185">
      <c r="A185" s="33"/>
      <c r="B185" s="33"/>
      <c r="C185" s="33"/>
      <c r="D185" s="33"/>
      <c r="E185" s="33"/>
      <c r="F185" s="33"/>
      <c r="G185" s="33"/>
      <c r="H185" s="33"/>
      <c r="I185" s="33"/>
      <c r="J185" s="33"/>
      <c r="K185" s="33"/>
      <c r="L185" s="33"/>
      <c r="M185" s="33"/>
      <c r="N185" s="33"/>
      <c r="O185" s="33"/>
      <c r="P185" s="33"/>
      <c r="Q185" s="33"/>
      <c r="R185" s="33"/>
    </row>
    <row r="186">
      <c r="A186" s="33"/>
      <c r="B186" s="33"/>
      <c r="C186" s="33"/>
      <c r="D186" s="33"/>
      <c r="E186" s="33"/>
      <c r="F186" s="33"/>
      <c r="G186" s="33"/>
      <c r="H186" s="33"/>
      <c r="I186" s="33"/>
      <c r="J186" s="33"/>
      <c r="K186" s="33"/>
      <c r="L186" s="33"/>
      <c r="M186" s="33"/>
      <c r="N186" s="33"/>
      <c r="O186" s="33"/>
      <c r="P186" s="33"/>
      <c r="Q186" s="33"/>
      <c r="R186" s="33"/>
    </row>
    <row r="187">
      <c r="A187" s="33"/>
      <c r="B187" s="33"/>
      <c r="C187" s="33"/>
      <c r="D187" s="33"/>
      <c r="E187" s="33"/>
      <c r="F187" s="33"/>
      <c r="G187" s="33"/>
      <c r="H187" s="33"/>
      <c r="I187" s="33"/>
      <c r="J187" s="33"/>
      <c r="K187" s="33"/>
      <c r="L187" s="33"/>
      <c r="M187" s="33"/>
      <c r="N187" s="33"/>
      <c r="O187" s="33"/>
      <c r="P187" s="33"/>
      <c r="Q187" s="33"/>
      <c r="R187" s="33"/>
    </row>
    <row r="188">
      <c r="A188" s="33"/>
      <c r="B188" s="33"/>
      <c r="C188" s="33"/>
      <c r="D188" s="33"/>
      <c r="E188" s="33"/>
      <c r="F188" s="33"/>
      <c r="G188" s="33"/>
      <c r="H188" s="33"/>
      <c r="I188" s="33"/>
      <c r="J188" s="33"/>
      <c r="K188" s="33"/>
      <c r="L188" s="33"/>
      <c r="M188" s="33"/>
      <c r="N188" s="33"/>
      <c r="O188" s="33"/>
      <c r="P188" s="33"/>
      <c r="Q188" s="33"/>
      <c r="R188" s="33"/>
    </row>
    <row r="189">
      <c r="A189" s="33"/>
      <c r="B189" s="33"/>
      <c r="C189" s="33"/>
      <c r="D189" s="33"/>
      <c r="E189" s="33"/>
      <c r="F189" s="33"/>
      <c r="G189" s="33"/>
      <c r="H189" s="33"/>
      <c r="I189" s="33"/>
      <c r="J189" s="33"/>
      <c r="K189" s="33"/>
      <c r="L189" s="33"/>
      <c r="M189" s="33"/>
      <c r="N189" s="33"/>
      <c r="O189" s="33"/>
      <c r="P189" s="33"/>
      <c r="Q189" s="33"/>
      <c r="R189" s="33"/>
    </row>
    <row r="190">
      <c r="A190" s="33"/>
      <c r="B190" s="33"/>
      <c r="C190" s="33"/>
      <c r="D190" s="33"/>
      <c r="E190" s="33"/>
      <c r="F190" s="33"/>
      <c r="G190" s="33"/>
      <c r="H190" s="33"/>
      <c r="I190" s="33"/>
      <c r="J190" s="33"/>
      <c r="K190" s="33"/>
      <c r="L190" s="33"/>
      <c r="M190" s="33"/>
      <c r="N190" s="33"/>
      <c r="O190" s="33"/>
      <c r="P190" s="33"/>
      <c r="Q190" s="33"/>
      <c r="R190" s="33"/>
    </row>
    <row r="191">
      <c r="A191" s="33"/>
      <c r="B191" s="33"/>
      <c r="C191" s="33"/>
      <c r="D191" s="33"/>
      <c r="E191" s="33"/>
      <c r="F191" s="33"/>
      <c r="G191" s="33"/>
      <c r="H191" s="33"/>
      <c r="I191" s="33"/>
      <c r="J191" s="33"/>
      <c r="K191" s="33"/>
      <c r="L191" s="33"/>
      <c r="M191" s="33"/>
      <c r="N191" s="33"/>
      <c r="O191" s="33"/>
      <c r="P191" s="33"/>
      <c r="Q191" s="33"/>
      <c r="R191" s="33"/>
    </row>
    <row r="192">
      <c r="A192" s="33"/>
      <c r="B192" s="33"/>
      <c r="C192" s="33"/>
      <c r="D192" s="33"/>
      <c r="E192" s="33"/>
      <c r="F192" s="33"/>
      <c r="G192" s="33"/>
      <c r="H192" s="33"/>
      <c r="I192" s="33"/>
      <c r="J192" s="33"/>
      <c r="K192" s="33"/>
      <c r="L192" s="33"/>
      <c r="M192" s="33"/>
      <c r="N192" s="33"/>
      <c r="O192" s="33"/>
      <c r="P192" s="33"/>
      <c r="Q192" s="33"/>
      <c r="R192" s="33"/>
    </row>
    <row r="193">
      <c r="A193" s="33"/>
      <c r="B193" s="33"/>
      <c r="C193" s="33"/>
      <c r="D193" s="33"/>
      <c r="E193" s="33"/>
      <c r="F193" s="33"/>
      <c r="G193" s="33"/>
      <c r="H193" s="33"/>
      <c r="I193" s="33"/>
      <c r="J193" s="33"/>
      <c r="K193" s="33"/>
      <c r="L193" s="33"/>
      <c r="M193" s="33"/>
      <c r="N193" s="33"/>
      <c r="O193" s="33"/>
      <c r="P193" s="33"/>
      <c r="Q193" s="33"/>
      <c r="R193" s="33"/>
    </row>
    <row r="194">
      <c r="A194" s="33"/>
      <c r="B194" s="33"/>
      <c r="C194" s="33"/>
      <c r="D194" s="33"/>
      <c r="E194" s="33"/>
      <c r="F194" s="33"/>
      <c r="G194" s="33"/>
      <c r="H194" s="33"/>
      <c r="I194" s="33"/>
      <c r="J194" s="33"/>
      <c r="K194" s="33"/>
      <c r="L194" s="33"/>
      <c r="M194" s="33"/>
      <c r="N194" s="33"/>
      <c r="O194" s="33"/>
      <c r="P194" s="33"/>
      <c r="Q194" s="33"/>
      <c r="R194" s="33"/>
    </row>
    <row r="195">
      <c r="A195" s="33"/>
      <c r="B195" s="33"/>
      <c r="C195" s="33"/>
      <c r="D195" s="33"/>
      <c r="E195" s="33"/>
      <c r="F195" s="33"/>
      <c r="G195" s="33"/>
      <c r="H195" s="33"/>
      <c r="I195" s="33"/>
      <c r="J195" s="33"/>
      <c r="K195" s="33"/>
      <c r="L195" s="33"/>
      <c r="M195" s="33"/>
      <c r="N195" s="33"/>
      <c r="O195" s="33"/>
      <c r="P195" s="33"/>
      <c r="Q195" s="33"/>
      <c r="R195" s="33"/>
    </row>
    <row r="196">
      <c r="A196" s="33"/>
      <c r="B196" s="33"/>
      <c r="C196" s="33"/>
      <c r="D196" s="33"/>
      <c r="E196" s="33"/>
      <c r="F196" s="33"/>
      <c r="G196" s="33"/>
      <c r="H196" s="33"/>
      <c r="I196" s="33"/>
      <c r="J196" s="33"/>
      <c r="K196" s="33"/>
      <c r="L196" s="33"/>
      <c r="M196" s="33"/>
      <c r="N196" s="33"/>
      <c r="O196" s="33"/>
      <c r="P196" s="33"/>
      <c r="Q196" s="33"/>
      <c r="R196" s="33"/>
    </row>
    <row r="197">
      <c r="A197" s="33"/>
      <c r="B197" s="33"/>
      <c r="C197" s="33"/>
      <c r="D197" s="33"/>
      <c r="E197" s="33"/>
      <c r="F197" s="33"/>
      <c r="G197" s="33"/>
      <c r="H197" s="33"/>
      <c r="I197" s="33"/>
      <c r="J197" s="33"/>
      <c r="K197" s="33"/>
      <c r="L197" s="33"/>
      <c r="M197" s="33"/>
      <c r="N197" s="33"/>
      <c r="O197" s="33"/>
      <c r="P197" s="33"/>
      <c r="Q197" s="33"/>
      <c r="R197" s="33"/>
    </row>
    <row r="198">
      <c r="A198" s="33"/>
      <c r="B198" s="33"/>
      <c r="C198" s="33"/>
      <c r="D198" s="33"/>
      <c r="E198" s="33"/>
      <c r="F198" s="33"/>
      <c r="G198" s="33"/>
      <c r="H198" s="33"/>
      <c r="I198" s="33"/>
      <c r="J198" s="33"/>
      <c r="K198" s="33"/>
      <c r="L198" s="33"/>
      <c r="M198" s="33"/>
      <c r="N198" s="33"/>
      <c r="O198" s="33"/>
      <c r="P198" s="33"/>
      <c r="Q198" s="33"/>
      <c r="R198" s="33"/>
    </row>
    <row r="199">
      <c r="A199" s="33"/>
      <c r="B199" s="33"/>
      <c r="C199" s="33"/>
      <c r="D199" s="33"/>
      <c r="E199" s="33"/>
      <c r="F199" s="33"/>
      <c r="G199" s="33"/>
      <c r="H199" s="33"/>
      <c r="I199" s="33"/>
      <c r="J199" s="33"/>
      <c r="K199" s="33"/>
      <c r="L199" s="33"/>
      <c r="M199" s="33"/>
      <c r="N199" s="33"/>
      <c r="O199" s="33"/>
      <c r="P199" s="33"/>
      <c r="Q199" s="33"/>
      <c r="R199" s="33"/>
    </row>
    <row r="200">
      <c r="A200" s="33"/>
      <c r="B200" s="33"/>
      <c r="C200" s="33"/>
      <c r="D200" s="33"/>
      <c r="E200" s="33"/>
      <c r="F200" s="33"/>
      <c r="G200" s="33"/>
      <c r="H200" s="33"/>
      <c r="I200" s="33"/>
      <c r="J200" s="33"/>
      <c r="K200" s="33"/>
      <c r="L200" s="33"/>
      <c r="M200" s="33"/>
      <c r="N200" s="33"/>
      <c r="O200" s="33"/>
      <c r="P200" s="33"/>
      <c r="Q200" s="33"/>
      <c r="R200" s="33"/>
    </row>
    <row r="201">
      <c r="A201" s="33"/>
      <c r="B201" s="33"/>
      <c r="C201" s="33"/>
      <c r="D201" s="33"/>
      <c r="E201" s="33"/>
      <c r="F201" s="33"/>
      <c r="G201" s="33"/>
      <c r="H201" s="33"/>
      <c r="I201" s="33"/>
      <c r="J201" s="33"/>
      <c r="K201" s="33"/>
      <c r="L201" s="33"/>
      <c r="M201" s="33"/>
      <c r="N201" s="33"/>
      <c r="O201" s="33"/>
      <c r="P201" s="33"/>
      <c r="Q201" s="33"/>
      <c r="R201" s="33"/>
    </row>
    <row r="202">
      <c r="A202" s="33"/>
      <c r="B202" s="33"/>
      <c r="C202" s="33"/>
      <c r="D202" s="33"/>
      <c r="E202" s="33"/>
      <c r="F202" s="33"/>
      <c r="G202" s="33"/>
      <c r="H202" s="33"/>
      <c r="I202" s="33"/>
      <c r="J202" s="33"/>
      <c r="K202" s="33"/>
      <c r="L202" s="33"/>
      <c r="M202" s="33"/>
      <c r="N202" s="33"/>
      <c r="O202" s="33"/>
      <c r="P202" s="33"/>
      <c r="Q202" s="33"/>
      <c r="R202" s="33"/>
    </row>
    <row r="203">
      <c r="A203" s="33"/>
      <c r="B203" s="33"/>
      <c r="C203" s="33"/>
      <c r="D203" s="33"/>
      <c r="E203" s="33"/>
      <c r="F203" s="33"/>
      <c r="G203" s="33"/>
      <c r="H203" s="33"/>
      <c r="I203" s="33"/>
      <c r="J203" s="33"/>
      <c r="K203" s="33"/>
      <c r="L203" s="33"/>
      <c r="M203" s="33"/>
      <c r="N203" s="33"/>
      <c r="O203" s="33"/>
      <c r="P203" s="33"/>
      <c r="Q203" s="33"/>
      <c r="R203" s="33"/>
    </row>
    <row r="204">
      <c r="A204" s="33"/>
      <c r="B204" s="33"/>
      <c r="C204" s="33"/>
      <c r="D204" s="33"/>
      <c r="E204" s="33"/>
      <c r="F204" s="33"/>
      <c r="G204" s="33"/>
      <c r="H204" s="33"/>
      <c r="I204" s="33"/>
      <c r="J204" s="33"/>
      <c r="K204" s="33"/>
      <c r="L204" s="33"/>
      <c r="M204" s="33"/>
      <c r="N204" s="33"/>
      <c r="O204" s="33"/>
      <c r="P204" s="33"/>
      <c r="Q204" s="33"/>
      <c r="R204" s="33"/>
    </row>
    <row r="205">
      <c r="A205" s="33"/>
      <c r="B205" s="33"/>
      <c r="C205" s="33"/>
      <c r="D205" s="33"/>
      <c r="E205" s="33"/>
      <c r="F205" s="33"/>
      <c r="G205" s="33"/>
      <c r="H205" s="33"/>
      <c r="I205" s="33"/>
      <c r="J205" s="33"/>
      <c r="K205" s="33"/>
      <c r="L205" s="33"/>
      <c r="M205" s="33"/>
      <c r="N205" s="33"/>
      <c r="O205" s="33"/>
      <c r="P205" s="33"/>
      <c r="Q205" s="33"/>
      <c r="R205" s="33"/>
    </row>
    <row r="206">
      <c r="A206" s="33"/>
      <c r="B206" s="33"/>
      <c r="C206" s="33"/>
      <c r="D206" s="33"/>
      <c r="E206" s="33"/>
      <c r="F206" s="33"/>
      <c r="G206" s="33"/>
      <c r="H206" s="33"/>
      <c r="I206" s="33"/>
      <c r="J206" s="33"/>
      <c r="K206" s="33"/>
      <c r="L206" s="33"/>
      <c r="M206" s="33"/>
      <c r="N206" s="33"/>
      <c r="O206" s="33"/>
      <c r="P206" s="33"/>
      <c r="Q206" s="33"/>
      <c r="R206" s="33"/>
    </row>
    <row r="207">
      <c r="A207" s="33"/>
      <c r="B207" s="33"/>
      <c r="C207" s="33"/>
      <c r="D207" s="33"/>
      <c r="E207" s="33"/>
      <c r="F207" s="33"/>
      <c r="G207" s="33"/>
      <c r="H207" s="33"/>
      <c r="I207" s="33"/>
      <c r="J207" s="33"/>
      <c r="K207" s="33"/>
      <c r="L207" s="33"/>
      <c r="M207" s="33"/>
      <c r="N207" s="33"/>
      <c r="O207" s="33"/>
      <c r="P207" s="33"/>
      <c r="Q207" s="33"/>
      <c r="R207" s="33"/>
    </row>
    <row r="208">
      <c r="A208" s="33"/>
      <c r="B208" s="33"/>
      <c r="C208" s="33"/>
      <c r="D208" s="33"/>
      <c r="E208" s="33"/>
      <c r="F208" s="33"/>
      <c r="G208" s="33"/>
      <c r="H208" s="33"/>
      <c r="I208" s="33"/>
      <c r="J208" s="33"/>
      <c r="K208" s="33"/>
      <c r="L208" s="33"/>
      <c r="M208" s="33"/>
      <c r="N208" s="33"/>
      <c r="O208" s="33"/>
      <c r="P208" s="33"/>
      <c r="Q208" s="33"/>
      <c r="R208" s="33"/>
    </row>
    <row r="209">
      <c r="A209" s="33"/>
      <c r="B209" s="33"/>
      <c r="C209" s="33"/>
      <c r="D209" s="33"/>
      <c r="E209" s="33"/>
      <c r="F209" s="33"/>
      <c r="G209" s="33"/>
      <c r="H209" s="33"/>
      <c r="I209" s="33"/>
      <c r="J209" s="33"/>
      <c r="K209" s="33"/>
      <c r="L209" s="33"/>
      <c r="M209" s="33"/>
      <c r="N209" s="33"/>
      <c r="O209" s="33"/>
      <c r="P209" s="33"/>
      <c r="Q209" s="33"/>
      <c r="R209" s="33"/>
    </row>
    <row r="210">
      <c r="A210" s="33"/>
      <c r="B210" s="33"/>
      <c r="C210" s="33"/>
      <c r="D210" s="33"/>
      <c r="E210" s="33"/>
      <c r="F210" s="33"/>
      <c r="G210" s="33"/>
      <c r="H210" s="33"/>
      <c r="I210" s="33"/>
      <c r="J210" s="33"/>
      <c r="K210" s="33"/>
      <c r="L210" s="33"/>
      <c r="M210" s="33"/>
      <c r="N210" s="33"/>
      <c r="O210" s="33"/>
      <c r="P210" s="33"/>
      <c r="Q210" s="33"/>
      <c r="R210" s="33"/>
    </row>
    <row r="211">
      <c r="A211" s="33"/>
      <c r="B211" s="33"/>
      <c r="C211" s="33"/>
      <c r="D211" s="33"/>
      <c r="E211" s="33"/>
      <c r="F211" s="33"/>
      <c r="G211" s="33"/>
      <c r="H211" s="33"/>
      <c r="I211" s="33"/>
      <c r="J211" s="33"/>
      <c r="K211" s="33"/>
      <c r="L211" s="33"/>
      <c r="M211" s="33"/>
      <c r="N211" s="33"/>
      <c r="O211" s="33"/>
      <c r="P211" s="33"/>
      <c r="Q211" s="33"/>
      <c r="R211" s="33"/>
    </row>
    <row r="212">
      <c r="A212" s="33"/>
      <c r="B212" s="33"/>
      <c r="C212" s="33"/>
      <c r="D212" s="33"/>
      <c r="E212" s="33"/>
      <c r="F212" s="33"/>
      <c r="G212" s="33"/>
      <c r="H212" s="33"/>
      <c r="I212" s="33"/>
      <c r="J212" s="33"/>
      <c r="K212" s="33"/>
      <c r="L212" s="33"/>
      <c r="M212" s="33"/>
      <c r="N212" s="33"/>
      <c r="O212" s="33"/>
      <c r="P212" s="33"/>
      <c r="Q212" s="33"/>
      <c r="R212" s="33"/>
    </row>
    <row r="213">
      <c r="A213" s="33"/>
      <c r="B213" s="33"/>
      <c r="C213" s="33"/>
      <c r="D213" s="33"/>
      <c r="E213" s="33"/>
      <c r="F213" s="33"/>
      <c r="G213" s="33"/>
      <c r="H213" s="33"/>
      <c r="I213" s="33"/>
      <c r="J213" s="33"/>
      <c r="K213" s="33"/>
      <c r="L213" s="33"/>
      <c r="M213" s="33"/>
      <c r="N213" s="33"/>
      <c r="O213" s="33"/>
      <c r="P213" s="33"/>
      <c r="Q213" s="33"/>
      <c r="R213" s="33"/>
    </row>
    <row r="214">
      <c r="A214" s="33"/>
      <c r="B214" s="33"/>
      <c r="C214" s="33"/>
      <c r="D214" s="33"/>
      <c r="E214" s="33"/>
      <c r="F214" s="33"/>
      <c r="G214" s="33"/>
      <c r="H214" s="33"/>
      <c r="I214" s="33"/>
      <c r="J214" s="33"/>
      <c r="K214" s="33"/>
      <c r="L214" s="33"/>
      <c r="M214" s="33"/>
      <c r="N214" s="33"/>
      <c r="O214" s="33"/>
      <c r="P214" s="33"/>
      <c r="Q214" s="33"/>
      <c r="R214" s="33"/>
    </row>
    <row r="215">
      <c r="A215" s="33"/>
      <c r="B215" s="33"/>
      <c r="C215" s="33"/>
      <c r="D215" s="33"/>
      <c r="E215" s="33"/>
      <c r="F215" s="33"/>
      <c r="G215" s="33"/>
      <c r="H215" s="33"/>
      <c r="I215" s="33"/>
      <c r="J215" s="33"/>
      <c r="K215" s="33"/>
      <c r="L215" s="33"/>
      <c r="M215" s="33"/>
      <c r="N215" s="33"/>
      <c r="O215" s="33"/>
      <c r="P215" s="33"/>
      <c r="Q215" s="33"/>
      <c r="R215" s="33"/>
    </row>
    <row r="216">
      <c r="A216" s="33"/>
      <c r="B216" s="33"/>
      <c r="C216" s="33"/>
      <c r="D216" s="33"/>
      <c r="E216" s="33"/>
      <c r="F216" s="33"/>
      <c r="G216" s="33"/>
      <c r="H216" s="33"/>
      <c r="I216" s="33"/>
      <c r="J216" s="33"/>
      <c r="K216" s="33"/>
      <c r="L216" s="33"/>
      <c r="M216" s="33"/>
      <c r="N216" s="33"/>
      <c r="O216" s="33"/>
      <c r="P216" s="33"/>
      <c r="Q216" s="33"/>
      <c r="R216" s="33"/>
    </row>
    <row r="217">
      <c r="A217" s="33"/>
      <c r="B217" s="33"/>
      <c r="C217" s="33"/>
      <c r="D217" s="33"/>
      <c r="E217" s="33"/>
      <c r="F217" s="33"/>
      <c r="G217" s="33"/>
      <c r="H217" s="33"/>
      <c r="I217" s="33"/>
      <c r="J217" s="33"/>
      <c r="K217" s="33"/>
      <c r="L217" s="33"/>
      <c r="M217" s="33"/>
      <c r="N217" s="33"/>
      <c r="O217" s="33"/>
      <c r="P217" s="33"/>
      <c r="Q217" s="33"/>
      <c r="R217" s="33"/>
    </row>
    <row r="218">
      <c r="A218" s="33"/>
      <c r="B218" s="33"/>
      <c r="C218" s="33"/>
      <c r="D218" s="33"/>
      <c r="E218" s="33"/>
      <c r="F218" s="33"/>
      <c r="G218" s="33"/>
      <c r="H218" s="33"/>
      <c r="I218" s="33"/>
      <c r="J218" s="33"/>
      <c r="K218" s="33"/>
      <c r="L218" s="33"/>
      <c r="M218" s="33"/>
      <c r="N218" s="33"/>
      <c r="O218" s="33"/>
      <c r="P218" s="33"/>
      <c r="Q218" s="33"/>
      <c r="R218" s="33"/>
    </row>
    <row r="219">
      <c r="A219" s="33"/>
      <c r="B219" s="33"/>
      <c r="C219" s="33"/>
      <c r="D219" s="33"/>
      <c r="E219" s="33"/>
      <c r="F219" s="33"/>
      <c r="G219" s="33"/>
      <c r="H219" s="33"/>
      <c r="I219" s="33"/>
      <c r="J219" s="33"/>
      <c r="K219" s="33"/>
      <c r="L219" s="33"/>
      <c r="M219" s="33"/>
      <c r="N219" s="33"/>
      <c r="O219" s="33"/>
      <c r="P219" s="33"/>
      <c r="Q219" s="33"/>
      <c r="R219" s="33"/>
    </row>
    <row r="220">
      <c r="A220" s="33"/>
      <c r="B220" s="33"/>
      <c r="C220" s="33"/>
      <c r="D220" s="33"/>
      <c r="E220" s="33"/>
      <c r="F220" s="33"/>
      <c r="G220" s="33"/>
      <c r="H220" s="33"/>
      <c r="I220" s="33"/>
      <c r="J220" s="33"/>
      <c r="K220" s="33"/>
      <c r="L220" s="33"/>
      <c r="M220" s="33"/>
      <c r="N220" s="33"/>
      <c r="O220" s="33"/>
      <c r="P220" s="33"/>
      <c r="Q220" s="33"/>
      <c r="R220" s="33"/>
    </row>
    <row r="221">
      <c r="A221" s="33"/>
      <c r="B221" s="33"/>
      <c r="C221" s="33"/>
      <c r="D221" s="33"/>
      <c r="E221" s="33"/>
      <c r="F221" s="33"/>
      <c r="G221" s="33"/>
      <c r="H221" s="33"/>
      <c r="I221" s="33"/>
      <c r="J221" s="33"/>
      <c r="K221" s="33"/>
      <c r="L221" s="33"/>
      <c r="M221" s="33"/>
      <c r="N221" s="33"/>
      <c r="O221" s="33"/>
      <c r="P221" s="33"/>
      <c r="Q221" s="33"/>
      <c r="R221" s="33"/>
    </row>
    <row r="222">
      <c r="A222" s="33"/>
      <c r="B222" s="33"/>
      <c r="C222" s="33"/>
      <c r="D222" s="33"/>
      <c r="E222" s="33"/>
      <c r="F222" s="33"/>
      <c r="G222" s="33"/>
      <c r="H222" s="33"/>
      <c r="I222" s="33"/>
      <c r="J222" s="33"/>
      <c r="K222" s="33"/>
      <c r="L222" s="33"/>
      <c r="M222" s="33"/>
      <c r="N222" s="33"/>
      <c r="O222" s="33"/>
      <c r="P222" s="33"/>
      <c r="Q222" s="33"/>
      <c r="R222" s="33"/>
    </row>
    <row r="223">
      <c r="A223" s="33"/>
      <c r="B223" s="33"/>
      <c r="C223" s="33"/>
      <c r="D223" s="33"/>
      <c r="E223" s="33"/>
      <c r="F223" s="33"/>
      <c r="G223" s="33"/>
      <c r="H223" s="33"/>
      <c r="I223" s="33"/>
      <c r="J223" s="33"/>
      <c r="K223" s="33"/>
      <c r="L223" s="33"/>
      <c r="M223" s="33"/>
      <c r="N223" s="33"/>
      <c r="O223" s="33"/>
      <c r="P223" s="33"/>
      <c r="Q223" s="33"/>
      <c r="R223" s="33"/>
    </row>
    <row r="224">
      <c r="A224" s="33"/>
      <c r="B224" s="33"/>
      <c r="C224" s="33"/>
      <c r="D224" s="33"/>
      <c r="E224" s="33"/>
      <c r="F224" s="33"/>
      <c r="G224" s="33"/>
      <c r="H224" s="33"/>
      <c r="I224" s="33"/>
      <c r="J224" s="33"/>
      <c r="K224" s="33"/>
      <c r="L224" s="33"/>
      <c r="M224" s="33"/>
      <c r="N224" s="33"/>
      <c r="O224" s="33"/>
      <c r="P224" s="33"/>
      <c r="Q224" s="33"/>
      <c r="R224" s="33"/>
    </row>
    <row r="225">
      <c r="A225" s="33"/>
      <c r="B225" s="33"/>
      <c r="C225" s="33"/>
      <c r="D225" s="33"/>
      <c r="E225" s="33"/>
      <c r="F225" s="33"/>
      <c r="G225" s="33"/>
      <c r="H225" s="33"/>
      <c r="I225" s="33"/>
      <c r="J225" s="33"/>
      <c r="K225" s="33"/>
      <c r="L225" s="33"/>
      <c r="M225" s="33"/>
      <c r="N225" s="33"/>
      <c r="O225" s="33"/>
      <c r="P225" s="33"/>
      <c r="Q225" s="33"/>
      <c r="R225" s="33"/>
    </row>
    <row r="226">
      <c r="A226" s="33"/>
      <c r="B226" s="33"/>
      <c r="C226" s="33"/>
      <c r="D226" s="33"/>
      <c r="E226" s="33"/>
      <c r="F226" s="33"/>
      <c r="G226" s="33"/>
      <c r="H226" s="33"/>
      <c r="I226" s="33"/>
      <c r="J226" s="33"/>
      <c r="K226" s="33"/>
      <c r="L226" s="33"/>
      <c r="M226" s="33"/>
      <c r="N226" s="33"/>
      <c r="O226" s="33"/>
      <c r="P226" s="33"/>
      <c r="Q226" s="33"/>
      <c r="R226" s="33"/>
    </row>
    <row r="227">
      <c r="A227" s="33"/>
      <c r="B227" s="33"/>
      <c r="C227" s="33"/>
      <c r="D227" s="33"/>
      <c r="E227" s="33"/>
      <c r="F227" s="33"/>
      <c r="G227" s="33"/>
      <c r="H227" s="33"/>
      <c r="I227" s="33"/>
      <c r="J227" s="33"/>
      <c r="K227" s="33"/>
      <c r="L227" s="33"/>
      <c r="M227" s="33"/>
      <c r="N227" s="33"/>
      <c r="O227" s="33"/>
      <c r="P227" s="33"/>
      <c r="Q227" s="33"/>
      <c r="R227" s="33"/>
    </row>
    <row r="228">
      <c r="A228" s="33"/>
      <c r="B228" s="33"/>
      <c r="C228" s="33"/>
      <c r="D228" s="33"/>
      <c r="E228" s="33"/>
      <c r="F228" s="33"/>
      <c r="G228" s="33"/>
      <c r="H228" s="33"/>
      <c r="I228" s="33"/>
      <c r="J228" s="33"/>
      <c r="K228" s="33"/>
      <c r="L228" s="33"/>
      <c r="M228" s="33"/>
      <c r="N228" s="33"/>
      <c r="O228" s="33"/>
      <c r="P228" s="33"/>
      <c r="Q228" s="33"/>
      <c r="R228" s="33"/>
    </row>
    <row r="229">
      <c r="A229" s="33"/>
      <c r="B229" s="33"/>
      <c r="C229" s="33"/>
      <c r="D229" s="33"/>
      <c r="E229" s="33"/>
      <c r="F229" s="33"/>
      <c r="G229" s="33"/>
      <c r="H229" s="33"/>
      <c r="I229" s="33"/>
      <c r="J229" s="33"/>
      <c r="K229" s="33"/>
      <c r="L229" s="33"/>
      <c r="M229" s="33"/>
      <c r="N229" s="33"/>
      <c r="O229" s="33"/>
      <c r="P229" s="33"/>
      <c r="Q229" s="33"/>
      <c r="R229" s="33"/>
    </row>
    <row r="230">
      <c r="A230" s="33"/>
      <c r="B230" s="33"/>
      <c r="C230" s="33"/>
      <c r="D230" s="33"/>
      <c r="E230" s="33"/>
      <c r="F230" s="33"/>
      <c r="G230" s="33"/>
      <c r="H230" s="33"/>
      <c r="I230" s="33"/>
      <c r="J230" s="33"/>
      <c r="K230" s="33"/>
      <c r="L230" s="33"/>
      <c r="M230" s="33"/>
      <c r="N230" s="33"/>
      <c r="O230" s="33"/>
      <c r="P230" s="33"/>
      <c r="Q230" s="33"/>
      <c r="R230" s="33"/>
    </row>
    <row r="231">
      <c r="A231" s="33"/>
      <c r="B231" s="33"/>
      <c r="C231" s="33"/>
      <c r="D231" s="33"/>
      <c r="E231" s="33"/>
      <c r="F231" s="33"/>
      <c r="G231" s="33"/>
      <c r="H231" s="33"/>
      <c r="I231" s="33"/>
      <c r="J231" s="33"/>
      <c r="K231" s="33"/>
      <c r="L231" s="33"/>
      <c r="M231" s="33"/>
      <c r="N231" s="33"/>
      <c r="O231" s="33"/>
      <c r="P231" s="33"/>
      <c r="Q231" s="33"/>
      <c r="R231" s="33"/>
    </row>
    <row r="232">
      <c r="A232" s="33"/>
      <c r="B232" s="33"/>
      <c r="C232" s="33"/>
      <c r="D232" s="33"/>
      <c r="E232" s="33"/>
      <c r="F232" s="33"/>
      <c r="G232" s="33"/>
      <c r="H232" s="33"/>
      <c r="I232" s="33"/>
      <c r="J232" s="33"/>
      <c r="K232" s="33"/>
      <c r="L232" s="33"/>
      <c r="M232" s="33"/>
      <c r="N232" s="33"/>
      <c r="O232" s="33"/>
      <c r="P232" s="33"/>
      <c r="Q232" s="33"/>
      <c r="R232" s="33"/>
    </row>
    <row r="233">
      <c r="A233" s="33"/>
      <c r="B233" s="33"/>
      <c r="C233" s="33"/>
      <c r="D233" s="33"/>
      <c r="E233" s="33"/>
      <c r="F233" s="33"/>
      <c r="G233" s="33"/>
      <c r="H233" s="33"/>
      <c r="I233" s="33"/>
      <c r="J233" s="33"/>
      <c r="K233" s="33"/>
      <c r="L233" s="33"/>
      <c r="M233" s="33"/>
      <c r="N233" s="33"/>
      <c r="O233" s="33"/>
      <c r="P233" s="33"/>
      <c r="Q233" s="33"/>
      <c r="R233" s="33"/>
    </row>
    <row r="234">
      <c r="A234" s="33"/>
      <c r="B234" s="33"/>
      <c r="C234" s="33"/>
      <c r="D234" s="33"/>
      <c r="E234" s="33"/>
      <c r="F234" s="33"/>
      <c r="G234" s="33"/>
      <c r="H234" s="33"/>
      <c r="I234" s="33"/>
      <c r="J234" s="33"/>
      <c r="K234" s="33"/>
      <c r="L234" s="33"/>
      <c r="M234" s="33"/>
      <c r="N234" s="33"/>
      <c r="O234" s="33"/>
      <c r="P234" s="33"/>
      <c r="Q234" s="33"/>
      <c r="R234" s="33"/>
    </row>
    <row r="235">
      <c r="A235" s="33"/>
      <c r="B235" s="33"/>
      <c r="C235" s="33"/>
      <c r="D235" s="33"/>
      <c r="E235" s="33"/>
      <c r="F235" s="33"/>
      <c r="G235" s="33"/>
      <c r="H235" s="33"/>
      <c r="I235" s="33"/>
      <c r="J235" s="33"/>
      <c r="K235" s="33"/>
      <c r="L235" s="33"/>
      <c r="M235" s="33"/>
      <c r="N235" s="33"/>
      <c r="O235" s="33"/>
      <c r="P235" s="33"/>
      <c r="Q235" s="33"/>
      <c r="R235" s="33"/>
    </row>
    <row r="236">
      <c r="A236" s="33"/>
      <c r="B236" s="33"/>
      <c r="C236" s="33"/>
      <c r="D236" s="33"/>
      <c r="E236" s="33"/>
      <c r="F236" s="33"/>
      <c r="G236" s="33"/>
      <c r="H236" s="33"/>
      <c r="I236" s="33"/>
      <c r="J236" s="33"/>
      <c r="K236" s="33"/>
      <c r="L236" s="33"/>
      <c r="M236" s="33"/>
      <c r="N236" s="33"/>
      <c r="O236" s="33"/>
      <c r="P236" s="33"/>
      <c r="Q236" s="33"/>
      <c r="R236" s="33"/>
    </row>
    <row r="237">
      <c r="A237" s="33"/>
      <c r="B237" s="33"/>
      <c r="C237" s="33"/>
      <c r="D237" s="33"/>
      <c r="E237" s="33"/>
      <c r="F237" s="33"/>
      <c r="G237" s="33"/>
      <c r="H237" s="33"/>
      <c r="I237" s="33"/>
      <c r="J237" s="33"/>
      <c r="K237" s="33"/>
      <c r="L237" s="33"/>
      <c r="M237" s="33"/>
      <c r="N237" s="33"/>
      <c r="O237" s="33"/>
      <c r="P237" s="33"/>
      <c r="Q237" s="33"/>
      <c r="R237" s="33"/>
    </row>
    <row r="238">
      <c r="A238" s="33"/>
      <c r="B238" s="33"/>
      <c r="C238" s="33"/>
      <c r="D238" s="33"/>
      <c r="E238" s="33"/>
      <c r="F238" s="33"/>
      <c r="G238" s="33"/>
      <c r="H238" s="33"/>
      <c r="I238" s="33"/>
      <c r="J238" s="33"/>
      <c r="K238" s="33"/>
      <c r="L238" s="33"/>
      <c r="M238" s="33"/>
      <c r="N238" s="33"/>
      <c r="O238" s="33"/>
      <c r="P238" s="33"/>
      <c r="Q238" s="33"/>
      <c r="R238" s="33"/>
    </row>
    <row r="239">
      <c r="A239" s="33"/>
      <c r="B239" s="33"/>
      <c r="C239" s="33"/>
      <c r="D239" s="33"/>
      <c r="E239" s="33"/>
      <c r="F239" s="33"/>
      <c r="G239" s="33"/>
      <c r="H239" s="33"/>
      <c r="I239" s="33"/>
      <c r="J239" s="33"/>
      <c r="K239" s="33"/>
      <c r="L239" s="33"/>
      <c r="M239" s="33"/>
      <c r="N239" s="33"/>
      <c r="O239" s="33"/>
      <c r="P239" s="33"/>
      <c r="Q239" s="33"/>
      <c r="R239" s="33"/>
    </row>
    <row r="240">
      <c r="A240" s="33"/>
      <c r="B240" s="33"/>
      <c r="C240" s="33"/>
      <c r="D240" s="33"/>
      <c r="E240" s="33"/>
      <c r="F240" s="33"/>
      <c r="G240" s="33"/>
      <c r="H240" s="33"/>
      <c r="I240" s="33"/>
      <c r="J240" s="33"/>
      <c r="K240" s="33"/>
      <c r="L240" s="33"/>
      <c r="M240" s="33"/>
      <c r="N240" s="33"/>
      <c r="O240" s="33"/>
      <c r="P240" s="33"/>
      <c r="Q240" s="33"/>
      <c r="R240" s="33"/>
    </row>
    <row r="241">
      <c r="A241" s="33"/>
      <c r="B241" s="33"/>
      <c r="C241" s="33"/>
      <c r="D241" s="33"/>
      <c r="E241" s="33"/>
      <c r="F241" s="33"/>
      <c r="G241" s="33"/>
      <c r="H241" s="33"/>
      <c r="I241" s="33"/>
      <c r="J241" s="33"/>
      <c r="K241" s="33"/>
      <c r="L241" s="33"/>
      <c r="M241" s="33"/>
      <c r="N241" s="33"/>
      <c r="O241" s="33"/>
      <c r="P241" s="33"/>
      <c r="Q241" s="33"/>
      <c r="R241" s="33"/>
    </row>
    <row r="242">
      <c r="A242" s="33"/>
      <c r="B242" s="33"/>
      <c r="C242" s="33"/>
      <c r="D242" s="33"/>
      <c r="E242" s="33"/>
      <c r="F242" s="33"/>
      <c r="G242" s="33"/>
      <c r="H242" s="33"/>
      <c r="I242" s="33"/>
      <c r="J242" s="33"/>
      <c r="K242" s="33"/>
      <c r="L242" s="33"/>
      <c r="M242" s="33"/>
      <c r="N242" s="33"/>
      <c r="O242" s="33"/>
      <c r="P242" s="33"/>
      <c r="Q242" s="33"/>
      <c r="R242" s="33"/>
    </row>
    <row r="243">
      <c r="A243" s="33"/>
      <c r="B243" s="33"/>
      <c r="C243" s="33"/>
      <c r="D243" s="33"/>
      <c r="E243" s="33"/>
      <c r="F243" s="33"/>
      <c r="G243" s="33"/>
      <c r="H243" s="33"/>
      <c r="I243" s="33"/>
      <c r="J243" s="33"/>
      <c r="K243" s="33"/>
      <c r="L243" s="33"/>
      <c r="M243" s="33"/>
      <c r="N243" s="33"/>
      <c r="O243" s="33"/>
      <c r="P243" s="33"/>
      <c r="Q243" s="33"/>
      <c r="R243" s="33"/>
    </row>
    <row r="244">
      <c r="A244" s="33"/>
      <c r="B244" s="33"/>
      <c r="C244" s="33"/>
      <c r="D244" s="33"/>
      <c r="E244" s="33"/>
      <c r="F244" s="33"/>
      <c r="G244" s="33"/>
      <c r="H244" s="33"/>
      <c r="I244" s="33"/>
      <c r="J244" s="33"/>
      <c r="K244" s="33"/>
      <c r="L244" s="33"/>
      <c r="M244" s="33"/>
      <c r="N244" s="33"/>
      <c r="O244" s="33"/>
      <c r="P244" s="33"/>
      <c r="Q244" s="33"/>
      <c r="R244" s="33"/>
    </row>
    <row r="245">
      <c r="A245" s="33"/>
      <c r="B245" s="33"/>
      <c r="C245" s="33"/>
      <c r="D245" s="33"/>
      <c r="E245" s="33"/>
      <c r="F245" s="33"/>
      <c r="G245" s="33"/>
      <c r="H245" s="33"/>
      <c r="I245" s="33"/>
      <c r="J245" s="33"/>
      <c r="K245" s="33"/>
      <c r="L245" s="33"/>
      <c r="M245" s="33"/>
      <c r="N245" s="33"/>
      <c r="O245" s="33"/>
      <c r="P245" s="33"/>
      <c r="Q245" s="33"/>
      <c r="R245" s="33"/>
    </row>
    <row r="246">
      <c r="A246" s="33"/>
      <c r="B246" s="33"/>
      <c r="C246" s="33"/>
      <c r="D246" s="33"/>
      <c r="E246" s="33"/>
      <c r="F246" s="33"/>
      <c r="G246" s="33"/>
      <c r="H246" s="33"/>
      <c r="I246" s="33"/>
      <c r="J246" s="33"/>
      <c r="K246" s="33"/>
      <c r="L246" s="33"/>
      <c r="M246" s="33"/>
      <c r="N246" s="33"/>
      <c r="O246" s="33"/>
      <c r="P246" s="33"/>
      <c r="Q246" s="33"/>
      <c r="R246" s="33"/>
    </row>
    <row r="247">
      <c r="A247" s="33"/>
      <c r="B247" s="33"/>
      <c r="C247" s="33"/>
      <c r="D247" s="33"/>
      <c r="E247" s="33"/>
      <c r="F247" s="33"/>
      <c r="G247" s="33"/>
      <c r="H247" s="33"/>
      <c r="I247" s="33"/>
      <c r="J247" s="33"/>
      <c r="K247" s="33"/>
      <c r="L247" s="33"/>
      <c r="M247" s="33"/>
      <c r="N247" s="33"/>
      <c r="O247" s="33"/>
      <c r="P247" s="33"/>
      <c r="Q247" s="33"/>
      <c r="R247" s="33"/>
    </row>
    <row r="248">
      <c r="A248" s="33"/>
      <c r="B248" s="33"/>
      <c r="C248" s="33"/>
      <c r="D248" s="33"/>
      <c r="E248" s="33"/>
      <c r="F248" s="33"/>
      <c r="G248" s="33"/>
      <c r="H248" s="33"/>
      <c r="I248" s="33"/>
      <c r="J248" s="33"/>
      <c r="K248" s="33"/>
      <c r="L248" s="33"/>
      <c r="M248" s="33"/>
      <c r="N248" s="33"/>
      <c r="O248" s="33"/>
      <c r="P248" s="33"/>
      <c r="Q248" s="33"/>
      <c r="R248" s="33"/>
    </row>
    <row r="249">
      <c r="A249" s="33"/>
      <c r="B249" s="33"/>
      <c r="C249" s="33"/>
      <c r="D249" s="33"/>
      <c r="E249" s="33"/>
      <c r="F249" s="33"/>
      <c r="G249" s="33"/>
      <c r="H249" s="33"/>
      <c r="I249" s="33"/>
      <c r="J249" s="33"/>
      <c r="K249" s="33"/>
      <c r="L249" s="33"/>
      <c r="M249" s="33"/>
      <c r="N249" s="33"/>
      <c r="O249" s="33"/>
      <c r="P249" s="33"/>
      <c r="Q249" s="33"/>
      <c r="R249" s="33"/>
    </row>
    <row r="250">
      <c r="A250" s="33"/>
      <c r="B250" s="33"/>
      <c r="C250" s="33"/>
      <c r="D250" s="33"/>
      <c r="E250" s="33"/>
      <c r="F250" s="33"/>
      <c r="G250" s="33"/>
      <c r="H250" s="33"/>
      <c r="I250" s="33"/>
      <c r="J250" s="33"/>
      <c r="K250" s="33"/>
      <c r="L250" s="33"/>
      <c r="M250" s="33"/>
      <c r="N250" s="33"/>
      <c r="O250" s="33"/>
      <c r="P250" s="33"/>
      <c r="Q250" s="33"/>
      <c r="R250" s="33"/>
    </row>
    <row r="251">
      <c r="A251" s="33"/>
      <c r="B251" s="33"/>
      <c r="C251" s="33"/>
      <c r="D251" s="33"/>
      <c r="E251" s="33"/>
      <c r="F251" s="33"/>
      <c r="G251" s="33"/>
      <c r="H251" s="33"/>
      <c r="I251" s="33"/>
      <c r="J251" s="33"/>
      <c r="K251" s="33"/>
      <c r="L251" s="33"/>
      <c r="M251" s="33"/>
      <c r="N251" s="33"/>
      <c r="O251" s="33"/>
      <c r="P251" s="33"/>
      <c r="Q251" s="33"/>
      <c r="R251" s="33"/>
    </row>
    <row r="252">
      <c r="A252" s="33"/>
      <c r="B252" s="33"/>
      <c r="C252" s="33"/>
      <c r="D252" s="33"/>
      <c r="E252" s="33"/>
      <c r="F252" s="33"/>
      <c r="G252" s="33"/>
      <c r="H252" s="33"/>
      <c r="I252" s="33"/>
      <c r="J252" s="33"/>
      <c r="K252" s="33"/>
      <c r="L252" s="33"/>
      <c r="M252" s="33"/>
      <c r="N252" s="33"/>
      <c r="O252" s="33"/>
      <c r="P252" s="33"/>
      <c r="Q252" s="33"/>
      <c r="R252" s="33"/>
    </row>
    <row r="253">
      <c r="A253" s="33"/>
      <c r="B253" s="33"/>
      <c r="C253" s="33"/>
      <c r="D253" s="33"/>
      <c r="E253" s="33"/>
      <c r="F253" s="33"/>
      <c r="G253" s="33"/>
      <c r="H253" s="33"/>
      <c r="I253" s="33"/>
      <c r="J253" s="33"/>
      <c r="K253" s="33"/>
      <c r="L253" s="33"/>
      <c r="M253" s="33"/>
      <c r="N253" s="33"/>
      <c r="O253" s="33"/>
      <c r="P253" s="33"/>
      <c r="Q253" s="33"/>
      <c r="R253" s="33"/>
    </row>
    <row r="254">
      <c r="A254" s="33"/>
      <c r="B254" s="33"/>
      <c r="C254" s="33"/>
      <c r="D254" s="33"/>
      <c r="E254" s="33"/>
      <c r="F254" s="33"/>
      <c r="G254" s="33"/>
      <c r="H254" s="33"/>
      <c r="I254" s="33"/>
      <c r="J254" s="33"/>
      <c r="K254" s="33"/>
      <c r="L254" s="33"/>
      <c r="M254" s="33"/>
      <c r="N254" s="33"/>
      <c r="O254" s="33"/>
      <c r="P254" s="33"/>
      <c r="Q254" s="33"/>
      <c r="R254" s="33"/>
    </row>
    <row r="255">
      <c r="A255" s="33"/>
      <c r="B255" s="33"/>
      <c r="C255" s="33"/>
      <c r="D255" s="33"/>
      <c r="E255" s="33"/>
      <c r="F255" s="33"/>
      <c r="G255" s="33"/>
      <c r="H255" s="33"/>
      <c r="I255" s="33"/>
      <c r="J255" s="33"/>
      <c r="K255" s="33"/>
      <c r="L255" s="33"/>
      <c r="M255" s="33"/>
      <c r="N255" s="33"/>
      <c r="O255" s="33"/>
      <c r="P255" s="33"/>
      <c r="Q255" s="33"/>
      <c r="R255" s="33"/>
    </row>
    <row r="256">
      <c r="A256" s="33"/>
      <c r="B256" s="33"/>
      <c r="C256" s="33"/>
      <c r="D256" s="33"/>
      <c r="E256" s="33"/>
      <c r="F256" s="33"/>
      <c r="G256" s="33"/>
      <c r="H256" s="33"/>
      <c r="I256" s="33"/>
      <c r="J256" s="33"/>
      <c r="K256" s="33"/>
      <c r="L256" s="33"/>
      <c r="M256" s="33"/>
      <c r="N256" s="33"/>
      <c r="O256" s="33"/>
      <c r="P256" s="33"/>
      <c r="Q256" s="33"/>
      <c r="R256" s="33"/>
    </row>
    <row r="257">
      <c r="A257" s="33"/>
      <c r="B257" s="33"/>
      <c r="C257" s="33"/>
      <c r="D257" s="33"/>
      <c r="E257" s="33"/>
      <c r="F257" s="33"/>
      <c r="G257" s="33"/>
      <c r="H257" s="33"/>
      <c r="I257" s="33"/>
      <c r="J257" s="33"/>
      <c r="K257" s="33"/>
      <c r="L257" s="33"/>
      <c r="M257" s="33"/>
      <c r="N257" s="33"/>
      <c r="O257" s="33"/>
      <c r="P257" s="33"/>
      <c r="Q257" s="33"/>
      <c r="R257" s="33"/>
    </row>
    <row r="258">
      <c r="A258" s="33"/>
      <c r="B258" s="33"/>
      <c r="C258" s="33"/>
      <c r="D258" s="33"/>
      <c r="E258" s="33"/>
      <c r="F258" s="33"/>
      <c r="G258" s="33"/>
      <c r="H258" s="33"/>
      <c r="I258" s="33"/>
      <c r="J258" s="33"/>
      <c r="K258" s="33"/>
      <c r="L258" s="33"/>
      <c r="M258" s="33"/>
      <c r="N258" s="33"/>
      <c r="O258" s="33"/>
      <c r="P258" s="33"/>
      <c r="Q258" s="33"/>
      <c r="R258" s="33"/>
    </row>
    <row r="259">
      <c r="A259" s="33"/>
      <c r="B259" s="33"/>
      <c r="C259" s="33"/>
      <c r="D259" s="33"/>
      <c r="E259" s="33"/>
      <c r="F259" s="33"/>
      <c r="G259" s="33"/>
      <c r="H259" s="33"/>
      <c r="I259" s="33"/>
      <c r="J259" s="33"/>
      <c r="K259" s="33"/>
      <c r="L259" s="33"/>
      <c r="M259" s="33"/>
      <c r="N259" s="33"/>
      <c r="O259" s="33"/>
      <c r="P259" s="33"/>
      <c r="Q259" s="33"/>
      <c r="R259" s="33"/>
    </row>
    <row r="260">
      <c r="A260" s="33"/>
      <c r="B260" s="33"/>
      <c r="C260" s="33"/>
      <c r="D260" s="33"/>
      <c r="E260" s="33"/>
      <c r="F260" s="33"/>
      <c r="G260" s="33"/>
      <c r="H260" s="33"/>
      <c r="I260" s="33"/>
      <c r="J260" s="33"/>
      <c r="K260" s="33"/>
      <c r="L260" s="33"/>
      <c r="M260" s="33"/>
      <c r="N260" s="33"/>
      <c r="O260" s="33"/>
      <c r="P260" s="33"/>
      <c r="Q260" s="33"/>
      <c r="R260" s="33"/>
    </row>
    <row r="261">
      <c r="A261" s="33"/>
      <c r="B261" s="33"/>
      <c r="C261" s="33"/>
      <c r="D261" s="33"/>
      <c r="E261" s="33"/>
      <c r="F261" s="33"/>
      <c r="G261" s="33"/>
      <c r="H261" s="33"/>
      <c r="I261" s="33"/>
      <c r="J261" s="33"/>
      <c r="K261" s="33"/>
      <c r="L261" s="33"/>
      <c r="M261" s="33"/>
      <c r="N261" s="33"/>
      <c r="O261" s="33"/>
      <c r="P261" s="33"/>
      <c r="Q261" s="33"/>
      <c r="R261" s="33"/>
    </row>
    <row r="262">
      <c r="A262" s="33"/>
      <c r="B262" s="33"/>
      <c r="C262" s="33"/>
      <c r="D262" s="33"/>
      <c r="E262" s="33"/>
      <c r="F262" s="33"/>
      <c r="G262" s="33"/>
      <c r="H262" s="33"/>
      <c r="I262" s="33"/>
      <c r="J262" s="33"/>
      <c r="K262" s="33"/>
      <c r="L262" s="33"/>
      <c r="M262" s="33"/>
      <c r="N262" s="33"/>
      <c r="O262" s="33"/>
      <c r="P262" s="33"/>
      <c r="Q262" s="33"/>
      <c r="R262" s="33"/>
    </row>
    <row r="263">
      <c r="A263" s="33"/>
      <c r="B263" s="33"/>
      <c r="C263" s="33"/>
      <c r="D263" s="33"/>
      <c r="E263" s="33"/>
      <c r="F263" s="33"/>
      <c r="G263" s="33"/>
      <c r="H263" s="33"/>
      <c r="I263" s="33"/>
      <c r="J263" s="33"/>
      <c r="K263" s="33"/>
      <c r="L263" s="33"/>
      <c r="M263" s="33"/>
      <c r="N263" s="33"/>
      <c r="O263" s="33"/>
      <c r="P263" s="33"/>
      <c r="Q263" s="33"/>
      <c r="R263" s="33"/>
    </row>
    <row r="264">
      <c r="A264" s="33"/>
      <c r="B264" s="33"/>
      <c r="C264" s="33"/>
      <c r="D264" s="33"/>
      <c r="E264" s="33"/>
      <c r="F264" s="33"/>
      <c r="G264" s="33"/>
      <c r="H264" s="33"/>
      <c r="I264" s="33"/>
      <c r="J264" s="33"/>
      <c r="K264" s="33"/>
      <c r="L264" s="33"/>
      <c r="M264" s="33"/>
      <c r="N264" s="33"/>
      <c r="O264" s="33"/>
      <c r="P264" s="33"/>
      <c r="Q264" s="33"/>
      <c r="R264" s="33"/>
    </row>
    <row r="265">
      <c r="A265" s="33"/>
      <c r="B265" s="33"/>
      <c r="C265" s="33"/>
      <c r="D265" s="33"/>
      <c r="E265" s="33"/>
      <c r="F265" s="33"/>
      <c r="G265" s="33"/>
      <c r="H265" s="33"/>
      <c r="I265" s="33"/>
      <c r="J265" s="33"/>
      <c r="K265" s="33"/>
      <c r="L265" s="33"/>
      <c r="M265" s="33"/>
      <c r="N265" s="33"/>
      <c r="O265" s="33"/>
      <c r="P265" s="33"/>
      <c r="Q265" s="33"/>
      <c r="R265" s="33"/>
    </row>
    <row r="266">
      <c r="A266" s="33"/>
      <c r="B266" s="33"/>
      <c r="C266" s="33"/>
      <c r="D266" s="33"/>
      <c r="E266" s="33"/>
      <c r="F266" s="33"/>
      <c r="G266" s="33"/>
      <c r="H266" s="33"/>
      <c r="I266" s="33"/>
      <c r="J266" s="33"/>
      <c r="K266" s="33"/>
      <c r="L266" s="33"/>
      <c r="M266" s="33"/>
      <c r="N266" s="33"/>
      <c r="O266" s="33"/>
      <c r="P266" s="33"/>
      <c r="Q266" s="33"/>
      <c r="R266" s="33"/>
    </row>
    <row r="267">
      <c r="A267" s="33"/>
      <c r="B267" s="33"/>
      <c r="C267" s="33"/>
      <c r="D267" s="33"/>
      <c r="E267" s="33"/>
      <c r="F267" s="33"/>
      <c r="G267" s="33"/>
      <c r="H267" s="33"/>
      <c r="I267" s="33"/>
      <c r="J267" s="33"/>
      <c r="K267" s="33"/>
      <c r="L267" s="33"/>
      <c r="M267" s="33"/>
      <c r="N267" s="33"/>
      <c r="O267" s="33"/>
      <c r="P267" s="33"/>
      <c r="Q267" s="33"/>
      <c r="R267" s="33"/>
    </row>
    <row r="268">
      <c r="A268" s="33"/>
      <c r="B268" s="33"/>
      <c r="C268" s="33"/>
      <c r="D268" s="33"/>
      <c r="E268" s="33"/>
      <c r="F268" s="33"/>
      <c r="G268" s="33"/>
      <c r="H268" s="33"/>
      <c r="I268" s="33"/>
      <c r="J268" s="33"/>
      <c r="K268" s="33"/>
      <c r="L268" s="33"/>
      <c r="M268" s="33"/>
      <c r="N268" s="33"/>
      <c r="O268" s="33"/>
      <c r="P268" s="33"/>
      <c r="Q268" s="33"/>
      <c r="R268" s="33"/>
    </row>
    <row r="269">
      <c r="A269" s="33"/>
      <c r="B269" s="33"/>
      <c r="C269" s="33"/>
      <c r="D269" s="33"/>
      <c r="E269" s="33"/>
      <c r="F269" s="33"/>
      <c r="G269" s="33"/>
      <c r="H269" s="33"/>
      <c r="I269" s="33"/>
      <c r="J269" s="33"/>
      <c r="K269" s="33"/>
      <c r="L269" s="33"/>
      <c r="M269" s="33"/>
      <c r="N269" s="33"/>
      <c r="O269" s="33"/>
      <c r="P269" s="33"/>
      <c r="Q269" s="33"/>
      <c r="R269" s="33"/>
    </row>
    <row r="270">
      <c r="A270" s="33"/>
      <c r="B270" s="33"/>
      <c r="C270" s="33"/>
      <c r="D270" s="33"/>
      <c r="E270" s="33"/>
      <c r="F270" s="33"/>
      <c r="G270" s="33"/>
      <c r="H270" s="33"/>
      <c r="I270" s="33"/>
      <c r="J270" s="33"/>
      <c r="K270" s="33"/>
      <c r="L270" s="33"/>
      <c r="M270" s="33"/>
      <c r="N270" s="33"/>
      <c r="O270" s="33"/>
      <c r="P270" s="33"/>
      <c r="Q270" s="33"/>
      <c r="R270" s="33"/>
    </row>
    <row r="271">
      <c r="A271" s="33"/>
      <c r="B271" s="33"/>
      <c r="C271" s="33"/>
      <c r="D271" s="33"/>
      <c r="E271" s="33"/>
      <c r="F271" s="33"/>
      <c r="G271" s="33"/>
      <c r="H271" s="33"/>
      <c r="I271" s="33"/>
      <c r="J271" s="33"/>
      <c r="K271" s="33"/>
      <c r="L271" s="33"/>
      <c r="M271" s="33"/>
      <c r="N271" s="33"/>
      <c r="O271" s="33"/>
      <c r="P271" s="33"/>
      <c r="Q271" s="33"/>
      <c r="R271" s="33"/>
    </row>
    <row r="272">
      <c r="A272" s="33"/>
      <c r="B272" s="33"/>
      <c r="C272" s="33"/>
      <c r="D272" s="33"/>
      <c r="E272" s="33"/>
      <c r="F272" s="33"/>
      <c r="G272" s="33"/>
      <c r="H272" s="33"/>
      <c r="I272" s="33"/>
      <c r="J272" s="33"/>
      <c r="K272" s="33"/>
      <c r="L272" s="33"/>
      <c r="M272" s="33"/>
      <c r="N272" s="33"/>
      <c r="O272" s="33"/>
      <c r="P272" s="33"/>
      <c r="Q272" s="33"/>
      <c r="R272" s="33"/>
    </row>
    <row r="273">
      <c r="A273" s="33"/>
      <c r="B273" s="33"/>
      <c r="C273" s="33"/>
      <c r="D273" s="33"/>
      <c r="E273" s="33"/>
      <c r="F273" s="33"/>
      <c r="G273" s="33"/>
      <c r="H273" s="33"/>
      <c r="I273" s="33"/>
      <c r="J273" s="33"/>
      <c r="K273" s="33"/>
      <c r="L273" s="33"/>
      <c r="M273" s="33"/>
      <c r="N273" s="33"/>
      <c r="O273" s="33"/>
      <c r="P273" s="33"/>
      <c r="Q273" s="33"/>
      <c r="R273" s="33"/>
    </row>
    <row r="274">
      <c r="A274" s="33"/>
      <c r="B274" s="33"/>
      <c r="C274" s="33"/>
      <c r="D274" s="33"/>
      <c r="E274" s="33"/>
      <c r="F274" s="33"/>
      <c r="G274" s="33"/>
      <c r="H274" s="33"/>
      <c r="I274" s="33"/>
      <c r="J274" s="33"/>
      <c r="K274" s="33"/>
      <c r="L274" s="33"/>
      <c r="M274" s="33"/>
      <c r="N274" s="33"/>
      <c r="O274" s="33"/>
      <c r="P274" s="33"/>
      <c r="Q274" s="33"/>
      <c r="R274" s="33"/>
    </row>
    <row r="275">
      <c r="A275" s="33"/>
      <c r="B275" s="33"/>
      <c r="C275" s="33"/>
      <c r="D275" s="33"/>
      <c r="E275" s="33"/>
      <c r="F275" s="33"/>
      <c r="G275" s="33"/>
      <c r="H275" s="33"/>
      <c r="I275" s="33"/>
      <c r="J275" s="33"/>
      <c r="K275" s="33"/>
      <c r="L275" s="33"/>
      <c r="M275" s="33"/>
      <c r="N275" s="33"/>
      <c r="O275" s="33"/>
      <c r="P275" s="33"/>
      <c r="Q275" s="33"/>
      <c r="R275" s="33"/>
    </row>
    <row r="276">
      <c r="A276" s="33"/>
      <c r="B276" s="33"/>
      <c r="C276" s="33"/>
      <c r="D276" s="33"/>
      <c r="E276" s="33"/>
      <c r="F276" s="33"/>
      <c r="G276" s="33"/>
      <c r="H276" s="33"/>
      <c r="I276" s="33"/>
      <c r="J276" s="33"/>
      <c r="K276" s="33"/>
      <c r="L276" s="33"/>
      <c r="M276" s="33"/>
      <c r="N276" s="33"/>
      <c r="O276" s="33"/>
      <c r="P276" s="33"/>
      <c r="Q276" s="33"/>
      <c r="R276" s="33"/>
    </row>
    <row r="277">
      <c r="A277" s="33"/>
      <c r="B277" s="33"/>
      <c r="C277" s="33"/>
      <c r="D277" s="33"/>
      <c r="E277" s="33"/>
      <c r="F277" s="33"/>
      <c r="G277" s="33"/>
      <c r="H277" s="33"/>
      <c r="I277" s="33"/>
      <c r="J277" s="33"/>
      <c r="K277" s="33"/>
      <c r="L277" s="33"/>
      <c r="M277" s="33"/>
      <c r="N277" s="33"/>
      <c r="O277" s="33"/>
      <c r="P277" s="33"/>
      <c r="Q277" s="33"/>
      <c r="R277" s="33"/>
    </row>
    <row r="278">
      <c r="A278" s="33"/>
      <c r="B278" s="33"/>
      <c r="C278" s="33"/>
      <c r="D278" s="33"/>
      <c r="E278" s="33"/>
      <c r="F278" s="33"/>
      <c r="G278" s="33"/>
      <c r="H278" s="33"/>
      <c r="I278" s="33"/>
      <c r="J278" s="33"/>
      <c r="K278" s="33"/>
      <c r="L278" s="33"/>
      <c r="M278" s="33"/>
      <c r="N278" s="33"/>
      <c r="O278" s="33"/>
      <c r="P278" s="33"/>
      <c r="Q278" s="33"/>
      <c r="R278" s="33"/>
    </row>
    <row r="279">
      <c r="A279" s="33"/>
      <c r="B279" s="33"/>
      <c r="C279" s="33"/>
      <c r="D279" s="33"/>
      <c r="E279" s="33"/>
      <c r="F279" s="33"/>
      <c r="G279" s="33"/>
      <c r="H279" s="33"/>
      <c r="I279" s="33"/>
      <c r="J279" s="33"/>
      <c r="K279" s="33"/>
      <c r="L279" s="33"/>
      <c r="M279" s="33"/>
      <c r="N279" s="33"/>
      <c r="O279" s="33"/>
      <c r="P279" s="33"/>
      <c r="Q279" s="33"/>
      <c r="R279" s="33"/>
    </row>
    <row r="280">
      <c r="A280" s="33"/>
      <c r="B280" s="33"/>
      <c r="C280" s="33"/>
      <c r="D280" s="33"/>
      <c r="E280" s="33"/>
      <c r="F280" s="33"/>
      <c r="G280" s="33"/>
      <c r="H280" s="33"/>
      <c r="I280" s="33"/>
      <c r="J280" s="33"/>
      <c r="K280" s="33"/>
      <c r="L280" s="33"/>
      <c r="M280" s="33"/>
      <c r="N280" s="33"/>
      <c r="O280" s="33"/>
      <c r="P280" s="33"/>
      <c r="Q280" s="33"/>
      <c r="R280" s="33"/>
    </row>
    <row r="281">
      <c r="A281" s="33"/>
      <c r="B281" s="33"/>
      <c r="C281" s="33"/>
      <c r="D281" s="33"/>
      <c r="E281" s="33"/>
      <c r="F281" s="33"/>
      <c r="G281" s="33"/>
      <c r="H281" s="33"/>
      <c r="I281" s="33"/>
      <c r="J281" s="33"/>
      <c r="K281" s="33"/>
      <c r="L281" s="33"/>
      <c r="M281" s="33"/>
      <c r="N281" s="33"/>
      <c r="O281" s="33"/>
      <c r="P281" s="33"/>
      <c r="Q281" s="33"/>
      <c r="R281" s="33"/>
    </row>
    <row r="282">
      <c r="A282" s="33"/>
      <c r="B282" s="33"/>
      <c r="C282" s="33"/>
      <c r="D282" s="33"/>
      <c r="E282" s="33"/>
      <c r="F282" s="33"/>
      <c r="G282" s="33"/>
      <c r="H282" s="33"/>
      <c r="I282" s="33"/>
      <c r="J282" s="33"/>
      <c r="K282" s="33"/>
      <c r="L282" s="33"/>
      <c r="M282" s="33"/>
      <c r="N282" s="33"/>
      <c r="O282" s="33"/>
      <c r="P282" s="33"/>
      <c r="Q282" s="33"/>
      <c r="R282" s="33"/>
    </row>
    <row r="283">
      <c r="A283" s="33"/>
      <c r="B283" s="33"/>
      <c r="C283" s="33"/>
      <c r="D283" s="33"/>
      <c r="E283" s="33"/>
      <c r="F283" s="33"/>
      <c r="G283" s="33"/>
      <c r="H283" s="33"/>
      <c r="I283" s="33"/>
      <c r="J283" s="33"/>
      <c r="K283" s="33"/>
      <c r="L283" s="33"/>
      <c r="M283" s="33"/>
      <c r="N283" s="33"/>
      <c r="O283" s="33"/>
      <c r="P283" s="33"/>
      <c r="Q283" s="33"/>
      <c r="R283" s="33"/>
    </row>
    <row r="284">
      <c r="A284" s="33"/>
      <c r="B284" s="33"/>
      <c r="C284" s="33"/>
      <c r="D284" s="33"/>
      <c r="E284" s="33"/>
      <c r="F284" s="33"/>
      <c r="G284" s="33"/>
      <c r="H284" s="33"/>
      <c r="I284" s="33"/>
      <c r="J284" s="33"/>
      <c r="K284" s="33"/>
      <c r="L284" s="33"/>
      <c r="M284" s="33"/>
      <c r="N284" s="33"/>
      <c r="O284" s="33"/>
      <c r="P284" s="33"/>
      <c r="Q284" s="33"/>
      <c r="R284" s="33"/>
    </row>
    <row r="285">
      <c r="A285" s="33"/>
      <c r="B285" s="33"/>
      <c r="C285" s="33"/>
      <c r="D285" s="33"/>
      <c r="E285" s="33"/>
      <c r="F285" s="33"/>
      <c r="G285" s="33"/>
      <c r="H285" s="33"/>
      <c r="I285" s="33"/>
      <c r="J285" s="33"/>
      <c r="K285" s="33"/>
      <c r="L285" s="33"/>
      <c r="M285" s="33"/>
      <c r="N285" s="33"/>
      <c r="O285" s="33"/>
      <c r="P285" s="33"/>
      <c r="Q285" s="33"/>
      <c r="R285" s="33"/>
    </row>
    <row r="286">
      <c r="A286" s="33"/>
      <c r="B286" s="33"/>
      <c r="C286" s="33"/>
      <c r="D286" s="33"/>
      <c r="E286" s="33"/>
      <c r="F286" s="33"/>
      <c r="G286" s="33"/>
      <c r="H286" s="33"/>
      <c r="I286" s="33"/>
      <c r="J286" s="33"/>
      <c r="K286" s="33"/>
      <c r="L286" s="33"/>
      <c r="M286" s="33"/>
      <c r="N286" s="33"/>
      <c r="O286" s="33"/>
      <c r="P286" s="33"/>
      <c r="Q286" s="33"/>
      <c r="R286" s="33"/>
    </row>
    <row r="287">
      <c r="A287" s="33"/>
      <c r="B287" s="33"/>
      <c r="C287" s="33"/>
      <c r="D287" s="33"/>
      <c r="E287" s="33"/>
      <c r="F287" s="33"/>
      <c r="G287" s="33"/>
      <c r="H287" s="33"/>
      <c r="I287" s="33"/>
      <c r="J287" s="33"/>
      <c r="K287" s="33"/>
      <c r="L287" s="33"/>
      <c r="M287" s="33"/>
      <c r="N287" s="33"/>
      <c r="O287" s="33"/>
      <c r="P287" s="33"/>
      <c r="Q287" s="33"/>
      <c r="R287" s="33"/>
    </row>
    <row r="288">
      <c r="A288" s="33"/>
      <c r="B288" s="33"/>
      <c r="C288" s="33"/>
      <c r="D288" s="33"/>
      <c r="E288" s="33"/>
      <c r="F288" s="33"/>
      <c r="G288" s="33"/>
      <c r="H288" s="33"/>
      <c r="I288" s="33"/>
      <c r="J288" s="33"/>
      <c r="K288" s="33"/>
      <c r="L288" s="33"/>
      <c r="M288" s="33"/>
      <c r="N288" s="33"/>
      <c r="O288" s="33"/>
      <c r="P288" s="33"/>
      <c r="Q288" s="33"/>
      <c r="R288" s="33"/>
    </row>
    <row r="289">
      <c r="A289" s="33"/>
      <c r="B289" s="33"/>
      <c r="C289" s="33"/>
      <c r="D289" s="33"/>
      <c r="E289" s="33"/>
      <c r="F289" s="33"/>
      <c r="G289" s="33"/>
      <c r="H289" s="33"/>
      <c r="I289" s="33"/>
      <c r="J289" s="33"/>
      <c r="K289" s="33"/>
      <c r="L289" s="33"/>
      <c r="M289" s="33"/>
      <c r="N289" s="33"/>
      <c r="O289" s="33"/>
      <c r="P289" s="33"/>
      <c r="Q289" s="33"/>
      <c r="R289" s="33"/>
    </row>
    <row r="290">
      <c r="A290" s="33"/>
      <c r="B290" s="33"/>
      <c r="C290" s="33"/>
      <c r="D290" s="33"/>
      <c r="E290" s="33"/>
      <c r="F290" s="33"/>
      <c r="G290" s="33"/>
      <c r="H290" s="33"/>
      <c r="I290" s="33"/>
      <c r="J290" s="33"/>
      <c r="K290" s="33"/>
      <c r="L290" s="33"/>
      <c r="M290" s="33"/>
      <c r="N290" s="33"/>
      <c r="O290" s="33"/>
      <c r="P290" s="33"/>
      <c r="Q290" s="33"/>
      <c r="R290" s="33"/>
    </row>
    <row r="291">
      <c r="A291" s="33"/>
      <c r="B291" s="33"/>
      <c r="C291" s="33"/>
      <c r="D291" s="33"/>
      <c r="E291" s="33"/>
      <c r="F291" s="33"/>
      <c r="G291" s="33"/>
      <c r="H291" s="33"/>
      <c r="I291" s="33"/>
      <c r="J291" s="33"/>
      <c r="K291" s="33"/>
      <c r="L291" s="33"/>
      <c r="M291" s="33"/>
      <c r="N291" s="33"/>
      <c r="O291" s="33"/>
      <c r="P291" s="33"/>
      <c r="Q291" s="33"/>
      <c r="R291" s="33"/>
    </row>
    <row r="292">
      <c r="A292" s="33"/>
      <c r="B292" s="33"/>
      <c r="C292" s="33"/>
      <c r="D292" s="33"/>
      <c r="E292" s="33"/>
      <c r="F292" s="33"/>
      <c r="G292" s="33"/>
      <c r="H292" s="33"/>
      <c r="I292" s="33"/>
      <c r="J292" s="33"/>
      <c r="K292" s="33"/>
      <c r="L292" s="33"/>
      <c r="M292" s="33"/>
      <c r="N292" s="33"/>
      <c r="O292" s="33"/>
      <c r="P292" s="33"/>
      <c r="Q292" s="33"/>
      <c r="R292" s="33"/>
    </row>
    <row r="293">
      <c r="A293" s="33"/>
      <c r="B293" s="33"/>
      <c r="C293" s="33"/>
      <c r="D293" s="33"/>
      <c r="E293" s="33"/>
      <c r="F293" s="33"/>
      <c r="G293" s="33"/>
      <c r="H293" s="33"/>
      <c r="I293" s="33"/>
      <c r="J293" s="33"/>
      <c r="K293" s="33"/>
      <c r="L293" s="33"/>
      <c r="M293" s="33"/>
      <c r="N293" s="33"/>
      <c r="O293" s="33"/>
      <c r="P293" s="33"/>
      <c r="Q293" s="33"/>
      <c r="R293" s="33"/>
    </row>
    <row r="294">
      <c r="A294" s="33"/>
      <c r="B294" s="33"/>
      <c r="C294" s="33"/>
      <c r="D294" s="33"/>
      <c r="E294" s="33"/>
      <c r="F294" s="33"/>
      <c r="G294" s="33"/>
      <c r="H294" s="33"/>
      <c r="I294" s="33"/>
      <c r="J294" s="33"/>
      <c r="K294" s="33"/>
      <c r="L294" s="33"/>
      <c r="M294" s="33"/>
      <c r="N294" s="33"/>
      <c r="O294" s="33"/>
      <c r="P294" s="33"/>
      <c r="Q294" s="33"/>
      <c r="R294" s="33"/>
    </row>
    <row r="295">
      <c r="A295" s="33"/>
      <c r="B295" s="33"/>
      <c r="C295" s="33"/>
      <c r="D295" s="33"/>
      <c r="E295" s="33"/>
      <c r="F295" s="33"/>
      <c r="G295" s="33"/>
      <c r="H295" s="33"/>
      <c r="I295" s="33"/>
      <c r="J295" s="33"/>
      <c r="K295" s="33"/>
      <c r="L295" s="33"/>
      <c r="M295" s="33"/>
      <c r="N295" s="33"/>
      <c r="O295" s="33"/>
      <c r="P295" s="33"/>
      <c r="Q295" s="33"/>
      <c r="R295" s="33"/>
    </row>
    <row r="296">
      <c r="A296" s="33"/>
      <c r="B296" s="33"/>
      <c r="C296" s="33"/>
      <c r="D296" s="33"/>
      <c r="E296" s="33"/>
      <c r="F296" s="33"/>
      <c r="G296" s="33"/>
      <c r="H296" s="33"/>
      <c r="I296" s="33"/>
      <c r="J296" s="33"/>
      <c r="K296" s="33"/>
      <c r="L296" s="33"/>
      <c r="M296" s="33"/>
      <c r="N296" s="33"/>
      <c r="O296" s="33"/>
      <c r="P296" s="33"/>
      <c r="Q296" s="33"/>
      <c r="R296" s="33"/>
    </row>
    <row r="297">
      <c r="A297" s="33"/>
      <c r="B297" s="33"/>
      <c r="C297" s="33"/>
      <c r="D297" s="33"/>
      <c r="E297" s="33"/>
      <c r="F297" s="33"/>
      <c r="G297" s="33"/>
      <c r="H297" s="33"/>
      <c r="I297" s="33"/>
      <c r="J297" s="33"/>
      <c r="K297" s="33"/>
      <c r="L297" s="33"/>
      <c r="M297" s="33"/>
      <c r="N297" s="33"/>
      <c r="O297" s="33"/>
      <c r="P297" s="33"/>
      <c r="Q297" s="33"/>
      <c r="R297" s="33"/>
    </row>
    <row r="298">
      <c r="A298" s="33"/>
      <c r="B298" s="33"/>
      <c r="C298" s="33"/>
      <c r="D298" s="33"/>
      <c r="E298" s="33"/>
      <c r="F298" s="33"/>
      <c r="G298" s="33"/>
      <c r="H298" s="33"/>
      <c r="I298" s="33"/>
      <c r="J298" s="33"/>
      <c r="K298" s="33"/>
      <c r="L298" s="33"/>
      <c r="M298" s="33"/>
      <c r="N298" s="33"/>
      <c r="O298" s="33"/>
      <c r="P298" s="33"/>
      <c r="Q298" s="33"/>
      <c r="R298" s="33"/>
    </row>
    <row r="299">
      <c r="A299" s="33"/>
      <c r="B299" s="33"/>
      <c r="C299" s="33"/>
      <c r="D299" s="33"/>
      <c r="E299" s="33"/>
      <c r="F299" s="33"/>
      <c r="G299" s="33"/>
      <c r="H299" s="33"/>
      <c r="I299" s="33"/>
      <c r="J299" s="33"/>
      <c r="K299" s="33"/>
      <c r="L299" s="33"/>
      <c r="M299" s="33"/>
      <c r="N299" s="33"/>
      <c r="O299" s="33"/>
      <c r="P299" s="33"/>
      <c r="Q299" s="33"/>
      <c r="R299" s="33"/>
    </row>
    <row r="300">
      <c r="A300" s="33"/>
      <c r="B300" s="33"/>
      <c r="C300" s="33"/>
      <c r="D300" s="33"/>
      <c r="E300" s="33"/>
      <c r="F300" s="33"/>
      <c r="G300" s="33"/>
      <c r="H300" s="33"/>
      <c r="I300" s="33"/>
      <c r="J300" s="33"/>
      <c r="K300" s="33"/>
      <c r="L300" s="33"/>
      <c r="M300" s="33"/>
      <c r="N300" s="33"/>
      <c r="O300" s="33"/>
      <c r="P300" s="33"/>
      <c r="Q300" s="33"/>
      <c r="R300" s="33"/>
    </row>
    <row r="301">
      <c r="A301" s="33"/>
      <c r="B301" s="33"/>
      <c r="C301" s="33"/>
      <c r="D301" s="33"/>
      <c r="E301" s="33"/>
      <c r="F301" s="33"/>
      <c r="G301" s="33"/>
      <c r="H301" s="33"/>
      <c r="I301" s="33"/>
      <c r="J301" s="33"/>
      <c r="K301" s="33"/>
      <c r="L301" s="33"/>
      <c r="M301" s="33"/>
      <c r="N301" s="33"/>
      <c r="O301" s="33"/>
      <c r="P301" s="33"/>
      <c r="Q301" s="33"/>
      <c r="R301" s="33"/>
    </row>
    <row r="302">
      <c r="A302" s="33"/>
      <c r="B302" s="33"/>
      <c r="C302" s="33"/>
      <c r="D302" s="33"/>
      <c r="E302" s="33"/>
      <c r="F302" s="33"/>
      <c r="G302" s="33"/>
      <c r="H302" s="33"/>
      <c r="I302" s="33"/>
      <c r="J302" s="33"/>
      <c r="K302" s="33"/>
      <c r="L302" s="33"/>
      <c r="M302" s="33"/>
      <c r="N302" s="33"/>
      <c r="O302" s="33"/>
      <c r="P302" s="33"/>
      <c r="Q302" s="33"/>
      <c r="R302" s="33"/>
    </row>
    <row r="303">
      <c r="A303" s="33"/>
      <c r="B303" s="33"/>
      <c r="C303" s="33"/>
      <c r="D303" s="33"/>
      <c r="E303" s="33"/>
      <c r="F303" s="33"/>
      <c r="G303" s="33"/>
      <c r="H303" s="33"/>
      <c r="I303" s="33"/>
      <c r="J303" s="33"/>
      <c r="K303" s="33"/>
      <c r="L303" s="33"/>
      <c r="M303" s="33"/>
      <c r="N303" s="33"/>
      <c r="O303" s="33"/>
      <c r="P303" s="33"/>
      <c r="Q303" s="33"/>
      <c r="R303" s="33"/>
    </row>
    <row r="304">
      <c r="A304" s="33"/>
      <c r="B304" s="33"/>
      <c r="C304" s="33"/>
      <c r="D304" s="33"/>
      <c r="E304" s="33"/>
      <c r="F304" s="33"/>
      <c r="G304" s="33"/>
      <c r="H304" s="33"/>
      <c r="I304" s="33"/>
      <c r="J304" s="33"/>
      <c r="K304" s="33"/>
      <c r="L304" s="33"/>
      <c r="M304" s="33"/>
      <c r="N304" s="33"/>
      <c r="O304" s="33"/>
      <c r="P304" s="33"/>
      <c r="Q304" s="33"/>
      <c r="R304" s="33"/>
    </row>
    <row r="305">
      <c r="A305" s="33"/>
      <c r="B305" s="33"/>
      <c r="C305" s="33"/>
      <c r="D305" s="33"/>
      <c r="E305" s="33"/>
      <c r="F305" s="33"/>
      <c r="G305" s="33"/>
      <c r="H305" s="33"/>
      <c r="I305" s="33"/>
      <c r="J305" s="33"/>
      <c r="K305" s="33"/>
      <c r="L305" s="33"/>
      <c r="M305" s="33"/>
      <c r="N305" s="33"/>
      <c r="O305" s="33"/>
      <c r="P305" s="33"/>
      <c r="Q305" s="33"/>
      <c r="R305" s="33"/>
    </row>
    <row r="306">
      <c r="A306" s="33"/>
      <c r="B306" s="33"/>
      <c r="C306" s="33"/>
      <c r="D306" s="33"/>
      <c r="E306" s="33"/>
      <c r="F306" s="33"/>
      <c r="G306" s="33"/>
      <c r="H306" s="33"/>
      <c r="I306" s="33"/>
      <c r="J306" s="33"/>
      <c r="K306" s="33"/>
      <c r="L306" s="33"/>
      <c r="M306" s="33"/>
      <c r="N306" s="33"/>
      <c r="O306" s="33"/>
      <c r="P306" s="33"/>
      <c r="Q306" s="33"/>
      <c r="R306" s="33"/>
    </row>
    <row r="307">
      <c r="A307" s="33"/>
      <c r="B307" s="33"/>
      <c r="C307" s="33"/>
      <c r="D307" s="33"/>
      <c r="E307" s="33"/>
      <c r="F307" s="33"/>
      <c r="G307" s="33"/>
      <c r="H307" s="33"/>
      <c r="I307" s="33"/>
      <c r="J307" s="33"/>
      <c r="K307" s="33"/>
      <c r="L307" s="33"/>
      <c r="M307" s="33"/>
      <c r="N307" s="33"/>
      <c r="O307" s="33"/>
      <c r="P307" s="33"/>
      <c r="Q307" s="33"/>
      <c r="R307" s="33"/>
    </row>
    <row r="308">
      <c r="A308" s="33"/>
      <c r="B308" s="33"/>
      <c r="C308" s="33"/>
      <c r="D308" s="33"/>
      <c r="E308" s="33"/>
      <c r="F308" s="33"/>
      <c r="G308" s="33"/>
      <c r="H308" s="33"/>
      <c r="I308" s="33"/>
      <c r="J308" s="33"/>
      <c r="K308" s="33"/>
      <c r="L308" s="33"/>
      <c r="M308" s="33"/>
      <c r="N308" s="33"/>
      <c r="O308" s="33"/>
      <c r="P308" s="33"/>
      <c r="Q308" s="33"/>
      <c r="R308" s="33"/>
    </row>
    <row r="309">
      <c r="A309" s="33"/>
      <c r="B309" s="33"/>
      <c r="C309" s="33"/>
      <c r="D309" s="33"/>
      <c r="E309" s="33"/>
      <c r="F309" s="33"/>
      <c r="G309" s="33"/>
      <c r="H309" s="33"/>
      <c r="I309" s="33"/>
      <c r="J309" s="33"/>
      <c r="K309" s="33"/>
      <c r="L309" s="33"/>
      <c r="M309" s="33"/>
      <c r="N309" s="33"/>
      <c r="O309" s="33"/>
      <c r="P309" s="33"/>
      <c r="Q309" s="33"/>
      <c r="R309" s="33"/>
    </row>
    <row r="310">
      <c r="A310" s="33"/>
      <c r="B310" s="33"/>
      <c r="C310" s="33"/>
      <c r="D310" s="33"/>
      <c r="E310" s="33"/>
      <c r="F310" s="33"/>
      <c r="G310" s="33"/>
      <c r="H310" s="33"/>
      <c r="I310" s="33"/>
      <c r="J310" s="33"/>
      <c r="K310" s="33"/>
      <c r="L310" s="33"/>
      <c r="M310" s="33"/>
      <c r="N310" s="33"/>
      <c r="O310" s="33"/>
      <c r="P310" s="33"/>
      <c r="Q310" s="33"/>
      <c r="R310" s="33"/>
    </row>
    <row r="311">
      <c r="A311" s="33"/>
      <c r="B311" s="33"/>
      <c r="C311" s="33"/>
      <c r="D311" s="33"/>
      <c r="E311" s="33"/>
      <c r="F311" s="33"/>
      <c r="G311" s="33"/>
      <c r="H311" s="33"/>
      <c r="I311" s="33"/>
      <c r="J311" s="33"/>
      <c r="K311" s="33"/>
      <c r="L311" s="33"/>
      <c r="M311" s="33"/>
      <c r="N311" s="33"/>
      <c r="O311" s="33"/>
      <c r="P311" s="33"/>
      <c r="Q311" s="33"/>
      <c r="R311" s="33"/>
    </row>
    <row r="312">
      <c r="A312" s="33"/>
      <c r="B312" s="33"/>
      <c r="C312" s="33"/>
      <c r="D312" s="33"/>
      <c r="E312" s="33"/>
      <c r="F312" s="33"/>
      <c r="G312" s="33"/>
      <c r="H312" s="33"/>
      <c r="I312" s="33"/>
      <c r="J312" s="33"/>
      <c r="K312" s="33"/>
      <c r="L312" s="33"/>
      <c r="M312" s="33"/>
      <c r="N312" s="33"/>
      <c r="O312" s="33"/>
      <c r="P312" s="33"/>
      <c r="Q312" s="33"/>
      <c r="R312" s="33"/>
    </row>
    <row r="313">
      <c r="A313" s="33"/>
      <c r="B313" s="33"/>
      <c r="C313" s="33"/>
      <c r="D313" s="33"/>
      <c r="E313" s="33"/>
      <c r="F313" s="33"/>
      <c r="G313" s="33"/>
      <c r="H313" s="33"/>
      <c r="I313" s="33"/>
      <c r="J313" s="33"/>
      <c r="K313" s="33"/>
      <c r="L313" s="33"/>
      <c r="M313" s="33"/>
      <c r="N313" s="33"/>
      <c r="O313" s="33"/>
      <c r="P313" s="33"/>
      <c r="Q313" s="33"/>
      <c r="R313" s="33"/>
    </row>
    <row r="314">
      <c r="A314" s="33"/>
      <c r="B314" s="33"/>
      <c r="C314" s="33"/>
      <c r="D314" s="33"/>
      <c r="E314" s="33"/>
      <c r="F314" s="33"/>
      <c r="G314" s="33"/>
      <c r="H314" s="33"/>
      <c r="I314" s="33"/>
      <c r="J314" s="33"/>
      <c r="K314" s="33"/>
      <c r="L314" s="33"/>
      <c r="M314" s="33"/>
      <c r="N314" s="33"/>
      <c r="O314" s="33"/>
      <c r="P314" s="33"/>
      <c r="Q314" s="33"/>
      <c r="R314" s="33"/>
    </row>
    <row r="315">
      <c r="A315" s="33"/>
      <c r="B315" s="33"/>
      <c r="C315" s="33"/>
      <c r="D315" s="33"/>
      <c r="E315" s="33"/>
      <c r="F315" s="33"/>
      <c r="G315" s="33"/>
      <c r="H315" s="33"/>
      <c r="I315" s="33"/>
      <c r="J315" s="33"/>
      <c r="K315" s="33"/>
      <c r="L315" s="33"/>
      <c r="M315" s="33"/>
      <c r="N315" s="33"/>
      <c r="O315" s="33"/>
      <c r="P315" s="33"/>
      <c r="Q315" s="33"/>
      <c r="R315" s="33"/>
    </row>
    <row r="316">
      <c r="A316" s="33"/>
      <c r="B316" s="33"/>
      <c r="C316" s="33"/>
      <c r="D316" s="33"/>
      <c r="E316" s="33"/>
      <c r="F316" s="33"/>
      <c r="G316" s="33"/>
      <c r="H316" s="33"/>
      <c r="I316" s="33"/>
      <c r="J316" s="33"/>
      <c r="K316" s="33"/>
      <c r="L316" s="33"/>
      <c r="M316" s="33"/>
      <c r="N316" s="33"/>
      <c r="O316" s="33"/>
      <c r="P316" s="33"/>
      <c r="Q316" s="33"/>
      <c r="R316" s="33"/>
    </row>
    <row r="317">
      <c r="A317" s="33"/>
      <c r="B317" s="33"/>
      <c r="C317" s="33"/>
      <c r="D317" s="33"/>
      <c r="E317" s="33"/>
      <c r="F317" s="33"/>
      <c r="G317" s="33"/>
      <c r="H317" s="33"/>
      <c r="I317" s="33"/>
      <c r="J317" s="33"/>
      <c r="K317" s="33"/>
      <c r="L317" s="33"/>
      <c r="M317" s="33"/>
      <c r="N317" s="33"/>
      <c r="O317" s="33"/>
      <c r="P317" s="33"/>
      <c r="Q317" s="33"/>
      <c r="R317" s="33"/>
    </row>
    <row r="318">
      <c r="A318" s="33"/>
      <c r="B318" s="33"/>
      <c r="C318" s="33"/>
      <c r="D318" s="33"/>
      <c r="E318" s="33"/>
      <c r="F318" s="33"/>
      <c r="G318" s="33"/>
      <c r="H318" s="33"/>
      <c r="I318" s="33"/>
      <c r="J318" s="33"/>
      <c r="K318" s="33"/>
      <c r="L318" s="33"/>
      <c r="M318" s="33"/>
      <c r="N318" s="33"/>
      <c r="O318" s="33"/>
      <c r="P318" s="33"/>
      <c r="Q318" s="33"/>
      <c r="R318" s="33"/>
    </row>
    <row r="319">
      <c r="A319" s="33"/>
      <c r="B319" s="33"/>
      <c r="C319" s="33"/>
      <c r="D319" s="33"/>
      <c r="E319" s="33"/>
      <c r="F319" s="33"/>
      <c r="G319" s="33"/>
      <c r="H319" s="33"/>
      <c r="I319" s="33"/>
      <c r="J319" s="33"/>
      <c r="K319" s="33"/>
      <c r="L319" s="33"/>
      <c r="M319" s="33"/>
      <c r="N319" s="33"/>
      <c r="O319" s="33"/>
      <c r="P319" s="33"/>
      <c r="Q319" s="33"/>
      <c r="R319" s="33"/>
    </row>
    <row r="320">
      <c r="A320" s="33"/>
      <c r="B320" s="33"/>
      <c r="C320" s="33"/>
      <c r="D320" s="33"/>
      <c r="E320" s="33"/>
      <c r="F320" s="33"/>
      <c r="G320" s="33"/>
      <c r="H320" s="33"/>
      <c r="I320" s="33"/>
      <c r="J320" s="33"/>
      <c r="K320" s="33"/>
      <c r="L320" s="33"/>
      <c r="M320" s="33"/>
      <c r="N320" s="33"/>
      <c r="O320" s="33"/>
      <c r="P320" s="33"/>
      <c r="Q320" s="33"/>
      <c r="R320" s="33"/>
    </row>
    <row r="321">
      <c r="A321" s="33"/>
      <c r="B321" s="33"/>
      <c r="C321" s="33"/>
      <c r="D321" s="33"/>
      <c r="E321" s="33"/>
      <c r="F321" s="33"/>
      <c r="G321" s="33"/>
      <c r="H321" s="33"/>
      <c r="I321" s="33"/>
      <c r="J321" s="33"/>
      <c r="K321" s="33"/>
      <c r="L321" s="33"/>
      <c r="M321" s="33"/>
      <c r="N321" s="33"/>
      <c r="O321" s="33"/>
      <c r="P321" s="33"/>
      <c r="Q321" s="33"/>
      <c r="R321" s="33"/>
    </row>
    <row r="322">
      <c r="A322" s="33"/>
      <c r="B322" s="33"/>
      <c r="C322" s="33"/>
      <c r="D322" s="33"/>
      <c r="E322" s="33"/>
      <c r="F322" s="33"/>
      <c r="G322" s="33"/>
      <c r="H322" s="33"/>
      <c r="I322" s="33"/>
      <c r="J322" s="33"/>
      <c r="K322" s="33"/>
      <c r="L322" s="33"/>
      <c r="M322" s="33"/>
      <c r="N322" s="33"/>
      <c r="O322" s="33"/>
      <c r="P322" s="33"/>
      <c r="Q322" s="33"/>
      <c r="R322" s="33"/>
    </row>
    <row r="323">
      <c r="A323" s="33"/>
      <c r="B323" s="33"/>
      <c r="C323" s="33"/>
      <c r="D323" s="33"/>
      <c r="E323" s="33"/>
      <c r="F323" s="33"/>
      <c r="G323" s="33"/>
      <c r="H323" s="33"/>
      <c r="I323" s="33"/>
      <c r="J323" s="33"/>
      <c r="K323" s="33"/>
      <c r="L323" s="33"/>
      <c r="M323" s="33"/>
      <c r="N323" s="33"/>
      <c r="O323" s="33"/>
      <c r="P323" s="33"/>
      <c r="Q323" s="33"/>
      <c r="R323" s="33"/>
    </row>
    <row r="324">
      <c r="A324" s="33"/>
      <c r="B324" s="33"/>
      <c r="C324" s="33"/>
      <c r="D324" s="33"/>
      <c r="E324" s="33"/>
      <c r="F324" s="33"/>
      <c r="G324" s="33"/>
      <c r="H324" s="33"/>
      <c r="I324" s="33"/>
      <c r="J324" s="33"/>
      <c r="K324" s="33"/>
      <c r="L324" s="33"/>
      <c r="M324" s="33"/>
      <c r="N324" s="33"/>
      <c r="O324" s="33"/>
      <c r="P324" s="33"/>
      <c r="Q324" s="33"/>
      <c r="R324" s="33"/>
    </row>
    <row r="325">
      <c r="A325" s="33"/>
      <c r="B325" s="33"/>
      <c r="C325" s="33"/>
      <c r="D325" s="33"/>
      <c r="E325" s="33"/>
      <c r="F325" s="33"/>
      <c r="G325" s="33"/>
      <c r="H325" s="33"/>
      <c r="I325" s="33"/>
      <c r="J325" s="33"/>
      <c r="K325" s="33"/>
      <c r="L325" s="33"/>
      <c r="M325" s="33"/>
      <c r="N325" s="33"/>
      <c r="O325" s="33"/>
      <c r="P325" s="33"/>
      <c r="Q325" s="33"/>
      <c r="R325" s="33"/>
    </row>
    <row r="326">
      <c r="A326" s="33"/>
      <c r="B326" s="33"/>
      <c r="C326" s="33"/>
      <c r="D326" s="33"/>
      <c r="E326" s="33"/>
      <c r="F326" s="33"/>
      <c r="G326" s="33"/>
      <c r="H326" s="33"/>
      <c r="I326" s="33"/>
      <c r="J326" s="33"/>
      <c r="K326" s="33"/>
      <c r="L326" s="33"/>
      <c r="M326" s="33"/>
      <c r="N326" s="33"/>
      <c r="O326" s="33"/>
      <c r="P326" s="33"/>
      <c r="Q326" s="33"/>
      <c r="R326" s="33"/>
    </row>
    <row r="327">
      <c r="A327" s="33"/>
      <c r="B327" s="33"/>
      <c r="C327" s="33"/>
      <c r="D327" s="33"/>
      <c r="E327" s="33"/>
      <c r="F327" s="33"/>
      <c r="G327" s="33"/>
      <c r="H327" s="33"/>
      <c r="I327" s="33"/>
      <c r="J327" s="33"/>
      <c r="K327" s="33"/>
      <c r="L327" s="33"/>
      <c r="M327" s="33"/>
      <c r="N327" s="33"/>
      <c r="O327" s="33"/>
      <c r="P327" s="33"/>
      <c r="Q327" s="33"/>
      <c r="R327" s="33"/>
    </row>
    <row r="328">
      <c r="A328" s="33"/>
      <c r="B328" s="33"/>
      <c r="C328" s="33"/>
      <c r="D328" s="33"/>
      <c r="E328" s="33"/>
      <c r="F328" s="33"/>
      <c r="G328" s="33"/>
      <c r="H328" s="33"/>
      <c r="I328" s="33"/>
      <c r="J328" s="33"/>
      <c r="K328" s="33"/>
      <c r="L328" s="33"/>
      <c r="M328" s="33"/>
      <c r="N328" s="33"/>
      <c r="O328" s="33"/>
      <c r="P328" s="33"/>
      <c r="Q328" s="33"/>
      <c r="R328" s="33"/>
    </row>
    <row r="329">
      <c r="A329" s="33"/>
      <c r="B329" s="33"/>
      <c r="C329" s="33"/>
      <c r="D329" s="33"/>
      <c r="E329" s="33"/>
      <c r="F329" s="33"/>
      <c r="G329" s="33"/>
      <c r="H329" s="33"/>
      <c r="I329" s="33"/>
      <c r="J329" s="33"/>
      <c r="K329" s="33"/>
      <c r="L329" s="33"/>
      <c r="M329" s="33"/>
      <c r="N329" s="33"/>
      <c r="O329" s="33"/>
      <c r="P329" s="33"/>
      <c r="Q329" s="33"/>
      <c r="R329" s="33"/>
    </row>
    <row r="330">
      <c r="A330" s="33"/>
      <c r="B330" s="33"/>
      <c r="C330" s="33"/>
      <c r="D330" s="33"/>
      <c r="E330" s="33"/>
      <c r="F330" s="33"/>
      <c r="G330" s="33"/>
      <c r="H330" s="33"/>
      <c r="I330" s="33"/>
      <c r="J330" s="33"/>
      <c r="K330" s="33"/>
      <c r="L330" s="33"/>
      <c r="M330" s="33"/>
      <c r="N330" s="33"/>
      <c r="O330" s="33"/>
      <c r="P330" s="33"/>
      <c r="Q330" s="33"/>
      <c r="R330" s="33"/>
    </row>
    <row r="331">
      <c r="A331" s="33"/>
      <c r="B331" s="33"/>
      <c r="C331" s="33"/>
      <c r="D331" s="33"/>
      <c r="E331" s="33"/>
      <c r="F331" s="33"/>
      <c r="G331" s="33"/>
      <c r="H331" s="33"/>
      <c r="I331" s="33"/>
      <c r="J331" s="33"/>
      <c r="K331" s="33"/>
      <c r="L331" s="33"/>
      <c r="M331" s="33"/>
      <c r="N331" s="33"/>
      <c r="O331" s="33"/>
      <c r="P331" s="33"/>
      <c r="Q331" s="33"/>
      <c r="R331" s="33"/>
    </row>
    <row r="332">
      <c r="A332" s="33"/>
      <c r="B332" s="33"/>
      <c r="C332" s="33"/>
      <c r="D332" s="33"/>
      <c r="E332" s="33"/>
      <c r="F332" s="33"/>
      <c r="G332" s="33"/>
      <c r="H332" s="33"/>
      <c r="I332" s="33"/>
      <c r="J332" s="33"/>
      <c r="K332" s="33"/>
      <c r="L332" s="33"/>
      <c r="M332" s="33"/>
      <c r="N332" s="33"/>
      <c r="O332" s="33"/>
      <c r="P332" s="33"/>
      <c r="Q332" s="33"/>
      <c r="R332" s="33"/>
    </row>
    <row r="333">
      <c r="A333" s="33"/>
      <c r="B333" s="33"/>
      <c r="C333" s="33"/>
      <c r="D333" s="33"/>
      <c r="E333" s="33"/>
      <c r="F333" s="33"/>
      <c r="G333" s="33"/>
      <c r="H333" s="33"/>
      <c r="I333" s="33"/>
      <c r="J333" s="33"/>
      <c r="K333" s="33"/>
      <c r="L333" s="33"/>
      <c r="M333" s="33"/>
      <c r="N333" s="33"/>
      <c r="O333" s="33"/>
      <c r="P333" s="33"/>
      <c r="Q333" s="33"/>
      <c r="R333" s="33"/>
    </row>
    <row r="334">
      <c r="A334" s="33"/>
      <c r="B334" s="33"/>
      <c r="C334" s="33"/>
      <c r="D334" s="33"/>
      <c r="E334" s="33"/>
      <c r="F334" s="33"/>
      <c r="G334" s="33"/>
      <c r="H334" s="33"/>
      <c r="I334" s="33"/>
      <c r="J334" s="33"/>
      <c r="K334" s="33"/>
      <c r="L334" s="33"/>
      <c r="M334" s="33"/>
      <c r="N334" s="33"/>
      <c r="O334" s="33"/>
      <c r="P334" s="33"/>
      <c r="Q334" s="33"/>
      <c r="R334" s="33"/>
    </row>
    <row r="335">
      <c r="A335" s="33"/>
      <c r="B335" s="33"/>
      <c r="C335" s="33"/>
      <c r="D335" s="33"/>
      <c r="E335" s="33"/>
      <c r="F335" s="33"/>
      <c r="G335" s="33"/>
      <c r="H335" s="33"/>
      <c r="I335" s="33"/>
      <c r="J335" s="33"/>
      <c r="K335" s="33"/>
      <c r="L335" s="33"/>
      <c r="M335" s="33"/>
      <c r="N335" s="33"/>
      <c r="O335" s="33"/>
      <c r="P335" s="33"/>
      <c r="Q335" s="33"/>
      <c r="R335" s="33"/>
    </row>
    <row r="336">
      <c r="A336" s="33"/>
      <c r="B336" s="33"/>
      <c r="C336" s="33"/>
      <c r="D336" s="33"/>
      <c r="E336" s="33"/>
      <c r="F336" s="33"/>
      <c r="G336" s="33"/>
      <c r="H336" s="33"/>
      <c r="I336" s="33"/>
      <c r="J336" s="33"/>
      <c r="K336" s="33"/>
      <c r="L336" s="33"/>
      <c r="M336" s="33"/>
      <c r="N336" s="33"/>
      <c r="O336" s="33"/>
      <c r="P336" s="33"/>
      <c r="Q336" s="33"/>
      <c r="R336" s="33"/>
    </row>
    <row r="337">
      <c r="A337" s="33"/>
      <c r="B337" s="33"/>
      <c r="C337" s="33"/>
      <c r="D337" s="33"/>
      <c r="E337" s="33"/>
      <c r="F337" s="33"/>
      <c r="G337" s="33"/>
      <c r="H337" s="33"/>
      <c r="I337" s="33"/>
      <c r="J337" s="33"/>
      <c r="K337" s="33"/>
      <c r="L337" s="33"/>
      <c r="M337" s="33"/>
      <c r="N337" s="33"/>
      <c r="O337" s="33"/>
      <c r="P337" s="33"/>
      <c r="Q337" s="33"/>
      <c r="R337" s="33"/>
    </row>
    <row r="338">
      <c r="A338" s="33"/>
      <c r="B338" s="33"/>
      <c r="C338" s="33"/>
      <c r="D338" s="33"/>
      <c r="E338" s="33"/>
      <c r="F338" s="33"/>
      <c r="G338" s="33"/>
      <c r="H338" s="33"/>
      <c r="I338" s="33"/>
      <c r="J338" s="33"/>
      <c r="K338" s="33"/>
      <c r="L338" s="33"/>
      <c r="M338" s="33"/>
      <c r="N338" s="33"/>
      <c r="O338" s="33"/>
      <c r="P338" s="33"/>
      <c r="Q338" s="33"/>
      <c r="R338" s="33"/>
    </row>
    <row r="339">
      <c r="A339" s="33"/>
      <c r="B339" s="33"/>
      <c r="C339" s="33"/>
      <c r="D339" s="33"/>
      <c r="E339" s="33"/>
      <c r="F339" s="33"/>
      <c r="G339" s="33"/>
      <c r="H339" s="33"/>
      <c r="I339" s="33"/>
      <c r="J339" s="33"/>
      <c r="K339" s="33"/>
      <c r="L339" s="33"/>
      <c r="M339" s="33"/>
      <c r="N339" s="33"/>
      <c r="O339" s="33"/>
      <c r="P339" s="33"/>
      <c r="Q339" s="33"/>
      <c r="R339" s="33"/>
    </row>
    <row r="340">
      <c r="A340" s="33"/>
      <c r="B340" s="33"/>
      <c r="C340" s="33"/>
      <c r="D340" s="33"/>
      <c r="E340" s="33"/>
      <c r="F340" s="33"/>
      <c r="G340" s="33"/>
      <c r="H340" s="33"/>
      <c r="I340" s="33"/>
      <c r="J340" s="33"/>
      <c r="K340" s="33"/>
      <c r="L340" s="33"/>
      <c r="M340" s="33"/>
      <c r="N340" s="33"/>
      <c r="O340" s="33"/>
      <c r="P340" s="33"/>
      <c r="Q340" s="33"/>
      <c r="R340" s="33"/>
    </row>
    <row r="341">
      <c r="A341" s="33"/>
      <c r="B341" s="33"/>
      <c r="C341" s="33"/>
      <c r="D341" s="33"/>
      <c r="E341" s="33"/>
      <c r="F341" s="33"/>
      <c r="G341" s="33"/>
      <c r="H341" s="33"/>
      <c r="I341" s="33"/>
      <c r="J341" s="33"/>
      <c r="K341" s="33"/>
      <c r="L341" s="33"/>
      <c r="M341" s="33"/>
      <c r="N341" s="33"/>
      <c r="O341" s="33"/>
      <c r="P341" s="33"/>
      <c r="Q341" s="33"/>
      <c r="R341" s="33"/>
    </row>
    <row r="342">
      <c r="A342" s="33"/>
      <c r="B342" s="33"/>
      <c r="C342" s="33"/>
      <c r="D342" s="33"/>
      <c r="E342" s="33"/>
      <c r="F342" s="33"/>
      <c r="G342" s="33"/>
      <c r="H342" s="33"/>
      <c r="I342" s="33"/>
      <c r="J342" s="33"/>
      <c r="K342" s="33"/>
      <c r="L342" s="33"/>
      <c r="M342" s="33"/>
      <c r="N342" s="33"/>
      <c r="O342" s="33"/>
      <c r="P342" s="33"/>
      <c r="Q342" s="33"/>
      <c r="R342" s="33"/>
    </row>
    <row r="343">
      <c r="A343" s="33"/>
      <c r="B343" s="33"/>
      <c r="C343" s="33"/>
      <c r="D343" s="33"/>
      <c r="E343" s="33"/>
      <c r="F343" s="33"/>
      <c r="G343" s="33"/>
      <c r="H343" s="33"/>
      <c r="I343" s="33"/>
      <c r="J343" s="33"/>
      <c r="K343" s="33"/>
      <c r="L343" s="33"/>
      <c r="M343" s="33"/>
      <c r="N343" s="33"/>
      <c r="O343" s="33"/>
      <c r="P343" s="33"/>
      <c r="Q343" s="33"/>
      <c r="R343" s="33"/>
    </row>
    <row r="344">
      <c r="A344" s="33"/>
      <c r="B344" s="33"/>
      <c r="C344" s="33"/>
      <c r="D344" s="33"/>
      <c r="E344" s="33"/>
      <c r="F344" s="33"/>
      <c r="G344" s="33"/>
      <c r="H344" s="33"/>
      <c r="I344" s="33"/>
      <c r="J344" s="33"/>
      <c r="K344" s="33"/>
      <c r="L344" s="33"/>
      <c r="M344" s="33"/>
      <c r="N344" s="33"/>
      <c r="O344" s="33"/>
      <c r="P344" s="33"/>
      <c r="Q344" s="33"/>
      <c r="R344" s="33"/>
    </row>
    <row r="345">
      <c r="A345" s="33"/>
      <c r="B345" s="33"/>
      <c r="C345" s="33"/>
      <c r="D345" s="33"/>
      <c r="E345" s="33"/>
      <c r="F345" s="33"/>
      <c r="G345" s="33"/>
      <c r="H345" s="33"/>
      <c r="I345" s="33"/>
      <c r="J345" s="33"/>
      <c r="K345" s="33"/>
      <c r="L345" s="33"/>
      <c r="M345" s="33"/>
      <c r="N345" s="33"/>
      <c r="O345" s="33"/>
      <c r="P345" s="33"/>
      <c r="Q345" s="33"/>
      <c r="R345" s="33"/>
    </row>
    <row r="346">
      <c r="A346" s="33"/>
      <c r="B346" s="33"/>
      <c r="C346" s="33"/>
      <c r="D346" s="33"/>
      <c r="E346" s="33"/>
      <c r="F346" s="33"/>
      <c r="G346" s="33"/>
      <c r="H346" s="33"/>
      <c r="I346" s="33"/>
      <c r="J346" s="33"/>
      <c r="K346" s="33"/>
      <c r="L346" s="33"/>
      <c r="M346" s="33"/>
      <c r="N346" s="33"/>
      <c r="O346" s="33"/>
      <c r="P346" s="33"/>
      <c r="Q346" s="33"/>
      <c r="R346" s="33"/>
    </row>
    <row r="347">
      <c r="A347" s="33"/>
      <c r="B347" s="33"/>
      <c r="C347" s="33"/>
      <c r="D347" s="33"/>
      <c r="E347" s="33"/>
      <c r="F347" s="33"/>
      <c r="G347" s="33"/>
      <c r="H347" s="33"/>
      <c r="I347" s="33"/>
      <c r="J347" s="33"/>
      <c r="K347" s="33"/>
      <c r="L347" s="33"/>
      <c r="M347" s="33"/>
      <c r="N347" s="33"/>
      <c r="O347" s="33"/>
      <c r="P347" s="33"/>
      <c r="Q347" s="33"/>
      <c r="R347" s="33"/>
    </row>
    <row r="348">
      <c r="A348" s="33"/>
      <c r="B348" s="33"/>
      <c r="C348" s="33"/>
      <c r="D348" s="33"/>
      <c r="E348" s="33"/>
      <c r="F348" s="33"/>
      <c r="G348" s="33"/>
      <c r="H348" s="33"/>
      <c r="I348" s="33"/>
      <c r="J348" s="33"/>
      <c r="K348" s="33"/>
      <c r="L348" s="33"/>
      <c r="M348" s="33"/>
      <c r="N348" s="33"/>
      <c r="O348" s="33"/>
      <c r="P348" s="33"/>
      <c r="Q348" s="33"/>
      <c r="R348" s="33"/>
    </row>
    <row r="349">
      <c r="A349" s="33"/>
      <c r="B349" s="33"/>
      <c r="C349" s="33"/>
      <c r="D349" s="33"/>
      <c r="E349" s="33"/>
      <c r="F349" s="33"/>
      <c r="G349" s="33"/>
      <c r="H349" s="33"/>
      <c r="I349" s="33"/>
      <c r="J349" s="33"/>
      <c r="K349" s="33"/>
      <c r="L349" s="33"/>
      <c r="M349" s="33"/>
      <c r="N349" s="33"/>
      <c r="O349" s="33"/>
      <c r="P349" s="33"/>
      <c r="Q349" s="33"/>
      <c r="R349" s="33"/>
    </row>
    <row r="350">
      <c r="A350" s="33"/>
      <c r="B350" s="33"/>
      <c r="C350" s="33"/>
      <c r="D350" s="33"/>
      <c r="E350" s="33"/>
      <c r="F350" s="33"/>
      <c r="G350" s="33"/>
      <c r="H350" s="33"/>
      <c r="I350" s="33"/>
      <c r="J350" s="33"/>
      <c r="K350" s="33"/>
      <c r="L350" s="33"/>
      <c r="M350" s="33"/>
      <c r="N350" s="33"/>
      <c r="O350" s="33"/>
      <c r="P350" s="33"/>
      <c r="Q350" s="33"/>
      <c r="R350" s="33"/>
    </row>
    <row r="351">
      <c r="A351" s="33"/>
      <c r="B351" s="33"/>
      <c r="C351" s="33"/>
      <c r="D351" s="33"/>
      <c r="E351" s="33"/>
      <c r="F351" s="33"/>
      <c r="G351" s="33"/>
      <c r="H351" s="33"/>
      <c r="I351" s="33"/>
      <c r="J351" s="33"/>
      <c r="K351" s="33"/>
      <c r="L351" s="33"/>
      <c r="M351" s="33"/>
      <c r="N351" s="33"/>
      <c r="O351" s="33"/>
      <c r="P351" s="33"/>
      <c r="Q351" s="33"/>
      <c r="R351" s="33"/>
    </row>
    <row r="352">
      <c r="A352" s="33"/>
      <c r="B352" s="33"/>
      <c r="C352" s="33"/>
      <c r="D352" s="33"/>
      <c r="E352" s="33"/>
      <c r="F352" s="33"/>
      <c r="G352" s="33"/>
      <c r="H352" s="33"/>
      <c r="I352" s="33"/>
      <c r="J352" s="33"/>
      <c r="K352" s="33"/>
      <c r="L352" s="33"/>
      <c r="M352" s="33"/>
      <c r="N352" s="33"/>
      <c r="O352" s="33"/>
      <c r="P352" s="33"/>
      <c r="Q352" s="33"/>
      <c r="R352" s="33"/>
    </row>
    <row r="353">
      <c r="A353" s="33"/>
      <c r="B353" s="33"/>
      <c r="C353" s="33"/>
      <c r="D353" s="33"/>
      <c r="E353" s="33"/>
      <c r="F353" s="33"/>
      <c r="G353" s="33"/>
      <c r="H353" s="33"/>
      <c r="I353" s="33"/>
      <c r="J353" s="33"/>
      <c r="K353" s="33"/>
      <c r="L353" s="33"/>
      <c r="M353" s="33"/>
      <c r="N353" s="33"/>
      <c r="O353" s="33"/>
      <c r="P353" s="33"/>
      <c r="Q353" s="33"/>
      <c r="R353" s="33"/>
    </row>
    <row r="354">
      <c r="A354" s="33"/>
      <c r="B354" s="33"/>
      <c r="C354" s="33"/>
      <c r="D354" s="33"/>
      <c r="E354" s="33"/>
      <c r="F354" s="33"/>
      <c r="G354" s="33"/>
      <c r="H354" s="33"/>
      <c r="I354" s="33"/>
      <c r="J354" s="33"/>
      <c r="K354" s="33"/>
      <c r="L354" s="33"/>
      <c r="M354" s="33"/>
      <c r="N354" s="33"/>
      <c r="O354" s="33"/>
      <c r="P354" s="33"/>
      <c r="Q354" s="33"/>
      <c r="R354" s="33"/>
    </row>
    <row r="355">
      <c r="A355" s="33"/>
      <c r="B355" s="33"/>
      <c r="C355" s="33"/>
      <c r="D355" s="33"/>
      <c r="E355" s="33"/>
      <c r="F355" s="33"/>
      <c r="G355" s="33"/>
      <c r="H355" s="33"/>
      <c r="I355" s="33"/>
      <c r="J355" s="33"/>
      <c r="K355" s="33"/>
      <c r="L355" s="33"/>
      <c r="M355" s="33"/>
      <c r="N355" s="33"/>
      <c r="O355" s="33"/>
      <c r="P355" s="33"/>
      <c r="Q355" s="33"/>
      <c r="R355" s="33"/>
    </row>
    <row r="356">
      <c r="A356" s="33"/>
      <c r="B356" s="33"/>
      <c r="C356" s="33"/>
      <c r="D356" s="33"/>
      <c r="E356" s="33"/>
      <c r="F356" s="33"/>
      <c r="G356" s="33"/>
      <c r="H356" s="33"/>
      <c r="I356" s="33"/>
      <c r="J356" s="33"/>
      <c r="K356" s="33"/>
      <c r="L356" s="33"/>
      <c r="M356" s="33"/>
      <c r="N356" s="33"/>
      <c r="O356" s="33"/>
      <c r="P356" s="33"/>
      <c r="Q356" s="33"/>
      <c r="R356" s="33"/>
    </row>
    <row r="357">
      <c r="A357" s="33"/>
      <c r="B357" s="33"/>
      <c r="C357" s="33"/>
      <c r="D357" s="33"/>
      <c r="E357" s="33"/>
      <c r="F357" s="33"/>
      <c r="G357" s="33"/>
      <c r="H357" s="33"/>
      <c r="I357" s="33"/>
      <c r="J357" s="33"/>
      <c r="K357" s="33"/>
      <c r="L357" s="33"/>
      <c r="M357" s="33"/>
      <c r="N357" s="33"/>
      <c r="O357" s="33"/>
      <c r="P357" s="33"/>
      <c r="Q357" s="33"/>
      <c r="R357" s="33"/>
    </row>
    <row r="358">
      <c r="A358" s="33"/>
      <c r="B358" s="33"/>
      <c r="C358" s="33"/>
      <c r="D358" s="33"/>
      <c r="E358" s="33"/>
      <c r="F358" s="33"/>
      <c r="G358" s="33"/>
      <c r="H358" s="33"/>
      <c r="I358" s="33"/>
      <c r="J358" s="33"/>
      <c r="K358" s="33"/>
      <c r="L358" s="33"/>
      <c r="M358" s="33"/>
      <c r="N358" s="33"/>
      <c r="O358" s="33"/>
      <c r="P358" s="33"/>
      <c r="Q358" s="33"/>
      <c r="R358" s="33"/>
    </row>
    <row r="359">
      <c r="A359" s="33"/>
      <c r="B359" s="33"/>
      <c r="C359" s="33"/>
      <c r="D359" s="33"/>
      <c r="E359" s="33"/>
      <c r="F359" s="33"/>
      <c r="G359" s="33"/>
      <c r="H359" s="33"/>
      <c r="I359" s="33"/>
      <c r="J359" s="33"/>
      <c r="K359" s="33"/>
      <c r="L359" s="33"/>
      <c r="M359" s="33"/>
      <c r="N359" s="33"/>
      <c r="O359" s="33"/>
      <c r="P359" s="33"/>
      <c r="Q359" s="33"/>
      <c r="R359" s="33"/>
    </row>
    <row r="360">
      <c r="A360" s="33"/>
      <c r="B360" s="33"/>
      <c r="C360" s="33"/>
      <c r="D360" s="33"/>
      <c r="E360" s="33"/>
      <c r="F360" s="33"/>
      <c r="G360" s="33"/>
      <c r="H360" s="33"/>
      <c r="I360" s="33"/>
      <c r="J360" s="33"/>
      <c r="K360" s="33"/>
      <c r="L360" s="33"/>
      <c r="M360" s="33"/>
      <c r="N360" s="33"/>
      <c r="O360" s="33"/>
      <c r="P360" s="33"/>
      <c r="Q360" s="33"/>
      <c r="R360" s="33"/>
    </row>
    <row r="361">
      <c r="A361" s="33"/>
      <c r="B361" s="33"/>
      <c r="C361" s="33"/>
      <c r="D361" s="33"/>
      <c r="E361" s="33"/>
      <c r="F361" s="33"/>
      <c r="G361" s="33"/>
      <c r="H361" s="33"/>
      <c r="I361" s="33"/>
      <c r="J361" s="33"/>
      <c r="K361" s="33"/>
      <c r="L361" s="33"/>
      <c r="M361" s="33"/>
      <c r="N361" s="33"/>
      <c r="O361" s="33"/>
      <c r="P361" s="33"/>
      <c r="Q361" s="33"/>
      <c r="R361" s="33"/>
    </row>
    <row r="362">
      <c r="A362" s="33"/>
      <c r="B362" s="33"/>
      <c r="C362" s="33"/>
      <c r="D362" s="33"/>
      <c r="E362" s="33"/>
      <c r="F362" s="33"/>
      <c r="G362" s="33"/>
      <c r="H362" s="33"/>
      <c r="I362" s="33"/>
      <c r="J362" s="33"/>
      <c r="K362" s="33"/>
      <c r="L362" s="33"/>
      <c r="M362" s="33"/>
      <c r="N362" s="33"/>
      <c r="O362" s="33"/>
      <c r="P362" s="33"/>
      <c r="Q362" s="33"/>
      <c r="R362" s="33"/>
    </row>
    <row r="363">
      <c r="A363" s="33"/>
      <c r="B363" s="33"/>
      <c r="C363" s="33"/>
      <c r="D363" s="33"/>
      <c r="E363" s="33"/>
      <c r="F363" s="33"/>
      <c r="G363" s="33"/>
      <c r="H363" s="33"/>
      <c r="I363" s="33"/>
      <c r="J363" s="33"/>
      <c r="K363" s="33"/>
      <c r="L363" s="33"/>
      <c r="M363" s="33"/>
      <c r="N363" s="33"/>
      <c r="O363" s="33"/>
      <c r="P363" s="33"/>
      <c r="Q363" s="33"/>
      <c r="R363" s="33"/>
    </row>
    <row r="364">
      <c r="A364" s="33"/>
      <c r="B364" s="33"/>
      <c r="C364" s="33"/>
      <c r="D364" s="33"/>
      <c r="E364" s="33"/>
      <c r="F364" s="33"/>
      <c r="G364" s="33"/>
      <c r="H364" s="33"/>
      <c r="I364" s="33"/>
      <c r="J364" s="33"/>
      <c r="K364" s="33"/>
      <c r="L364" s="33"/>
      <c r="M364" s="33"/>
      <c r="N364" s="33"/>
      <c r="O364" s="33"/>
      <c r="P364" s="33"/>
      <c r="Q364" s="33"/>
      <c r="R364" s="33"/>
    </row>
    <row r="365">
      <c r="A365" s="33"/>
      <c r="B365" s="33"/>
      <c r="C365" s="33"/>
      <c r="D365" s="33"/>
      <c r="E365" s="33"/>
      <c r="F365" s="33"/>
      <c r="G365" s="33"/>
      <c r="H365" s="33"/>
      <c r="I365" s="33"/>
      <c r="J365" s="33"/>
      <c r="K365" s="33"/>
      <c r="L365" s="33"/>
      <c r="M365" s="33"/>
      <c r="N365" s="33"/>
      <c r="O365" s="33"/>
      <c r="P365" s="33"/>
      <c r="Q365" s="33"/>
      <c r="R365" s="33"/>
    </row>
    <row r="366">
      <c r="A366" s="33"/>
      <c r="B366" s="33"/>
      <c r="C366" s="33"/>
      <c r="D366" s="33"/>
      <c r="E366" s="33"/>
      <c r="F366" s="33"/>
      <c r="G366" s="33"/>
      <c r="H366" s="33"/>
      <c r="I366" s="33"/>
      <c r="J366" s="33"/>
      <c r="K366" s="33"/>
      <c r="L366" s="33"/>
      <c r="M366" s="33"/>
      <c r="N366" s="33"/>
      <c r="O366" s="33"/>
      <c r="P366" s="33"/>
      <c r="Q366" s="33"/>
      <c r="R366" s="33"/>
    </row>
    <row r="367">
      <c r="A367" s="33"/>
      <c r="B367" s="33"/>
      <c r="C367" s="33"/>
      <c r="D367" s="33"/>
      <c r="E367" s="33"/>
      <c r="F367" s="33"/>
      <c r="G367" s="33"/>
      <c r="H367" s="33"/>
      <c r="I367" s="33"/>
      <c r="J367" s="33"/>
      <c r="K367" s="33"/>
      <c r="L367" s="33"/>
      <c r="M367" s="33"/>
      <c r="N367" s="33"/>
      <c r="O367" s="33"/>
      <c r="P367" s="33"/>
      <c r="Q367" s="33"/>
      <c r="R367" s="33"/>
    </row>
    <row r="368">
      <c r="A368" s="33"/>
      <c r="B368" s="33"/>
      <c r="C368" s="33"/>
      <c r="D368" s="33"/>
      <c r="E368" s="33"/>
      <c r="F368" s="33"/>
      <c r="G368" s="33"/>
      <c r="H368" s="33"/>
      <c r="I368" s="33"/>
      <c r="J368" s="33"/>
      <c r="K368" s="33"/>
      <c r="L368" s="33"/>
      <c r="M368" s="33"/>
      <c r="N368" s="33"/>
      <c r="O368" s="33"/>
      <c r="P368" s="33"/>
      <c r="Q368" s="33"/>
      <c r="R368" s="33"/>
    </row>
    <row r="369">
      <c r="A369" s="33"/>
      <c r="B369" s="33"/>
      <c r="C369" s="33"/>
      <c r="D369" s="33"/>
      <c r="E369" s="33"/>
      <c r="F369" s="33"/>
      <c r="G369" s="33"/>
      <c r="H369" s="33"/>
      <c r="I369" s="33"/>
      <c r="J369" s="33"/>
      <c r="K369" s="33"/>
      <c r="L369" s="33"/>
      <c r="M369" s="33"/>
      <c r="N369" s="33"/>
      <c r="O369" s="33"/>
      <c r="P369" s="33"/>
      <c r="Q369" s="33"/>
      <c r="R369" s="33"/>
    </row>
    <row r="370">
      <c r="A370" s="33"/>
      <c r="B370" s="33"/>
      <c r="C370" s="33"/>
      <c r="D370" s="33"/>
      <c r="E370" s="33"/>
      <c r="F370" s="33"/>
      <c r="G370" s="33"/>
      <c r="H370" s="33"/>
      <c r="I370" s="33"/>
      <c r="J370" s="33"/>
      <c r="K370" s="33"/>
      <c r="L370" s="33"/>
      <c r="M370" s="33"/>
      <c r="N370" s="33"/>
      <c r="O370" s="33"/>
      <c r="P370" s="33"/>
      <c r="Q370" s="33"/>
      <c r="R370" s="33"/>
    </row>
    <row r="371">
      <c r="A371" s="33"/>
      <c r="B371" s="33"/>
      <c r="C371" s="33"/>
      <c r="D371" s="33"/>
      <c r="E371" s="33"/>
      <c r="F371" s="33"/>
      <c r="G371" s="33"/>
      <c r="H371" s="33"/>
      <c r="I371" s="33"/>
      <c r="J371" s="33"/>
      <c r="K371" s="33"/>
      <c r="L371" s="33"/>
      <c r="M371" s="33"/>
      <c r="N371" s="33"/>
      <c r="O371" s="33"/>
      <c r="P371" s="33"/>
      <c r="Q371" s="33"/>
      <c r="R371" s="33"/>
    </row>
    <row r="372">
      <c r="A372" s="33"/>
      <c r="B372" s="33"/>
      <c r="C372" s="33"/>
      <c r="D372" s="33"/>
      <c r="E372" s="33"/>
      <c r="F372" s="33"/>
      <c r="G372" s="33"/>
      <c r="H372" s="33"/>
      <c r="I372" s="33"/>
      <c r="J372" s="33"/>
      <c r="K372" s="33"/>
      <c r="L372" s="33"/>
      <c r="M372" s="33"/>
      <c r="N372" s="33"/>
      <c r="O372" s="33"/>
      <c r="P372" s="33"/>
      <c r="Q372" s="33"/>
      <c r="R372" s="33"/>
    </row>
    <row r="373">
      <c r="A373" s="33"/>
      <c r="B373" s="33"/>
      <c r="C373" s="33"/>
      <c r="D373" s="33"/>
      <c r="E373" s="33"/>
      <c r="F373" s="33"/>
      <c r="G373" s="33"/>
      <c r="H373" s="33"/>
      <c r="I373" s="33"/>
      <c r="J373" s="33"/>
      <c r="K373" s="33"/>
      <c r="L373" s="33"/>
      <c r="M373" s="33"/>
      <c r="N373" s="33"/>
      <c r="O373" s="33"/>
      <c r="P373" s="33"/>
      <c r="Q373" s="33"/>
      <c r="R373" s="33"/>
    </row>
    <row r="374">
      <c r="A374" s="33"/>
      <c r="B374" s="33"/>
      <c r="C374" s="33"/>
      <c r="D374" s="33"/>
      <c r="E374" s="33"/>
      <c r="F374" s="33"/>
      <c r="G374" s="33"/>
      <c r="H374" s="33"/>
      <c r="I374" s="33"/>
      <c r="J374" s="33"/>
      <c r="K374" s="33"/>
      <c r="L374" s="33"/>
      <c r="M374" s="33"/>
      <c r="N374" s="33"/>
      <c r="O374" s="33"/>
      <c r="P374" s="33"/>
      <c r="Q374" s="33"/>
      <c r="R374" s="33"/>
    </row>
    <row r="375">
      <c r="A375" s="33"/>
      <c r="B375" s="33"/>
      <c r="C375" s="33"/>
      <c r="D375" s="33"/>
      <c r="E375" s="33"/>
      <c r="F375" s="33"/>
      <c r="G375" s="33"/>
      <c r="H375" s="33"/>
      <c r="I375" s="33"/>
      <c r="J375" s="33"/>
      <c r="K375" s="33"/>
      <c r="L375" s="33"/>
      <c r="M375" s="33"/>
      <c r="N375" s="33"/>
      <c r="O375" s="33"/>
      <c r="P375" s="33"/>
      <c r="Q375" s="33"/>
      <c r="R375" s="33"/>
    </row>
    <row r="376">
      <c r="A376" s="33"/>
      <c r="B376" s="33"/>
      <c r="C376" s="33"/>
      <c r="D376" s="33"/>
      <c r="E376" s="33"/>
      <c r="F376" s="33"/>
      <c r="G376" s="33"/>
      <c r="H376" s="33"/>
      <c r="I376" s="33"/>
      <c r="J376" s="33"/>
      <c r="K376" s="33"/>
      <c r="L376" s="33"/>
      <c r="M376" s="33"/>
      <c r="N376" s="33"/>
      <c r="O376" s="33"/>
      <c r="P376" s="33"/>
      <c r="Q376" s="33"/>
      <c r="R376" s="33"/>
    </row>
    <row r="377">
      <c r="A377" s="33"/>
      <c r="B377" s="33"/>
      <c r="C377" s="33"/>
      <c r="D377" s="33"/>
      <c r="E377" s="33"/>
      <c r="F377" s="33"/>
      <c r="G377" s="33"/>
      <c r="H377" s="33"/>
      <c r="I377" s="33"/>
      <c r="J377" s="33"/>
      <c r="K377" s="33"/>
      <c r="L377" s="33"/>
      <c r="M377" s="33"/>
      <c r="N377" s="33"/>
      <c r="O377" s="33"/>
      <c r="P377" s="33"/>
      <c r="Q377" s="33"/>
      <c r="R377" s="33"/>
    </row>
    <row r="378">
      <c r="A378" s="33"/>
      <c r="B378" s="33"/>
      <c r="C378" s="33"/>
      <c r="D378" s="33"/>
      <c r="E378" s="33"/>
      <c r="F378" s="33"/>
      <c r="G378" s="33"/>
      <c r="H378" s="33"/>
      <c r="I378" s="33"/>
      <c r="J378" s="33"/>
      <c r="K378" s="33"/>
      <c r="L378" s="33"/>
      <c r="M378" s="33"/>
      <c r="N378" s="33"/>
      <c r="O378" s="33"/>
      <c r="P378" s="33"/>
      <c r="Q378" s="33"/>
      <c r="R378" s="33"/>
    </row>
    <row r="379">
      <c r="A379" s="33"/>
      <c r="B379" s="33"/>
      <c r="C379" s="33"/>
      <c r="D379" s="33"/>
      <c r="E379" s="33"/>
      <c r="F379" s="33"/>
      <c r="G379" s="33"/>
      <c r="H379" s="33"/>
      <c r="I379" s="33"/>
      <c r="J379" s="33"/>
      <c r="K379" s="33"/>
      <c r="L379" s="33"/>
      <c r="M379" s="33"/>
      <c r="N379" s="33"/>
      <c r="O379" s="33"/>
      <c r="P379" s="33"/>
      <c r="Q379" s="33"/>
      <c r="R379" s="33"/>
    </row>
    <row r="380">
      <c r="A380" s="33"/>
      <c r="B380" s="33"/>
      <c r="C380" s="33"/>
      <c r="D380" s="33"/>
      <c r="E380" s="33"/>
      <c r="F380" s="33"/>
      <c r="G380" s="33"/>
      <c r="H380" s="33"/>
      <c r="I380" s="33"/>
      <c r="J380" s="33"/>
      <c r="K380" s="33"/>
      <c r="L380" s="33"/>
      <c r="M380" s="33"/>
      <c r="N380" s="33"/>
      <c r="O380" s="33"/>
      <c r="P380" s="33"/>
      <c r="Q380" s="33"/>
      <c r="R380" s="33"/>
    </row>
    <row r="381">
      <c r="A381" s="33"/>
      <c r="B381" s="33"/>
      <c r="C381" s="33"/>
      <c r="D381" s="33"/>
      <c r="E381" s="33"/>
      <c r="F381" s="33"/>
      <c r="G381" s="33"/>
      <c r="H381" s="33"/>
      <c r="I381" s="33"/>
      <c r="J381" s="33"/>
      <c r="K381" s="33"/>
      <c r="L381" s="33"/>
      <c r="M381" s="33"/>
      <c r="N381" s="33"/>
      <c r="O381" s="33"/>
      <c r="P381" s="33"/>
      <c r="Q381" s="33"/>
      <c r="R381" s="33"/>
    </row>
    <row r="382">
      <c r="A382" s="33"/>
      <c r="B382" s="33"/>
      <c r="C382" s="33"/>
      <c r="D382" s="33"/>
      <c r="E382" s="33"/>
      <c r="F382" s="33"/>
      <c r="G382" s="33"/>
      <c r="H382" s="33"/>
      <c r="I382" s="33"/>
      <c r="J382" s="33"/>
      <c r="K382" s="33"/>
      <c r="L382" s="33"/>
      <c r="M382" s="33"/>
      <c r="N382" s="33"/>
      <c r="O382" s="33"/>
      <c r="P382" s="33"/>
      <c r="Q382" s="33"/>
      <c r="R382" s="33"/>
    </row>
    <row r="383">
      <c r="A383" s="33"/>
      <c r="B383" s="33"/>
      <c r="C383" s="33"/>
      <c r="D383" s="33"/>
      <c r="E383" s="33"/>
      <c r="F383" s="33"/>
      <c r="G383" s="33"/>
      <c r="H383" s="33"/>
      <c r="I383" s="33"/>
      <c r="J383" s="33"/>
      <c r="K383" s="33"/>
      <c r="L383" s="33"/>
      <c r="M383" s="33"/>
      <c r="N383" s="33"/>
      <c r="O383" s="33"/>
      <c r="P383" s="33"/>
      <c r="Q383" s="33"/>
      <c r="R383" s="33"/>
    </row>
    <row r="384">
      <c r="A384" s="33"/>
      <c r="B384" s="33"/>
      <c r="C384" s="33"/>
      <c r="D384" s="33"/>
      <c r="E384" s="33"/>
      <c r="F384" s="33"/>
      <c r="G384" s="33"/>
      <c r="H384" s="33"/>
      <c r="I384" s="33"/>
      <c r="J384" s="33"/>
      <c r="K384" s="33"/>
      <c r="L384" s="33"/>
      <c r="M384" s="33"/>
      <c r="N384" s="33"/>
      <c r="O384" s="33"/>
      <c r="P384" s="33"/>
      <c r="Q384" s="33"/>
      <c r="R384" s="33"/>
    </row>
    <row r="385">
      <c r="A385" s="33"/>
      <c r="B385" s="33"/>
      <c r="C385" s="33"/>
      <c r="D385" s="33"/>
      <c r="E385" s="33"/>
      <c r="F385" s="33"/>
      <c r="G385" s="33"/>
      <c r="H385" s="33"/>
      <c r="I385" s="33"/>
      <c r="J385" s="33"/>
      <c r="K385" s="33"/>
      <c r="L385" s="33"/>
      <c r="M385" s="33"/>
      <c r="N385" s="33"/>
      <c r="O385" s="33"/>
      <c r="P385" s="33"/>
      <c r="Q385" s="33"/>
      <c r="R385" s="33"/>
    </row>
    <row r="386">
      <c r="A386" s="33"/>
      <c r="B386" s="33"/>
      <c r="C386" s="33"/>
      <c r="D386" s="33"/>
      <c r="E386" s="33"/>
      <c r="F386" s="33"/>
      <c r="G386" s="33"/>
      <c r="H386" s="33"/>
      <c r="I386" s="33"/>
      <c r="J386" s="33"/>
      <c r="K386" s="33"/>
      <c r="L386" s="33"/>
      <c r="M386" s="33"/>
      <c r="N386" s="33"/>
      <c r="O386" s="33"/>
      <c r="P386" s="33"/>
      <c r="Q386" s="33"/>
      <c r="R386" s="33"/>
    </row>
    <row r="387">
      <c r="A387" s="33"/>
      <c r="B387" s="33"/>
      <c r="C387" s="33"/>
      <c r="D387" s="33"/>
      <c r="E387" s="33"/>
      <c r="F387" s="33"/>
      <c r="G387" s="33"/>
      <c r="H387" s="33"/>
      <c r="I387" s="33"/>
      <c r="J387" s="33"/>
      <c r="K387" s="33"/>
      <c r="L387" s="33"/>
      <c r="M387" s="33"/>
      <c r="N387" s="33"/>
      <c r="O387" s="33"/>
      <c r="P387" s="33"/>
      <c r="Q387" s="33"/>
      <c r="R387" s="33"/>
    </row>
    <row r="388">
      <c r="A388" s="33"/>
      <c r="B388" s="33"/>
      <c r="C388" s="33"/>
      <c r="D388" s="33"/>
      <c r="E388" s="33"/>
      <c r="F388" s="33"/>
      <c r="G388" s="33"/>
      <c r="H388" s="33"/>
      <c r="I388" s="33"/>
      <c r="J388" s="33"/>
      <c r="K388" s="33"/>
      <c r="L388" s="33"/>
      <c r="M388" s="33"/>
      <c r="N388" s="33"/>
      <c r="O388" s="33"/>
      <c r="P388" s="33"/>
      <c r="Q388" s="33"/>
      <c r="R388" s="33"/>
    </row>
    <row r="389">
      <c r="A389" s="33"/>
      <c r="B389" s="33"/>
      <c r="C389" s="33"/>
      <c r="D389" s="33"/>
      <c r="E389" s="33"/>
      <c r="F389" s="33"/>
      <c r="G389" s="33"/>
      <c r="H389" s="33"/>
      <c r="I389" s="33"/>
      <c r="J389" s="33"/>
      <c r="K389" s="33"/>
      <c r="L389" s="33"/>
      <c r="M389" s="33"/>
      <c r="N389" s="33"/>
      <c r="O389" s="33"/>
      <c r="P389" s="33"/>
      <c r="Q389" s="33"/>
      <c r="R389" s="33"/>
    </row>
    <row r="390">
      <c r="A390" s="33"/>
      <c r="B390" s="33"/>
      <c r="C390" s="33"/>
      <c r="D390" s="33"/>
      <c r="E390" s="33"/>
      <c r="F390" s="33"/>
      <c r="G390" s="33"/>
      <c r="H390" s="33"/>
      <c r="I390" s="33"/>
      <c r="J390" s="33"/>
      <c r="K390" s="33"/>
      <c r="L390" s="33"/>
      <c r="M390" s="33"/>
      <c r="N390" s="33"/>
      <c r="O390" s="33"/>
      <c r="P390" s="33"/>
      <c r="Q390" s="33"/>
      <c r="R390" s="33"/>
    </row>
    <row r="391">
      <c r="A391" s="33"/>
      <c r="B391" s="33"/>
      <c r="C391" s="33"/>
      <c r="D391" s="33"/>
      <c r="E391" s="33"/>
      <c r="F391" s="33"/>
      <c r="G391" s="33"/>
      <c r="H391" s="33"/>
      <c r="I391" s="33"/>
      <c r="J391" s="33"/>
      <c r="K391" s="33"/>
      <c r="L391" s="33"/>
      <c r="M391" s="33"/>
      <c r="N391" s="33"/>
      <c r="O391" s="33"/>
      <c r="P391" s="33"/>
      <c r="Q391" s="33"/>
      <c r="R391" s="33"/>
    </row>
    <row r="392">
      <c r="A392" s="33"/>
      <c r="B392" s="33"/>
      <c r="C392" s="33"/>
      <c r="D392" s="33"/>
      <c r="E392" s="33"/>
      <c r="F392" s="33"/>
      <c r="G392" s="33"/>
      <c r="H392" s="33"/>
      <c r="I392" s="33"/>
      <c r="J392" s="33"/>
      <c r="K392" s="33"/>
      <c r="L392" s="33"/>
      <c r="M392" s="33"/>
      <c r="N392" s="33"/>
      <c r="O392" s="33"/>
      <c r="P392" s="33"/>
      <c r="Q392" s="33"/>
      <c r="R392" s="33"/>
    </row>
    <row r="393">
      <c r="A393" s="33"/>
      <c r="B393" s="33"/>
      <c r="C393" s="33"/>
      <c r="D393" s="33"/>
      <c r="E393" s="33"/>
      <c r="F393" s="33"/>
      <c r="G393" s="33"/>
      <c r="H393" s="33"/>
      <c r="I393" s="33"/>
      <c r="J393" s="33"/>
      <c r="K393" s="33"/>
      <c r="L393" s="33"/>
      <c r="M393" s="33"/>
      <c r="N393" s="33"/>
      <c r="O393" s="33"/>
      <c r="P393" s="33"/>
      <c r="Q393" s="33"/>
      <c r="R393" s="33"/>
    </row>
    <row r="394">
      <c r="A394" s="33"/>
      <c r="B394" s="33"/>
      <c r="C394" s="33"/>
      <c r="D394" s="33"/>
      <c r="E394" s="33"/>
      <c r="F394" s="33"/>
      <c r="G394" s="33"/>
      <c r="H394" s="33"/>
      <c r="I394" s="33"/>
      <c r="J394" s="33"/>
      <c r="K394" s="33"/>
      <c r="L394" s="33"/>
      <c r="M394" s="33"/>
      <c r="N394" s="33"/>
      <c r="O394" s="33"/>
      <c r="P394" s="33"/>
      <c r="Q394" s="33"/>
      <c r="R394" s="33"/>
    </row>
    <row r="395">
      <c r="A395" s="33"/>
      <c r="B395" s="33"/>
      <c r="C395" s="33"/>
      <c r="D395" s="33"/>
      <c r="E395" s="33"/>
      <c r="F395" s="33"/>
      <c r="G395" s="33"/>
      <c r="H395" s="33"/>
      <c r="I395" s="33"/>
      <c r="J395" s="33"/>
      <c r="K395" s="33"/>
      <c r="L395" s="33"/>
      <c r="M395" s="33"/>
      <c r="N395" s="33"/>
      <c r="O395" s="33"/>
      <c r="P395" s="33"/>
      <c r="Q395" s="33"/>
      <c r="R395" s="33"/>
    </row>
    <row r="396">
      <c r="A396" s="33"/>
      <c r="B396" s="33"/>
      <c r="C396" s="33"/>
      <c r="D396" s="33"/>
      <c r="E396" s="33"/>
      <c r="F396" s="33"/>
      <c r="G396" s="33"/>
      <c r="H396" s="33"/>
      <c r="I396" s="33"/>
      <c r="J396" s="33"/>
      <c r="K396" s="33"/>
      <c r="L396" s="33"/>
      <c r="M396" s="33"/>
      <c r="N396" s="33"/>
      <c r="O396" s="33"/>
      <c r="P396" s="33"/>
      <c r="Q396" s="33"/>
      <c r="R396" s="33"/>
    </row>
    <row r="397">
      <c r="A397" s="33"/>
      <c r="B397" s="33"/>
      <c r="C397" s="33"/>
      <c r="D397" s="33"/>
      <c r="E397" s="33"/>
      <c r="F397" s="33"/>
      <c r="G397" s="33"/>
      <c r="H397" s="33"/>
      <c r="I397" s="33"/>
      <c r="J397" s="33"/>
      <c r="K397" s="33"/>
      <c r="L397" s="33"/>
      <c r="M397" s="33"/>
      <c r="N397" s="33"/>
      <c r="O397" s="33"/>
      <c r="P397" s="33"/>
      <c r="Q397" s="33"/>
      <c r="R397" s="33"/>
    </row>
    <row r="398">
      <c r="A398" s="33"/>
      <c r="B398" s="33"/>
      <c r="C398" s="33"/>
      <c r="D398" s="33"/>
      <c r="E398" s="33"/>
      <c r="F398" s="33"/>
      <c r="G398" s="33"/>
      <c r="H398" s="33"/>
      <c r="I398" s="33"/>
      <c r="J398" s="33"/>
      <c r="K398" s="33"/>
      <c r="L398" s="33"/>
      <c r="M398" s="33"/>
      <c r="N398" s="33"/>
      <c r="O398" s="33"/>
      <c r="P398" s="33"/>
      <c r="Q398" s="33"/>
      <c r="R398" s="33"/>
    </row>
    <row r="399">
      <c r="A399" s="33"/>
      <c r="B399" s="33"/>
      <c r="C399" s="33"/>
      <c r="D399" s="33"/>
      <c r="E399" s="33"/>
      <c r="F399" s="33"/>
      <c r="G399" s="33"/>
      <c r="H399" s="33"/>
      <c r="I399" s="33"/>
      <c r="J399" s="33"/>
      <c r="K399" s="33"/>
      <c r="L399" s="33"/>
      <c r="M399" s="33"/>
      <c r="N399" s="33"/>
      <c r="O399" s="33"/>
      <c r="P399" s="33"/>
      <c r="Q399" s="33"/>
      <c r="R399" s="33"/>
    </row>
    <row r="400">
      <c r="A400" s="33"/>
      <c r="B400" s="33"/>
      <c r="C400" s="33"/>
      <c r="D400" s="33"/>
      <c r="E400" s="33"/>
      <c r="F400" s="33"/>
      <c r="G400" s="33"/>
      <c r="H400" s="33"/>
      <c r="I400" s="33"/>
      <c r="J400" s="33"/>
      <c r="K400" s="33"/>
      <c r="L400" s="33"/>
      <c r="M400" s="33"/>
      <c r="N400" s="33"/>
      <c r="O400" s="33"/>
      <c r="P400" s="33"/>
      <c r="Q400" s="33"/>
      <c r="R400" s="33"/>
    </row>
    <row r="401">
      <c r="A401" s="33"/>
      <c r="B401" s="33"/>
      <c r="C401" s="33"/>
      <c r="D401" s="33"/>
      <c r="E401" s="33"/>
      <c r="F401" s="33"/>
      <c r="G401" s="33"/>
      <c r="H401" s="33"/>
      <c r="I401" s="33"/>
      <c r="J401" s="33"/>
      <c r="K401" s="33"/>
      <c r="L401" s="33"/>
      <c r="M401" s="33"/>
      <c r="N401" s="33"/>
      <c r="O401" s="33"/>
      <c r="P401" s="33"/>
      <c r="Q401" s="33"/>
      <c r="R401" s="33"/>
    </row>
    <row r="402">
      <c r="A402" s="33"/>
      <c r="B402" s="33"/>
      <c r="C402" s="33"/>
      <c r="D402" s="33"/>
      <c r="E402" s="33"/>
      <c r="F402" s="33"/>
      <c r="G402" s="33"/>
      <c r="H402" s="33"/>
      <c r="I402" s="33"/>
      <c r="J402" s="33"/>
      <c r="K402" s="33"/>
      <c r="L402" s="33"/>
      <c r="M402" s="33"/>
      <c r="N402" s="33"/>
      <c r="O402" s="33"/>
      <c r="P402" s="33"/>
      <c r="Q402" s="33"/>
      <c r="R402" s="33"/>
    </row>
    <row r="403">
      <c r="A403" s="33"/>
      <c r="B403" s="33"/>
      <c r="C403" s="33"/>
      <c r="D403" s="33"/>
      <c r="E403" s="33"/>
      <c r="F403" s="33"/>
      <c r="G403" s="33"/>
      <c r="H403" s="33"/>
      <c r="I403" s="33"/>
      <c r="J403" s="33"/>
      <c r="K403" s="33"/>
      <c r="L403" s="33"/>
      <c r="M403" s="33"/>
      <c r="N403" s="33"/>
      <c r="O403" s="33"/>
      <c r="P403" s="33"/>
      <c r="Q403" s="33"/>
      <c r="R403" s="33"/>
    </row>
    <row r="404">
      <c r="A404" s="33"/>
      <c r="B404" s="33"/>
      <c r="C404" s="33"/>
      <c r="D404" s="33"/>
      <c r="E404" s="33"/>
      <c r="F404" s="33"/>
      <c r="G404" s="33"/>
      <c r="H404" s="33"/>
      <c r="I404" s="33"/>
      <c r="J404" s="33"/>
      <c r="K404" s="33"/>
      <c r="L404" s="33"/>
      <c r="M404" s="33"/>
      <c r="N404" s="33"/>
      <c r="O404" s="33"/>
      <c r="P404" s="33"/>
      <c r="Q404" s="33"/>
      <c r="R404" s="33"/>
    </row>
    <row r="405">
      <c r="A405" s="33"/>
      <c r="B405" s="33"/>
      <c r="C405" s="33"/>
      <c r="D405" s="33"/>
      <c r="E405" s="33"/>
      <c r="F405" s="33"/>
      <c r="G405" s="33"/>
      <c r="H405" s="33"/>
      <c r="I405" s="33"/>
      <c r="J405" s="33"/>
      <c r="K405" s="33"/>
      <c r="L405" s="33"/>
      <c r="M405" s="33"/>
      <c r="N405" s="33"/>
      <c r="O405" s="33"/>
      <c r="P405" s="33"/>
      <c r="Q405" s="33"/>
      <c r="R405" s="33"/>
    </row>
    <row r="406">
      <c r="A406" s="33"/>
      <c r="B406" s="33"/>
      <c r="C406" s="33"/>
      <c r="D406" s="33"/>
      <c r="E406" s="33"/>
      <c r="F406" s="33"/>
      <c r="G406" s="33"/>
      <c r="H406" s="33"/>
      <c r="I406" s="33"/>
      <c r="J406" s="33"/>
      <c r="K406" s="33"/>
      <c r="L406" s="33"/>
      <c r="M406" s="33"/>
      <c r="N406" s="33"/>
      <c r="O406" s="33"/>
      <c r="P406" s="33"/>
      <c r="Q406" s="33"/>
      <c r="R406" s="33"/>
    </row>
    <row r="407">
      <c r="A407" s="33"/>
      <c r="B407" s="33"/>
      <c r="C407" s="33"/>
      <c r="D407" s="33"/>
      <c r="E407" s="33"/>
      <c r="F407" s="33"/>
      <c r="G407" s="33"/>
      <c r="H407" s="33"/>
      <c r="I407" s="33"/>
      <c r="J407" s="33"/>
      <c r="K407" s="33"/>
      <c r="L407" s="33"/>
      <c r="M407" s="33"/>
      <c r="N407" s="33"/>
      <c r="O407" s="33"/>
      <c r="P407" s="33"/>
      <c r="Q407" s="33"/>
      <c r="R407" s="33"/>
    </row>
    <row r="408">
      <c r="A408" s="33"/>
      <c r="B408" s="33"/>
      <c r="C408" s="33"/>
      <c r="D408" s="33"/>
      <c r="E408" s="33"/>
      <c r="F408" s="33"/>
      <c r="G408" s="33"/>
      <c r="H408" s="33"/>
      <c r="I408" s="33"/>
      <c r="J408" s="33"/>
      <c r="K408" s="33"/>
      <c r="L408" s="33"/>
      <c r="M408" s="33"/>
      <c r="N408" s="33"/>
      <c r="O408" s="33"/>
      <c r="P408" s="33"/>
      <c r="Q408" s="33"/>
      <c r="R408" s="33"/>
    </row>
    <row r="409">
      <c r="A409" s="33"/>
      <c r="B409" s="33"/>
      <c r="C409" s="33"/>
      <c r="D409" s="33"/>
      <c r="E409" s="33"/>
      <c r="F409" s="33"/>
      <c r="G409" s="33"/>
      <c r="H409" s="33"/>
      <c r="I409" s="33"/>
      <c r="J409" s="33"/>
      <c r="K409" s="33"/>
      <c r="L409" s="33"/>
      <c r="M409" s="33"/>
      <c r="N409" s="33"/>
      <c r="O409" s="33"/>
      <c r="P409" s="33"/>
      <c r="Q409" s="33"/>
      <c r="R409" s="33"/>
    </row>
    <row r="410">
      <c r="A410" s="33"/>
      <c r="B410" s="33"/>
      <c r="C410" s="33"/>
      <c r="D410" s="33"/>
      <c r="E410" s="33"/>
      <c r="F410" s="33"/>
      <c r="G410" s="33"/>
      <c r="H410" s="33"/>
      <c r="I410" s="33"/>
      <c r="J410" s="33"/>
      <c r="K410" s="33"/>
      <c r="L410" s="33"/>
      <c r="M410" s="33"/>
      <c r="N410" s="33"/>
      <c r="O410" s="33"/>
      <c r="P410" s="33"/>
      <c r="Q410" s="33"/>
      <c r="R410" s="33"/>
    </row>
    <row r="411">
      <c r="A411" s="33"/>
      <c r="B411" s="33"/>
      <c r="C411" s="33"/>
      <c r="D411" s="33"/>
      <c r="E411" s="33"/>
      <c r="F411" s="33"/>
      <c r="G411" s="33"/>
      <c r="H411" s="33"/>
      <c r="I411" s="33"/>
      <c r="J411" s="33"/>
      <c r="K411" s="33"/>
      <c r="L411" s="33"/>
      <c r="M411" s="33"/>
      <c r="N411" s="33"/>
      <c r="O411" s="33"/>
      <c r="P411" s="33"/>
      <c r="Q411" s="33"/>
      <c r="R411" s="33"/>
    </row>
    <row r="412">
      <c r="A412" s="33"/>
      <c r="B412" s="33"/>
      <c r="C412" s="33"/>
      <c r="D412" s="33"/>
      <c r="E412" s="33"/>
      <c r="F412" s="33"/>
      <c r="G412" s="33"/>
      <c r="H412" s="33"/>
      <c r="I412" s="33"/>
      <c r="J412" s="33"/>
      <c r="K412" s="33"/>
      <c r="L412" s="33"/>
      <c r="M412" s="33"/>
      <c r="N412" s="33"/>
      <c r="O412" s="33"/>
      <c r="P412" s="33"/>
      <c r="Q412" s="33"/>
      <c r="R412" s="33"/>
    </row>
    <row r="413">
      <c r="A413" s="33"/>
      <c r="B413" s="33"/>
      <c r="C413" s="33"/>
      <c r="D413" s="33"/>
      <c r="E413" s="33"/>
      <c r="F413" s="33"/>
      <c r="G413" s="33"/>
      <c r="H413" s="33"/>
      <c r="I413" s="33"/>
      <c r="J413" s="33"/>
      <c r="K413" s="33"/>
      <c r="L413" s="33"/>
      <c r="M413" s="33"/>
      <c r="N413" s="33"/>
      <c r="O413" s="33"/>
      <c r="P413" s="33"/>
      <c r="Q413" s="33"/>
      <c r="R413" s="33"/>
    </row>
    <row r="414">
      <c r="A414" s="33"/>
      <c r="B414" s="33"/>
      <c r="C414" s="33"/>
      <c r="D414" s="33"/>
      <c r="E414" s="33"/>
      <c r="F414" s="33"/>
      <c r="G414" s="33"/>
      <c r="H414" s="33"/>
      <c r="I414" s="33"/>
      <c r="J414" s="33"/>
      <c r="K414" s="33"/>
      <c r="L414" s="33"/>
      <c r="M414" s="33"/>
      <c r="N414" s="33"/>
      <c r="O414" s="33"/>
      <c r="P414" s="33"/>
      <c r="Q414" s="33"/>
      <c r="R414" s="33"/>
    </row>
    <row r="415">
      <c r="A415" s="33"/>
      <c r="B415" s="33"/>
      <c r="C415" s="33"/>
      <c r="D415" s="33"/>
      <c r="E415" s="33"/>
      <c r="F415" s="33"/>
      <c r="G415" s="33"/>
      <c r="H415" s="33"/>
      <c r="I415" s="33"/>
      <c r="J415" s="33"/>
      <c r="K415" s="33"/>
      <c r="L415" s="33"/>
      <c r="M415" s="33"/>
      <c r="N415" s="33"/>
      <c r="O415" s="33"/>
      <c r="P415" s="33"/>
      <c r="Q415" s="33"/>
      <c r="R415" s="33"/>
    </row>
    <row r="416">
      <c r="A416" s="33"/>
      <c r="B416" s="33"/>
      <c r="C416" s="33"/>
      <c r="D416" s="33"/>
      <c r="E416" s="33"/>
      <c r="F416" s="33"/>
      <c r="G416" s="33"/>
      <c r="H416" s="33"/>
      <c r="I416" s="33"/>
      <c r="J416" s="33"/>
      <c r="K416" s="33"/>
      <c r="L416" s="33"/>
      <c r="M416" s="33"/>
      <c r="N416" s="33"/>
      <c r="O416" s="33"/>
      <c r="P416" s="33"/>
      <c r="Q416" s="33"/>
      <c r="R416" s="33"/>
    </row>
    <row r="417">
      <c r="A417" s="33"/>
      <c r="B417" s="33"/>
      <c r="C417" s="33"/>
      <c r="D417" s="33"/>
      <c r="E417" s="33"/>
      <c r="F417" s="33"/>
      <c r="G417" s="33"/>
      <c r="H417" s="33"/>
      <c r="I417" s="33"/>
      <c r="J417" s="33"/>
      <c r="K417" s="33"/>
      <c r="L417" s="33"/>
      <c r="M417" s="33"/>
      <c r="N417" s="33"/>
      <c r="O417" s="33"/>
      <c r="P417" s="33"/>
      <c r="Q417" s="33"/>
      <c r="R417" s="33"/>
    </row>
    <row r="418">
      <c r="A418" s="33"/>
      <c r="B418" s="33"/>
      <c r="C418" s="33"/>
      <c r="D418" s="33"/>
      <c r="E418" s="33"/>
      <c r="F418" s="33"/>
      <c r="G418" s="33"/>
      <c r="H418" s="33"/>
      <c r="I418" s="33"/>
      <c r="J418" s="33"/>
      <c r="K418" s="33"/>
      <c r="L418" s="33"/>
      <c r="M418" s="33"/>
      <c r="N418" s="33"/>
      <c r="O418" s="33"/>
      <c r="P418" s="33"/>
      <c r="Q418" s="33"/>
      <c r="R418" s="33"/>
    </row>
    <row r="419">
      <c r="A419" s="33"/>
      <c r="B419" s="33"/>
      <c r="C419" s="33"/>
      <c r="D419" s="33"/>
      <c r="E419" s="33"/>
      <c r="F419" s="33"/>
      <c r="G419" s="33"/>
      <c r="H419" s="33"/>
      <c r="I419" s="33"/>
      <c r="J419" s="33"/>
      <c r="K419" s="33"/>
      <c r="L419" s="33"/>
      <c r="M419" s="33"/>
      <c r="N419" s="33"/>
      <c r="O419" s="33"/>
      <c r="P419" s="33"/>
      <c r="Q419" s="33"/>
      <c r="R419" s="33"/>
    </row>
    <row r="420">
      <c r="A420" s="33"/>
      <c r="B420" s="33"/>
      <c r="C420" s="33"/>
      <c r="D420" s="33"/>
      <c r="E420" s="33"/>
      <c r="F420" s="33"/>
      <c r="G420" s="33"/>
      <c r="H420" s="33"/>
      <c r="I420" s="33"/>
      <c r="J420" s="33"/>
      <c r="K420" s="33"/>
      <c r="L420" s="33"/>
      <c r="M420" s="33"/>
      <c r="N420" s="33"/>
      <c r="O420" s="33"/>
      <c r="P420" s="33"/>
      <c r="Q420" s="33"/>
      <c r="R420" s="33"/>
    </row>
    <row r="421">
      <c r="A421" s="33"/>
      <c r="B421" s="33"/>
      <c r="C421" s="33"/>
      <c r="D421" s="33"/>
      <c r="E421" s="33"/>
      <c r="F421" s="33"/>
      <c r="G421" s="33"/>
      <c r="H421" s="33"/>
      <c r="I421" s="33"/>
      <c r="J421" s="33"/>
      <c r="K421" s="33"/>
      <c r="L421" s="33"/>
      <c r="M421" s="33"/>
      <c r="N421" s="33"/>
      <c r="O421" s="33"/>
      <c r="P421" s="33"/>
      <c r="Q421" s="33"/>
      <c r="R421" s="33"/>
    </row>
    <row r="422">
      <c r="A422" s="33"/>
      <c r="B422" s="33"/>
      <c r="C422" s="33"/>
      <c r="D422" s="33"/>
      <c r="E422" s="33"/>
      <c r="F422" s="33"/>
      <c r="G422" s="33"/>
      <c r="H422" s="33"/>
      <c r="I422" s="33"/>
      <c r="J422" s="33"/>
      <c r="K422" s="33"/>
      <c r="L422" s="33"/>
      <c r="M422" s="33"/>
      <c r="N422" s="33"/>
      <c r="O422" s="33"/>
      <c r="P422" s="33"/>
      <c r="Q422" s="33"/>
      <c r="R422" s="33"/>
    </row>
    <row r="423">
      <c r="A423" s="33"/>
      <c r="B423" s="33"/>
      <c r="C423" s="33"/>
      <c r="D423" s="33"/>
      <c r="E423" s="33"/>
      <c r="F423" s="33"/>
      <c r="G423" s="33"/>
      <c r="H423" s="33"/>
      <c r="I423" s="33"/>
      <c r="J423" s="33"/>
      <c r="K423" s="33"/>
      <c r="L423" s="33"/>
      <c r="M423" s="33"/>
      <c r="N423" s="33"/>
      <c r="O423" s="33"/>
      <c r="P423" s="33"/>
      <c r="Q423" s="33"/>
      <c r="R423" s="33"/>
    </row>
    <row r="424">
      <c r="A424" s="33"/>
      <c r="B424" s="33"/>
      <c r="C424" s="33"/>
      <c r="D424" s="33"/>
      <c r="E424" s="33"/>
      <c r="F424" s="33"/>
      <c r="G424" s="33"/>
      <c r="H424" s="33"/>
      <c r="I424" s="33"/>
      <c r="J424" s="33"/>
      <c r="K424" s="33"/>
      <c r="L424" s="33"/>
      <c r="M424" s="33"/>
      <c r="N424" s="33"/>
      <c r="O424" s="33"/>
      <c r="P424" s="33"/>
      <c r="Q424" s="33"/>
      <c r="R424" s="33"/>
    </row>
    <row r="425">
      <c r="A425" s="33"/>
      <c r="B425" s="33"/>
      <c r="C425" s="33"/>
      <c r="D425" s="33"/>
      <c r="E425" s="33"/>
      <c r="F425" s="33"/>
      <c r="G425" s="33"/>
      <c r="H425" s="33"/>
      <c r="I425" s="33"/>
      <c r="J425" s="33"/>
      <c r="K425" s="33"/>
      <c r="L425" s="33"/>
      <c r="M425" s="33"/>
      <c r="N425" s="33"/>
      <c r="O425" s="33"/>
      <c r="P425" s="33"/>
      <c r="Q425" s="33"/>
      <c r="R425" s="33"/>
    </row>
    <row r="426">
      <c r="A426" s="33"/>
      <c r="B426" s="33"/>
      <c r="C426" s="33"/>
      <c r="D426" s="33"/>
      <c r="E426" s="33"/>
      <c r="F426" s="33"/>
      <c r="G426" s="33"/>
      <c r="H426" s="33"/>
      <c r="I426" s="33"/>
      <c r="J426" s="33"/>
      <c r="K426" s="33"/>
      <c r="L426" s="33"/>
      <c r="M426" s="33"/>
      <c r="N426" s="33"/>
      <c r="O426" s="33"/>
      <c r="P426" s="33"/>
      <c r="Q426" s="33"/>
      <c r="R426" s="33"/>
    </row>
    <row r="427">
      <c r="A427" s="33"/>
      <c r="B427" s="33"/>
      <c r="C427" s="33"/>
      <c r="D427" s="33"/>
      <c r="E427" s="33"/>
      <c r="F427" s="33"/>
      <c r="G427" s="33"/>
      <c r="H427" s="33"/>
      <c r="I427" s="33"/>
      <c r="J427" s="33"/>
      <c r="K427" s="33"/>
      <c r="L427" s="33"/>
      <c r="M427" s="33"/>
      <c r="N427" s="33"/>
      <c r="O427" s="33"/>
      <c r="P427" s="33"/>
      <c r="Q427" s="33"/>
      <c r="R427" s="33"/>
    </row>
    <row r="428">
      <c r="A428" s="33"/>
      <c r="B428" s="33"/>
      <c r="C428" s="33"/>
      <c r="D428" s="33"/>
      <c r="E428" s="33"/>
      <c r="F428" s="33"/>
      <c r="G428" s="33"/>
      <c r="H428" s="33"/>
      <c r="I428" s="33"/>
      <c r="J428" s="33"/>
      <c r="K428" s="33"/>
      <c r="L428" s="33"/>
      <c r="M428" s="33"/>
      <c r="N428" s="33"/>
      <c r="O428" s="33"/>
      <c r="P428" s="33"/>
      <c r="Q428" s="33"/>
      <c r="R428" s="33"/>
    </row>
    <row r="429">
      <c r="A429" s="33"/>
      <c r="B429" s="33"/>
      <c r="C429" s="33"/>
      <c r="D429" s="33"/>
      <c r="E429" s="33"/>
      <c r="F429" s="33"/>
      <c r="G429" s="33"/>
      <c r="H429" s="33"/>
      <c r="I429" s="33"/>
      <c r="J429" s="33"/>
      <c r="K429" s="33"/>
      <c r="L429" s="33"/>
      <c r="M429" s="33"/>
      <c r="N429" s="33"/>
      <c r="O429" s="33"/>
      <c r="P429" s="33"/>
      <c r="Q429" s="33"/>
      <c r="R429" s="33"/>
    </row>
    <row r="430">
      <c r="A430" s="33"/>
      <c r="B430" s="33"/>
      <c r="C430" s="33"/>
      <c r="D430" s="33"/>
      <c r="E430" s="33"/>
      <c r="F430" s="33"/>
      <c r="G430" s="33"/>
      <c r="H430" s="33"/>
      <c r="I430" s="33"/>
      <c r="J430" s="33"/>
      <c r="K430" s="33"/>
      <c r="L430" s="33"/>
      <c r="M430" s="33"/>
      <c r="N430" s="33"/>
      <c r="O430" s="33"/>
      <c r="P430" s="33"/>
      <c r="Q430" s="33"/>
      <c r="R430" s="33"/>
    </row>
    <row r="431">
      <c r="A431" s="33"/>
      <c r="B431" s="33"/>
      <c r="C431" s="33"/>
      <c r="D431" s="33"/>
      <c r="E431" s="33"/>
      <c r="F431" s="33"/>
      <c r="G431" s="33"/>
      <c r="H431" s="33"/>
      <c r="I431" s="33"/>
      <c r="J431" s="33"/>
      <c r="K431" s="33"/>
      <c r="L431" s="33"/>
      <c r="M431" s="33"/>
      <c r="N431" s="33"/>
      <c r="O431" s="33"/>
      <c r="P431" s="33"/>
      <c r="Q431" s="33"/>
      <c r="R431" s="33"/>
    </row>
    <row r="432">
      <c r="A432" s="33"/>
      <c r="B432" s="33"/>
      <c r="C432" s="33"/>
      <c r="D432" s="33"/>
      <c r="E432" s="33"/>
      <c r="F432" s="33"/>
      <c r="G432" s="33"/>
      <c r="H432" s="33"/>
      <c r="I432" s="33"/>
      <c r="J432" s="33"/>
      <c r="K432" s="33"/>
      <c r="L432" s="33"/>
      <c r="M432" s="33"/>
      <c r="N432" s="33"/>
      <c r="O432" s="33"/>
      <c r="P432" s="33"/>
      <c r="Q432" s="33"/>
      <c r="R432" s="33"/>
    </row>
    <row r="433">
      <c r="A433" s="33"/>
      <c r="B433" s="33"/>
      <c r="C433" s="33"/>
      <c r="D433" s="33"/>
      <c r="E433" s="33"/>
      <c r="F433" s="33"/>
      <c r="G433" s="33"/>
      <c r="H433" s="33"/>
      <c r="I433" s="33"/>
      <c r="J433" s="33"/>
      <c r="K433" s="33"/>
      <c r="L433" s="33"/>
      <c r="M433" s="33"/>
      <c r="N433" s="33"/>
      <c r="O433" s="33"/>
      <c r="P433" s="33"/>
      <c r="Q433" s="33"/>
      <c r="R433" s="33"/>
    </row>
    <row r="434">
      <c r="A434" s="33"/>
      <c r="B434" s="33"/>
      <c r="C434" s="33"/>
      <c r="D434" s="33"/>
      <c r="E434" s="33"/>
      <c r="F434" s="33"/>
      <c r="G434" s="33"/>
      <c r="H434" s="33"/>
      <c r="I434" s="33"/>
      <c r="J434" s="33"/>
      <c r="K434" s="33"/>
      <c r="L434" s="33"/>
      <c r="M434" s="33"/>
      <c r="N434" s="33"/>
      <c r="O434" s="33"/>
      <c r="P434" s="33"/>
      <c r="Q434" s="33"/>
      <c r="R434" s="33"/>
    </row>
    <row r="435">
      <c r="A435" s="33"/>
      <c r="B435" s="33"/>
      <c r="C435" s="33"/>
      <c r="D435" s="33"/>
      <c r="E435" s="33"/>
      <c r="F435" s="33"/>
      <c r="G435" s="33"/>
      <c r="H435" s="33"/>
      <c r="I435" s="33"/>
      <c r="J435" s="33"/>
      <c r="K435" s="33"/>
      <c r="L435" s="33"/>
      <c r="M435" s="33"/>
      <c r="N435" s="33"/>
      <c r="O435" s="33"/>
      <c r="P435" s="33"/>
      <c r="Q435" s="33"/>
      <c r="R435" s="33"/>
    </row>
    <row r="436">
      <c r="A436" s="33"/>
      <c r="B436" s="33"/>
      <c r="C436" s="33"/>
      <c r="D436" s="33"/>
      <c r="E436" s="33"/>
      <c r="F436" s="33"/>
      <c r="G436" s="33"/>
      <c r="H436" s="33"/>
      <c r="I436" s="33"/>
      <c r="J436" s="33"/>
      <c r="K436" s="33"/>
      <c r="L436" s="33"/>
      <c r="M436" s="33"/>
      <c r="N436" s="33"/>
      <c r="O436" s="33"/>
      <c r="P436" s="33"/>
      <c r="Q436" s="33"/>
      <c r="R436" s="33"/>
    </row>
    <row r="437">
      <c r="A437" s="33"/>
      <c r="B437" s="33"/>
      <c r="C437" s="33"/>
      <c r="D437" s="33"/>
      <c r="E437" s="33"/>
      <c r="F437" s="33"/>
      <c r="G437" s="33"/>
      <c r="H437" s="33"/>
      <c r="I437" s="33"/>
      <c r="J437" s="33"/>
      <c r="K437" s="33"/>
      <c r="L437" s="33"/>
      <c r="M437" s="33"/>
      <c r="N437" s="33"/>
      <c r="O437" s="33"/>
      <c r="P437" s="33"/>
      <c r="Q437" s="33"/>
      <c r="R437" s="33"/>
    </row>
    <row r="438">
      <c r="A438" s="33"/>
      <c r="B438" s="33"/>
      <c r="C438" s="33"/>
      <c r="D438" s="33"/>
      <c r="E438" s="33"/>
      <c r="F438" s="33"/>
      <c r="G438" s="33"/>
      <c r="H438" s="33"/>
      <c r="I438" s="33"/>
      <c r="J438" s="33"/>
      <c r="K438" s="33"/>
      <c r="L438" s="33"/>
      <c r="M438" s="33"/>
      <c r="N438" s="33"/>
      <c r="O438" s="33"/>
      <c r="P438" s="33"/>
      <c r="Q438" s="33"/>
      <c r="R438" s="33"/>
    </row>
    <row r="439">
      <c r="A439" s="33"/>
      <c r="B439" s="33"/>
      <c r="C439" s="33"/>
      <c r="D439" s="33"/>
      <c r="E439" s="33"/>
      <c r="F439" s="33"/>
      <c r="G439" s="33"/>
      <c r="H439" s="33"/>
      <c r="I439" s="33"/>
      <c r="J439" s="33"/>
      <c r="K439" s="33"/>
      <c r="L439" s="33"/>
      <c r="M439" s="33"/>
      <c r="N439" s="33"/>
      <c r="O439" s="33"/>
      <c r="P439" s="33"/>
      <c r="Q439" s="33"/>
      <c r="R439" s="33"/>
    </row>
    <row r="440">
      <c r="A440" s="33"/>
      <c r="B440" s="33"/>
      <c r="C440" s="33"/>
      <c r="D440" s="33"/>
      <c r="E440" s="33"/>
      <c r="F440" s="33"/>
      <c r="G440" s="33"/>
      <c r="H440" s="33"/>
      <c r="I440" s="33"/>
      <c r="J440" s="33"/>
      <c r="K440" s="33"/>
      <c r="L440" s="33"/>
      <c r="M440" s="33"/>
      <c r="N440" s="33"/>
      <c r="O440" s="33"/>
      <c r="P440" s="33"/>
      <c r="Q440" s="33"/>
      <c r="R440" s="33"/>
    </row>
    <row r="441">
      <c r="A441" s="33"/>
      <c r="B441" s="33"/>
      <c r="C441" s="33"/>
      <c r="D441" s="33"/>
      <c r="E441" s="33"/>
      <c r="F441" s="33"/>
      <c r="G441" s="33"/>
      <c r="H441" s="33"/>
      <c r="I441" s="33"/>
      <c r="J441" s="33"/>
      <c r="K441" s="33"/>
      <c r="L441" s="33"/>
      <c r="M441" s="33"/>
      <c r="N441" s="33"/>
      <c r="O441" s="33"/>
      <c r="P441" s="33"/>
      <c r="Q441" s="33"/>
      <c r="R441" s="33"/>
    </row>
    <row r="442">
      <c r="A442" s="33"/>
      <c r="B442" s="33"/>
      <c r="C442" s="33"/>
      <c r="D442" s="33"/>
      <c r="E442" s="33"/>
      <c r="F442" s="33"/>
      <c r="G442" s="33"/>
      <c r="H442" s="33"/>
      <c r="I442" s="33"/>
      <c r="J442" s="33"/>
      <c r="K442" s="33"/>
      <c r="L442" s="33"/>
      <c r="M442" s="33"/>
      <c r="N442" s="33"/>
      <c r="O442" s="33"/>
      <c r="P442" s="33"/>
      <c r="Q442" s="33"/>
      <c r="R442" s="33"/>
    </row>
    <row r="443">
      <c r="A443" s="33"/>
      <c r="B443" s="33"/>
      <c r="C443" s="33"/>
      <c r="D443" s="33"/>
      <c r="E443" s="33"/>
      <c r="F443" s="33"/>
      <c r="G443" s="33"/>
      <c r="H443" s="33"/>
      <c r="I443" s="33"/>
      <c r="J443" s="33"/>
      <c r="K443" s="33"/>
      <c r="L443" s="33"/>
      <c r="M443" s="33"/>
      <c r="N443" s="33"/>
      <c r="O443" s="33"/>
      <c r="P443" s="33"/>
      <c r="Q443" s="33"/>
      <c r="R443" s="33"/>
    </row>
    <row r="444">
      <c r="A444" s="33"/>
      <c r="B444" s="33"/>
      <c r="C444" s="33"/>
      <c r="D444" s="33"/>
      <c r="E444" s="33"/>
      <c r="F444" s="33"/>
      <c r="G444" s="33"/>
      <c r="H444" s="33"/>
      <c r="I444" s="33"/>
      <c r="J444" s="33"/>
      <c r="K444" s="33"/>
      <c r="L444" s="33"/>
      <c r="M444" s="33"/>
      <c r="N444" s="33"/>
      <c r="O444" s="33"/>
      <c r="P444" s="33"/>
      <c r="Q444" s="33"/>
      <c r="R444" s="33"/>
    </row>
    <row r="445">
      <c r="A445" s="33"/>
      <c r="B445" s="33"/>
      <c r="C445" s="33"/>
      <c r="D445" s="33"/>
      <c r="E445" s="33"/>
      <c r="F445" s="33"/>
      <c r="G445" s="33"/>
      <c r="H445" s="33"/>
      <c r="I445" s="33"/>
      <c r="J445" s="33"/>
      <c r="K445" s="33"/>
      <c r="L445" s="33"/>
      <c r="M445" s="33"/>
      <c r="N445" s="33"/>
      <c r="O445" s="33"/>
      <c r="P445" s="33"/>
      <c r="Q445" s="33"/>
      <c r="R445" s="33"/>
    </row>
    <row r="446">
      <c r="A446" s="33"/>
      <c r="B446" s="33"/>
      <c r="C446" s="33"/>
      <c r="D446" s="33"/>
      <c r="E446" s="33"/>
      <c r="F446" s="33"/>
      <c r="G446" s="33"/>
      <c r="H446" s="33"/>
      <c r="I446" s="33"/>
      <c r="J446" s="33"/>
      <c r="K446" s="33"/>
      <c r="L446" s="33"/>
      <c r="M446" s="33"/>
      <c r="N446" s="33"/>
      <c r="O446" s="33"/>
      <c r="P446" s="33"/>
      <c r="Q446" s="33"/>
      <c r="R446" s="33"/>
    </row>
    <row r="447">
      <c r="A447" s="33"/>
      <c r="B447" s="33"/>
      <c r="C447" s="33"/>
      <c r="D447" s="33"/>
      <c r="E447" s="33"/>
      <c r="F447" s="33"/>
      <c r="G447" s="33"/>
      <c r="H447" s="33"/>
      <c r="I447" s="33"/>
      <c r="J447" s="33"/>
      <c r="K447" s="33"/>
      <c r="L447" s="33"/>
      <c r="M447" s="33"/>
      <c r="N447" s="33"/>
      <c r="O447" s="33"/>
      <c r="P447" s="33"/>
      <c r="Q447" s="33"/>
      <c r="R447" s="33"/>
    </row>
    <row r="448">
      <c r="A448" s="33"/>
      <c r="B448" s="33"/>
      <c r="C448" s="33"/>
      <c r="D448" s="33"/>
      <c r="E448" s="33"/>
      <c r="F448" s="33"/>
      <c r="G448" s="33"/>
      <c r="H448" s="33"/>
      <c r="I448" s="33"/>
      <c r="J448" s="33"/>
      <c r="K448" s="33"/>
      <c r="L448" s="33"/>
      <c r="M448" s="33"/>
      <c r="N448" s="33"/>
      <c r="O448" s="33"/>
      <c r="P448" s="33"/>
      <c r="Q448" s="33"/>
      <c r="R448" s="33"/>
    </row>
    <row r="449">
      <c r="A449" s="33"/>
      <c r="B449" s="33"/>
      <c r="C449" s="33"/>
      <c r="D449" s="33"/>
      <c r="E449" s="33"/>
      <c r="F449" s="33"/>
      <c r="G449" s="33"/>
      <c r="H449" s="33"/>
      <c r="I449" s="33"/>
      <c r="J449" s="33"/>
      <c r="K449" s="33"/>
      <c r="L449" s="33"/>
      <c r="M449" s="33"/>
      <c r="N449" s="33"/>
      <c r="O449" s="33"/>
      <c r="P449" s="33"/>
      <c r="Q449" s="33"/>
      <c r="R449" s="33"/>
    </row>
    <row r="450">
      <c r="A450" s="33"/>
      <c r="B450" s="33"/>
      <c r="C450" s="33"/>
      <c r="D450" s="33"/>
      <c r="E450" s="33"/>
      <c r="F450" s="33"/>
      <c r="G450" s="33"/>
      <c r="H450" s="33"/>
      <c r="I450" s="33"/>
      <c r="J450" s="33"/>
      <c r="K450" s="33"/>
      <c r="L450" s="33"/>
      <c r="M450" s="33"/>
      <c r="N450" s="33"/>
      <c r="O450" s="33"/>
      <c r="P450" s="33"/>
      <c r="Q450" s="33"/>
      <c r="R450" s="33"/>
    </row>
    <row r="451">
      <c r="A451" s="33"/>
      <c r="B451" s="33"/>
      <c r="C451" s="33"/>
      <c r="D451" s="33"/>
      <c r="E451" s="33"/>
      <c r="F451" s="33"/>
      <c r="G451" s="33"/>
      <c r="H451" s="33"/>
      <c r="I451" s="33"/>
      <c r="J451" s="33"/>
      <c r="K451" s="33"/>
      <c r="L451" s="33"/>
      <c r="M451" s="33"/>
      <c r="N451" s="33"/>
      <c r="O451" s="33"/>
      <c r="P451" s="33"/>
      <c r="Q451" s="33"/>
      <c r="R451" s="33"/>
    </row>
    <row r="452">
      <c r="A452" s="33"/>
      <c r="B452" s="33"/>
      <c r="C452" s="33"/>
      <c r="D452" s="33"/>
      <c r="E452" s="33"/>
      <c r="F452" s="33"/>
      <c r="G452" s="33"/>
      <c r="H452" s="33"/>
      <c r="I452" s="33"/>
      <c r="J452" s="33"/>
      <c r="K452" s="33"/>
      <c r="L452" s="33"/>
      <c r="M452" s="33"/>
      <c r="N452" s="33"/>
      <c r="O452" s="33"/>
      <c r="P452" s="33"/>
      <c r="Q452" s="33"/>
      <c r="R452" s="33"/>
    </row>
    <row r="453">
      <c r="A453" s="33"/>
      <c r="B453" s="33"/>
      <c r="C453" s="33"/>
      <c r="D453" s="33"/>
      <c r="E453" s="33"/>
      <c r="F453" s="33"/>
      <c r="G453" s="33"/>
      <c r="H453" s="33"/>
      <c r="I453" s="33"/>
      <c r="J453" s="33"/>
      <c r="K453" s="33"/>
      <c r="L453" s="33"/>
      <c r="M453" s="33"/>
      <c r="N453" s="33"/>
      <c r="O453" s="33"/>
      <c r="P453" s="33"/>
      <c r="Q453" s="33"/>
      <c r="R453" s="33"/>
    </row>
    <row r="454">
      <c r="A454" s="33"/>
      <c r="B454" s="33"/>
      <c r="C454" s="33"/>
      <c r="D454" s="33"/>
      <c r="E454" s="33"/>
      <c r="F454" s="33"/>
      <c r="G454" s="33"/>
      <c r="H454" s="33"/>
      <c r="I454" s="33"/>
      <c r="J454" s="33"/>
      <c r="K454" s="33"/>
      <c r="L454" s="33"/>
      <c r="M454" s="33"/>
      <c r="N454" s="33"/>
      <c r="O454" s="33"/>
      <c r="P454" s="33"/>
      <c r="Q454" s="33"/>
      <c r="R454" s="33"/>
    </row>
    <row r="455">
      <c r="A455" s="33"/>
      <c r="B455" s="33"/>
      <c r="C455" s="33"/>
      <c r="D455" s="33"/>
      <c r="E455" s="33"/>
      <c r="F455" s="33"/>
      <c r="G455" s="33"/>
      <c r="H455" s="33"/>
      <c r="I455" s="33"/>
      <c r="J455" s="33"/>
      <c r="K455" s="33"/>
      <c r="L455" s="33"/>
      <c r="M455" s="33"/>
      <c r="N455" s="33"/>
      <c r="O455" s="33"/>
      <c r="P455" s="33"/>
      <c r="Q455" s="33"/>
      <c r="R455" s="33"/>
    </row>
    <row r="456">
      <c r="A456" s="33"/>
      <c r="B456" s="33"/>
      <c r="C456" s="33"/>
      <c r="D456" s="33"/>
      <c r="E456" s="33"/>
      <c r="F456" s="33"/>
      <c r="G456" s="33"/>
      <c r="H456" s="33"/>
      <c r="I456" s="33"/>
      <c r="J456" s="33"/>
      <c r="K456" s="33"/>
      <c r="L456" s="33"/>
      <c r="M456" s="33"/>
      <c r="N456" s="33"/>
      <c r="O456" s="33"/>
      <c r="P456" s="33"/>
      <c r="Q456" s="33"/>
      <c r="R456" s="33"/>
    </row>
    <row r="457">
      <c r="A457" s="33"/>
      <c r="B457" s="33"/>
      <c r="C457" s="33"/>
      <c r="D457" s="33"/>
      <c r="E457" s="33"/>
      <c r="F457" s="33"/>
      <c r="G457" s="33"/>
      <c r="H457" s="33"/>
      <c r="I457" s="33"/>
      <c r="J457" s="33"/>
      <c r="K457" s="33"/>
      <c r="L457" s="33"/>
      <c r="M457" s="33"/>
      <c r="N457" s="33"/>
      <c r="O457" s="33"/>
      <c r="P457" s="33"/>
      <c r="Q457" s="33"/>
      <c r="R457" s="33"/>
    </row>
    <row r="458">
      <c r="A458" s="33"/>
      <c r="B458" s="33"/>
      <c r="C458" s="33"/>
      <c r="D458" s="33"/>
      <c r="E458" s="33"/>
      <c r="F458" s="33"/>
      <c r="G458" s="33"/>
      <c r="H458" s="33"/>
      <c r="I458" s="33"/>
      <c r="J458" s="33"/>
      <c r="K458" s="33"/>
      <c r="L458" s="33"/>
      <c r="M458" s="33"/>
      <c r="N458" s="33"/>
      <c r="O458" s="33"/>
      <c r="P458" s="33"/>
      <c r="Q458" s="33"/>
      <c r="R458" s="33"/>
    </row>
    <row r="459">
      <c r="A459" s="33"/>
      <c r="B459" s="33"/>
      <c r="C459" s="33"/>
      <c r="D459" s="33"/>
      <c r="E459" s="33"/>
      <c r="F459" s="33"/>
      <c r="G459" s="33"/>
      <c r="H459" s="33"/>
      <c r="I459" s="33"/>
      <c r="J459" s="33"/>
      <c r="K459" s="33"/>
      <c r="L459" s="33"/>
      <c r="M459" s="33"/>
      <c r="N459" s="33"/>
      <c r="O459" s="33"/>
      <c r="P459" s="33"/>
      <c r="Q459" s="33"/>
      <c r="R459" s="33"/>
    </row>
    <row r="460">
      <c r="A460" s="33"/>
      <c r="B460" s="33"/>
      <c r="C460" s="33"/>
      <c r="D460" s="33"/>
      <c r="E460" s="33"/>
      <c r="F460" s="33"/>
      <c r="G460" s="33"/>
      <c r="H460" s="33"/>
      <c r="I460" s="33"/>
      <c r="J460" s="33"/>
      <c r="K460" s="33"/>
      <c r="L460" s="33"/>
      <c r="M460" s="33"/>
      <c r="N460" s="33"/>
      <c r="O460" s="33"/>
      <c r="P460" s="33"/>
      <c r="Q460" s="33"/>
      <c r="R460" s="33"/>
    </row>
    <row r="461">
      <c r="A461" s="33"/>
      <c r="B461" s="33"/>
      <c r="C461" s="33"/>
      <c r="D461" s="33"/>
      <c r="E461" s="33"/>
      <c r="F461" s="33"/>
      <c r="G461" s="33"/>
      <c r="H461" s="33"/>
      <c r="I461" s="33"/>
      <c r="J461" s="33"/>
      <c r="K461" s="33"/>
      <c r="L461" s="33"/>
      <c r="M461" s="33"/>
      <c r="N461" s="33"/>
      <c r="O461" s="33"/>
      <c r="P461" s="33"/>
      <c r="Q461" s="33"/>
      <c r="R461" s="33"/>
    </row>
    <row r="462">
      <c r="A462" s="33"/>
      <c r="B462" s="33"/>
      <c r="C462" s="33"/>
      <c r="D462" s="33"/>
      <c r="E462" s="33"/>
      <c r="F462" s="33"/>
      <c r="G462" s="33"/>
      <c r="H462" s="33"/>
      <c r="I462" s="33"/>
      <c r="J462" s="33"/>
      <c r="K462" s="33"/>
      <c r="L462" s="33"/>
      <c r="M462" s="33"/>
      <c r="N462" s="33"/>
      <c r="O462" s="33"/>
      <c r="P462" s="33"/>
      <c r="Q462" s="33"/>
      <c r="R462" s="33"/>
    </row>
    <row r="463">
      <c r="A463" s="33"/>
      <c r="B463" s="33"/>
      <c r="C463" s="33"/>
      <c r="D463" s="33"/>
      <c r="E463" s="33"/>
      <c r="F463" s="33"/>
      <c r="G463" s="33"/>
      <c r="H463" s="33"/>
      <c r="I463" s="33"/>
      <c r="J463" s="33"/>
      <c r="K463" s="33"/>
      <c r="L463" s="33"/>
      <c r="M463" s="33"/>
      <c r="N463" s="33"/>
      <c r="O463" s="33"/>
      <c r="P463" s="33"/>
      <c r="Q463" s="33"/>
      <c r="R463" s="33"/>
    </row>
    <row r="464">
      <c r="A464" s="33"/>
      <c r="B464" s="33"/>
      <c r="C464" s="33"/>
      <c r="D464" s="33"/>
      <c r="E464" s="33"/>
      <c r="F464" s="33"/>
      <c r="G464" s="33"/>
      <c r="H464" s="33"/>
      <c r="I464" s="33"/>
      <c r="J464" s="33"/>
      <c r="K464" s="33"/>
      <c r="L464" s="33"/>
      <c r="M464" s="33"/>
      <c r="N464" s="33"/>
      <c r="O464" s="33"/>
      <c r="P464" s="33"/>
      <c r="Q464" s="33"/>
      <c r="R464" s="33"/>
    </row>
    <row r="465">
      <c r="A465" s="33"/>
      <c r="B465" s="33"/>
      <c r="C465" s="33"/>
      <c r="D465" s="33"/>
      <c r="E465" s="33"/>
      <c r="F465" s="33"/>
      <c r="G465" s="33"/>
      <c r="H465" s="33"/>
      <c r="I465" s="33"/>
      <c r="J465" s="33"/>
      <c r="K465" s="33"/>
      <c r="L465" s="33"/>
      <c r="M465" s="33"/>
      <c r="N465" s="33"/>
      <c r="O465" s="33"/>
      <c r="P465" s="33"/>
      <c r="Q465" s="33"/>
      <c r="R465" s="33"/>
    </row>
    <row r="466">
      <c r="A466" s="33"/>
      <c r="B466" s="33"/>
      <c r="C466" s="33"/>
      <c r="D466" s="33"/>
      <c r="E466" s="33"/>
      <c r="F466" s="33"/>
      <c r="G466" s="33"/>
      <c r="H466" s="33"/>
      <c r="I466" s="33"/>
      <c r="J466" s="33"/>
      <c r="K466" s="33"/>
      <c r="L466" s="33"/>
      <c r="M466" s="33"/>
      <c r="N466" s="33"/>
      <c r="O466" s="33"/>
      <c r="P466" s="33"/>
      <c r="Q466" s="33"/>
      <c r="R466" s="33"/>
    </row>
    <row r="467">
      <c r="A467" s="33"/>
      <c r="B467" s="33"/>
      <c r="C467" s="33"/>
      <c r="D467" s="33"/>
      <c r="E467" s="33"/>
      <c r="F467" s="33"/>
      <c r="G467" s="33"/>
      <c r="H467" s="33"/>
      <c r="I467" s="33"/>
      <c r="J467" s="33"/>
      <c r="K467" s="33"/>
      <c r="L467" s="33"/>
      <c r="M467" s="33"/>
      <c r="N467" s="33"/>
      <c r="O467" s="33"/>
      <c r="P467" s="33"/>
      <c r="Q467" s="33"/>
      <c r="R467" s="33"/>
    </row>
    <row r="468">
      <c r="A468" s="33"/>
      <c r="B468" s="33"/>
      <c r="C468" s="33"/>
      <c r="D468" s="33"/>
      <c r="E468" s="33"/>
      <c r="F468" s="33"/>
      <c r="G468" s="33"/>
      <c r="H468" s="33"/>
      <c r="I468" s="33"/>
      <c r="J468" s="33"/>
      <c r="K468" s="33"/>
      <c r="L468" s="33"/>
      <c r="M468" s="33"/>
      <c r="N468" s="33"/>
      <c r="O468" s="33"/>
      <c r="P468" s="33"/>
      <c r="Q468" s="33"/>
      <c r="R468" s="33"/>
    </row>
    <row r="469">
      <c r="A469" s="33"/>
      <c r="B469" s="33"/>
      <c r="C469" s="33"/>
      <c r="D469" s="33"/>
      <c r="E469" s="33"/>
      <c r="F469" s="33"/>
      <c r="G469" s="33"/>
      <c r="H469" s="33"/>
      <c r="I469" s="33"/>
      <c r="J469" s="33"/>
      <c r="K469" s="33"/>
      <c r="L469" s="33"/>
      <c r="M469" s="33"/>
      <c r="N469" s="33"/>
      <c r="O469" s="33"/>
      <c r="P469" s="33"/>
      <c r="Q469" s="33"/>
      <c r="R469" s="33"/>
    </row>
    <row r="470">
      <c r="A470" s="33"/>
      <c r="B470" s="33"/>
      <c r="C470" s="33"/>
      <c r="D470" s="33"/>
      <c r="E470" s="33"/>
      <c r="F470" s="33"/>
      <c r="G470" s="33"/>
      <c r="H470" s="33"/>
      <c r="I470" s="33"/>
      <c r="J470" s="33"/>
      <c r="K470" s="33"/>
      <c r="L470" s="33"/>
      <c r="M470" s="33"/>
      <c r="N470" s="33"/>
      <c r="O470" s="33"/>
      <c r="P470" s="33"/>
      <c r="Q470" s="33"/>
      <c r="R470" s="33"/>
    </row>
    <row r="471">
      <c r="A471" s="33"/>
      <c r="B471" s="33"/>
      <c r="C471" s="33"/>
      <c r="D471" s="33"/>
      <c r="E471" s="33"/>
      <c r="F471" s="33"/>
      <c r="G471" s="33"/>
      <c r="H471" s="33"/>
      <c r="I471" s="33"/>
      <c r="J471" s="33"/>
      <c r="K471" s="33"/>
      <c r="L471" s="33"/>
      <c r="M471" s="33"/>
      <c r="N471" s="33"/>
      <c r="O471" s="33"/>
      <c r="P471" s="33"/>
      <c r="Q471" s="33"/>
      <c r="R471" s="33"/>
    </row>
    <row r="472">
      <c r="A472" s="33"/>
      <c r="B472" s="33"/>
      <c r="C472" s="33"/>
      <c r="D472" s="33"/>
      <c r="E472" s="33"/>
      <c r="F472" s="33"/>
      <c r="G472" s="33"/>
      <c r="H472" s="33"/>
      <c r="I472" s="33"/>
      <c r="J472" s="33"/>
      <c r="K472" s="33"/>
      <c r="L472" s="33"/>
      <c r="M472" s="33"/>
      <c r="N472" s="33"/>
      <c r="O472" s="33"/>
      <c r="P472" s="33"/>
      <c r="Q472" s="33"/>
      <c r="R472" s="33"/>
    </row>
    <row r="473">
      <c r="A473" s="33"/>
      <c r="B473" s="33"/>
      <c r="C473" s="33"/>
      <c r="D473" s="33"/>
      <c r="E473" s="33"/>
      <c r="F473" s="33"/>
      <c r="G473" s="33"/>
      <c r="H473" s="33"/>
      <c r="I473" s="33"/>
      <c r="J473" s="33"/>
      <c r="K473" s="33"/>
      <c r="L473" s="33"/>
      <c r="M473" s="33"/>
      <c r="N473" s="33"/>
      <c r="O473" s="33"/>
      <c r="P473" s="33"/>
      <c r="Q473" s="33"/>
      <c r="R473" s="33"/>
    </row>
    <row r="474">
      <c r="A474" s="33"/>
      <c r="B474" s="33"/>
      <c r="C474" s="33"/>
      <c r="D474" s="33"/>
      <c r="E474" s="33"/>
      <c r="F474" s="33"/>
      <c r="G474" s="33"/>
      <c r="H474" s="33"/>
      <c r="I474" s="33"/>
      <c r="J474" s="33"/>
      <c r="K474" s="33"/>
      <c r="L474" s="33"/>
      <c r="M474" s="33"/>
      <c r="N474" s="33"/>
      <c r="O474" s="33"/>
      <c r="P474" s="33"/>
      <c r="Q474" s="33"/>
      <c r="R474" s="33"/>
    </row>
    <row r="475">
      <c r="A475" s="33"/>
      <c r="B475" s="33"/>
      <c r="C475" s="33"/>
      <c r="D475" s="33"/>
      <c r="E475" s="33"/>
      <c r="F475" s="33"/>
      <c r="G475" s="33"/>
      <c r="H475" s="33"/>
      <c r="I475" s="33"/>
      <c r="J475" s="33"/>
      <c r="K475" s="33"/>
      <c r="L475" s="33"/>
      <c r="M475" s="33"/>
      <c r="N475" s="33"/>
      <c r="O475" s="33"/>
      <c r="P475" s="33"/>
      <c r="Q475" s="33"/>
      <c r="R475" s="33"/>
    </row>
    <row r="476">
      <c r="A476" s="33"/>
      <c r="B476" s="33"/>
      <c r="C476" s="33"/>
      <c r="D476" s="33"/>
      <c r="E476" s="33"/>
      <c r="F476" s="33"/>
      <c r="G476" s="33"/>
      <c r="H476" s="33"/>
      <c r="I476" s="33"/>
      <c r="J476" s="33"/>
      <c r="K476" s="33"/>
      <c r="L476" s="33"/>
      <c r="M476" s="33"/>
      <c r="N476" s="33"/>
      <c r="O476" s="33"/>
      <c r="P476" s="33"/>
      <c r="Q476" s="33"/>
      <c r="R476" s="33"/>
    </row>
    <row r="477">
      <c r="A477" s="33"/>
      <c r="B477" s="33"/>
      <c r="C477" s="33"/>
      <c r="D477" s="33"/>
      <c r="E477" s="33"/>
      <c r="F477" s="33"/>
      <c r="G477" s="33"/>
      <c r="H477" s="33"/>
      <c r="I477" s="33"/>
      <c r="J477" s="33"/>
      <c r="K477" s="33"/>
      <c r="L477" s="33"/>
      <c r="M477" s="33"/>
      <c r="N477" s="33"/>
      <c r="O477" s="33"/>
      <c r="P477" s="33"/>
      <c r="Q477" s="33"/>
      <c r="R477" s="33"/>
    </row>
    <row r="478">
      <c r="A478" s="33"/>
      <c r="B478" s="33"/>
      <c r="C478" s="33"/>
      <c r="D478" s="33"/>
      <c r="E478" s="33"/>
      <c r="F478" s="33"/>
      <c r="G478" s="33"/>
      <c r="H478" s="33"/>
      <c r="I478" s="33"/>
      <c r="J478" s="33"/>
      <c r="K478" s="33"/>
      <c r="L478" s="33"/>
      <c r="M478" s="33"/>
      <c r="N478" s="33"/>
      <c r="O478" s="33"/>
      <c r="P478" s="33"/>
      <c r="Q478" s="33"/>
      <c r="R478" s="33"/>
    </row>
    <row r="479">
      <c r="A479" s="33"/>
      <c r="B479" s="33"/>
      <c r="C479" s="33"/>
      <c r="D479" s="33"/>
      <c r="E479" s="33"/>
      <c r="F479" s="33"/>
      <c r="G479" s="33"/>
      <c r="H479" s="33"/>
      <c r="I479" s="33"/>
      <c r="J479" s="33"/>
      <c r="K479" s="33"/>
      <c r="L479" s="33"/>
      <c r="M479" s="33"/>
      <c r="N479" s="33"/>
      <c r="O479" s="33"/>
      <c r="P479" s="33"/>
      <c r="Q479" s="33"/>
      <c r="R479" s="33"/>
    </row>
    <row r="480">
      <c r="A480" s="33"/>
      <c r="B480" s="33"/>
      <c r="C480" s="33"/>
      <c r="D480" s="33"/>
      <c r="E480" s="33"/>
      <c r="F480" s="33"/>
      <c r="G480" s="33"/>
      <c r="H480" s="33"/>
      <c r="I480" s="33"/>
      <c r="J480" s="33"/>
      <c r="K480" s="33"/>
      <c r="L480" s="33"/>
      <c r="M480" s="33"/>
      <c r="N480" s="33"/>
      <c r="O480" s="33"/>
      <c r="P480" s="33"/>
      <c r="Q480" s="33"/>
      <c r="R480" s="33"/>
    </row>
    <row r="481">
      <c r="A481" s="33"/>
      <c r="B481" s="33"/>
      <c r="C481" s="33"/>
      <c r="D481" s="33"/>
      <c r="E481" s="33"/>
      <c r="F481" s="33"/>
      <c r="G481" s="33"/>
      <c r="H481" s="33"/>
      <c r="I481" s="33"/>
      <c r="J481" s="33"/>
      <c r="K481" s="33"/>
      <c r="L481" s="33"/>
      <c r="M481" s="33"/>
      <c r="N481" s="33"/>
      <c r="O481" s="33"/>
      <c r="P481" s="33"/>
      <c r="Q481" s="33"/>
      <c r="R481" s="33"/>
    </row>
    <row r="482">
      <c r="A482" s="33"/>
      <c r="B482" s="33"/>
      <c r="C482" s="33"/>
      <c r="D482" s="33"/>
      <c r="E482" s="33"/>
      <c r="F482" s="33"/>
      <c r="G482" s="33"/>
      <c r="H482" s="33"/>
      <c r="I482" s="33"/>
      <c r="J482" s="33"/>
      <c r="K482" s="33"/>
      <c r="L482" s="33"/>
      <c r="M482" s="33"/>
      <c r="N482" s="33"/>
      <c r="O482" s="33"/>
      <c r="P482" s="33"/>
      <c r="Q482" s="33"/>
      <c r="R482" s="33"/>
    </row>
    <row r="483">
      <c r="A483" s="33"/>
      <c r="B483" s="33"/>
      <c r="C483" s="33"/>
      <c r="D483" s="33"/>
      <c r="E483" s="33"/>
      <c r="F483" s="33"/>
      <c r="G483" s="33"/>
      <c r="H483" s="33"/>
      <c r="I483" s="33"/>
      <c r="J483" s="33"/>
      <c r="K483" s="33"/>
      <c r="L483" s="33"/>
      <c r="M483" s="33"/>
      <c r="N483" s="33"/>
      <c r="O483" s="33"/>
      <c r="P483" s="33"/>
      <c r="Q483" s="33"/>
      <c r="R483" s="33"/>
    </row>
    <row r="484">
      <c r="A484" s="33"/>
      <c r="B484" s="33"/>
      <c r="C484" s="33"/>
      <c r="D484" s="33"/>
      <c r="E484" s="33"/>
      <c r="F484" s="33"/>
      <c r="G484" s="33"/>
      <c r="H484" s="33"/>
      <c r="I484" s="33"/>
      <c r="J484" s="33"/>
      <c r="K484" s="33"/>
      <c r="L484" s="33"/>
      <c r="M484" s="33"/>
      <c r="N484" s="33"/>
      <c r="O484" s="33"/>
      <c r="P484" s="33"/>
      <c r="Q484" s="33"/>
      <c r="R484" s="33"/>
    </row>
    <row r="485">
      <c r="A485" s="33"/>
      <c r="B485" s="33"/>
      <c r="C485" s="33"/>
      <c r="D485" s="33"/>
      <c r="E485" s="33"/>
      <c r="F485" s="33"/>
      <c r="G485" s="33"/>
      <c r="H485" s="33"/>
      <c r="I485" s="33"/>
      <c r="J485" s="33"/>
      <c r="K485" s="33"/>
      <c r="L485" s="33"/>
      <c r="M485" s="33"/>
      <c r="N485" s="33"/>
      <c r="O485" s="33"/>
      <c r="P485" s="33"/>
      <c r="Q485" s="33"/>
      <c r="R485" s="33"/>
    </row>
    <row r="486">
      <c r="A486" s="33"/>
      <c r="B486" s="33"/>
      <c r="C486" s="33"/>
      <c r="D486" s="33"/>
      <c r="E486" s="33"/>
      <c r="F486" s="33"/>
      <c r="G486" s="33"/>
      <c r="H486" s="33"/>
      <c r="I486" s="33"/>
      <c r="J486" s="33"/>
      <c r="K486" s="33"/>
      <c r="L486" s="33"/>
      <c r="M486" s="33"/>
      <c r="N486" s="33"/>
      <c r="O486" s="33"/>
      <c r="P486" s="33"/>
      <c r="Q486" s="33"/>
      <c r="R486" s="33"/>
    </row>
    <row r="487">
      <c r="A487" s="33"/>
      <c r="B487" s="33"/>
      <c r="C487" s="33"/>
      <c r="D487" s="33"/>
      <c r="E487" s="33"/>
      <c r="F487" s="33"/>
      <c r="G487" s="33"/>
      <c r="H487" s="33"/>
      <c r="I487" s="33"/>
      <c r="J487" s="33"/>
      <c r="K487" s="33"/>
      <c r="L487" s="33"/>
      <c r="M487" s="33"/>
      <c r="N487" s="33"/>
      <c r="O487" s="33"/>
      <c r="P487" s="33"/>
      <c r="Q487" s="33"/>
      <c r="R487" s="33"/>
    </row>
    <row r="488">
      <c r="A488" s="33"/>
      <c r="B488" s="33"/>
      <c r="C488" s="33"/>
      <c r="D488" s="33"/>
      <c r="E488" s="33"/>
      <c r="F488" s="33"/>
      <c r="G488" s="33"/>
      <c r="H488" s="33"/>
      <c r="I488" s="33"/>
      <c r="J488" s="33"/>
      <c r="K488" s="33"/>
      <c r="L488" s="33"/>
      <c r="M488" s="33"/>
      <c r="N488" s="33"/>
      <c r="O488" s="33"/>
      <c r="P488" s="33"/>
      <c r="Q488" s="33"/>
      <c r="R488" s="33"/>
    </row>
    <row r="489">
      <c r="A489" s="33"/>
      <c r="B489" s="33"/>
      <c r="C489" s="33"/>
      <c r="D489" s="33"/>
      <c r="E489" s="33"/>
      <c r="F489" s="33"/>
      <c r="G489" s="33"/>
      <c r="H489" s="33"/>
      <c r="I489" s="33"/>
      <c r="J489" s="33"/>
      <c r="K489" s="33"/>
      <c r="L489" s="33"/>
      <c r="M489" s="33"/>
      <c r="N489" s="33"/>
      <c r="O489" s="33"/>
      <c r="P489" s="33"/>
      <c r="Q489" s="33"/>
      <c r="R489" s="33"/>
    </row>
    <row r="490">
      <c r="A490" s="33"/>
      <c r="B490" s="33"/>
      <c r="C490" s="33"/>
      <c r="D490" s="33"/>
      <c r="E490" s="33"/>
      <c r="F490" s="33"/>
      <c r="G490" s="33"/>
      <c r="H490" s="33"/>
      <c r="I490" s="33"/>
      <c r="J490" s="33"/>
      <c r="K490" s="33"/>
      <c r="L490" s="33"/>
      <c r="M490" s="33"/>
      <c r="N490" s="33"/>
      <c r="O490" s="33"/>
      <c r="P490" s="33"/>
      <c r="Q490" s="33"/>
      <c r="R490" s="33"/>
    </row>
    <row r="491">
      <c r="A491" s="33"/>
      <c r="B491" s="33"/>
      <c r="C491" s="33"/>
      <c r="D491" s="33"/>
      <c r="E491" s="33"/>
      <c r="F491" s="33"/>
      <c r="G491" s="33"/>
      <c r="H491" s="33"/>
      <c r="I491" s="33"/>
      <c r="J491" s="33"/>
      <c r="K491" s="33"/>
      <c r="L491" s="33"/>
      <c r="M491" s="33"/>
      <c r="N491" s="33"/>
      <c r="O491" s="33"/>
      <c r="P491" s="33"/>
      <c r="Q491" s="33"/>
      <c r="R491" s="33"/>
    </row>
    <row r="492">
      <c r="A492" s="33"/>
      <c r="B492" s="33"/>
      <c r="C492" s="33"/>
      <c r="D492" s="33"/>
      <c r="E492" s="33"/>
      <c r="F492" s="33"/>
      <c r="G492" s="33"/>
      <c r="H492" s="33"/>
      <c r="I492" s="33"/>
      <c r="J492" s="33"/>
      <c r="K492" s="33"/>
      <c r="L492" s="33"/>
      <c r="M492" s="33"/>
      <c r="N492" s="33"/>
      <c r="O492" s="33"/>
      <c r="P492" s="33"/>
      <c r="Q492" s="33"/>
      <c r="R492" s="33"/>
    </row>
    <row r="493">
      <c r="A493" s="33"/>
      <c r="B493" s="33"/>
      <c r="C493" s="33"/>
      <c r="D493" s="33"/>
      <c r="E493" s="33"/>
      <c r="F493" s="33"/>
      <c r="G493" s="33"/>
      <c r="H493" s="33"/>
      <c r="I493" s="33"/>
      <c r="J493" s="33"/>
      <c r="K493" s="33"/>
      <c r="L493" s="33"/>
      <c r="M493" s="33"/>
      <c r="N493" s="33"/>
      <c r="O493" s="33"/>
      <c r="P493" s="33"/>
      <c r="Q493" s="33"/>
      <c r="R493" s="33"/>
    </row>
    <row r="494">
      <c r="A494" s="33"/>
      <c r="B494" s="33"/>
      <c r="C494" s="33"/>
      <c r="D494" s="33"/>
      <c r="E494" s="33"/>
      <c r="F494" s="33"/>
      <c r="G494" s="33"/>
      <c r="H494" s="33"/>
      <c r="I494" s="33"/>
      <c r="J494" s="33"/>
      <c r="K494" s="33"/>
      <c r="L494" s="33"/>
      <c r="M494" s="33"/>
      <c r="N494" s="33"/>
      <c r="O494" s="33"/>
      <c r="P494" s="33"/>
      <c r="Q494" s="33"/>
      <c r="R494" s="33"/>
    </row>
    <row r="495">
      <c r="A495" s="33"/>
      <c r="B495" s="33"/>
      <c r="C495" s="33"/>
      <c r="D495" s="33"/>
      <c r="E495" s="33"/>
      <c r="F495" s="33"/>
      <c r="G495" s="33"/>
      <c r="H495" s="33"/>
      <c r="I495" s="33"/>
      <c r="J495" s="33"/>
      <c r="K495" s="33"/>
      <c r="L495" s="33"/>
      <c r="M495" s="33"/>
      <c r="N495" s="33"/>
      <c r="O495" s="33"/>
      <c r="P495" s="33"/>
      <c r="Q495" s="33"/>
      <c r="R495" s="33"/>
    </row>
    <row r="496">
      <c r="A496" s="33"/>
      <c r="B496" s="33"/>
      <c r="C496" s="33"/>
      <c r="D496" s="33"/>
      <c r="E496" s="33"/>
      <c r="F496" s="33"/>
      <c r="G496" s="33"/>
      <c r="H496" s="33"/>
      <c r="I496" s="33"/>
      <c r="J496" s="33"/>
      <c r="K496" s="33"/>
      <c r="L496" s="33"/>
      <c r="M496" s="33"/>
      <c r="N496" s="33"/>
      <c r="O496" s="33"/>
      <c r="P496" s="33"/>
      <c r="Q496" s="33"/>
      <c r="R496" s="33"/>
    </row>
    <row r="497">
      <c r="A497" s="33"/>
      <c r="B497" s="33"/>
      <c r="C497" s="33"/>
      <c r="D497" s="33"/>
      <c r="E497" s="33"/>
      <c r="F497" s="33"/>
      <c r="G497" s="33"/>
      <c r="H497" s="33"/>
      <c r="I497" s="33"/>
      <c r="J497" s="33"/>
      <c r="K497" s="33"/>
      <c r="L497" s="33"/>
      <c r="M497" s="33"/>
      <c r="N497" s="33"/>
      <c r="O497" s="33"/>
      <c r="P497" s="33"/>
      <c r="Q497" s="33"/>
      <c r="R497" s="33"/>
    </row>
    <row r="498">
      <c r="A498" s="33"/>
      <c r="B498" s="33"/>
      <c r="C498" s="33"/>
      <c r="D498" s="33"/>
      <c r="E498" s="33"/>
      <c r="F498" s="33"/>
      <c r="G498" s="33"/>
      <c r="H498" s="33"/>
      <c r="I498" s="33"/>
      <c r="J498" s="33"/>
      <c r="K498" s="33"/>
      <c r="L498" s="33"/>
      <c r="M498" s="33"/>
      <c r="N498" s="33"/>
      <c r="O498" s="33"/>
      <c r="P498" s="33"/>
      <c r="Q498" s="33"/>
      <c r="R498" s="33"/>
    </row>
    <row r="499">
      <c r="A499" s="33"/>
      <c r="B499" s="33"/>
      <c r="C499" s="33"/>
      <c r="D499" s="33"/>
      <c r="E499" s="33"/>
      <c r="F499" s="33"/>
      <c r="G499" s="33"/>
      <c r="H499" s="33"/>
      <c r="I499" s="33"/>
      <c r="J499" s="33"/>
      <c r="K499" s="33"/>
      <c r="L499" s="33"/>
      <c r="M499" s="33"/>
      <c r="N499" s="33"/>
      <c r="O499" s="33"/>
      <c r="P499" s="33"/>
      <c r="Q499" s="33"/>
      <c r="R499" s="33"/>
    </row>
    <row r="500">
      <c r="A500" s="33"/>
      <c r="B500" s="33"/>
      <c r="C500" s="33"/>
      <c r="D500" s="33"/>
      <c r="E500" s="33"/>
      <c r="F500" s="33"/>
      <c r="G500" s="33"/>
      <c r="H500" s="33"/>
      <c r="I500" s="33"/>
      <c r="J500" s="33"/>
      <c r="K500" s="33"/>
      <c r="L500" s="33"/>
      <c r="M500" s="33"/>
      <c r="N500" s="33"/>
      <c r="O500" s="33"/>
      <c r="P500" s="33"/>
      <c r="Q500" s="33"/>
      <c r="R500" s="33"/>
    </row>
    <row r="501">
      <c r="A501" s="33"/>
      <c r="B501" s="33"/>
      <c r="C501" s="33"/>
      <c r="D501" s="33"/>
      <c r="E501" s="33"/>
      <c r="F501" s="33"/>
      <c r="G501" s="33"/>
      <c r="H501" s="33"/>
      <c r="I501" s="33"/>
      <c r="J501" s="33"/>
      <c r="K501" s="33"/>
      <c r="L501" s="33"/>
      <c r="M501" s="33"/>
      <c r="N501" s="33"/>
      <c r="O501" s="33"/>
      <c r="P501" s="33"/>
      <c r="Q501" s="33"/>
      <c r="R501" s="33"/>
    </row>
    <row r="502">
      <c r="A502" s="33"/>
      <c r="B502" s="33"/>
      <c r="C502" s="33"/>
      <c r="D502" s="33"/>
      <c r="E502" s="33"/>
      <c r="F502" s="33"/>
      <c r="G502" s="33"/>
      <c r="H502" s="33"/>
      <c r="I502" s="33"/>
      <c r="J502" s="33"/>
      <c r="K502" s="33"/>
      <c r="L502" s="33"/>
      <c r="M502" s="33"/>
      <c r="N502" s="33"/>
      <c r="O502" s="33"/>
      <c r="P502" s="33"/>
      <c r="Q502" s="33"/>
      <c r="R502" s="33"/>
    </row>
    <row r="503">
      <c r="A503" s="33"/>
      <c r="B503" s="33"/>
      <c r="C503" s="33"/>
      <c r="D503" s="33"/>
      <c r="E503" s="33"/>
      <c r="F503" s="33"/>
      <c r="G503" s="33"/>
      <c r="H503" s="33"/>
      <c r="I503" s="33"/>
      <c r="J503" s="33"/>
      <c r="K503" s="33"/>
      <c r="L503" s="33"/>
      <c r="M503" s="33"/>
      <c r="N503" s="33"/>
      <c r="O503" s="33"/>
      <c r="P503" s="33"/>
      <c r="Q503" s="33"/>
      <c r="R503" s="33"/>
    </row>
    <row r="504">
      <c r="A504" s="33"/>
      <c r="B504" s="33"/>
      <c r="C504" s="33"/>
      <c r="D504" s="33"/>
      <c r="E504" s="33"/>
      <c r="F504" s="33"/>
      <c r="G504" s="33"/>
      <c r="H504" s="33"/>
      <c r="I504" s="33"/>
      <c r="J504" s="33"/>
      <c r="K504" s="33"/>
      <c r="L504" s="33"/>
      <c r="M504" s="33"/>
      <c r="N504" s="33"/>
      <c r="O504" s="33"/>
      <c r="P504" s="33"/>
      <c r="Q504" s="33"/>
      <c r="R504" s="33"/>
    </row>
    <row r="505">
      <c r="A505" s="33"/>
      <c r="B505" s="33"/>
      <c r="C505" s="33"/>
      <c r="D505" s="33"/>
      <c r="E505" s="33"/>
      <c r="F505" s="33"/>
      <c r="G505" s="33"/>
      <c r="H505" s="33"/>
      <c r="I505" s="33"/>
      <c r="J505" s="33"/>
      <c r="K505" s="33"/>
      <c r="L505" s="33"/>
      <c r="M505" s="33"/>
      <c r="N505" s="33"/>
      <c r="O505" s="33"/>
      <c r="P505" s="33"/>
      <c r="Q505" s="33"/>
      <c r="R505" s="33"/>
    </row>
    <row r="506">
      <c r="A506" s="33"/>
      <c r="B506" s="33"/>
      <c r="C506" s="33"/>
      <c r="D506" s="33"/>
      <c r="E506" s="33"/>
      <c r="F506" s="33"/>
      <c r="G506" s="33"/>
      <c r="H506" s="33"/>
      <c r="I506" s="33"/>
      <c r="J506" s="33"/>
      <c r="K506" s="33"/>
      <c r="L506" s="33"/>
      <c r="M506" s="33"/>
      <c r="N506" s="33"/>
      <c r="O506" s="33"/>
      <c r="P506" s="33"/>
      <c r="Q506" s="33"/>
      <c r="R506" s="33"/>
    </row>
    <row r="507">
      <c r="A507" s="33"/>
      <c r="B507" s="33"/>
      <c r="C507" s="33"/>
      <c r="D507" s="33"/>
      <c r="E507" s="33"/>
      <c r="F507" s="33"/>
      <c r="G507" s="33"/>
      <c r="H507" s="33"/>
      <c r="I507" s="33"/>
      <c r="J507" s="33"/>
      <c r="K507" s="33"/>
      <c r="L507" s="33"/>
      <c r="M507" s="33"/>
      <c r="N507" s="33"/>
      <c r="O507" s="33"/>
      <c r="P507" s="33"/>
      <c r="Q507" s="33"/>
      <c r="R507" s="33"/>
    </row>
    <row r="508">
      <c r="A508" s="33"/>
      <c r="B508" s="33"/>
      <c r="C508" s="33"/>
      <c r="D508" s="33"/>
      <c r="E508" s="33"/>
      <c r="F508" s="33"/>
      <c r="G508" s="33"/>
      <c r="H508" s="33"/>
      <c r="I508" s="33"/>
      <c r="J508" s="33"/>
      <c r="K508" s="33"/>
      <c r="L508" s="33"/>
      <c r="M508" s="33"/>
      <c r="N508" s="33"/>
      <c r="O508" s="33"/>
      <c r="P508" s="33"/>
      <c r="Q508" s="33"/>
      <c r="R508" s="33"/>
    </row>
    <row r="509">
      <c r="A509" s="33"/>
      <c r="B509" s="33"/>
      <c r="C509" s="33"/>
      <c r="D509" s="33"/>
      <c r="E509" s="33"/>
      <c r="F509" s="33"/>
      <c r="G509" s="33"/>
      <c r="H509" s="33"/>
      <c r="I509" s="33"/>
      <c r="J509" s="33"/>
      <c r="K509" s="33"/>
      <c r="L509" s="33"/>
      <c r="M509" s="33"/>
      <c r="N509" s="33"/>
      <c r="O509" s="33"/>
      <c r="P509" s="33"/>
      <c r="Q509" s="33"/>
      <c r="R509" s="33"/>
    </row>
    <row r="510">
      <c r="A510" s="33"/>
      <c r="B510" s="33"/>
      <c r="C510" s="33"/>
      <c r="D510" s="33"/>
      <c r="E510" s="33"/>
      <c r="F510" s="33"/>
      <c r="G510" s="33"/>
      <c r="H510" s="33"/>
      <c r="I510" s="33"/>
      <c r="J510" s="33"/>
      <c r="K510" s="33"/>
      <c r="L510" s="33"/>
      <c r="M510" s="33"/>
      <c r="N510" s="33"/>
      <c r="O510" s="33"/>
      <c r="P510" s="33"/>
      <c r="Q510" s="33"/>
      <c r="R510" s="33"/>
    </row>
    <row r="511">
      <c r="A511" s="33"/>
      <c r="B511" s="33"/>
      <c r="C511" s="33"/>
      <c r="D511" s="33"/>
      <c r="E511" s="33"/>
      <c r="F511" s="33"/>
      <c r="G511" s="33"/>
      <c r="H511" s="33"/>
      <c r="I511" s="33"/>
      <c r="J511" s="33"/>
      <c r="K511" s="33"/>
      <c r="L511" s="33"/>
      <c r="M511" s="33"/>
      <c r="N511" s="33"/>
      <c r="O511" s="33"/>
      <c r="P511" s="33"/>
      <c r="Q511" s="33"/>
      <c r="R511" s="33"/>
    </row>
    <row r="512">
      <c r="A512" s="33"/>
      <c r="B512" s="33"/>
      <c r="C512" s="33"/>
      <c r="D512" s="33"/>
      <c r="E512" s="33"/>
      <c r="F512" s="33"/>
      <c r="G512" s="33"/>
      <c r="H512" s="33"/>
      <c r="I512" s="33"/>
      <c r="J512" s="33"/>
      <c r="K512" s="33"/>
      <c r="L512" s="33"/>
      <c r="M512" s="33"/>
      <c r="N512" s="33"/>
      <c r="O512" s="33"/>
      <c r="P512" s="33"/>
      <c r="Q512" s="33"/>
      <c r="R512" s="33"/>
    </row>
    <row r="513">
      <c r="A513" s="33"/>
      <c r="B513" s="33"/>
      <c r="C513" s="33"/>
      <c r="D513" s="33"/>
      <c r="E513" s="33"/>
      <c r="F513" s="33"/>
      <c r="G513" s="33"/>
      <c r="H513" s="33"/>
      <c r="I513" s="33"/>
      <c r="J513" s="33"/>
      <c r="K513" s="33"/>
      <c r="L513" s="33"/>
      <c r="M513" s="33"/>
      <c r="N513" s="33"/>
      <c r="O513" s="33"/>
      <c r="P513" s="33"/>
      <c r="Q513" s="33"/>
      <c r="R513" s="33"/>
    </row>
    <row r="514">
      <c r="A514" s="33"/>
      <c r="B514" s="33"/>
      <c r="C514" s="33"/>
      <c r="D514" s="33"/>
      <c r="E514" s="33"/>
      <c r="F514" s="33"/>
      <c r="G514" s="33"/>
      <c r="H514" s="33"/>
      <c r="I514" s="33"/>
      <c r="J514" s="33"/>
      <c r="K514" s="33"/>
      <c r="L514" s="33"/>
      <c r="M514" s="33"/>
      <c r="N514" s="33"/>
      <c r="O514" s="33"/>
      <c r="P514" s="33"/>
      <c r="Q514" s="33"/>
      <c r="R514" s="33"/>
    </row>
    <row r="515">
      <c r="A515" s="33"/>
      <c r="B515" s="33"/>
      <c r="C515" s="33"/>
      <c r="D515" s="33"/>
      <c r="E515" s="33"/>
      <c r="F515" s="33"/>
      <c r="G515" s="33"/>
      <c r="H515" s="33"/>
      <c r="I515" s="33"/>
      <c r="J515" s="33"/>
      <c r="K515" s="33"/>
      <c r="L515" s="33"/>
      <c r="M515" s="33"/>
      <c r="N515" s="33"/>
      <c r="O515" s="33"/>
      <c r="P515" s="33"/>
      <c r="Q515" s="33"/>
      <c r="R515" s="33"/>
    </row>
    <row r="516">
      <c r="A516" s="33"/>
      <c r="B516" s="33"/>
      <c r="C516" s="33"/>
      <c r="D516" s="33"/>
      <c r="E516" s="33"/>
      <c r="F516" s="33"/>
      <c r="G516" s="33"/>
      <c r="H516" s="33"/>
      <c r="I516" s="33"/>
      <c r="J516" s="33"/>
      <c r="K516" s="33"/>
      <c r="L516" s="33"/>
      <c r="M516" s="33"/>
      <c r="N516" s="33"/>
      <c r="O516" s="33"/>
      <c r="P516" s="33"/>
      <c r="Q516" s="33"/>
      <c r="R516" s="33"/>
    </row>
    <row r="517">
      <c r="A517" s="33"/>
      <c r="B517" s="33"/>
      <c r="C517" s="33"/>
      <c r="D517" s="33"/>
      <c r="E517" s="33"/>
      <c r="F517" s="33"/>
      <c r="G517" s="33"/>
      <c r="H517" s="33"/>
      <c r="I517" s="33"/>
      <c r="J517" s="33"/>
      <c r="K517" s="33"/>
      <c r="L517" s="33"/>
      <c r="M517" s="33"/>
      <c r="N517" s="33"/>
      <c r="O517" s="33"/>
      <c r="P517" s="33"/>
      <c r="Q517" s="33"/>
      <c r="R517" s="33"/>
    </row>
    <row r="518">
      <c r="A518" s="33"/>
      <c r="B518" s="33"/>
      <c r="C518" s="33"/>
      <c r="D518" s="33"/>
      <c r="E518" s="33"/>
      <c r="F518" s="33"/>
      <c r="G518" s="33"/>
      <c r="H518" s="33"/>
      <c r="I518" s="33"/>
      <c r="J518" s="33"/>
      <c r="K518" s="33"/>
      <c r="L518" s="33"/>
      <c r="M518" s="33"/>
      <c r="N518" s="33"/>
      <c r="O518" s="33"/>
      <c r="P518" s="33"/>
      <c r="Q518" s="33"/>
      <c r="R518" s="33"/>
    </row>
    <row r="519">
      <c r="A519" s="33"/>
      <c r="B519" s="33"/>
      <c r="C519" s="33"/>
      <c r="D519" s="33"/>
      <c r="E519" s="33"/>
      <c r="F519" s="33"/>
      <c r="G519" s="33"/>
      <c r="H519" s="33"/>
      <c r="I519" s="33"/>
      <c r="J519" s="33"/>
      <c r="K519" s="33"/>
      <c r="L519" s="33"/>
      <c r="M519" s="33"/>
      <c r="N519" s="33"/>
      <c r="O519" s="33"/>
      <c r="P519" s="33"/>
      <c r="Q519" s="33"/>
      <c r="R519" s="33"/>
    </row>
    <row r="520">
      <c r="A520" s="33"/>
      <c r="B520" s="33"/>
      <c r="C520" s="33"/>
      <c r="D520" s="33"/>
      <c r="E520" s="33"/>
      <c r="F520" s="33"/>
      <c r="G520" s="33"/>
      <c r="H520" s="33"/>
      <c r="I520" s="33"/>
      <c r="J520" s="33"/>
      <c r="K520" s="33"/>
      <c r="L520" s="33"/>
      <c r="M520" s="33"/>
      <c r="N520" s="33"/>
      <c r="O520" s="33"/>
      <c r="P520" s="33"/>
      <c r="Q520" s="33"/>
      <c r="R520" s="33"/>
    </row>
    <row r="521">
      <c r="A521" s="33"/>
      <c r="B521" s="33"/>
      <c r="C521" s="33"/>
      <c r="D521" s="33"/>
      <c r="E521" s="33"/>
      <c r="F521" s="33"/>
      <c r="G521" s="33"/>
      <c r="H521" s="33"/>
      <c r="I521" s="33"/>
      <c r="J521" s="33"/>
      <c r="K521" s="33"/>
      <c r="L521" s="33"/>
      <c r="M521" s="33"/>
      <c r="N521" s="33"/>
      <c r="O521" s="33"/>
      <c r="P521" s="33"/>
      <c r="Q521" s="33"/>
      <c r="R521" s="33"/>
    </row>
    <row r="522">
      <c r="A522" s="33"/>
      <c r="B522" s="33"/>
      <c r="C522" s="33"/>
      <c r="D522" s="33"/>
      <c r="E522" s="33"/>
      <c r="F522" s="33"/>
      <c r="G522" s="33"/>
      <c r="H522" s="33"/>
      <c r="I522" s="33"/>
      <c r="J522" s="33"/>
      <c r="K522" s="33"/>
      <c r="L522" s="33"/>
      <c r="M522" s="33"/>
      <c r="N522" s="33"/>
      <c r="O522" s="33"/>
      <c r="P522" s="33"/>
      <c r="Q522" s="33"/>
      <c r="R522" s="33"/>
    </row>
    <row r="523">
      <c r="A523" s="33"/>
      <c r="B523" s="33"/>
      <c r="C523" s="33"/>
      <c r="D523" s="33"/>
      <c r="E523" s="33"/>
      <c r="F523" s="33"/>
      <c r="G523" s="33"/>
      <c r="H523" s="33"/>
      <c r="I523" s="33"/>
      <c r="J523" s="33"/>
      <c r="K523" s="33"/>
      <c r="L523" s="33"/>
      <c r="M523" s="33"/>
      <c r="N523" s="33"/>
      <c r="O523" s="33"/>
      <c r="P523" s="33"/>
      <c r="Q523" s="33"/>
      <c r="R523" s="33"/>
    </row>
    <row r="524">
      <c r="A524" s="33"/>
      <c r="B524" s="33"/>
      <c r="C524" s="33"/>
      <c r="D524" s="33"/>
      <c r="E524" s="33"/>
      <c r="F524" s="33"/>
      <c r="G524" s="33"/>
      <c r="H524" s="33"/>
      <c r="I524" s="33"/>
      <c r="J524" s="33"/>
      <c r="K524" s="33"/>
      <c r="L524" s="33"/>
      <c r="M524" s="33"/>
      <c r="N524" s="33"/>
      <c r="O524" s="33"/>
      <c r="P524" s="33"/>
      <c r="Q524" s="33"/>
      <c r="R524" s="33"/>
    </row>
    <row r="525">
      <c r="A525" s="33"/>
      <c r="B525" s="33"/>
      <c r="C525" s="33"/>
      <c r="D525" s="33"/>
      <c r="E525" s="33"/>
      <c r="F525" s="33"/>
      <c r="G525" s="33"/>
      <c r="H525" s="33"/>
      <c r="I525" s="33"/>
      <c r="J525" s="33"/>
      <c r="K525" s="33"/>
      <c r="L525" s="33"/>
      <c r="M525" s="33"/>
      <c r="N525" s="33"/>
      <c r="O525" s="33"/>
      <c r="P525" s="33"/>
      <c r="Q525" s="33"/>
      <c r="R525" s="33"/>
    </row>
    <row r="526">
      <c r="A526" s="33"/>
      <c r="B526" s="33"/>
      <c r="C526" s="33"/>
      <c r="D526" s="33"/>
      <c r="E526" s="33"/>
      <c r="F526" s="33"/>
      <c r="G526" s="33"/>
      <c r="H526" s="33"/>
      <c r="I526" s="33"/>
      <c r="J526" s="33"/>
      <c r="K526" s="33"/>
      <c r="L526" s="33"/>
      <c r="M526" s="33"/>
      <c r="N526" s="33"/>
      <c r="O526" s="33"/>
      <c r="P526" s="33"/>
      <c r="Q526" s="33"/>
      <c r="R526" s="33"/>
    </row>
    <row r="527">
      <c r="A527" s="33"/>
      <c r="B527" s="33"/>
      <c r="C527" s="33"/>
      <c r="D527" s="33"/>
      <c r="E527" s="33"/>
      <c r="F527" s="33"/>
      <c r="G527" s="33"/>
      <c r="H527" s="33"/>
      <c r="I527" s="33"/>
      <c r="J527" s="33"/>
      <c r="K527" s="33"/>
      <c r="L527" s="33"/>
      <c r="M527" s="33"/>
      <c r="N527" s="33"/>
      <c r="O527" s="33"/>
      <c r="P527" s="33"/>
      <c r="Q527" s="33"/>
      <c r="R527" s="33"/>
    </row>
    <row r="528">
      <c r="A528" s="33"/>
      <c r="B528" s="33"/>
      <c r="C528" s="33"/>
      <c r="D528" s="33"/>
      <c r="E528" s="33"/>
      <c r="F528" s="33"/>
      <c r="G528" s="33"/>
      <c r="H528" s="33"/>
      <c r="I528" s="33"/>
      <c r="J528" s="33"/>
      <c r="K528" s="33"/>
      <c r="L528" s="33"/>
      <c r="M528" s="33"/>
      <c r="N528" s="33"/>
      <c r="O528" s="33"/>
      <c r="P528" s="33"/>
      <c r="Q528" s="33"/>
      <c r="R528" s="33"/>
    </row>
    <row r="529">
      <c r="A529" s="33"/>
      <c r="B529" s="33"/>
      <c r="C529" s="33"/>
      <c r="D529" s="33"/>
      <c r="E529" s="33"/>
      <c r="F529" s="33"/>
      <c r="G529" s="33"/>
      <c r="H529" s="33"/>
      <c r="I529" s="33"/>
      <c r="J529" s="33"/>
      <c r="K529" s="33"/>
      <c r="L529" s="33"/>
      <c r="M529" s="33"/>
      <c r="N529" s="33"/>
      <c r="O529" s="33"/>
      <c r="P529" s="33"/>
      <c r="Q529" s="33"/>
      <c r="R529" s="33"/>
    </row>
    <row r="530">
      <c r="A530" s="33"/>
      <c r="B530" s="33"/>
      <c r="C530" s="33"/>
      <c r="D530" s="33"/>
      <c r="E530" s="33"/>
      <c r="F530" s="33"/>
      <c r="G530" s="33"/>
      <c r="H530" s="33"/>
      <c r="I530" s="33"/>
      <c r="J530" s="33"/>
      <c r="K530" s="33"/>
      <c r="L530" s="33"/>
      <c r="M530" s="33"/>
      <c r="N530" s="33"/>
      <c r="O530" s="33"/>
      <c r="P530" s="33"/>
      <c r="Q530" s="33"/>
      <c r="R530" s="33"/>
    </row>
    <row r="531">
      <c r="A531" s="33"/>
      <c r="B531" s="33"/>
      <c r="C531" s="33"/>
      <c r="D531" s="33"/>
      <c r="E531" s="33"/>
      <c r="F531" s="33"/>
      <c r="G531" s="33"/>
      <c r="H531" s="33"/>
      <c r="I531" s="33"/>
      <c r="J531" s="33"/>
      <c r="K531" s="33"/>
      <c r="L531" s="33"/>
      <c r="M531" s="33"/>
      <c r="N531" s="33"/>
      <c r="O531" s="33"/>
      <c r="P531" s="33"/>
      <c r="Q531" s="33"/>
      <c r="R531" s="33"/>
    </row>
    <row r="532">
      <c r="A532" s="33"/>
      <c r="B532" s="33"/>
      <c r="C532" s="33"/>
      <c r="D532" s="33"/>
      <c r="E532" s="33"/>
      <c r="F532" s="33"/>
      <c r="G532" s="33"/>
      <c r="H532" s="33"/>
      <c r="I532" s="33"/>
      <c r="J532" s="33"/>
      <c r="K532" s="33"/>
      <c r="L532" s="33"/>
      <c r="M532" s="33"/>
      <c r="N532" s="33"/>
      <c r="O532" s="33"/>
      <c r="P532" s="33"/>
      <c r="Q532" s="33"/>
      <c r="R532" s="33"/>
    </row>
    <row r="533">
      <c r="A533" s="33"/>
      <c r="B533" s="33"/>
      <c r="C533" s="33"/>
      <c r="D533" s="33"/>
      <c r="E533" s="33"/>
      <c r="F533" s="33"/>
      <c r="G533" s="33"/>
      <c r="H533" s="33"/>
      <c r="I533" s="33"/>
      <c r="J533" s="33"/>
      <c r="K533" s="33"/>
      <c r="L533" s="33"/>
      <c r="M533" s="33"/>
      <c r="N533" s="33"/>
      <c r="O533" s="33"/>
      <c r="P533" s="33"/>
      <c r="Q533" s="33"/>
      <c r="R533" s="33"/>
    </row>
    <row r="534">
      <c r="A534" s="33"/>
      <c r="B534" s="33"/>
      <c r="C534" s="33"/>
      <c r="D534" s="33"/>
      <c r="E534" s="33"/>
      <c r="F534" s="33"/>
      <c r="G534" s="33"/>
      <c r="H534" s="33"/>
      <c r="I534" s="33"/>
      <c r="J534" s="33"/>
      <c r="K534" s="33"/>
      <c r="L534" s="33"/>
      <c r="M534" s="33"/>
      <c r="N534" s="33"/>
      <c r="O534" s="33"/>
      <c r="P534" s="33"/>
      <c r="Q534" s="33"/>
      <c r="R534" s="33"/>
    </row>
    <row r="535">
      <c r="A535" s="33"/>
      <c r="B535" s="33"/>
      <c r="C535" s="33"/>
      <c r="D535" s="33"/>
      <c r="E535" s="33"/>
      <c r="F535" s="33"/>
      <c r="G535" s="33"/>
      <c r="H535" s="33"/>
      <c r="I535" s="33"/>
      <c r="J535" s="33"/>
      <c r="K535" s="33"/>
      <c r="L535" s="33"/>
      <c r="M535" s="33"/>
      <c r="N535" s="33"/>
      <c r="O535" s="33"/>
      <c r="P535" s="33"/>
      <c r="Q535" s="33"/>
      <c r="R535" s="33"/>
    </row>
    <row r="536">
      <c r="A536" s="33"/>
      <c r="B536" s="33"/>
      <c r="C536" s="33"/>
      <c r="D536" s="33"/>
      <c r="E536" s="33"/>
      <c r="F536" s="33"/>
      <c r="G536" s="33"/>
      <c r="H536" s="33"/>
      <c r="I536" s="33"/>
      <c r="J536" s="33"/>
      <c r="K536" s="33"/>
      <c r="L536" s="33"/>
      <c r="M536" s="33"/>
      <c r="N536" s="33"/>
      <c r="O536" s="33"/>
      <c r="P536" s="33"/>
      <c r="Q536" s="33"/>
      <c r="R536" s="33"/>
    </row>
    <row r="537">
      <c r="A537" s="33"/>
      <c r="B537" s="33"/>
      <c r="C537" s="33"/>
      <c r="D537" s="33"/>
      <c r="E537" s="33"/>
      <c r="F537" s="33"/>
      <c r="G537" s="33"/>
      <c r="H537" s="33"/>
      <c r="I537" s="33"/>
      <c r="J537" s="33"/>
      <c r="K537" s="33"/>
      <c r="L537" s="33"/>
      <c r="M537" s="33"/>
      <c r="N537" s="33"/>
      <c r="O537" s="33"/>
      <c r="P537" s="33"/>
      <c r="Q537" s="33"/>
      <c r="R537" s="33"/>
    </row>
    <row r="538">
      <c r="A538" s="33"/>
      <c r="B538" s="33"/>
      <c r="C538" s="33"/>
      <c r="D538" s="33"/>
      <c r="E538" s="33"/>
      <c r="F538" s="33"/>
      <c r="G538" s="33"/>
      <c r="H538" s="33"/>
      <c r="I538" s="33"/>
      <c r="J538" s="33"/>
      <c r="K538" s="33"/>
      <c r="L538" s="33"/>
      <c r="M538" s="33"/>
      <c r="N538" s="33"/>
      <c r="O538" s="33"/>
      <c r="P538" s="33"/>
      <c r="Q538" s="33"/>
      <c r="R538" s="33"/>
    </row>
    <row r="539">
      <c r="A539" s="33"/>
      <c r="B539" s="33"/>
      <c r="C539" s="33"/>
      <c r="D539" s="33"/>
      <c r="E539" s="33"/>
      <c r="F539" s="33"/>
      <c r="G539" s="33"/>
      <c r="H539" s="33"/>
      <c r="I539" s="33"/>
      <c r="J539" s="33"/>
      <c r="K539" s="33"/>
      <c r="L539" s="33"/>
      <c r="M539" s="33"/>
      <c r="N539" s="33"/>
      <c r="O539" s="33"/>
      <c r="P539" s="33"/>
      <c r="Q539" s="33"/>
      <c r="R539" s="33"/>
    </row>
    <row r="540">
      <c r="A540" s="33"/>
      <c r="B540" s="33"/>
      <c r="C540" s="33"/>
      <c r="D540" s="33"/>
      <c r="E540" s="33"/>
      <c r="F540" s="33"/>
      <c r="G540" s="33"/>
      <c r="H540" s="33"/>
      <c r="I540" s="33"/>
      <c r="J540" s="33"/>
      <c r="K540" s="33"/>
      <c r="L540" s="33"/>
      <c r="M540" s="33"/>
      <c r="N540" s="33"/>
      <c r="O540" s="33"/>
      <c r="P540" s="33"/>
      <c r="Q540" s="33"/>
      <c r="R540" s="33"/>
    </row>
    <row r="541">
      <c r="A541" s="33"/>
      <c r="B541" s="33"/>
      <c r="C541" s="33"/>
      <c r="D541" s="33"/>
      <c r="E541" s="33"/>
      <c r="F541" s="33"/>
      <c r="G541" s="33"/>
      <c r="H541" s="33"/>
      <c r="I541" s="33"/>
      <c r="J541" s="33"/>
      <c r="K541" s="33"/>
      <c r="L541" s="33"/>
      <c r="M541" s="33"/>
      <c r="N541" s="33"/>
      <c r="O541" s="33"/>
      <c r="P541" s="33"/>
      <c r="Q541" s="33"/>
      <c r="R541" s="33"/>
    </row>
    <row r="542">
      <c r="A542" s="33"/>
      <c r="B542" s="33"/>
      <c r="C542" s="33"/>
      <c r="D542" s="33"/>
      <c r="E542" s="33"/>
      <c r="F542" s="33"/>
      <c r="G542" s="33"/>
      <c r="H542" s="33"/>
      <c r="I542" s="33"/>
      <c r="J542" s="33"/>
      <c r="K542" s="33"/>
      <c r="L542" s="33"/>
      <c r="M542" s="33"/>
      <c r="N542" s="33"/>
      <c r="O542" s="33"/>
      <c r="P542" s="33"/>
      <c r="Q542" s="33"/>
      <c r="R542" s="33"/>
    </row>
    <row r="543">
      <c r="A543" s="33"/>
      <c r="B543" s="33"/>
      <c r="C543" s="33"/>
      <c r="D543" s="33"/>
      <c r="E543" s="33"/>
      <c r="F543" s="33"/>
      <c r="G543" s="33"/>
      <c r="H543" s="33"/>
      <c r="I543" s="33"/>
      <c r="J543" s="33"/>
      <c r="K543" s="33"/>
      <c r="L543" s="33"/>
      <c r="M543" s="33"/>
      <c r="N543" s="33"/>
      <c r="O543" s="33"/>
      <c r="P543" s="33"/>
      <c r="Q543" s="33"/>
      <c r="R543" s="33"/>
    </row>
    <row r="544">
      <c r="A544" s="33"/>
      <c r="B544" s="33"/>
      <c r="C544" s="33"/>
      <c r="D544" s="33"/>
      <c r="E544" s="33"/>
      <c r="F544" s="33"/>
      <c r="G544" s="33"/>
      <c r="H544" s="33"/>
      <c r="I544" s="33"/>
      <c r="J544" s="33"/>
      <c r="K544" s="33"/>
      <c r="L544" s="33"/>
      <c r="M544" s="33"/>
      <c r="N544" s="33"/>
      <c r="O544" s="33"/>
      <c r="P544" s="33"/>
      <c r="Q544" s="33"/>
      <c r="R544" s="33"/>
    </row>
    <row r="545">
      <c r="A545" s="33"/>
      <c r="B545" s="33"/>
      <c r="C545" s="33"/>
      <c r="D545" s="33"/>
      <c r="E545" s="33"/>
      <c r="F545" s="33"/>
      <c r="G545" s="33"/>
      <c r="H545" s="33"/>
      <c r="I545" s="33"/>
      <c r="J545" s="33"/>
      <c r="K545" s="33"/>
      <c r="L545" s="33"/>
      <c r="M545" s="33"/>
      <c r="N545" s="33"/>
      <c r="O545" s="33"/>
      <c r="P545" s="33"/>
      <c r="Q545" s="33"/>
      <c r="R545" s="33"/>
    </row>
    <row r="546">
      <c r="A546" s="33"/>
      <c r="B546" s="33"/>
      <c r="C546" s="33"/>
      <c r="D546" s="33"/>
      <c r="E546" s="33"/>
      <c r="F546" s="33"/>
      <c r="G546" s="33"/>
      <c r="H546" s="33"/>
      <c r="I546" s="33"/>
      <c r="J546" s="33"/>
      <c r="K546" s="33"/>
      <c r="L546" s="33"/>
      <c r="M546" s="33"/>
      <c r="N546" s="33"/>
      <c r="O546" s="33"/>
      <c r="P546" s="33"/>
      <c r="Q546" s="33"/>
      <c r="R546" s="33"/>
    </row>
    <row r="547">
      <c r="A547" s="33"/>
      <c r="B547" s="33"/>
      <c r="C547" s="33"/>
      <c r="D547" s="33"/>
      <c r="E547" s="33"/>
      <c r="F547" s="33"/>
      <c r="G547" s="33"/>
      <c r="H547" s="33"/>
      <c r="I547" s="33"/>
      <c r="J547" s="33"/>
      <c r="K547" s="33"/>
      <c r="L547" s="33"/>
      <c r="M547" s="33"/>
      <c r="N547" s="33"/>
      <c r="O547" s="33"/>
      <c r="P547" s="33"/>
      <c r="Q547" s="33"/>
      <c r="R547" s="33"/>
    </row>
    <row r="548">
      <c r="A548" s="33"/>
      <c r="B548" s="33"/>
      <c r="C548" s="33"/>
      <c r="D548" s="33"/>
      <c r="E548" s="33"/>
      <c r="F548" s="33"/>
      <c r="G548" s="33"/>
      <c r="H548" s="33"/>
      <c r="I548" s="33"/>
      <c r="J548" s="33"/>
      <c r="K548" s="33"/>
      <c r="L548" s="33"/>
      <c r="M548" s="33"/>
      <c r="N548" s="33"/>
      <c r="O548" s="33"/>
      <c r="P548" s="33"/>
      <c r="Q548" s="33"/>
      <c r="R548" s="33"/>
    </row>
    <row r="549">
      <c r="A549" s="33"/>
      <c r="B549" s="33"/>
      <c r="C549" s="33"/>
      <c r="D549" s="33"/>
      <c r="E549" s="33"/>
      <c r="F549" s="33"/>
      <c r="G549" s="33"/>
      <c r="H549" s="33"/>
      <c r="I549" s="33"/>
      <c r="J549" s="33"/>
      <c r="K549" s="33"/>
      <c r="L549" s="33"/>
      <c r="M549" s="33"/>
      <c r="N549" s="33"/>
      <c r="O549" s="33"/>
      <c r="P549" s="33"/>
      <c r="Q549" s="33"/>
      <c r="R549" s="33"/>
    </row>
    <row r="550">
      <c r="A550" s="33"/>
      <c r="B550" s="33"/>
      <c r="C550" s="33"/>
      <c r="D550" s="33"/>
      <c r="E550" s="33"/>
      <c r="F550" s="33"/>
      <c r="G550" s="33"/>
      <c r="H550" s="33"/>
      <c r="I550" s="33"/>
      <c r="J550" s="33"/>
      <c r="K550" s="33"/>
      <c r="L550" s="33"/>
      <c r="M550" s="33"/>
      <c r="N550" s="33"/>
      <c r="O550" s="33"/>
      <c r="P550" s="33"/>
      <c r="Q550" s="33"/>
      <c r="R550" s="33"/>
    </row>
    <row r="551">
      <c r="A551" s="33"/>
      <c r="B551" s="33"/>
      <c r="C551" s="33"/>
      <c r="D551" s="33"/>
      <c r="E551" s="33"/>
      <c r="F551" s="33"/>
      <c r="G551" s="33"/>
      <c r="H551" s="33"/>
      <c r="I551" s="33"/>
      <c r="J551" s="33"/>
      <c r="K551" s="33"/>
      <c r="L551" s="33"/>
      <c r="M551" s="33"/>
      <c r="N551" s="33"/>
      <c r="O551" s="33"/>
      <c r="P551" s="33"/>
      <c r="Q551" s="33"/>
      <c r="R551" s="33"/>
    </row>
    <row r="552">
      <c r="A552" s="33"/>
      <c r="B552" s="33"/>
      <c r="C552" s="33"/>
      <c r="D552" s="33"/>
      <c r="E552" s="33"/>
      <c r="F552" s="33"/>
      <c r="G552" s="33"/>
      <c r="H552" s="33"/>
      <c r="I552" s="33"/>
      <c r="J552" s="33"/>
      <c r="K552" s="33"/>
      <c r="L552" s="33"/>
      <c r="M552" s="33"/>
      <c r="N552" s="33"/>
      <c r="O552" s="33"/>
      <c r="P552" s="33"/>
      <c r="Q552" s="33"/>
      <c r="R552" s="33"/>
    </row>
    <row r="553">
      <c r="A553" s="33"/>
      <c r="B553" s="33"/>
      <c r="C553" s="33"/>
      <c r="D553" s="33"/>
      <c r="E553" s="33"/>
      <c r="F553" s="33"/>
      <c r="G553" s="33"/>
      <c r="H553" s="33"/>
      <c r="I553" s="33"/>
      <c r="J553" s="33"/>
      <c r="K553" s="33"/>
      <c r="L553" s="33"/>
      <c r="M553" s="33"/>
      <c r="N553" s="33"/>
      <c r="O553" s="33"/>
      <c r="P553" s="33"/>
      <c r="Q553" s="33"/>
      <c r="R553" s="33"/>
    </row>
    <row r="554">
      <c r="A554" s="33"/>
      <c r="B554" s="33"/>
      <c r="C554" s="33"/>
      <c r="D554" s="33"/>
      <c r="E554" s="33"/>
      <c r="F554" s="33"/>
      <c r="G554" s="33"/>
      <c r="H554" s="33"/>
      <c r="I554" s="33"/>
      <c r="J554" s="33"/>
      <c r="K554" s="33"/>
      <c r="L554" s="33"/>
      <c r="M554" s="33"/>
      <c r="N554" s="33"/>
      <c r="O554" s="33"/>
      <c r="P554" s="33"/>
      <c r="Q554" s="33"/>
      <c r="R554" s="33"/>
    </row>
    <row r="555">
      <c r="A555" s="33"/>
      <c r="B555" s="33"/>
      <c r="C555" s="33"/>
      <c r="D555" s="33"/>
      <c r="E555" s="33"/>
      <c r="F555" s="33"/>
      <c r="G555" s="33"/>
      <c r="H555" s="33"/>
      <c r="I555" s="33"/>
      <c r="J555" s="33"/>
      <c r="K555" s="33"/>
      <c r="L555" s="33"/>
      <c r="M555" s="33"/>
      <c r="N555" s="33"/>
      <c r="O555" s="33"/>
      <c r="P555" s="33"/>
      <c r="Q555" s="33"/>
      <c r="R555" s="33"/>
    </row>
    <row r="556">
      <c r="A556" s="33"/>
      <c r="B556" s="33"/>
      <c r="C556" s="33"/>
      <c r="D556" s="33"/>
      <c r="E556" s="33"/>
      <c r="F556" s="33"/>
      <c r="G556" s="33"/>
      <c r="H556" s="33"/>
      <c r="I556" s="33"/>
      <c r="J556" s="33"/>
      <c r="K556" s="33"/>
      <c r="L556" s="33"/>
      <c r="M556" s="33"/>
      <c r="N556" s="33"/>
      <c r="O556" s="33"/>
      <c r="P556" s="33"/>
      <c r="Q556" s="33"/>
      <c r="R556" s="33"/>
    </row>
    <row r="557">
      <c r="A557" s="33"/>
      <c r="B557" s="33"/>
      <c r="C557" s="33"/>
      <c r="D557" s="33"/>
      <c r="E557" s="33"/>
      <c r="F557" s="33"/>
      <c r="G557" s="33"/>
      <c r="H557" s="33"/>
      <c r="I557" s="33"/>
      <c r="J557" s="33"/>
      <c r="K557" s="33"/>
      <c r="L557" s="33"/>
      <c r="M557" s="33"/>
      <c r="N557" s="33"/>
      <c r="O557" s="33"/>
      <c r="P557" s="33"/>
      <c r="Q557" s="33"/>
      <c r="R557" s="33"/>
    </row>
    <row r="558">
      <c r="A558" s="33"/>
      <c r="B558" s="33"/>
      <c r="C558" s="33"/>
      <c r="D558" s="33"/>
      <c r="E558" s="33"/>
      <c r="F558" s="33"/>
      <c r="G558" s="33"/>
      <c r="H558" s="33"/>
      <c r="I558" s="33"/>
      <c r="J558" s="33"/>
      <c r="K558" s="33"/>
      <c r="L558" s="33"/>
      <c r="M558" s="33"/>
      <c r="N558" s="33"/>
      <c r="O558" s="33"/>
      <c r="P558" s="33"/>
      <c r="Q558" s="33"/>
      <c r="R558" s="33"/>
    </row>
    <row r="559">
      <c r="A559" s="33"/>
      <c r="B559" s="33"/>
      <c r="C559" s="33"/>
      <c r="D559" s="33"/>
      <c r="E559" s="33"/>
      <c r="F559" s="33"/>
      <c r="G559" s="33"/>
      <c r="H559" s="33"/>
      <c r="I559" s="33"/>
      <c r="J559" s="33"/>
      <c r="K559" s="33"/>
      <c r="L559" s="33"/>
      <c r="M559" s="33"/>
      <c r="N559" s="33"/>
      <c r="O559" s="33"/>
      <c r="P559" s="33"/>
      <c r="Q559" s="33"/>
      <c r="R559" s="33"/>
    </row>
    <row r="560">
      <c r="A560" s="33"/>
      <c r="B560" s="33"/>
      <c r="C560" s="33"/>
      <c r="D560" s="33"/>
      <c r="E560" s="33"/>
      <c r="F560" s="33"/>
      <c r="G560" s="33"/>
      <c r="H560" s="33"/>
      <c r="I560" s="33"/>
      <c r="J560" s="33"/>
      <c r="K560" s="33"/>
      <c r="L560" s="33"/>
      <c r="M560" s="33"/>
      <c r="N560" s="33"/>
      <c r="O560" s="33"/>
      <c r="P560" s="33"/>
      <c r="Q560" s="33"/>
      <c r="R560" s="33"/>
    </row>
    <row r="561">
      <c r="A561" s="33"/>
      <c r="B561" s="33"/>
      <c r="C561" s="33"/>
      <c r="D561" s="33"/>
      <c r="E561" s="33"/>
      <c r="F561" s="33"/>
      <c r="G561" s="33"/>
      <c r="H561" s="33"/>
      <c r="I561" s="33"/>
      <c r="J561" s="33"/>
      <c r="K561" s="33"/>
      <c r="L561" s="33"/>
      <c r="M561" s="33"/>
      <c r="N561" s="33"/>
      <c r="O561" s="33"/>
      <c r="P561" s="33"/>
      <c r="Q561" s="33"/>
      <c r="R561" s="33"/>
    </row>
    <row r="562">
      <c r="A562" s="33"/>
      <c r="B562" s="33"/>
      <c r="C562" s="33"/>
      <c r="D562" s="33"/>
      <c r="E562" s="33"/>
      <c r="F562" s="33"/>
      <c r="G562" s="33"/>
      <c r="H562" s="33"/>
      <c r="I562" s="33"/>
      <c r="J562" s="33"/>
      <c r="K562" s="33"/>
      <c r="L562" s="33"/>
      <c r="M562" s="33"/>
      <c r="N562" s="33"/>
      <c r="O562" s="33"/>
      <c r="P562" s="33"/>
      <c r="Q562" s="33"/>
      <c r="R562" s="33"/>
    </row>
    <row r="563">
      <c r="A563" s="33"/>
      <c r="B563" s="33"/>
      <c r="C563" s="33"/>
      <c r="D563" s="33"/>
      <c r="E563" s="33"/>
      <c r="F563" s="33"/>
      <c r="G563" s="33"/>
      <c r="H563" s="33"/>
      <c r="I563" s="33"/>
      <c r="J563" s="33"/>
      <c r="K563" s="33"/>
      <c r="L563" s="33"/>
      <c r="M563" s="33"/>
      <c r="N563" s="33"/>
      <c r="O563" s="33"/>
      <c r="P563" s="33"/>
      <c r="Q563" s="33"/>
      <c r="R563" s="33"/>
    </row>
    <row r="564">
      <c r="A564" s="33"/>
      <c r="B564" s="33"/>
      <c r="C564" s="33"/>
      <c r="D564" s="33"/>
      <c r="E564" s="33"/>
      <c r="F564" s="33"/>
      <c r="G564" s="33"/>
      <c r="H564" s="33"/>
      <c r="I564" s="33"/>
      <c r="J564" s="33"/>
      <c r="K564" s="33"/>
      <c r="L564" s="33"/>
      <c r="M564" s="33"/>
      <c r="N564" s="33"/>
      <c r="O564" s="33"/>
      <c r="P564" s="33"/>
      <c r="Q564" s="33"/>
      <c r="R564" s="33"/>
    </row>
    <row r="565">
      <c r="A565" s="33"/>
      <c r="B565" s="33"/>
      <c r="C565" s="33"/>
      <c r="D565" s="33"/>
      <c r="E565" s="33"/>
      <c r="F565" s="33"/>
      <c r="G565" s="33"/>
      <c r="H565" s="33"/>
      <c r="I565" s="33"/>
      <c r="J565" s="33"/>
      <c r="K565" s="33"/>
      <c r="L565" s="33"/>
      <c r="M565" s="33"/>
      <c r="N565" s="33"/>
      <c r="O565" s="33"/>
      <c r="P565" s="33"/>
      <c r="Q565" s="33"/>
      <c r="R565" s="33"/>
    </row>
    <row r="566">
      <c r="A566" s="33"/>
      <c r="B566" s="33"/>
      <c r="C566" s="33"/>
      <c r="D566" s="33"/>
      <c r="E566" s="33"/>
      <c r="F566" s="33"/>
      <c r="G566" s="33"/>
      <c r="H566" s="33"/>
      <c r="I566" s="33"/>
      <c r="J566" s="33"/>
      <c r="K566" s="33"/>
      <c r="L566" s="33"/>
      <c r="M566" s="33"/>
      <c r="N566" s="33"/>
      <c r="O566" s="33"/>
      <c r="P566" s="33"/>
      <c r="Q566" s="33"/>
      <c r="R566" s="33"/>
    </row>
    <row r="567">
      <c r="A567" s="33"/>
      <c r="B567" s="33"/>
      <c r="C567" s="33"/>
      <c r="D567" s="33"/>
      <c r="E567" s="33"/>
      <c r="F567" s="33"/>
      <c r="G567" s="33"/>
      <c r="H567" s="33"/>
      <c r="I567" s="33"/>
      <c r="J567" s="33"/>
      <c r="K567" s="33"/>
      <c r="L567" s="33"/>
      <c r="M567" s="33"/>
      <c r="N567" s="33"/>
      <c r="O567" s="33"/>
      <c r="P567" s="33"/>
      <c r="Q567" s="33"/>
      <c r="R567" s="33"/>
    </row>
    <row r="568">
      <c r="A568" s="33"/>
      <c r="B568" s="33"/>
      <c r="C568" s="33"/>
      <c r="D568" s="33"/>
      <c r="E568" s="33"/>
      <c r="F568" s="33"/>
      <c r="G568" s="33"/>
      <c r="H568" s="33"/>
      <c r="I568" s="33"/>
      <c r="J568" s="33"/>
      <c r="K568" s="33"/>
      <c r="L568" s="33"/>
      <c r="M568" s="33"/>
      <c r="N568" s="33"/>
      <c r="O568" s="33"/>
      <c r="P568" s="33"/>
      <c r="Q568" s="33"/>
      <c r="R568" s="33"/>
    </row>
    <row r="569">
      <c r="A569" s="33"/>
      <c r="B569" s="33"/>
      <c r="C569" s="33"/>
      <c r="D569" s="33"/>
      <c r="E569" s="33"/>
      <c r="F569" s="33"/>
      <c r="G569" s="33"/>
      <c r="H569" s="33"/>
      <c r="I569" s="33"/>
      <c r="J569" s="33"/>
      <c r="K569" s="33"/>
      <c r="L569" s="33"/>
      <c r="M569" s="33"/>
      <c r="N569" s="33"/>
      <c r="O569" s="33"/>
      <c r="P569" s="33"/>
      <c r="Q569" s="33"/>
      <c r="R569" s="33"/>
    </row>
    <row r="570">
      <c r="A570" s="33"/>
      <c r="B570" s="33"/>
      <c r="C570" s="33"/>
      <c r="D570" s="33"/>
      <c r="E570" s="33"/>
      <c r="F570" s="33"/>
      <c r="G570" s="33"/>
      <c r="H570" s="33"/>
      <c r="I570" s="33"/>
      <c r="J570" s="33"/>
      <c r="K570" s="33"/>
      <c r="L570" s="33"/>
      <c r="M570" s="33"/>
      <c r="N570" s="33"/>
      <c r="O570" s="33"/>
      <c r="P570" s="33"/>
      <c r="Q570" s="33"/>
      <c r="R570" s="33"/>
    </row>
    <row r="571">
      <c r="A571" s="33"/>
      <c r="B571" s="33"/>
      <c r="C571" s="33"/>
      <c r="D571" s="33"/>
      <c r="E571" s="33"/>
      <c r="F571" s="33"/>
      <c r="G571" s="33"/>
      <c r="H571" s="33"/>
      <c r="I571" s="33"/>
      <c r="J571" s="33"/>
      <c r="K571" s="33"/>
      <c r="L571" s="33"/>
      <c r="M571" s="33"/>
      <c r="N571" s="33"/>
      <c r="O571" s="33"/>
      <c r="P571" s="33"/>
      <c r="Q571" s="33"/>
      <c r="R571" s="33"/>
    </row>
    <row r="572">
      <c r="A572" s="33"/>
      <c r="B572" s="33"/>
      <c r="C572" s="33"/>
      <c r="D572" s="33"/>
      <c r="E572" s="33"/>
      <c r="F572" s="33"/>
      <c r="G572" s="33"/>
      <c r="H572" s="33"/>
      <c r="I572" s="33"/>
      <c r="J572" s="33"/>
      <c r="K572" s="33"/>
      <c r="L572" s="33"/>
      <c r="M572" s="33"/>
      <c r="N572" s="33"/>
      <c r="O572" s="33"/>
      <c r="P572" s="33"/>
      <c r="Q572" s="33"/>
      <c r="R572" s="33"/>
    </row>
    <row r="573">
      <c r="A573" s="33"/>
      <c r="B573" s="33"/>
      <c r="C573" s="33"/>
      <c r="D573" s="33"/>
      <c r="E573" s="33"/>
      <c r="F573" s="33"/>
      <c r="G573" s="33"/>
      <c r="H573" s="33"/>
      <c r="I573" s="33"/>
      <c r="J573" s="33"/>
      <c r="K573" s="33"/>
      <c r="L573" s="33"/>
      <c r="M573" s="33"/>
      <c r="N573" s="33"/>
      <c r="O573" s="33"/>
      <c r="P573" s="33"/>
      <c r="Q573" s="33"/>
      <c r="R573" s="33"/>
    </row>
    <row r="574">
      <c r="A574" s="33"/>
      <c r="B574" s="33"/>
      <c r="C574" s="33"/>
      <c r="D574" s="33"/>
      <c r="E574" s="33"/>
      <c r="F574" s="33"/>
      <c r="G574" s="33"/>
      <c r="H574" s="33"/>
      <c r="I574" s="33"/>
      <c r="J574" s="33"/>
      <c r="K574" s="33"/>
      <c r="L574" s="33"/>
      <c r="M574" s="33"/>
      <c r="N574" s="33"/>
      <c r="O574" s="33"/>
      <c r="P574" s="33"/>
      <c r="Q574" s="33"/>
      <c r="R574" s="33"/>
    </row>
    <row r="575">
      <c r="A575" s="33"/>
      <c r="B575" s="33"/>
      <c r="C575" s="33"/>
      <c r="D575" s="33"/>
      <c r="E575" s="33"/>
      <c r="F575" s="33"/>
      <c r="G575" s="33"/>
      <c r="H575" s="33"/>
      <c r="I575" s="33"/>
      <c r="J575" s="33"/>
      <c r="K575" s="33"/>
      <c r="L575" s="33"/>
      <c r="M575" s="33"/>
      <c r="N575" s="33"/>
      <c r="O575" s="33"/>
      <c r="P575" s="33"/>
      <c r="Q575" s="33"/>
      <c r="R575" s="33"/>
    </row>
    <row r="576">
      <c r="A576" s="33"/>
      <c r="B576" s="33"/>
      <c r="C576" s="33"/>
      <c r="D576" s="33"/>
      <c r="E576" s="33"/>
      <c r="F576" s="33"/>
      <c r="G576" s="33"/>
      <c r="H576" s="33"/>
      <c r="I576" s="33"/>
      <c r="J576" s="33"/>
      <c r="K576" s="33"/>
      <c r="L576" s="33"/>
      <c r="M576" s="33"/>
      <c r="N576" s="33"/>
      <c r="O576" s="33"/>
      <c r="P576" s="33"/>
      <c r="Q576" s="33"/>
      <c r="R576" s="33"/>
    </row>
    <row r="577">
      <c r="A577" s="33"/>
      <c r="B577" s="33"/>
      <c r="C577" s="33"/>
      <c r="D577" s="33"/>
      <c r="E577" s="33"/>
      <c r="F577" s="33"/>
      <c r="G577" s="33"/>
      <c r="H577" s="33"/>
      <c r="I577" s="33"/>
      <c r="J577" s="33"/>
      <c r="K577" s="33"/>
      <c r="L577" s="33"/>
      <c r="M577" s="33"/>
      <c r="N577" s="33"/>
      <c r="O577" s="33"/>
      <c r="P577" s="33"/>
      <c r="Q577" s="33"/>
      <c r="R577" s="33"/>
    </row>
    <row r="578">
      <c r="A578" s="33"/>
      <c r="B578" s="33"/>
      <c r="C578" s="33"/>
      <c r="D578" s="33"/>
      <c r="E578" s="33"/>
      <c r="F578" s="33"/>
      <c r="G578" s="33"/>
      <c r="H578" s="33"/>
      <c r="I578" s="33"/>
      <c r="J578" s="33"/>
      <c r="K578" s="33"/>
      <c r="L578" s="33"/>
      <c r="M578" s="33"/>
      <c r="N578" s="33"/>
      <c r="O578" s="33"/>
      <c r="P578" s="33"/>
      <c r="Q578" s="33"/>
      <c r="R578" s="33"/>
    </row>
    <row r="579">
      <c r="A579" s="33"/>
      <c r="B579" s="33"/>
      <c r="C579" s="33"/>
      <c r="D579" s="33"/>
      <c r="E579" s="33"/>
      <c r="F579" s="33"/>
      <c r="G579" s="33"/>
      <c r="H579" s="33"/>
      <c r="I579" s="33"/>
      <c r="J579" s="33"/>
      <c r="K579" s="33"/>
      <c r="L579" s="33"/>
      <c r="M579" s="33"/>
      <c r="N579" s="33"/>
      <c r="O579" s="33"/>
      <c r="P579" s="33"/>
      <c r="Q579" s="33"/>
      <c r="R579" s="33"/>
    </row>
    <row r="580">
      <c r="A580" s="33"/>
      <c r="B580" s="33"/>
      <c r="C580" s="33"/>
      <c r="D580" s="33"/>
      <c r="E580" s="33"/>
      <c r="F580" s="33"/>
      <c r="G580" s="33"/>
      <c r="H580" s="33"/>
      <c r="I580" s="33"/>
      <c r="J580" s="33"/>
      <c r="K580" s="33"/>
      <c r="L580" s="33"/>
      <c r="M580" s="33"/>
      <c r="N580" s="33"/>
      <c r="O580" s="33"/>
      <c r="P580" s="33"/>
      <c r="Q580" s="33"/>
      <c r="R580" s="33"/>
    </row>
    <row r="581">
      <c r="A581" s="33"/>
      <c r="B581" s="33"/>
      <c r="C581" s="33"/>
      <c r="D581" s="33"/>
      <c r="E581" s="33"/>
      <c r="F581" s="33"/>
      <c r="G581" s="33"/>
      <c r="H581" s="33"/>
      <c r="I581" s="33"/>
      <c r="J581" s="33"/>
      <c r="K581" s="33"/>
      <c r="L581" s="33"/>
      <c r="M581" s="33"/>
      <c r="N581" s="33"/>
      <c r="O581" s="33"/>
      <c r="P581" s="33"/>
      <c r="Q581" s="33"/>
      <c r="R581" s="33"/>
    </row>
    <row r="582">
      <c r="A582" s="33"/>
      <c r="B582" s="33"/>
      <c r="C582" s="33"/>
      <c r="D582" s="33"/>
      <c r="E582" s="33"/>
      <c r="F582" s="33"/>
      <c r="G582" s="33"/>
      <c r="H582" s="33"/>
      <c r="I582" s="33"/>
      <c r="J582" s="33"/>
      <c r="K582" s="33"/>
      <c r="L582" s="33"/>
      <c r="M582" s="33"/>
      <c r="N582" s="33"/>
      <c r="O582" s="33"/>
      <c r="P582" s="33"/>
      <c r="Q582" s="33"/>
      <c r="R582" s="33"/>
    </row>
    <row r="583">
      <c r="A583" s="33"/>
      <c r="B583" s="33"/>
      <c r="C583" s="33"/>
      <c r="D583" s="33"/>
      <c r="E583" s="33"/>
      <c r="F583" s="33"/>
      <c r="G583" s="33"/>
      <c r="H583" s="33"/>
      <c r="I583" s="33"/>
      <c r="J583" s="33"/>
      <c r="K583" s="33"/>
      <c r="L583" s="33"/>
      <c r="M583" s="33"/>
      <c r="N583" s="33"/>
      <c r="O583" s="33"/>
      <c r="P583" s="33"/>
      <c r="Q583" s="33"/>
      <c r="R583" s="33"/>
    </row>
    <row r="584">
      <c r="A584" s="33"/>
      <c r="B584" s="33"/>
      <c r="C584" s="33"/>
      <c r="D584" s="33"/>
      <c r="E584" s="33"/>
      <c r="F584" s="33"/>
      <c r="G584" s="33"/>
      <c r="H584" s="33"/>
      <c r="I584" s="33"/>
      <c r="J584" s="33"/>
      <c r="K584" s="33"/>
      <c r="L584" s="33"/>
      <c r="M584" s="33"/>
      <c r="N584" s="33"/>
      <c r="O584" s="33"/>
      <c r="P584" s="33"/>
      <c r="Q584" s="33"/>
      <c r="R584" s="33"/>
    </row>
    <row r="585">
      <c r="A585" s="33"/>
      <c r="B585" s="33"/>
      <c r="C585" s="33"/>
      <c r="D585" s="33"/>
      <c r="E585" s="33"/>
      <c r="F585" s="33"/>
      <c r="G585" s="33"/>
      <c r="H585" s="33"/>
      <c r="I585" s="33"/>
      <c r="J585" s="33"/>
      <c r="K585" s="33"/>
      <c r="L585" s="33"/>
      <c r="M585" s="33"/>
      <c r="N585" s="33"/>
      <c r="O585" s="33"/>
      <c r="P585" s="33"/>
      <c r="Q585" s="33"/>
      <c r="R585" s="33"/>
    </row>
    <row r="586">
      <c r="A586" s="33"/>
      <c r="B586" s="33"/>
      <c r="C586" s="33"/>
      <c r="D586" s="33"/>
      <c r="E586" s="33"/>
      <c r="F586" s="33"/>
      <c r="G586" s="33"/>
      <c r="H586" s="33"/>
      <c r="I586" s="33"/>
      <c r="J586" s="33"/>
      <c r="K586" s="33"/>
      <c r="L586" s="33"/>
      <c r="M586" s="33"/>
      <c r="N586" s="33"/>
      <c r="O586" s="33"/>
      <c r="P586" s="33"/>
      <c r="Q586" s="33"/>
      <c r="R586" s="33"/>
    </row>
    <row r="587">
      <c r="A587" s="33"/>
      <c r="B587" s="33"/>
      <c r="C587" s="33"/>
      <c r="D587" s="33"/>
      <c r="E587" s="33"/>
      <c r="F587" s="33"/>
      <c r="G587" s="33"/>
      <c r="H587" s="33"/>
      <c r="I587" s="33"/>
      <c r="J587" s="33"/>
      <c r="K587" s="33"/>
      <c r="L587" s="33"/>
      <c r="M587" s="33"/>
      <c r="N587" s="33"/>
      <c r="O587" s="33"/>
      <c r="P587" s="33"/>
      <c r="Q587" s="33"/>
      <c r="R587" s="33"/>
    </row>
    <row r="588">
      <c r="A588" s="33"/>
      <c r="B588" s="33"/>
      <c r="C588" s="33"/>
      <c r="D588" s="33"/>
      <c r="E588" s="33"/>
      <c r="F588" s="33"/>
      <c r="G588" s="33"/>
      <c r="H588" s="33"/>
      <c r="I588" s="33"/>
      <c r="J588" s="33"/>
      <c r="K588" s="33"/>
      <c r="L588" s="33"/>
      <c r="M588" s="33"/>
      <c r="N588" s="33"/>
      <c r="O588" s="33"/>
      <c r="P588" s="33"/>
      <c r="Q588" s="33"/>
      <c r="R588" s="33"/>
    </row>
    <row r="589">
      <c r="A589" s="33"/>
      <c r="B589" s="33"/>
      <c r="C589" s="33"/>
      <c r="D589" s="33"/>
      <c r="E589" s="33"/>
      <c r="F589" s="33"/>
      <c r="G589" s="33"/>
      <c r="H589" s="33"/>
      <c r="I589" s="33"/>
      <c r="J589" s="33"/>
      <c r="K589" s="33"/>
      <c r="L589" s="33"/>
      <c r="M589" s="33"/>
      <c r="N589" s="33"/>
      <c r="O589" s="33"/>
      <c r="P589" s="33"/>
      <c r="Q589" s="33"/>
      <c r="R589" s="33"/>
    </row>
    <row r="590">
      <c r="A590" s="33"/>
      <c r="B590" s="33"/>
      <c r="C590" s="33"/>
      <c r="D590" s="33"/>
      <c r="E590" s="33"/>
      <c r="F590" s="33"/>
      <c r="G590" s="33"/>
      <c r="H590" s="33"/>
      <c r="I590" s="33"/>
      <c r="J590" s="33"/>
      <c r="K590" s="33"/>
      <c r="L590" s="33"/>
      <c r="M590" s="33"/>
      <c r="N590" s="33"/>
      <c r="O590" s="33"/>
      <c r="P590" s="33"/>
      <c r="Q590" s="33"/>
      <c r="R590" s="33"/>
    </row>
    <row r="591">
      <c r="A591" s="33"/>
      <c r="B591" s="33"/>
      <c r="C591" s="33"/>
      <c r="D591" s="33"/>
      <c r="E591" s="33"/>
      <c r="F591" s="33"/>
      <c r="G591" s="33"/>
      <c r="H591" s="33"/>
      <c r="I591" s="33"/>
      <c r="J591" s="33"/>
      <c r="K591" s="33"/>
      <c r="L591" s="33"/>
      <c r="M591" s="33"/>
      <c r="N591" s="33"/>
      <c r="O591" s="33"/>
      <c r="P591" s="33"/>
      <c r="Q591" s="33"/>
      <c r="R591" s="33"/>
    </row>
    <row r="592">
      <c r="A592" s="33"/>
      <c r="B592" s="33"/>
      <c r="C592" s="33"/>
      <c r="D592" s="33"/>
      <c r="E592" s="33"/>
      <c r="F592" s="33"/>
      <c r="G592" s="33"/>
      <c r="H592" s="33"/>
      <c r="I592" s="33"/>
      <c r="J592" s="33"/>
      <c r="K592" s="33"/>
      <c r="L592" s="33"/>
      <c r="M592" s="33"/>
      <c r="N592" s="33"/>
      <c r="O592" s="33"/>
      <c r="P592" s="33"/>
      <c r="Q592" s="33"/>
      <c r="R592" s="33"/>
    </row>
    <row r="593">
      <c r="A593" s="33"/>
      <c r="B593" s="33"/>
      <c r="C593" s="33"/>
      <c r="D593" s="33"/>
      <c r="E593" s="33"/>
      <c r="F593" s="33"/>
      <c r="G593" s="33"/>
      <c r="H593" s="33"/>
      <c r="I593" s="33"/>
      <c r="J593" s="33"/>
      <c r="K593" s="33"/>
      <c r="L593" s="33"/>
      <c r="M593" s="33"/>
      <c r="N593" s="33"/>
      <c r="O593" s="33"/>
      <c r="P593" s="33"/>
      <c r="Q593" s="33"/>
      <c r="R593" s="33"/>
    </row>
    <row r="594">
      <c r="A594" s="33"/>
      <c r="B594" s="33"/>
      <c r="C594" s="33"/>
      <c r="D594" s="33"/>
      <c r="E594" s="33"/>
      <c r="F594" s="33"/>
      <c r="G594" s="33"/>
      <c r="H594" s="33"/>
      <c r="I594" s="33"/>
      <c r="J594" s="33"/>
      <c r="K594" s="33"/>
      <c r="L594" s="33"/>
      <c r="M594" s="33"/>
      <c r="N594" s="33"/>
      <c r="O594" s="33"/>
      <c r="P594" s="33"/>
      <c r="Q594" s="33"/>
      <c r="R594" s="33"/>
    </row>
    <row r="595">
      <c r="A595" s="33"/>
      <c r="B595" s="33"/>
      <c r="C595" s="33"/>
      <c r="D595" s="33"/>
      <c r="E595" s="33"/>
      <c r="F595" s="33"/>
      <c r="G595" s="33"/>
      <c r="H595" s="33"/>
      <c r="I595" s="33"/>
      <c r="J595" s="33"/>
      <c r="K595" s="33"/>
      <c r="L595" s="33"/>
      <c r="M595" s="33"/>
      <c r="N595" s="33"/>
      <c r="O595" s="33"/>
      <c r="P595" s="33"/>
      <c r="Q595" s="33"/>
      <c r="R595" s="33"/>
    </row>
    <row r="596">
      <c r="A596" s="33"/>
      <c r="B596" s="33"/>
      <c r="C596" s="33"/>
      <c r="D596" s="33"/>
      <c r="E596" s="33"/>
      <c r="F596" s="33"/>
      <c r="G596" s="33"/>
      <c r="H596" s="33"/>
      <c r="I596" s="33"/>
      <c r="J596" s="33"/>
      <c r="K596" s="33"/>
      <c r="L596" s="33"/>
      <c r="M596" s="33"/>
      <c r="N596" s="33"/>
      <c r="O596" s="33"/>
      <c r="P596" s="33"/>
      <c r="Q596" s="33"/>
      <c r="R596" s="33"/>
    </row>
    <row r="597">
      <c r="A597" s="33"/>
      <c r="B597" s="33"/>
      <c r="C597" s="33"/>
      <c r="D597" s="33"/>
      <c r="E597" s="33"/>
      <c r="F597" s="33"/>
      <c r="G597" s="33"/>
      <c r="H597" s="33"/>
      <c r="I597" s="33"/>
      <c r="J597" s="33"/>
      <c r="K597" s="33"/>
      <c r="L597" s="33"/>
      <c r="M597" s="33"/>
      <c r="N597" s="33"/>
      <c r="O597" s="33"/>
      <c r="P597" s="33"/>
      <c r="Q597" s="33"/>
      <c r="R597" s="33"/>
    </row>
    <row r="598">
      <c r="A598" s="33"/>
      <c r="B598" s="33"/>
      <c r="C598" s="33"/>
      <c r="D598" s="33"/>
      <c r="E598" s="33"/>
      <c r="F598" s="33"/>
      <c r="G598" s="33"/>
      <c r="H598" s="33"/>
      <c r="I598" s="33"/>
      <c r="J598" s="33"/>
      <c r="K598" s="33"/>
      <c r="L598" s="33"/>
      <c r="M598" s="33"/>
      <c r="N598" s="33"/>
      <c r="O598" s="33"/>
      <c r="P598" s="33"/>
      <c r="Q598" s="33"/>
      <c r="R598" s="33"/>
    </row>
    <row r="599">
      <c r="A599" s="33"/>
      <c r="B599" s="33"/>
      <c r="C599" s="33"/>
      <c r="D599" s="33"/>
      <c r="E599" s="33"/>
      <c r="F599" s="33"/>
      <c r="G599" s="33"/>
      <c r="H599" s="33"/>
      <c r="I599" s="33"/>
      <c r="J599" s="33"/>
      <c r="K599" s="33"/>
      <c r="L599" s="33"/>
      <c r="M599" s="33"/>
      <c r="N599" s="33"/>
      <c r="O599" s="33"/>
      <c r="P599" s="33"/>
      <c r="Q599" s="33"/>
      <c r="R599" s="33"/>
    </row>
    <row r="600">
      <c r="A600" s="33"/>
      <c r="B600" s="33"/>
      <c r="C600" s="33"/>
      <c r="D600" s="33"/>
      <c r="E600" s="33"/>
      <c r="F600" s="33"/>
      <c r="G600" s="33"/>
      <c r="H600" s="33"/>
      <c r="I600" s="33"/>
      <c r="J600" s="33"/>
      <c r="K600" s="33"/>
      <c r="L600" s="33"/>
      <c r="M600" s="33"/>
      <c r="N600" s="33"/>
      <c r="O600" s="33"/>
      <c r="P600" s="33"/>
      <c r="Q600" s="33"/>
      <c r="R600" s="33"/>
    </row>
    <row r="601">
      <c r="A601" s="33"/>
      <c r="B601" s="33"/>
      <c r="C601" s="33"/>
      <c r="D601" s="33"/>
      <c r="E601" s="33"/>
      <c r="F601" s="33"/>
      <c r="G601" s="33"/>
      <c r="H601" s="33"/>
      <c r="I601" s="33"/>
      <c r="J601" s="33"/>
      <c r="K601" s="33"/>
      <c r="L601" s="33"/>
      <c r="M601" s="33"/>
      <c r="N601" s="33"/>
      <c r="O601" s="33"/>
      <c r="P601" s="33"/>
      <c r="Q601" s="33"/>
      <c r="R601" s="33"/>
    </row>
    <row r="602">
      <c r="A602" s="33"/>
      <c r="B602" s="33"/>
      <c r="C602" s="33"/>
      <c r="D602" s="33"/>
      <c r="E602" s="33"/>
      <c r="F602" s="33"/>
      <c r="G602" s="33"/>
      <c r="H602" s="33"/>
      <c r="I602" s="33"/>
      <c r="J602" s="33"/>
      <c r="K602" s="33"/>
      <c r="L602" s="33"/>
      <c r="M602" s="33"/>
      <c r="N602" s="33"/>
      <c r="O602" s="33"/>
      <c r="P602" s="33"/>
      <c r="Q602" s="33"/>
      <c r="R602" s="33"/>
    </row>
    <row r="603">
      <c r="A603" s="33"/>
      <c r="B603" s="33"/>
      <c r="C603" s="33"/>
      <c r="D603" s="33"/>
      <c r="E603" s="33"/>
      <c r="F603" s="33"/>
      <c r="G603" s="33"/>
      <c r="H603" s="33"/>
      <c r="I603" s="33"/>
      <c r="J603" s="33"/>
      <c r="K603" s="33"/>
      <c r="L603" s="33"/>
      <c r="M603" s="33"/>
      <c r="N603" s="33"/>
      <c r="O603" s="33"/>
      <c r="P603" s="33"/>
      <c r="Q603" s="33"/>
      <c r="R603" s="33"/>
    </row>
    <row r="604">
      <c r="A604" s="33"/>
      <c r="B604" s="33"/>
      <c r="C604" s="33"/>
      <c r="D604" s="33"/>
      <c r="E604" s="33"/>
      <c r="F604" s="33"/>
      <c r="G604" s="33"/>
      <c r="H604" s="33"/>
      <c r="I604" s="33"/>
      <c r="J604" s="33"/>
      <c r="K604" s="33"/>
      <c r="L604" s="33"/>
      <c r="M604" s="33"/>
      <c r="N604" s="33"/>
      <c r="O604" s="33"/>
      <c r="P604" s="33"/>
      <c r="Q604" s="33"/>
      <c r="R604" s="33"/>
    </row>
    <row r="605">
      <c r="A605" s="33"/>
      <c r="B605" s="33"/>
      <c r="C605" s="33"/>
      <c r="D605" s="33"/>
      <c r="E605" s="33"/>
      <c r="F605" s="33"/>
      <c r="G605" s="33"/>
      <c r="H605" s="33"/>
      <c r="I605" s="33"/>
      <c r="J605" s="33"/>
      <c r="K605" s="33"/>
      <c r="L605" s="33"/>
      <c r="M605" s="33"/>
      <c r="N605" s="33"/>
      <c r="O605" s="33"/>
      <c r="P605" s="33"/>
      <c r="Q605" s="33"/>
      <c r="R605" s="33"/>
    </row>
    <row r="606">
      <c r="A606" s="33"/>
      <c r="B606" s="33"/>
      <c r="C606" s="33"/>
      <c r="D606" s="33"/>
      <c r="E606" s="33"/>
      <c r="F606" s="33"/>
      <c r="G606" s="33"/>
      <c r="H606" s="33"/>
      <c r="I606" s="33"/>
      <c r="J606" s="33"/>
      <c r="K606" s="33"/>
      <c r="L606" s="33"/>
      <c r="M606" s="33"/>
      <c r="N606" s="33"/>
      <c r="O606" s="33"/>
      <c r="P606" s="33"/>
      <c r="Q606" s="33"/>
      <c r="R606" s="33"/>
    </row>
    <row r="607">
      <c r="A607" s="33"/>
      <c r="B607" s="33"/>
      <c r="C607" s="33"/>
      <c r="D607" s="33"/>
      <c r="E607" s="33"/>
      <c r="F607" s="33"/>
      <c r="G607" s="33"/>
      <c r="H607" s="33"/>
      <c r="I607" s="33"/>
      <c r="J607" s="33"/>
      <c r="K607" s="33"/>
      <c r="L607" s="33"/>
      <c r="M607" s="33"/>
      <c r="N607" s="33"/>
      <c r="O607" s="33"/>
      <c r="P607" s="33"/>
      <c r="Q607" s="33"/>
      <c r="R607" s="33"/>
    </row>
    <row r="608">
      <c r="A608" s="33"/>
      <c r="B608" s="33"/>
      <c r="C608" s="33"/>
      <c r="D608" s="33"/>
      <c r="E608" s="33"/>
      <c r="F608" s="33"/>
      <c r="G608" s="33"/>
      <c r="H608" s="33"/>
      <c r="I608" s="33"/>
      <c r="J608" s="33"/>
      <c r="K608" s="33"/>
      <c r="L608" s="33"/>
      <c r="M608" s="33"/>
      <c r="N608" s="33"/>
      <c r="O608" s="33"/>
      <c r="P608" s="33"/>
      <c r="Q608" s="33"/>
      <c r="R608" s="33"/>
    </row>
    <row r="609">
      <c r="A609" s="33"/>
      <c r="B609" s="33"/>
      <c r="C609" s="33"/>
      <c r="D609" s="33"/>
      <c r="E609" s="33"/>
      <c r="F609" s="33"/>
      <c r="G609" s="33"/>
      <c r="H609" s="33"/>
      <c r="I609" s="33"/>
      <c r="J609" s="33"/>
      <c r="K609" s="33"/>
      <c r="L609" s="33"/>
      <c r="M609" s="33"/>
      <c r="N609" s="33"/>
      <c r="O609" s="33"/>
      <c r="P609" s="33"/>
      <c r="Q609" s="33"/>
      <c r="R609" s="33"/>
    </row>
    <row r="610">
      <c r="A610" s="33"/>
      <c r="B610" s="33"/>
      <c r="C610" s="33"/>
      <c r="D610" s="33"/>
      <c r="E610" s="33"/>
      <c r="F610" s="33"/>
      <c r="G610" s="33"/>
      <c r="H610" s="33"/>
      <c r="I610" s="33"/>
      <c r="J610" s="33"/>
      <c r="K610" s="33"/>
      <c r="L610" s="33"/>
      <c r="M610" s="33"/>
      <c r="N610" s="33"/>
      <c r="O610" s="33"/>
      <c r="P610" s="33"/>
      <c r="Q610" s="33"/>
      <c r="R610" s="33"/>
    </row>
    <row r="611">
      <c r="A611" s="33"/>
      <c r="B611" s="33"/>
      <c r="C611" s="33"/>
      <c r="D611" s="33"/>
      <c r="E611" s="33"/>
      <c r="F611" s="33"/>
      <c r="G611" s="33"/>
      <c r="H611" s="33"/>
      <c r="I611" s="33"/>
      <c r="J611" s="33"/>
      <c r="K611" s="33"/>
      <c r="L611" s="33"/>
      <c r="M611" s="33"/>
      <c r="N611" s="33"/>
      <c r="O611" s="33"/>
      <c r="P611" s="33"/>
      <c r="Q611" s="33"/>
      <c r="R611" s="33"/>
    </row>
    <row r="612">
      <c r="A612" s="33"/>
      <c r="B612" s="33"/>
      <c r="C612" s="33"/>
      <c r="D612" s="33"/>
      <c r="E612" s="33"/>
      <c r="F612" s="33"/>
      <c r="G612" s="33"/>
      <c r="H612" s="33"/>
      <c r="I612" s="33"/>
      <c r="J612" s="33"/>
      <c r="K612" s="33"/>
      <c r="L612" s="33"/>
      <c r="M612" s="33"/>
      <c r="N612" s="33"/>
      <c r="O612" s="33"/>
      <c r="P612" s="33"/>
      <c r="Q612" s="33"/>
      <c r="R612" s="33"/>
    </row>
    <row r="613">
      <c r="A613" s="33"/>
      <c r="B613" s="33"/>
      <c r="C613" s="33"/>
      <c r="D613" s="33"/>
      <c r="E613" s="33"/>
      <c r="F613" s="33"/>
      <c r="G613" s="33"/>
      <c r="H613" s="33"/>
      <c r="I613" s="33"/>
      <c r="J613" s="33"/>
      <c r="K613" s="33"/>
      <c r="L613" s="33"/>
      <c r="M613" s="33"/>
      <c r="N613" s="33"/>
      <c r="O613" s="33"/>
      <c r="P613" s="33"/>
      <c r="Q613" s="33"/>
      <c r="R613" s="33"/>
    </row>
    <row r="614">
      <c r="A614" s="33"/>
      <c r="B614" s="33"/>
      <c r="C614" s="33"/>
      <c r="D614" s="33"/>
      <c r="E614" s="33"/>
      <c r="F614" s="33"/>
      <c r="G614" s="33"/>
      <c r="H614" s="33"/>
      <c r="I614" s="33"/>
      <c r="J614" s="33"/>
      <c r="K614" s="33"/>
      <c r="L614" s="33"/>
      <c r="M614" s="33"/>
      <c r="N614" s="33"/>
      <c r="O614" s="33"/>
      <c r="P614" s="33"/>
      <c r="Q614" s="33"/>
      <c r="R614" s="33"/>
    </row>
    <row r="615">
      <c r="A615" s="33"/>
      <c r="B615" s="33"/>
      <c r="C615" s="33"/>
      <c r="D615" s="33"/>
      <c r="E615" s="33"/>
      <c r="F615" s="33"/>
      <c r="G615" s="33"/>
      <c r="H615" s="33"/>
      <c r="I615" s="33"/>
      <c r="J615" s="33"/>
      <c r="K615" s="33"/>
      <c r="L615" s="33"/>
      <c r="M615" s="33"/>
      <c r="N615" s="33"/>
      <c r="O615" s="33"/>
      <c r="P615" s="33"/>
      <c r="Q615" s="33"/>
      <c r="R615" s="33"/>
    </row>
    <row r="616">
      <c r="A616" s="33"/>
      <c r="B616" s="33"/>
      <c r="C616" s="33"/>
      <c r="D616" s="33"/>
      <c r="E616" s="33"/>
      <c r="F616" s="33"/>
      <c r="G616" s="33"/>
      <c r="H616" s="33"/>
      <c r="I616" s="33"/>
      <c r="J616" s="33"/>
      <c r="K616" s="33"/>
      <c r="L616" s="33"/>
      <c r="M616" s="33"/>
      <c r="N616" s="33"/>
      <c r="O616" s="33"/>
      <c r="P616" s="33"/>
      <c r="Q616" s="33"/>
      <c r="R616" s="33"/>
    </row>
    <row r="617">
      <c r="A617" s="33"/>
      <c r="B617" s="33"/>
      <c r="C617" s="33"/>
      <c r="D617" s="33"/>
      <c r="E617" s="33"/>
      <c r="F617" s="33"/>
      <c r="G617" s="33"/>
      <c r="H617" s="33"/>
      <c r="I617" s="33"/>
      <c r="J617" s="33"/>
      <c r="K617" s="33"/>
      <c r="L617" s="33"/>
      <c r="M617" s="33"/>
      <c r="N617" s="33"/>
      <c r="O617" s="33"/>
      <c r="P617" s="33"/>
      <c r="Q617" s="33"/>
      <c r="R617" s="33"/>
    </row>
    <row r="618">
      <c r="A618" s="33"/>
      <c r="B618" s="33"/>
      <c r="C618" s="33"/>
      <c r="D618" s="33"/>
      <c r="E618" s="33"/>
      <c r="F618" s="33"/>
      <c r="G618" s="33"/>
      <c r="H618" s="33"/>
      <c r="I618" s="33"/>
      <c r="J618" s="33"/>
      <c r="K618" s="33"/>
      <c r="L618" s="33"/>
      <c r="M618" s="33"/>
      <c r="N618" s="33"/>
      <c r="O618" s="33"/>
      <c r="P618" s="33"/>
      <c r="Q618" s="33"/>
      <c r="R618" s="33"/>
    </row>
    <row r="619">
      <c r="A619" s="33"/>
      <c r="B619" s="33"/>
      <c r="C619" s="33"/>
      <c r="D619" s="33"/>
      <c r="E619" s="33"/>
      <c r="F619" s="33"/>
      <c r="G619" s="33"/>
      <c r="H619" s="33"/>
      <c r="I619" s="33"/>
      <c r="J619" s="33"/>
      <c r="K619" s="33"/>
      <c r="L619" s="33"/>
      <c r="M619" s="33"/>
      <c r="N619" s="33"/>
      <c r="O619" s="33"/>
      <c r="P619" s="33"/>
      <c r="Q619" s="33"/>
      <c r="R619" s="33"/>
    </row>
    <row r="620">
      <c r="A620" s="33"/>
      <c r="B620" s="33"/>
      <c r="C620" s="33"/>
      <c r="D620" s="33"/>
      <c r="E620" s="33"/>
      <c r="F620" s="33"/>
      <c r="G620" s="33"/>
      <c r="H620" s="33"/>
      <c r="I620" s="33"/>
      <c r="J620" s="33"/>
      <c r="K620" s="33"/>
      <c r="L620" s="33"/>
      <c r="M620" s="33"/>
      <c r="N620" s="33"/>
      <c r="O620" s="33"/>
      <c r="P620" s="33"/>
      <c r="Q620" s="33"/>
      <c r="R620" s="33"/>
    </row>
    <row r="621">
      <c r="A621" s="33"/>
      <c r="B621" s="33"/>
      <c r="C621" s="33"/>
      <c r="D621" s="33"/>
      <c r="E621" s="33"/>
      <c r="F621" s="33"/>
      <c r="G621" s="33"/>
      <c r="H621" s="33"/>
      <c r="I621" s="33"/>
      <c r="J621" s="33"/>
      <c r="K621" s="33"/>
      <c r="L621" s="33"/>
      <c r="M621" s="33"/>
      <c r="N621" s="33"/>
      <c r="O621" s="33"/>
      <c r="P621" s="33"/>
      <c r="Q621" s="33"/>
      <c r="R621" s="33"/>
    </row>
    <row r="622">
      <c r="A622" s="33"/>
      <c r="B622" s="33"/>
      <c r="C622" s="33"/>
      <c r="D622" s="33"/>
      <c r="E622" s="33"/>
      <c r="F622" s="33"/>
      <c r="G622" s="33"/>
      <c r="H622" s="33"/>
      <c r="I622" s="33"/>
      <c r="J622" s="33"/>
      <c r="K622" s="33"/>
      <c r="L622" s="33"/>
      <c r="M622" s="33"/>
      <c r="N622" s="33"/>
      <c r="O622" s="33"/>
      <c r="P622" s="33"/>
      <c r="Q622" s="33"/>
      <c r="R622" s="33"/>
    </row>
    <row r="623">
      <c r="A623" s="33"/>
      <c r="B623" s="33"/>
      <c r="C623" s="33"/>
      <c r="D623" s="33"/>
      <c r="E623" s="33"/>
      <c r="F623" s="33"/>
      <c r="G623" s="33"/>
      <c r="H623" s="33"/>
      <c r="I623" s="33"/>
      <c r="J623" s="33"/>
      <c r="K623" s="33"/>
      <c r="L623" s="33"/>
      <c r="M623" s="33"/>
      <c r="N623" s="33"/>
      <c r="O623" s="33"/>
      <c r="P623" s="33"/>
      <c r="Q623" s="33"/>
      <c r="R623" s="33"/>
    </row>
    <row r="624">
      <c r="A624" s="33"/>
      <c r="B624" s="33"/>
      <c r="C624" s="33"/>
      <c r="D624" s="33"/>
      <c r="E624" s="33"/>
      <c r="F624" s="33"/>
      <c r="G624" s="33"/>
      <c r="H624" s="33"/>
      <c r="I624" s="33"/>
      <c r="J624" s="33"/>
      <c r="K624" s="33"/>
      <c r="L624" s="33"/>
      <c r="M624" s="33"/>
      <c r="N624" s="33"/>
      <c r="O624" s="33"/>
      <c r="P624" s="33"/>
      <c r="Q624" s="33"/>
      <c r="R624" s="33"/>
    </row>
    <row r="625">
      <c r="A625" s="33"/>
      <c r="B625" s="33"/>
      <c r="C625" s="33"/>
      <c r="D625" s="33"/>
      <c r="E625" s="33"/>
      <c r="F625" s="33"/>
      <c r="G625" s="33"/>
      <c r="H625" s="33"/>
      <c r="I625" s="33"/>
      <c r="J625" s="33"/>
      <c r="K625" s="33"/>
      <c r="L625" s="33"/>
      <c r="M625" s="33"/>
      <c r="N625" s="33"/>
      <c r="O625" s="33"/>
      <c r="P625" s="33"/>
      <c r="Q625" s="33"/>
      <c r="R625" s="33"/>
    </row>
    <row r="626">
      <c r="A626" s="33"/>
      <c r="B626" s="33"/>
      <c r="C626" s="33"/>
      <c r="D626" s="33"/>
      <c r="E626" s="33"/>
      <c r="F626" s="33"/>
      <c r="G626" s="33"/>
      <c r="H626" s="33"/>
      <c r="I626" s="33"/>
      <c r="J626" s="33"/>
      <c r="K626" s="33"/>
      <c r="L626" s="33"/>
      <c r="M626" s="33"/>
      <c r="N626" s="33"/>
      <c r="O626" s="33"/>
      <c r="P626" s="33"/>
      <c r="Q626" s="33"/>
      <c r="R626" s="33"/>
    </row>
    <row r="627">
      <c r="A627" s="33"/>
      <c r="B627" s="33"/>
      <c r="C627" s="33"/>
      <c r="D627" s="33"/>
      <c r="E627" s="33"/>
      <c r="F627" s="33"/>
      <c r="G627" s="33"/>
      <c r="H627" s="33"/>
      <c r="I627" s="33"/>
      <c r="J627" s="33"/>
      <c r="K627" s="33"/>
      <c r="L627" s="33"/>
      <c r="M627" s="33"/>
      <c r="N627" s="33"/>
      <c r="O627" s="33"/>
      <c r="P627" s="33"/>
      <c r="Q627" s="33"/>
      <c r="R627" s="33"/>
    </row>
    <row r="628">
      <c r="A628" s="33"/>
      <c r="B628" s="33"/>
      <c r="C628" s="33"/>
      <c r="D628" s="33"/>
      <c r="E628" s="33"/>
      <c r="F628" s="33"/>
      <c r="G628" s="33"/>
      <c r="H628" s="33"/>
      <c r="I628" s="33"/>
      <c r="J628" s="33"/>
      <c r="K628" s="33"/>
      <c r="L628" s="33"/>
      <c r="M628" s="33"/>
      <c r="N628" s="33"/>
      <c r="O628" s="33"/>
      <c r="P628" s="33"/>
      <c r="Q628" s="33"/>
      <c r="R628" s="33"/>
    </row>
    <row r="629">
      <c r="A629" s="33"/>
      <c r="B629" s="33"/>
      <c r="C629" s="33"/>
      <c r="D629" s="33"/>
      <c r="E629" s="33"/>
      <c r="F629" s="33"/>
      <c r="G629" s="33"/>
      <c r="H629" s="33"/>
      <c r="I629" s="33"/>
      <c r="J629" s="33"/>
      <c r="K629" s="33"/>
      <c r="L629" s="33"/>
      <c r="M629" s="33"/>
      <c r="N629" s="33"/>
      <c r="O629" s="33"/>
      <c r="P629" s="33"/>
      <c r="Q629" s="33"/>
      <c r="R629" s="33"/>
    </row>
    <row r="630">
      <c r="A630" s="33"/>
      <c r="B630" s="33"/>
      <c r="C630" s="33"/>
      <c r="D630" s="33"/>
      <c r="E630" s="33"/>
      <c r="F630" s="33"/>
      <c r="G630" s="33"/>
      <c r="H630" s="33"/>
      <c r="I630" s="33"/>
      <c r="J630" s="33"/>
      <c r="K630" s="33"/>
      <c r="L630" s="33"/>
      <c r="M630" s="33"/>
      <c r="N630" s="33"/>
      <c r="O630" s="33"/>
      <c r="P630" s="33"/>
      <c r="Q630" s="33"/>
      <c r="R630" s="33"/>
    </row>
    <row r="631">
      <c r="A631" s="33"/>
      <c r="B631" s="33"/>
      <c r="C631" s="33"/>
      <c r="D631" s="33"/>
      <c r="E631" s="33"/>
      <c r="F631" s="33"/>
      <c r="G631" s="33"/>
      <c r="H631" s="33"/>
      <c r="I631" s="33"/>
      <c r="J631" s="33"/>
      <c r="K631" s="33"/>
      <c r="L631" s="33"/>
      <c r="M631" s="33"/>
      <c r="N631" s="33"/>
      <c r="O631" s="33"/>
      <c r="P631" s="33"/>
      <c r="Q631" s="33"/>
      <c r="R631" s="33"/>
    </row>
    <row r="632">
      <c r="A632" s="33"/>
      <c r="B632" s="33"/>
      <c r="C632" s="33"/>
      <c r="D632" s="33"/>
      <c r="E632" s="33"/>
      <c r="F632" s="33"/>
      <c r="G632" s="33"/>
      <c r="H632" s="33"/>
      <c r="I632" s="33"/>
      <c r="J632" s="33"/>
      <c r="K632" s="33"/>
      <c r="L632" s="33"/>
      <c r="M632" s="33"/>
      <c r="N632" s="33"/>
      <c r="O632" s="33"/>
      <c r="P632" s="33"/>
      <c r="Q632" s="33"/>
      <c r="R632" s="33"/>
    </row>
    <row r="633">
      <c r="A633" s="33"/>
      <c r="B633" s="33"/>
      <c r="C633" s="33"/>
      <c r="D633" s="33"/>
      <c r="E633" s="33"/>
      <c r="F633" s="33"/>
      <c r="G633" s="33"/>
      <c r="H633" s="33"/>
      <c r="I633" s="33"/>
      <c r="J633" s="33"/>
      <c r="K633" s="33"/>
      <c r="L633" s="33"/>
      <c r="M633" s="33"/>
      <c r="N633" s="33"/>
      <c r="O633" s="33"/>
      <c r="P633" s="33"/>
      <c r="Q633" s="33"/>
      <c r="R633" s="33"/>
    </row>
    <row r="634">
      <c r="A634" s="33"/>
      <c r="B634" s="33"/>
      <c r="C634" s="33"/>
      <c r="D634" s="33"/>
      <c r="E634" s="33"/>
      <c r="F634" s="33"/>
      <c r="G634" s="33"/>
      <c r="H634" s="33"/>
      <c r="I634" s="33"/>
      <c r="J634" s="33"/>
      <c r="K634" s="33"/>
      <c r="L634" s="33"/>
      <c r="M634" s="33"/>
      <c r="N634" s="33"/>
      <c r="O634" s="33"/>
      <c r="P634" s="33"/>
      <c r="Q634" s="33"/>
      <c r="R634" s="33"/>
    </row>
    <row r="635">
      <c r="A635" s="33"/>
      <c r="B635" s="33"/>
      <c r="C635" s="33"/>
      <c r="D635" s="33"/>
      <c r="E635" s="33"/>
      <c r="F635" s="33"/>
      <c r="G635" s="33"/>
      <c r="H635" s="33"/>
      <c r="I635" s="33"/>
      <c r="J635" s="33"/>
      <c r="K635" s="33"/>
      <c r="L635" s="33"/>
      <c r="M635" s="33"/>
      <c r="N635" s="33"/>
      <c r="O635" s="33"/>
      <c r="P635" s="33"/>
      <c r="Q635" s="33"/>
      <c r="R635" s="33"/>
    </row>
    <row r="636">
      <c r="A636" s="33"/>
      <c r="B636" s="33"/>
      <c r="C636" s="33"/>
      <c r="D636" s="33"/>
      <c r="E636" s="33"/>
      <c r="F636" s="33"/>
      <c r="G636" s="33"/>
      <c r="H636" s="33"/>
      <c r="I636" s="33"/>
      <c r="J636" s="33"/>
      <c r="K636" s="33"/>
      <c r="L636" s="33"/>
      <c r="M636" s="33"/>
      <c r="N636" s="33"/>
      <c r="O636" s="33"/>
      <c r="P636" s="33"/>
      <c r="Q636" s="33"/>
      <c r="R636" s="33"/>
    </row>
    <row r="637">
      <c r="A637" s="33"/>
      <c r="B637" s="33"/>
      <c r="C637" s="33"/>
      <c r="D637" s="33"/>
      <c r="E637" s="33"/>
      <c r="F637" s="33"/>
      <c r="G637" s="33"/>
      <c r="H637" s="33"/>
      <c r="I637" s="33"/>
      <c r="J637" s="33"/>
      <c r="K637" s="33"/>
      <c r="L637" s="33"/>
      <c r="M637" s="33"/>
      <c r="N637" s="33"/>
      <c r="O637" s="33"/>
      <c r="P637" s="33"/>
      <c r="Q637" s="33"/>
      <c r="R637" s="33"/>
    </row>
    <row r="638">
      <c r="A638" s="33"/>
      <c r="B638" s="33"/>
      <c r="C638" s="33"/>
      <c r="D638" s="33"/>
      <c r="E638" s="33"/>
      <c r="F638" s="33"/>
      <c r="G638" s="33"/>
      <c r="H638" s="33"/>
      <c r="I638" s="33"/>
      <c r="J638" s="33"/>
      <c r="K638" s="33"/>
      <c r="L638" s="33"/>
      <c r="M638" s="33"/>
      <c r="N638" s="33"/>
      <c r="O638" s="33"/>
      <c r="P638" s="33"/>
      <c r="Q638" s="33"/>
      <c r="R638" s="33"/>
    </row>
    <row r="639">
      <c r="A639" s="33"/>
      <c r="B639" s="33"/>
      <c r="C639" s="33"/>
      <c r="D639" s="33"/>
      <c r="E639" s="33"/>
      <c r="F639" s="33"/>
      <c r="G639" s="33"/>
      <c r="H639" s="33"/>
      <c r="I639" s="33"/>
      <c r="J639" s="33"/>
      <c r="K639" s="33"/>
      <c r="L639" s="33"/>
      <c r="M639" s="33"/>
      <c r="N639" s="33"/>
      <c r="O639" s="33"/>
      <c r="P639" s="33"/>
      <c r="Q639" s="33"/>
      <c r="R639" s="33"/>
    </row>
    <row r="640">
      <c r="A640" s="33"/>
      <c r="B640" s="33"/>
      <c r="C640" s="33"/>
      <c r="D640" s="33"/>
      <c r="E640" s="33"/>
      <c r="F640" s="33"/>
      <c r="G640" s="33"/>
      <c r="H640" s="33"/>
      <c r="I640" s="33"/>
      <c r="J640" s="33"/>
      <c r="K640" s="33"/>
      <c r="L640" s="33"/>
      <c r="M640" s="33"/>
      <c r="N640" s="33"/>
      <c r="O640" s="33"/>
      <c r="P640" s="33"/>
      <c r="Q640" s="33"/>
      <c r="R640" s="33"/>
    </row>
    <row r="641">
      <c r="A641" s="33"/>
      <c r="B641" s="33"/>
      <c r="C641" s="33"/>
      <c r="D641" s="33"/>
      <c r="E641" s="33"/>
      <c r="F641" s="33"/>
      <c r="G641" s="33"/>
      <c r="H641" s="33"/>
      <c r="I641" s="33"/>
      <c r="J641" s="33"/>
      <c r="K641" s="33"/>
      <c r="L641" s="33"/>
      <c r="M641" s="33"/>
      <c r="N641" s="33"/>
      <c r="O641" s="33"/>
      <c r="P641" s="33"/>
      <c r="Q641" s="33"/>
      <c r="R641" s="33"/>
    </row>
    <row r="642">
      <c r="A642" s="33"/>
      <c r="B642" s="33"/>
      <c r="C642" s="33"/>
      <c r="D642" s="33"/>
      <c r="E642" s="33"/>
      <c r="F642" s="33"/>
      <c r="G642" s="33"/>
      <c r="H642" s="33"/>
      <c r="I642" s="33"/>
      <c r="J642" s="33"/>
      <c r="K642" s="33"/>
      <c r="L642" s="33"/>
      <c r="M642" s="33"/>
      <c r="N642" s="33"/>
      <c r="O642" s="33"/>
      <c r="P642" s="33"/>
      <c r="Q642" s="33"/>
      <c r="R642" s="33"/>
    </row>
    <row r="643">
      <c r="A643" s="33"/>
      <c r="B643" s="33"/>
      <c r="C643" s="33"/>
      <c r="D643" s="33"/>
      <c r="E643" s="33"/>
      <c r="F643" s="33"/>
      <c r="G643" s="33"/>
      <c r="H643" s="33"/>
      <c r="I643" s="33"/>
      <c r="J643" s="33"/>
      <c r="K643" s="33"/>
      <c r="L643" s="33"/>
      <c r="M643" s="33"/>
      <c r="N643" s="33"/>
      <c r="O643" s="33"/>
      <c r="P643" s="33"/>
      <c r="Q643" s="33"/>
      <c r="R643" s="33"/>
    </row>
    <row r="644">
      <c r="A644" s="33"/>
      <c r="B644" s="33"/>
      <c r="C644" s="33"/>
      <c r="D644" s="33"/>
      <c r="E644" s="33"/>
      <c r="F644" s="33"/>
      <c r="G644" s="33"/>
      <c r="H644" s="33"/>
      <c r="I644" s="33"/>
      <c r="J644" s="33"/>
      <c r="K644" s="33"/>
      <c r="L644" s="33"/>
      <c r="M644" s="33"/>
      <c r="N644" s="33"/>
      <c r="O644" s="33"/>
      <c r="P644" s="33"/>
      <c r="Q644" s="33"/>
      <c r="R644" s="33"/>
    </row>
    <row r="645">
      <c r="A645" s="33"/>
      <c r="B645" s="33"/>
      <c r="C645" s="33"/>
      <c r="D645" s="33"/>
      <c r="E645" s="33"/>
      <c r="F645" s="33"/>
      <c r="G645" s="33"/>
      <c r="H645" s="33"/>
      <c r="I645" s="33"/>
      <c r="J645" s="33"/>
      <c r="K645" s="33"/>
      <c r="L645" s="33"/>
      <c r="M645" s="33"/>
      <c r="N645" s="33"/>
      <c r="O645" s="33"/>
      <c r="P645" s="33"/>
      <c r="Q645" s="33"/>
      <c r="R645" s="33"/>
    </row>
    <row r="646">
      <c r="A646" s="33"/>
      <c r="B646" s="33"/>
      <c r="C646" s="33"/>
      <c r="D646" s="33"/>
      <c r="E646" s="33"/>
      <c r="F646" s="33"/>
      <c r="G646" s="33"/>
      <c r="H646" s="33"/>
      <c r="I646" s="33"/>
      <c r="J646" s="33"/>
      <c r="K646" s="33"/>
      <c r="L646" s="33"/>
      <c r="M646" s="33"/>
      <c r="N646" s="33"/>
      <c r="O646" s="33"/>
      <c r="P646" s="33"/>
      <c r="Q646" s="33"/>
      <c r="R646" s="33"/>
    </row>
    <row r="647">
      <c r="A647" s="33"/>
      <c r="B647" s="33"/>
      <c r="C647" s="33"/>
      <c r="D647" s="33"/>
      <c r="E647" s="33"/>
      <c r="F647" s="33"/>
      <c r="G647" s="33"/>
      <c r="H647" s="33"/>
      <c r="I647" s="33"/>
      <c r="J647" s="33"/>
      <c r="K647" s="33"/>
      <c r="L647" s="33"/>
      <c r="M647" s="33"/>
      <c r="N647" s="33"/>
      <c r="O647" s="33"/>
      <c r="P647" s="33"/>
      <c r="Q647" s="33"/>
      <c r="R647" s="33"/>
    </row>
    <row r="648">
      <c r="A648" s="33"/>
      <c r="B648" s="33"/>
      <c r="C648" s="33"/>
      <c r="D648" s="33"/>
      <c r="E648" s="33"/>
      <c r="F648" s="33"/>
      <c r="G648" s="33"/>
      <c r="H648" s="33"/>
      <c r="I648" s="33"/>
      <c r="J648" s="33"/>
      <c r="K648" s="33"/>
      <c r="L648" s="33"/>
      <c r="M648" s="33"/>
      <c r="N648" s="33"/>
      <c r="O648" s="33"/>
      <c r="P648" s="33"/>
      <c r="Q648" s="33"/>
      <c r="R648" s="33"/>
    </row>
    <row r="649">
      <c r="A649" s="33"/>
      <c r="B649" s="33"/>
      <c r="C649" s="33"/>
      <c r="D649" s="33"/>
      <c r="E649" s="33"/>
      <c r="F649" s="33"/>
      <c r="G649" s="33"/>
      <c r="H649" s="33"/>
      <c r="I649" s="33"/>
      <c r="J649" s="33"/>
      <c r="K649" s="33"/>
      <c r="L649" s="33"/>
      <c r="M649" s="33"/>
      <c r="N649" s="33"/>
      <c r="O649" s="33"/>
      <c r="P649" s="33"/>
      <c r="Q649" s="33"/>
      <c r="R649" s="33"/>
    </row>
    <row r="650">
      <c r="A650" s="33"/>
      <c r="B650" s="33"/>
      <c r="C650" s="33"/>
      <c r="D650" s="33"/>
      <c r="E650" s="33"/>
      <c r="F650" s="33"/>
      <c r="G650" s="33"/>
      <c r="H650" s="33"/>
      <c r="I650" s="33"/>
      <c r="J650" s="33"/>
      <c r="K650" s="33"/>
      <c r="L650" s="33"/>
      <c r="M650" s="33"/>
      <c r="N650" s="33"/>
      <c r="O650" s="33"/>
      <c r="P650" s="33"/>
      <c r="Q650" s="33"/>
      <c r="R650" s="33"/>
    </row>
    <row r="651">
      <c r="A651" s="33"/>
      <c r="B651" s="33"/>
      <c r="C651" s="33"/>
      <c r="D651" s="33"/>
      <c r="E651" s="33"/>
      <c r="F651" s="33"/>
      <c r="G651" s="33"/>
      <c r="H651" s="33"/>
      <c r="I651" s="33"/>
      <c r="J651" s="33"/>
      <c r="K651" s="33"/>
      <c r="L651" s="33"/>
      <c r="M651" s="33"/>
      <c r="N651" s="33"/>
      <c r="O651" s="33"/>
      <c r="P651" s="33"/>
      <c r="Q651" s="33"/>
      <c r="R651" s="33"/>
    </row>
    <row r="652">
      <c r="A652" s="33"/>
      <c r="B652" s="33"/>
      <c r="C652" s="33"/>
      <c r="D652" s="33"/>
      <c r="E652" s="33"/>
      <c r="F652" s="33"/>
      <c r="G652" s="33"/>
      <c r="H652" s="33"/>
      <c r="I652" s="33"/>
      <c r="J652" s="33"/>
      <c r="K652" s="33"/>
      <c r="L652" s="33"/>
      <c r="M652" s="33"/>
      <c r="N652" s="33"/>
      <c r="O652" s="33"/>
      <c r="P652" s="33"/>
      <c r="Q652" s="33"/>
      <c r="R652" s="33"/>
    </row>
    <row r="653">
      <c r="A653" s="33"/>
      <c r="B653" s="33"/>
      <c r="C653" s="33"/>
      <c r="D653" s="33"/>
      <c r="E653" s="33"/>
      <c r="F653" s="33"/>
      <c r="G653" s="33"/>
      <c r="H653" s="33"/>
      <c r="I653" s="33"/>
      <c r="J653" s="33"/>
      <c r="K653" s="33"/>
      <c r="L653" s="33"/>
      <c r="M653" s="33"/>
      <c r="N653" s="33"/>
      <c r="O653" s="33"/>
      <c r="P653" s="33"/>
      <c r="Q653" s="33"/>
      <c r="R653" s="33"/>
    </row>
    <row r="654">
      <c r="A654" s="33"/>
      <c r="B654" s="33"/>
      <c r="C654" s="33"/>
      <c r="D654" s="33"/>
      <c r="E654" s="33"/>
      <c r="F654" s="33"/>
      <c r="G654" s="33"/>
      <c r="H654" s="33"/>
      <c r="I654" s="33"/>
      <c r="J654" s="33"/>
      <c r="K654" s="33"/>
      <c r="L654" s="33"/>
      <c r="M654" s="33"/>
      <c r="N654" s="33"/>
      <c r="O654" s="33"/>
      <c r="P654" s="33"/>
      <c r="Q654" s="33"/>
      <c r="R654" s="33"/>
    </row>
    <row r="655">
      <c r="A655" s="33"/>
      <c r="B655" s="33"/>
      <c r="C655" s="33"/>
      <c r="D655" s="33"/>
      <c r="E655" s="33"/>
      <c r="F655" s="33"/>
      <c r="G655" s="33"/>
      <c r="H655" s="33"/>
      <c r="I655" s="33"/>
      <c r="J655" s="33"/>
      <c r="K655" s="33"/>
      <c r="L655" s="33"/>
      <c r="M655" s="33"/>
      <c r="N655" s="33"/>
      <c r="O655" s="33"/>
      <c r="P655" s="33"/>
      <c r="Q655" s="33"/>
      <c r="R655" s="33"/>
    </row>
    <row r="656">
      <c r="A656" s="33"/>
      <c r="B656" s="33"/>
      <c r="C656" s="33"/>
      <c r="D656" s="33"/>
      <c r="E656" s="33"/>
      <c r="F656" s="33"/>
      <c r="G656" s="33"/>
      <c r="H656" s="33"/>
      <c r="I656" s="33"/>
      <c r="J656" s="33"/>
      <c r="K656" s="33"/>
      <c r="L656" s="33"/>
      <c r="M656" s="33"/>
      <c r="N656" s="33"/>
      <c r="O656" s="33"/>
      <c r="P656" s="33"/>
      <c r="Q656" s="33"/>
      <c r="R656" s="33"/>
    </row>
    <row r="657">
      <c r="A657" s="33"/>
      <c r="B657" s="33"/>
      <c r="C657" s="33"/>
      <c r="D657" s="33"/>
      <c r="E657" s="33"/>
      <c r="F657" s="33"/>
      <c r="G657" s="33"/>
      <c r="H657" s="33"/>
      <c r="I657" s="33"/>
      <c r="J657" s="33"/>
      <c r="K657" s="33"/>
      <c r="L657" s="33"/>
      <c r="M657" s="33"/>
      <c r="N657" s="33"/>
      <c r="O657" s="33"/>
      <c r="P657" s="33"/>
      <c r="Q657" s="33"/>
      <c r="R657" s="33"/>
    </row>
    <row r="658">
      <c r="A658" s="33"/>
      <c r="B658" s="33"/>
      <c r="C658" s="33"/>
      <c r="D658" s="33"/>
      <c r="E658" s="33"/>
      <c r="F658" s="33"/>
      <c r="G658" s="33"/>
      <c r="H658" s="33"/>
      <c r="I658" s="33"/>
      <c r="J658" s="33"/>
      <c r="K658" s="33"/>
      <c r="L658" s="33"/>
      <c r="M658" s="33"/>
      <c r="N658" s="33"/>
      <c r="O658" s="33"/>
      <c r="P658" s="33"/>
      <c r="Q658" s="33"/>
      <c r="R658" s="33"/>
    </row>
    <row r="659">
      <c r="A659" s="33"/>
      <c r="B659" s="33"/>
      <c r="C659" s="33"/>
      <c r="D659" s="33"/>
      <c r="E659" s="33"/>
      <c r="F659" s="33"/>
      <c r="G659" s="33"/>
      <c r="H659" s="33"/>
      <c r="I659" s="33"/>
      <c r="J659" s="33"/>
      <c r="K659" s="33"/>
      <c r="L659" s="33"/>
      <c r="M659" s="33"/>
      <c r="N659" s="33"/>
      <c r="O659" s="33"/>
      <c r="P659" s="33"/>
      <c r="Q659" s="33"/>
      <c r="R659" s="33"/>
    </row>
    <row r="660">
      <c r="A660" s="33"/>
      <c r="B660" s="33"/>
      <c r="C660" s="33"/>
      <c r="D660" s="33"/>
      <c r="E660" s="33"/>
      <c r="F660" s="33"/>
      <c r="G660" s="33"/>
      <c r="H660" s="33"/>
      <c r="I660" s="33"/>
      <c r="J660" s="33"/>
      <c r="K660" s="33"/>
      <c r="L660" s="33"/>
      <c r="M660" s="33"/>
      <c r="N660" s="33"/>
      <c r="O660" s="33"/>
      <c r="P660" s="33"/>
      <c r="Q660" s="33"/>
      <c r="R660" s="33"/>
    </row>
    <row r="661">
      <c r="A661" s="33"/>
      <c r="B661" s="33"/>
      <c r="C661" s="33"/>
      <c r="D661" s="33"/>
      <c r="E661" s="33"/>
      <c r="F661" s="33"/>
      <c r="G661" s="33"/>
      <c r="H661" s="33"/>
      <c r="I661" s="33"/>
      <c r="J661" s="33"/>
      <c r="K661" s="33"/>
      <c r="L661" s="33"/>
      <c r="M661" s="33"/>
      <c r="N661" s="33"/>
      <c r="O661" s="33"/>
      <c r="P661" s="33"/>
      <c r="Q661" s="33"/>
      <c r="R661" s="33"/>
    </row>
    <row r="662">
      <c r="A662" s="33"/>
      <c r="B662" s="33"/>
      <c r="C662" s="33"/>
      <c r="D662" s="33"/>
      <c r="E662" s="33"/>
      <c r="F662" s="33"/>
      <c r="G662" s="33"/>
      <c r="H662" s="33"/>
      <c r="I662" s="33"/>
      <c r="J662" s="33"/>
      <c r="K662" s="33"/>
      <c r="L662" s="33"/>
      <c r="M662" s="33"/>
      <c r="N662" s="33"/>
      <c r="O662" s="33"/>
      <c r="P662" s="33"/>
      <c r="Q662" s="33"/>
      <c r="R662" s="33"/>
    </row>
    <row r="663">
      <c r="A663" s="33"/>
      <c r="B663" s="33"/>
      <c r="C663" s="33"/>
      <c r="D663" s="33"/>
      <c r="E663" s="33"/>
      <c r="F663" s="33"/>
      <c r="G663" s="33"/>
      <c r="H663" s="33"/>
      <c r="I663" s="33"/>
      <c r="J663" s="33"/>
      <c r="K663" s="33"/>
      <c r="L663" s="33"/>
      <c r="M663" s="33"/>
      <c r="N663" s="33"/>
      <c r="O663" s="33"/>
      <c r="P663" s="33"/>
      <c r="Q663" s="33"/>
      <c r="R663" s="33"/>
    </row>
    <row r="664">
      <c r="A664" s="33"/>
      <c r="B664" s="33"/>
      <c r="C664" s="33"/>
      <c r="D664" s="33"/>
      <c r="E664" s="33"/>
      <c r="F664" s="33"/>
      <c r="G664" s="33"/>
      <c r="H664" s="33"/>
      <c r="I664" s="33"/>
      <c r="J664" s="33"/>
      <c r="K664" s="33"/>
      <c r="L664" s="33"/>
      <c r="M664" s="33"/>
      <c r="N664" s="33"/>
      <c r="O664" s="33"/>
      <c r="P664" s="33"/>
      <c r="Q664" s="33"/>
      <c r="R664" s="33"/>
    </row>
    <row r="665">
      <c r="A665" s="33"/>
      <c r="B665" s="33"/>
      <c r="C665" s="33"/>
      <c r="D665" s="33"/>
      <c r="E665" s="33"/>
      <c r="F665" s="33"/>
      <c r="G665" s="33"/>
      <c r="H665" s="33"/>
      <c r="I665" s="33"/>
      <c r="J665" s="33"/>
      <c r="K665" s="33"/>
      <c r="L665" s="33"/>
      <c r="M665" s="33"/>
      <c r="N665" s="33"/>
      <c r="O665" s="33"/>
      <c r="P665" s="33"/>
      <c r="Q665" s="33"/>
      <c r="R665" s="33"/>
    </row>
    <row r="666">
      <c r="A666" s="33"/>
      <c r="B666" s="33"/>
      <c r="C666" s="33"/>
      <c r="D666" s="33"/>
      <c r="E666" s="33"/>
      <c r="F666" s="33"/>
      <c r="G666" s="33"/>
      <c r="H666" s="33"/>
      <c r="I666" s="33"/>
      <c r="J666" s="33"/>
      <c r="K666" s="33"/>
      <c r="L666" s="33"/>
      <c r="M666" s="33"/>
      <c r="N666" s="33"/>
      <c r="O666" s="33"/>
      <c r="P666" s="33"/>
      <c r="Q666" s="33"/>
      <c r="R666" s="33"/>
    </row>
    <row r="667">
      <c r="A667" s="33"/>
      <c r="B667" s="33"/>
      <c r="C667" s="33"/>
      <c r="D667" s="33"/>
      <c r="E667" s="33"/>
      <c r="F667" s="33"/>
      <c r="G667" s="33"/>
      <c r="H667" s="33"/>
      <c r="I667" s="33"/>
      <c r="J667" s="33"/>
      <c r="K667" s="33"/>
      <c r="L667" s="33"/>
      <c r="M667" s="33"/>
      <c r="N667" s="33"/>
      <c r="O667" s="33"/>
      <c r="P667" s="33"/>
      <c r="Q667" s="33"/>
      <c r="R667" s="33"/>
    </row>
    <row r="668">
      <c r="A668" s="33"/>
      <c r="B668" s="33"/>
      <c r="C668" s="33"/>
      <c r="D668" s="33"/>
      <c r="E668" s="33"/>
      <c r="F668" s="33"/>
      <c r="G668" s="33"/>
      <c r="H668" s="33"/>
      <c r="I668" s="33"/>
      <c r="J668" s="33"/>
      <c r="K668" s="33"/>
      <c r="L668" s="33"/>
      <c r="M668" s="33"/>
      <c r="N668" s="33"/>
      <c r="O668" s="33"/>
      <c r="P668" s="33"/>
      <c r="Q668" s="33"/>
      <c r="R668" s="33"/>
    </row>
    <row r="669">
      <c r="A669" s="33"/>
      <c r="B669" s="33"/>
      <c r="C669" s="33"/>
      <c r="D669" s="33"/>
      <c r="E669" s="33"/>
      <c r="F669" s="33"/>
      <c r="G669" s="33"/>
      <c r="H669" s="33"/>
      <c r="I669" s="33"/>
      <c r="J669" s="33"/>
      <c r="K669" s="33"/>
      <c r="L669" s="33"/>
      <c r="M669" s="33"/>
      <c r="N669" s="33"/>
      <c r="O669" s="33"/>
      <c r="P669" s="33"/>
      <c r="Q669" s="33"/>
      <c r="R669" s="33"/>
    </row>
    <row r="670">
      <c r="A670" s="33"/>
      <c r="B670" s="33"/>
      <c r="C670" s="33"/>
      <c r="D670" s="33"/>
      <c r="E670" s="33"/>
      <c r="F670" s="33"/>
      <c r="G670" s="33"/>
      <c r="H670" s="33"/>
      <c r="I670" s="33"/>
      <c r="J670" s="33"/>
      <c r="K670" s="33"/>
      <c r="L670" s="33"/>
      <c r="M670" s="33"/>
      <c r="N670" s="33"/>
      <c r="O670" s="33"/>
      <c r="P670" s="33"/>
      <c r="Q670" s="33"/>
      <c r="R670" s="33"/>
    </row>
    <row r="671">
      <c r="A671" s="33"/>
      <c r="B671" s="33"/>
      <c r="C671" s="33"/>
      <c r="D671" s="33"/>
      <c r="E671" s="33"/>
      <c r="F671" s="33"/>
      <c r="G671" s="33"/>
      <c r="H671" s="33"/>
      <c r="I671" s="33"/>
      <c r="J671" s="33"/>
      <c r="K671" s="33"/>
      <c r="L671" s="33"/>
      <c r="M671" s="33"/>
      <c r="N671" s="33"/>
      <c r="O671" s="33"/>
      <c r="P671" s="33"/>
      <c r="Q671" s="33"/>
      <c r="R671" s="33"/>
    </row>
    <row r="672">
      <c r="A672" s="33"/>
      <c r="B672" s="33"/>
      <c r="C672" s="33"/>
      <c r="D672" s="33"/>
      <c r="E672" s="33"/>
      <c r="F672" s="33"/>
      <c r="G672" s="33"/>
      <c r="H672" s="33"/>
      <c r="I672" s="33"/>
      <c r="J672" s="33"/>
      <c r="K672" s="33"/>
      <c r="L672" s="33"/>
      <c r="M672" s="33"/>
      <c r="N672" s="33"/>
      <c r="O672" s="33"/>
      <c r="P672" s="33"/>
      <c r="Q672" s="33"/>
      <c r="R672" s="33"/>
    </row>
    <row r="673">
      <c r="A673" s="33"/>
      <c r="B673" s="33"/>
      <c r="C673" s="33"/>
      <c r="D673" s="33"/>
      <c r="E673" s="33"/>
      <c r="F673" s="33"/>
      <c r="G673" s="33"/>
      <c r="H673" s="33"/>
      <c r="I673" s="33"/>
      <c r="J673" s="33"/>
      <c r="K673" s="33"/>
      <c r="L673" s="33"/>
      <c r="M673" s="33"/>
      <c r="N673" s="33"/>
      <c r="O673" s="33"/>
      <c r="P673" s="33"/>
      <c r="Q673" s="33"/>
      <c r="R673" s="33"/>
    </row>
    <row r="674">
      <c r="A674" s="33"/>
      <c r="B674" s="33"/>
      <c r="C674" s="33"/>
      <c r="D674" s="33"/>
      <c r="E674" s="33"/>
      <c r="F674" s="33"/>
      <c r="G674" s="33"/>
      <c r="H674" s="33"/>
      <c r="I674" s="33"/>
      <c r="J674" s="33"/>
      <c r="K674" s="33"/>
      <c r="L674" s="33"/>
      <c r="M674" s="33"/>
      <c r="N674" s="33"/>
      <c r="O674" s="33"/>
      <c r="P674" s="33"/>
      <c r="Q674" s="33"/>
      <c r="R674" s="33"/>
    </row>
    <row r="675">
      <c r="A675" s="33"/>
      <c r="B675" s="33"/>
      <c r="C675" s="33"/>
      <c r="D675" s="33"/>
      <c r="E675" s="33"/>
      <c r="F675" s="33"/>
      <c r="G675" s="33"/>
      <c r="H675" s="33"/>
      <c r="I675" s="33"/>
      <c r="J675" s="33"/>
      <c r="K675" s="33"/>
      <c r="L675" s="33"/>
      <c r="M675" s="33"/>
      <c r="N675" s="33"/>
      <c r="O675" s="33"/>
      <c r="P675" s="33"/>
      <c r="Q675" s="33"/>
      <c r="R675" s="33"/>
    </row>
    <row r="676">
      <c r="A676" s="33"/>
      <c r="B676" s="33"/>
      <c r="C676" s="33"/>
      <c r="D676" s="33"/>
      <c r="E676" s="33"/>
      <c r="F676" s="33"/>
      <c r="G676" s="33"/>
      <c r="H676" s="33"/>
      <c r="I676" s="33"/>
      <c r="J676" s="33"/>
      <c r="K676" s="33"/>
      <c r="L676" s="33"/>
      <c r="M676" s="33"/>
      <c r="N676" s="33"/>
      <c r="O676" s="33"/>
      <c r="P676" s="33"/>
      <c r="Q676" s="33"/>
      <c r="R676" s="33"/>
    </row>
    <row r="677">
      <c r="A677" s="33"/>
      <c r="B677" s="33"/>
      <c r="C677" s="33"/>
      <c r="D677" s="33"/>
      <c r="E677" s="33"/>
      <c r="F677" s="33"/>
      <c r="G677" s="33"/>
      <c r="H677" s="33"/>
      <c r="I677" s="33"/>
      <c r="J677" s="33"/>
      <c r="K677" s="33"/>
      <c r="L677" s="33"/>
      <c r="M677" s="33"/>
      <c r="N677" s="33"/>
      <c r="O677" s="33"/>
      <c r="P677" s="33"/>
      <c r="Q677" s="33"/>
      <c r="R677" s="33"/>
    </row>
    <row r="678">
      <c r="A678" s="33"/>
      <c r="B678" s="33"/>
      <c r="C678" s="33"/>
      <c r="D678" s="33"/>
      <c r="E678" s="33"/>
      <c r="F678" s="33"/>
      <c r="G678" s="33"/>
      <c r="H678" s="33"/>
      <c r="I678" s="33"/>
      <c r="J678" s="33"/>
      <c r="K678" s="33"/>
      <c r="L678" s="33"/>
      <c r="M678" s="33"/>
      <c r="N678" s="33"/>
      <c r="O678" s="33"/>
      <c r="P678" s="33"/>
      <c r="Q678" s="33"/>
      <c r="R678" s="33"/>
    </row>
    <row r="679">
      <c r="A679" s="33"/>
      <c r="B679" s="33"/>
      <c r="C679" s="33"/>
      <c r="D679" s="33"/>
      <c r="E679" s="33"/>
      <c r="F679" s="33"/>
      <c r="G679" s="33"/>
      <c r="H679" s="33"/>
      <c r="I679" s="33"/>
      <c r="J679" s="33"/>
      <c r="K679" s="33"/>
      <c r="L679" s="33"/>
      <c r="M679" s="33"/>
      <c r="N679" s="33"/>
      <c r="O679" s="33"/>
      <c r="P679" s="33"/>
      <c r="Q679" s="33"/>
      <c r="R679" s="33"/>
    </row>
    <row r="680">
      <c r="A680" s="33"/>
      <c r="B680" s="33"/>
      <c r="C680" s="33"/>
      <c r="D680" s="33"/>
      <c r="E680" s="33"/>
      <c r="F680" s="33"/>
      <c r="G680" s="33"/>
      <c r="H680" s="33"/>
      <c r="I680" s="33"/>
      <c r="J680" s="33"/>
      <c r="K680" s="33"/>
      <c r="L680" s="33"/>
      <c r="M680" s="33"/>
      <c r="N680" s="33"/>
      <c r="O680" s="33"/>
      <c r="P680" s="33"/>
      <c r="Q680" s="33"/>
      <c r="R680" s="33"/>
    </row>
    <row r="681">
      <c r="A681" s="33"/>
      <c r="B681" s="33"/>
      <c r="C681" s="33"/>
      <c r="D681" s="33"/>
      <c r="E681" s="33"/>
      <c r="F681" s="33"/>
      <c r="G681" s="33"/>
      <c r="H681" s="33"/>
      <c r="I681" s="33"/>
      <c r="J681" s="33"/>
      <c r="K681" s="33"/>
      <c r="L681" s="33"/>
      <c r="M681" s="33"/>
      <c r="N681" s="33"/>
      <c r="O681" s="33"/>
      <c r="P681" s="33"/>
      <c r="Q681" s="33"/>
      <c r="R681" s="33"/>
    </row>
    <row r="682">
      <c r="A682" s="33"/>
      <c r="B682" s="33"/>
      <c r="C682" s="33"/>
      <c r="D682" s="33"/>
      <c r="E682" s="33"/>
      <c r="F682" s="33"/>
      <c r="G682" s="33"/>
      <c r="H682" s="33"/>
      <c r="I682" s="33"/>
      <c r="J682" s="33"/>
      <c r="K682" s="33"/>
      <c r="L682" s="33"/>
      <c r="M682" s="33"/>
      <c r="N682" s="33"/>
      <c r="O682" s="33"/>
      <c r="P682" s="33"/>
      <c r="Q682" s="33"/>
      <c r="R682" s="33"/>
    </row>
    <row r="683">
      <c r="A683" s="33"/>
      <c r="B683" s="33"/>
      <c r="C683" s="33"/>
      <c r="D683" s="33"/>
      <c r="E683" s="33"/>
      <c r="F683" s="33"/>
      <c r="G683" s="33"/>
      <c r="H683" s="33"/>
      <c r="I683" s="33"/>
      <c r="J683" s="33"/>
      <c r="K683" s="33"/>
      <c r="L683" s="33"/>
      <c r="M683" s="33"/>
      <c r="N683" s="33"/>
      <c r="O683" s="33"/>
      <c r="P683" s="33"/>
      <c r="Q683" s="33"/>
      <c r="R683" s="33"/>
    </row>
    <row r="684">
      <c r="A684" s="33"/>
      <c r="B684" s="33"/>
      <c r="C684" s="33"/>
      <c r="D684" s="33"/>
      <c r="E684" s="33"/>
      <c r="F684" s="33"/>
      <c r="G684" s="33"/>
      <c r="H684" s="33"/>
      <c r="I684" s="33"/>
      <c r="J684" s="33"/>
      <c r="K684" s="33"/>
      <c r="L684" s="33"/>
      <c r="M684" s="33"/>
      <c r="N684" s="33"/>
      <c r="O684" s="33"/>
      <c r="P684" s="33"/>
      <c r="Q684" s="33"/>
      <c r="R684" s="33"/>
    </row>
    <row r="685">
      <c r="A685" s="33"/>
      <c r="B685" s="33"/>
      <c r="C685" s="33"/>
      <c r="D685" s="33"/>
      <c r="E685" s="33"/>
      <c r="F685" s="33"/>
      <c r="G685" s="33"/>
      <c r="H685" s="33"/>
      <c r="I685" s="33"/>
      <c r="J685" s="33"/>
      <c r="K685" s="33"/>
      <c r="L685" s="33"/>
      <c r="M685" s="33"/>
      <c r="N685" s="33"/>
      <c r="O685" s="33"/>
      <c r="P685" s="33"/>
      <c r="Q685" s="33"/>
      <c r="R685" s="33"/>
    </row>
    <row r="686">
      <c r="A686" s="33"/>
      <c r="B686" s="33"/>
      <c r="C686" s="33"/>
      <c r="D686" s="33"/>
      <c r="E686" s="33"/>
      <c r="F686" s="33"/>
      <c r="G686" s="33"/>
      <c r="H686" s="33"/>
      <c r="I686" s="33"/>
      <c r="J686" s="33"/>
      <c r="K686" s="33"/>
      <c r="L686" s="33"/>
      <c r="M686" s="33"/>
      <c r="N686" s="33"/>
      <c r="O686" s="33"/>
      <c r="P686" s="33"/>
      <c r="Q686" s="33"/>
      <c r="R686" s="33"/>
    </row>
    <row r="687">
      <c r="A687" s="33"/>
      <c r="B687" s="33"/>
      <c r="C687" s="33"/>
      <c r="D687" s="33"/>
      <c r="E687" s="33"/>
      <c r="F687" s="33"/>
      <c r="G687" s="33"/>
      <c r="H687" s="33"/>
      <c r="I687" s="33"/>
      <c r="J687" s="33"/>
      <c r="K687" s="33"/>
      <c r="L687" s="33"/>
      <c r="M687" s="33"/>
      <c r="N687" s="33"/>
      <c r="O687" s="33"/>
      <c r="P687" s="33"/>
      <c r="Q687" s="33"/>
      <c r="R687" s="33"/>
    </row>
    <row r="688">
      <c r="A688" s="33"/>
      <c r="B688" s="33"/>
      <c r="C688" s="33"/>
      <c r="D688" s="33"/>
      <c r="E688" s="33"/>
      <c r="F688" s="33"/>
      <c r="G688" s="33"/>
      <c r="H688" s="33"/>
      <c r="I688" s="33"/>
      <c r="J688" s="33"/>
      <c r="K688" s="33"/>
      <c r="L688" s="33"/>
      <c r="M688" s="33"/>
      <c r="N688" s="33"/>
      <c r="O688" s="33"/>
      <c r="P688" s="33"/>
      <c r="Q688" s="33"/>
      <c r="R688" s="33"/>
    </row>
    <row r="689">
      <c r="A689" s="33"/>
      <c r="B689" s="33"/>
      <c r="C689" s="33"/>
      <c r="D689" s="33"/>
      <c r="E689" s="33"/>
      <c r="F689" s="33"/>
      <c r="G689" s="33"/>
      <c r="H689" s="33"/>
      <c r="I689" s="33"/>
      <c r="J689" s="33"/>
      <c r="K689" s="33"/>
      <c r="L689" s="33"/>
      <c r="M689" s="33"/>
      <c r="N689" s="33"/>
      <c r="O689" s="33"/>
      <c r="P689" s="33"/>
      <c r="Q689" s="33"/>
      <c r="R689" s="33"/>
    </row>
    <row r="690">
      <c r="A690" s="33"/>
      <c r="B690" s="33"/>
      <c r="C690" s="33"/>
      <c r="D690" s="33"/>
      <c r="E690" s="33"/>
      <c r="F690" s="33"/>
      <c r="G690" s="33"/>
      <c r="H690" s="33"/>
      <c r="I690" s="33"/>
      <c r="J690" s="33"/>
      <c r="K690" s="33"/>
      <c r="L690" s="33"/>
      <c r="M690" s="33"/>
      <c r="N690" s="33"/>
      <c r="O690" s="33"/>
      <c r="P690" s="33"/>
      <c r="Q690" s="33"/>
      <c r="R690" s="33"/>
    </row>
    <row r="691">
      <c r="A691" s="33"/>
      <c r="B691" s="33"/>
      <c r="C691" s="33"/>
      <c r="D691" s="33"/>
      <c r="E691" s="33"/>
      <c r="F691" s="33"/>
      <c r="G691" s="33"/>
      <c r="H691" s="33"/>
      <c r="I691" s="33"/>
      <c r="J691" s="33"/>
      <c r="K691" s="33"/>
      <c r="L691" s="33"/>
      <c r="M691" s="33"/>
      <c r="N691" s="33"/>
      <c r="O691" s="33"/>
      <c r="P691" s="33"/>
      <c r="Q691" s="33"/>
      <c r="R691" s="33"/>
    </row>
    <row r="692">
      <c r="A692" s="33"/>
      <c r="B692" s="33"/>
      <c r="C692" s="33"/>
      <c r="D692" s="33"/>
      <c r="E692" s="33"/>
      <c r="F692" s="33"/>
      <c r="G692" s="33"/>
      <c r="H692" s="33"/>
      <c r="I692" s="33"/>
      <c r="J692" s="33"/>
      <c r="K692" s="33"/>
      <c r="L692" s="33"/>
      <c r="M692" s="33"/>
      <c r="N692" s="33"/>
      <c r="O692" s="33"/>
      <c r="P692" s="33"/>
      <c r="Q692" s="33"/>
      <c r="R692" s="33"/>
    </row>
    <row r="693">
      <c r="A693" s="33"/>
      <c r="B693" s="33"/>
      <c r="C693" s="33"/>
      <c r="D693" s="33"/>
      <c r="E693" s="33"/>
      <c r="F693" s="33"/>
      <c r="G693" s="33"/>
      <c r="H693" s="33"/>
      <c r="I693" s="33"/>
      <c r="J693" s="33"/>
      <c r="K693" s="33"/>
      <c r="L693" s="33"/>
      <c r="M693" s="33"/>
      <c r="N693" s="33"/>
      <c r="O693" s="33"/>
      <c r="P693" s="33"/>
      <c r="Q693" s="33"/>
      <c r="R693" s="33"/>
    </row>
    <row r="694">
      <c r="A694" s="33"/>
      <c r="B694" s="33"/>
      <c r="C694" s="33"/>
      <c r="D694" s="33"/>
      <c r="E694" s="33"/>
      <c r="F694" s="33"/>
      <c r="G694" s="33"/>
      <c r="H694" s="33"/>
      <c r="I694" s="33"/>
      <c r="J694" s="33"/>
      <c r="K694" s="33"/>
      <c r="L694" s="33"/>
      <c r="M694" s="33"/>
      <c r="N694" s="33"/>
      <c r="O694" s="33"/>
      <c r="P694" s="33"/>
      <c r="Q694" s="33"/>
      <c r="R694" s="33"/>
    </row>
    <row r="695">
      <c r="A695" s="33"/>
      <c r="B695" s="33"/>
      <c r="C695" s="33"/>
      <c r="D695" s="33"/>
      <c r="E695" s="33"/>
      <c r="F695" s="33"/>
      <c r="G695" s="33"/>
      <c r="H695" s="33"/>
      <c r="I695" s="33"/>
      <c r="J695" s="33"/>
      <c r="K695" s="33"/>
      <c r="L695" s="33"/>
      <c r="M695" s="33"/>
      <c r="N695" s="33"/>
      <c r="O695" s="33"/>
      <c r="P695" s="33"/>
      <c r="Q695" s="33"/>
      <c r="R695" s="33"/>
    </row>
    <row r="696">
      <c r="A696" s="33"/>
      <c r="B696" s="33"/>
      <c r="C696" s="33"/>
      <c r="D696" s="33"/>
      <c r="E696" s="33"/>
      <c r="F696" s="33"/>
      <c r="G696" s="33"/>
      <c r="H696" s="33"/>
      <c r="I696" s="33"/>
      <c r="J696" s="33"/>
      <c r="K696" s="33"/>
      <c r="L696" s="33"/>
      <c r="M696" s="33"/>
      <c r="N696" s="33"/>
      <c r="O696" s="33"/>
      <c r="P696" s="33"/>
      <c r="Q696" s="33"/>
      <c r="R696" s="33"/>
    </row>
    <row r="697">
      <c r="A697" s="33"/>
      <c r="B697" s="33"/>
      <c r="C697" s="33"/>
      <c r="D697" s="33"/>
      <c r="E697" s="33"/>
      <c r="F697" s="33"/>
      <c r="G697" s="33"/>
      <c r="H697" s="33"/>
      <c r="I697" s="33"/>
      <c r="J697" s="33"/>
      <c r="K697" s="33"/>
      <c r="L697" s="33"/>
      <c r="M697" s="33"/>
      <c r="N697" s="33"/>
      <c r="O697" s="33"/>
      <c r="P697" s="33"/>
      <c r="Q697" s="33"/>
      <c r="R697" s="33"/>
    </row>
    <row r="698">
      <c r="A698" s="33"/>
      <c r="B698" s="33"/>
      <c r="C698" s="33"/>
      <c r="D698" s="33"/>
      <c r="E698" s="33"/>
      <c r="F698" s="33"/>
      <c r="G698" s="33"/>
      <c r="H698" s="33"/>
      <c r="I698" s="33"/>
      <c r="J698" s="33"/>
      <c r="K698" s="33"/>
      <c r="L698" s="33"/>
      <c r="M698" s="33"/>
      <c r="N698" s="33"/>
      <c r="O698" s="33"/>
      <c r="P698" s="33"/>
      <c r="Q698" s="33"/>
      <c r="R698" s="33"/>
    </row>
    <row r="699">
      <c r="A699" s="33"/>
      <c r="B699" s="33"/>
      <c r="C699" s="33"/>
      <c r="D699" s="33"/>
      <c r="E699" s="33"/>
      <c r="F699" s="33"/>
      <c r="G699" s="33"/>
      <c r="H699" s="33"/>
      <c r="I699" s="33"/>
      <c r="J699" s="33"/>
      <c r="K699" s="33"/>
      <c r="L699" s="33"/>
      <c r="M699" s="33"/>
      <c r="N699" s="33"/>
      <c r="O699" s="33"/>
      <c r="P699" s="33"/>
      <c r="Q699" s="33"/>
      <c r="R699" s="33"/>
    </row>
    <row r="700">
      <c r="A700" s="33"/>
      <c r="B700" s="33"/>
      <c r="C700" s="33"/>
      <c r="D700" s="33"/>
      <c r="E700" s="33"/>
      <c r="F700" s="33"/>
      <c r="G700" s="33"/>
      <c r="H700" s="33"/>
      <c r="I700" s="33"/>
      <c r="J700" s="33"/>
      <c r="K700" s="33"/>
      <c r="L700" s="33"/>
      <c r="M700" s="33"/>
      <c r="N700" s="33"/>
      <c r="O700" s="33"/>
      <c r="P700" s="33"/>
      <c r="Q700" s="33"/>
      <c r="R700" s="33"/>
    </row>
    <row r="701">
      <c r="A701" s="33"/>
      <c r="B701" s="33"/>
      <c r="C701" s="33"/>
      <c r="D701" s="33"/>
      <c r="E701" s="33"/>
      <c r="F701" s="33"/>
      <c r="G701" s="33"/>
      <c r="H701" s="33"/>
      <c r="I701" s="33"/>
      <c r="J701" s="33"/>
      <c r="K701" s="33"/>
      <c r="L701" s="33"/>
      <c r="M701" s="33"/>
      <c r="N701" s="33"/>
      <c r="O701" s="33"/>
      <c r="P701" s="33"/>
      <c r="Q701" s="33"/>
      <c r="R701" s="33"/>
    </row>
    <row r="702">
      <c r="A702" s="33"/>
      <c r="B702" s="33"/>
      <c r="C702" s="33"/>
      <c r="D702" s="33"/>
      <c r="E702" s="33"/>
      <c r="F702" s="33"/>
      <c r="G702" s="33"/>
      <c r="H702" s="33"/>
      <c r="I702" s="33"/>
      <c r="J702" s="33"/>
      <c r="K702" s="33"/>
      <c r="L702" s="33"/>
      <c r="M702" s="33"/>
      <c r="N702" s="33"/>
      <c r="O702" s="33"/>
      <c r="P702" s="33"/>
      <c r="Q702" s="33"/>
      <c r="R702" s="33"/>
    </row>
    <row r="703">
      <c r="A703" s="33"/>
      <c r="B703" s="33"/>
      <c r="C703" s="33"/>
      <c r="D703" s="33"/>
      <c r="E703" s="33"/>
      <c r="F703" s="33"/>
      <c r="G703" s="33"/>
      <c r="H703" s="33"/>
      <c r="I703" s="33"/>
      <c r="J703" s="33"/>
      <c r="K703" s="33"/>
      <c r="L703" s="33"/>
      <c r="M703" s="33"/>
      <c r="N703" s="33"/>
      <c r="O703" s="33"/>
      <c r="P703" s="33"/>
      <c r="Q703" s="33"/>
      <c r="R703" s="33"/>
    </row>
    <row r="704">
      <c r="A704" s="33"/>
      <c r="B704" s="33"/>
      <c r="C704" s="33"/>
      <c r="D704" s="33"/>
      <c r="E704" s="33"/>
      <c r="F704" s="33"/>
      <c r="G704" s="33"/>
      <c r="H704" s="33"/>
      <c r="I704" s="33"/>
      <c r="J704" s="33"/>
      <c r="K704" s="33"/>
      <c r="L704" s="33"/>
      <c r="M704" s="33"/>
      <c r="N704" s="33"/>
      <c r="O704" s="33"/>
      <c r="P704" s="33"/>
      <c r="Q704" s="33"/>
      <c r="R704" s="33"/>
    </row>
    <row r="705">
      <c r="A705" s="33"/>
      <c r="B705" s="33"/>
      <c r="C705" s="33"/>
      <c r="D705" s="33"/>
      <c r="E705" s="33"/>
      <c r="F705" s="33"/>
      <c r="G705" s="33"/>
      <c r="H705" s="33"/>
      <c r="I705" s="33"/>
      <c r="J705" s="33"/>
      <c r="K705" s="33"/>
      <c r="L705" s="33"/>
      <c r="M705" s="33"/>
      <c r="N705" s="33"/>
      <c r="O705" s="33"/>
      <c r="P705" s="33"/>
      <c r="Q705" s="33"/>
      <c r="R705" s="33"/>
    </row>
    <row r="706">
      <c r="A706" s="33"/>
      <c r="B706" s="33"/>
      <c r="C706" s="33"/>
      <c r="D706" s="33"/>
      <c r="E706" s="33"/>
      <c r="F706" s="33"/>
      <c r="G706" s="33"/>
      <c r="H706" s="33"/>
      <c r="I706" s="33"/>
      <c r="J706" s="33"/>
      <c r="K706" s="33"/>
      <c r="L706" s="33"/>
      <c r="M706" s="33"/>
      <c r="N706" s="33"/>
      <c r="O706" s="33"/>
      <c r="P706" s="33"/>
      <c r="Q706" s="33"/>
      <c r="R706" s="33"/>
    </row>
    <row r="707">
      <c r="A707" s="33"/>
      <c r="B707" s="33"/>
      <c r="C707" s="33"/>
      <c r="D707" s="33"/>
      <c r="E707" s="33"/>
      <c r="F707" s="33"/>
      <c r="G707" s="33"/>
      <c r="H707" s="33"/>
      <c r="I707" s="33"/>
      <c r="J707" s="33"/>
      <c r="K707" s="33"/>
      <c r="L707" s="33"/>
      <c r="M707" s="33"/>
      <c r="N707" s="33"/>
      <c r="O707" s="33"/>
      <c r="P707" s="33"/>
      <c r="Q707" s="33"/>
      <c r="R707" s="33"/>
    </row>
    <row r="708">
      <c r="A708" s="33"/>
      <c r="B708" s="33"/>
      <c r="C708" s="33"/>
      <c r="D708" s="33"/>
      <c r="E708" s="33"/>
      <c r="F708" s="33"/>
      <c r="G708" s="33"/>
      <c r="H708" s="33"/>
      <c r="I708" s="33"/>
      <c r="J708" s="33"/>
      <c r="K708" s="33"/>
      <c r="L708" s="33"/>
      <c r="M708" s="33"/>
      <c r="N708" s="33"/>
      <c r="O708" s="33"/>
      <c r="P708" s="33"/>
      <c r="Q708" s="33"/>
      <c r="R708" s="33"/>
    </row>
    <row r="709">
      <c r="A709" s="33"/>
      <c r="B709" s="33"/>
      <c r="C709" s="33"/>
      <c r="D709" s="33"/>
      <c r="E709" s="33"/>
      <c r="F709" s="33"/>
      <c r="G709" s="33"/>
      <c r="H709" s="33"/>
      <c r="I709" s="33"/>
      <c r="J709" s="33"/>
      <c r="K709" s="33"/>
      <c r="L709" s="33"/>
      <c r="M709" s="33"/>
      <c r="N709" s="33"/>
      <c r="O709" s="33"/>
      <c r="P709" s="33"/>
      <c r="Q709" s="33"/>
      <c r="R709" s="33"/>
    </row>
    <row r="710">
      <c r="A710" s="33"/>
      <c r="B710" s="33"/>
      <c r="C710" s="33"/>
      <c r="D710" s="33"/>
      <c r="E710" s="33"/>
      <c r="F710" s="33"/>
      <c r="G710" s="33"/>
      <c r="H710" s="33"/>
      <c r="I710" s="33"/>
      <c r="J710" s="33"/>
      <c r="K710" s="33"/>
      <c r="L710" s="33"/>
      <c r="M710" s="33"/>
      <c r="N710" s="33"/>
      <c r="O710" s="33"/>
      <c r="P710" s="33"/>
      <c r="Q710" s="33"/>
      <c r="R710" s="33"/>
    </row>
    <row r="711">
      <c r="A711" s="33"/>
      <c r="B711" s="33"/>
      <c r="C711" s="33"/>
      <c r="D711" s="33"/>
      <c r="E711" s="33"/>
      <c r="F711" s="33"/>
      <c r="G711" s="33"/>
      <c r="H711" s="33"/>
      <c r="I711" s="33"/>
      <c r="J711" s="33"/>
      <c r="K711" s="33"/>
      <c r="L711" s="33"/>
      <c r="M711" s="33"/>
      <c r="N711" s="33"/>
      <c r="O711" s="33"/>
      <c r="P711" s="33"/>
      <c r="Q711" s="33"/>
      <c r="R711" s="33"/>
    </row>
    <row r="712">
      <c r="A712" s="33"/>
      <c r="B712" s="33"/>
      <c r="C712" s="33"/>
      <c r="D712" s="33"/>
      <c r="E712" s="33"/>
      <c r="F712" s="33"/>
      <c r="G712" s="33"/>
      <c r="H712" s="33"/>
      <c r="I712" s="33"/>
      <c r="J712" s="33"/>
      <c r="K712" s="33"/>
      <c r="L712" s="33"/>
      <c r="M712" s="33"/>
      <c r="N712" s="33"/>
      <c r="O712" s="33"/>
      <c r="P712" s="33"/>
      <c r="Q712" s="33"/>
      <c r="R712" s="33"/>
    </row>
    <row r="713">
      <c r="A713" s="33"/>
      <c r="B713" s="33"/>
      <c r="C713" s="33"/>
      <c r="D713" s="33"/>
      <c r="E713" s="33"/>
      <c r="F713" s="33"/>
      <c r="G713" s="33"/>
      <c r="H713" s="33"/>
      <c r="I713" s="33"/>
      <c r="J713" s="33"/>
      <c r="K713" s="33"/>
      <c r="L713" s="33"/>
      <c r="M713" s="33"/>
      <c r="N713" s="33"/>
      <c r="O713" s="33"/>
      <c r="P713" s="33"/>
      <c r="Q713" s="33"/>
      <c r="R713" s="33"/>
    </row>
    <row r="714">
      <c r="A714" s="33"/>
      <c r="B714" s="33"/>
      <c r="C714" s="33"/>
      <c r="D714" s="33"/>
      <c r="E714" s="33"/>
      <c r="F714" s="33"/>
      <c r="G714" s="33"/>
      <c r="H714" s="33"/>
      <c r="I714" s="33"/>
      <c r="J714" s="33"/>
      <c r="K714" s="33"/>
      <c r="L714" s="33"/>
      <c r="M714" s="33"/>
      <c r="N714" s="33"/>
      <c r="O714" s="33"/>
      <c r="P714" s="33"/>
      <c r="Q714" s="33"/>
      <c r="R714" s="33"/>
    </row>
    <row r="715">
      <c r="A715" s="33"/>
      <c r="B715" s="33"/>
      <c r="C715" s="33"/>
      <c r="D715" s="33"/>
      <c r="E715" s="33"/>
      <c r="F715" s="33"/>
      <c r="G715" s="33"/>
      <c r="H715" s="33"/>
      <c r="I715" s="33"/>
      <c r="J715" s="33"/>
      <c r="K715" s="33"/>
      <c r="L715" s="33"/>
      <c r="M715" s="33"/>
      <c r="N715" s="33"/>
      <c r="O715" s="33"/>
      <c r="P715" s="33"/>
      <c r="Q715" s="33"/>
      <c r="R715" s="33"/>
    </row>
    <row r="716">
      <c r="A716" s="33"/>
      <c r="B716" s="33"/>
      <c r="C716" s="33"/>
      <c r="D716" s="33"/>
      <c r="E716" s="33"/>
      <c r="F716" s="33"/>
      <c r="G716" s="33"/>
      <c r="H716" s="33"/>
      <c r="I716" s="33"/>
      <c r="J716" s="33"/>
      <c r="K716" s="33"/>
      <c r="L716" s="33"/>
      <c r="M716" s="33"/>
      <c r="N716" s="33"/>
      <c r="O716" s="33"/>
      <c r="P716" s="33"/>
      <c r="Q716" s="33"/>
      <c r="R716" s="33"/>
    </row>
    <row r="717">
      <c r="A717" s="33"/>
      <c r="B717" s="33"/>
      <c r="C717" s="33"/>
      <c r="D717" s="33"/>
      <c r="E717" s="33"/>
      <c r="F717" s="33"/>
      <c r="G717" s="33"/>
      <c r="H717" s="33"/>
      <c r="I717" s="33"/>
      <c r="J717" s="33"/>
      <c r="K717" s="33"/>
      <c r="L717" s="33"/>
      <c r="M717" s="33"/>
      <c r="N717" s="33"/>
      <c r="O717" s="33"/>
      <c r="P717" s="33"/>
      <c r="Q717" s="33"/>
      <c r="R717" s="33"/>
    </row>
    <row r="718">
      <c r="A718" s="33"/>
      <c r="B718" s="33"/>
      <c r="C718" s="33"/>
      <c r="D718" s="33"/>
      <c r="E718" s="33"/>
      <c r="F718" s="33"/>
      <c r="G718" s="33"/>
      <c r="H718" s="33"/>
      <c r="I718" s="33"/>
      <c r="J718" s="33"/>
      <c r="K718" s="33"/>
      <c r="L718" s="33"/>
      <c r="M718" s="33"/>
      <c r="N718" s="33"/>
      <c r="O718" s="33"/>
      <c r="P718" s="33"/>
      <c r="Q718" s="33"/>
      <c r="R718" s="33"/>
    </row>
    <row r="719">
      <c r="A719" s="33"/>
      <c r="B719" s="33"/>
      <c r="C719" s="33"/>
      <c r="D719" s="33"/>
      <c r="E719" s="33"/>
      <c r="F719" s="33"/>
      <c r="G719" s="33"/>
      <c r="H719" s="33"/>
      <c r="I719" s="33"/>
      <c r="J719" s="33"/>
      <c r="K719" s="33"/>
      <c r="L719" s="33"/>
      <c r="M719" s="33"/>
      <c r="N719" s="33"/>
      <c r="O719" s="33"/>
      <c r="P719" s="33"/>
      <c r="Q719" s="33"/>
      <c r="R719" s="33"/>
    </row>
    <row r="720">
      <c r="A720" s="33"/>
      <c r="B720" s="33"/>
      <c r="C720" s="33"/>
      <c r="D720" s="33"/>
      <c r="E720" s="33"/>
      <c r="F720" s="33"/>
      <c r="G720" s="33"/>
      <c r="H720" s="33"/>
      <c r="I720" s="33"/>
      <c r="J720" s="33"/>
      <c r="K720" s="33"/>
      <c r="L720" s="33"/>
      <c r="M720" s="33"/>
      <c r="N720" s="33"/>
      <c r="O720" s="33"/>
      <c r="P720" s="33"/>
      <c r="Q720" s="33"/>
      <c r="R720" s="33"/>
    </row>
    <row r="721">
      <c r="A721" s="33"/>
      <c r="B721" s="33"/>
      <c r="C721" s="33"/>
      <c r="D721" s="33"/>
      <c r="E721" s="33"/>
      <c r="F721" s="33"/>
      <c r="G721" s="33"/>
      <c r="H721" s="33"/>
      <c r="I721" s="33"/>
      <c r="J721" s="33"/>
      <c r="K721" s="33"/>
      <c r="L721" s="33"/>
      <c r="M721" s="33"/>
      <c r="N721" s="33"/>
      <c r="O721" s="33"/>
      <c r="P721" s="33"/>
      <c r="Q721" s="33"/>
      <c r="R721" s="33"/>
    </row>
    <row r="722">
      <c r="A722" s="33"/>
      <c r="B722" s="33"/>
      <c r="C722" s="33"/>
      <c r="D722" s="33"/>
      <c r="E722" s="33"/>
      <c r="F722" s="33"/>
      <c r="G722" s="33"/>
      <c r="H722" s="33"/>
      <c r="I722" s="33"/>
      <c r="J722" s="33"/>
      <c r="K722" s="33"/>
      <c r="L722" s="33"/>
      <c r="M722" s="33"/>
      <c r="N722" s="33"/>
      <c r="O722" s="33"/>
      <c r="P722" s="33"/>
      <c r="Q722" s="33"/>
      <c r="R722" s="33"/>
    </row>
    <row r="723">
      <c r="A723" s="33"/>
      <c r="B723" s="33"/>
      <c r="C723" s="33"/>
      <c r="D723" s="33"/>
      <c r="E723" s="33"/>
      <c r="F723" s="33"/>
      <c r="G723" s="33"/>
      <c r="H723" s="33"/>
      <c r="I723" s="33"/>
      <c r="J723" s="33"/>
      <c r="K723" s="33"/>
      <c r="L723" s="33"/>
      <c r="M723" s="33"/>
      <c r="N723" s="33"/>
      <c r="O723" s="33"/>
      <c r="P723" s="33"/>
      <c r="Q723" s="33"/>
      <c r="R723" s="33"/>
    </row>
    <row r="724">
      <c r="A724" s="33"/>
      <c r="B724" s="33"/>
      <c r="C724" s="33"/>
      <c r="D724" s="33"/>
      <c r="E724" s="33"/>
      <c r="F724" s="33"/>
      <c r="G724" s="33"/>
      <c r="H724" s="33"/>
      <c r="I724" s="33"/>
      <c r="J724" s="33"/>
      <c r="K724" s="33"/>
      <c r="L724" s="33"/>
      <c r="M724" s="33"/>
      <c r="N724" s="33"/>
      <c r="O724" s="33"/>
      <c r="P724" s="33"/>
      <c r="Q724" s="33"/>
      <c r="R724" s="33"/>
    </row>
    <row r="725">
      <c r="A725" s="33"/>
      <c r="B725" s="33"/>
      <c r="C725" s="33"/>
      <c r="D725" s="33"/>
      <c r="E725" s="33"/>
      <c r="F725" s="33"/>
      <c r="G725" s="33"/>
      <c r="H725" s="33"/>
      <c r="I725" s="33"/>
      <c r="J725" s="33"/>
      <c r="K725" s="33"/>
      <c r="L725" s="33"/>
      <c r="M725" s="33"/>
      <c r="N725" s="33"/>
      <c r="O725" s="33"/>
      <c r="P725" s="33"/>
      <c r="Q725" s="33"/>
      <c r="R725" s="33"/>
    </row>
    <row r="726">
      <c r="A726" s="33"/>
      <c r="B726" s="33"/>
      <c r="C726" s="33"/>
      <c r="D726" s="33"/>
      <c r="E726" s="33"/>
      <c r="F726" s="33"/>
      <c r="G726" s="33"/>
      <c r="H726" s="33"/>
      <c r="I726" s="33"/>
      <c r="J726" s="33"/>
      <c r="K726" s="33"/>
      <c r="L726" s="33"/>
      <c r="M726" s="33"/>
      <c r="N726" s="33"/>
      <c r="O726" s="33"/>
      <c r="P726" s="33"/>
      <c r="Q726" s="33"/>
      <c r="R726" s="33"/>
    </row>
    <row r="727">
      <c r="A727" s="33"/>
      <c r="B727" s="33"/>
      <c r="C727" s="33"/>
      <c r="D727" s="33"/>
      <c r="E727" s="33"/>
      <c r="F727" s="33"/>
      <c r="G727" s="33"/>
      <c r="H727" s="33"/>
      <c r="I727" s="33"/>
      <c r="J727" s="33"/>
      <c r="K727" s="33"/>
      <c r="L727" s="33"/>
      <c r="M727" s="33"/>
      <c r="N727" s="33"/>
      <c r="O727" s="33"/>
      <c r="P727" s="33"/>
      <c r="Q727" s="33"/>
      <c r="R727" s="33"/>
    </row>
    <row r="728">
      <c r="A728" s="33"/>
      <c r="B728" s="33"/>
      <c r="C728" s="33"/>
      <c r="D728" s="33"/>
      <c r="E728" s="33"/>
      <c r="F728" s="33"/>
      <c r="G728" s="33"/>
      <c r="H728" s="33"/>
      <c r="I728" s="33"/>
      <c r="J728" s="33"/>
      <c r="K728" s="33"/>
      <c r="L728" s="33"/>
      <c r="M728" s="33"/>
      <c r="N728" s="33"/>
      <c r="O728" s="33"/>
      <c r="P728" s="33"/>
      <c r="Q728" s="33"/>
      <c r="R728" s="33"/>
    </row>
    <row r="729">
      <c r="A729" s="33"/>
      <c r="B729" s="33"/>
      <c r="C729" s="33"/>
      <c r="D729" s="33"/>
      <c r="E729" s="33"/>
      <c r="F729" s="33"/>
      <c r="G729" s="33"/>
      <c r="H729" s="33"/>
      <c r="I729" s="33"/>
      <c r="J729" s="33"/>
      <c r="K729" s="33"/>
      <c r="L729" s="33"/>
      <c r="M729" s="33"/>
      <c r="N729" s="33"/>
      <c r="O729" s="33"/>
      <c r="P729" s="33"/>
      <c r="Q729" s="33"/>
      <c r="R729" s="33"/>
    </row>
    <row r="730">
      <c r="A730" s="33"/>
      <c r="B730" s="33"/>
      <c r="C730" s="33"/>
      <c r="D730" s="33"/>
      <c r="E730" s="33"/>
      <c r="F730" s="33"/>
      <c r="G730" s="33"/>
      <c r="H730" s="33"/>
      <c r="I730" s="33"/>
      <c r="J730" s="33"/>
      <c r="K730" s="33"/>
      <c r="L730" s="33"/>
      <c r="M730" s="33"/>
      <c r="N730" s="33"/>
      <c r="O730" s="33"/>
      <c r="P730" s="33"/>
      <c r="Q730" s="33"/>
      <c r="R730" s="33"/>
    </row>
    <row r="731">
      <c r="A731" s="33"/>
      <c r="B731" s="33"/>
      <c r="C731" s="33"/>
      <c r="D731" s="33"/>
      <c r="E731" s="33"/>
      <c r="F731" s="33"/>
      <c r="G731" s="33"/>
      <c r="H731" s="33"/>
      <c r="I731" s="33"/>
      <c r="J731" s="33"/>
      <c r="K731" s="33"/>
      <c r="L731" s="33"/>
      <c r="M731" s="33"/>
      <c r="N731" s="33"/>
      <c r="O731" s="33"/>
      <c r="P731" s="33"/>
      <c r="Q731" s="33"/>
      <c r="R731" s="33"/>
    </row>
    <row r="732">
      <c r="A732" s="33"/>
      <c r="B732" s="33"/>
      <c r="C732" s="33"/>
      <c r="D732" s="33"/>
      <c r="E732" s="33"/>
      <c r="F732" s="33"/>
      <c r="G732" s="33"/>
      <c r="H732" s="33"/>
      <c r="I732" s="33"/>
      <c r="J732" s="33"/>
      <c r="K732" s="33"/>
      <c r="L732" s="33"/>
      <c r="M732" s="33"/>
      <c r="N732" s="33"/>
      <c r="O732" s="33"/>
      <c r="P732" s="33"/>
      <c r="Q732" s="33"/>
      <c r="R732" s="33"/>
    </row>
    <row r="733">
      <c r="A733" s="33"/>
      <c r="B733" s="33"/>
      <c r="C733" s="33"/>
      <c r="D733" s="33"/>
      <c r="E733" s="33"/>
      <c r="F733" s="33"/>
      <c r="G733" s="33"/>
      <c r="H733" s="33"/>
      <c r="I733" s="33"/>
      <c r="J733" s="33"/>
      <c r="K733" s="33"/>
      <c r="L733" s="33"/>
      <c r="M733" s="33"/>
      <c r="N733" s="33"/>
      <c r="O733" s="33"/>
      <c r="P733" s="33"/>
      <c r="Q733" s="33"/>
      <c r="R733" s="33"/>
    </row>
    <row r="734">
      <c r="A734" s="33"/>
      <c r="B734" s="33"/>
      <c r="C734" s="33"/>
      <c r="D734" s="33"/>
      <c r="E734" s="33"/>
      <c r="F734" s="33"/>
      <c r="G734" s="33"/>
      <c r="H734" s="33"/>
      <c r="I734" s="33"/>
      <c r="J734" s="33"/>
      <c r="K734" s="33"/>
      <c r="L734" s="33"/>
      <c r="M734" s="33"/>
      <c r="N734" s="33"/>
      <c r="O734" s="33"/>
      <c r="P734" s="33"/>
      <c r="Q734" s="33"/>
      <c r="R734" s="33"/>
    </row>
    <row r="735">
      <c r="A735" s="33"/>
      <c r="B735" s="33"/>
      <c r="C735" s="33"/>
      <c r="D735" s="33"/>
      <c r="E735" s="33"/>
      <c r="F735" s="33"/>
      <c r="G735" s="33"/>
      <c r="H735" s="33"/>
      <c r="I735" s="33"/>
      <c r="J735" s="33"/>
      <c r="K735" s="33"/>
      <c r="L735" s="33"/>
      <c r="M735" s="33"/>
      <c r="N735" s="33"/>
      <c r="O735" s="33"/>
      <c r="P735" s="33"/>
      <c r="Q735" s="33"/>
      <c r="R735" s="33"/>
    </row>
    <row r="736">
      <c r="A736" s="33"/>
      <c r="B736" s="33"/>
      <c r="C736" s="33"/>
      <c r="D736" s="33"/>
      <c r="E736" s="33"/>
      <c r="F736" s="33"/>
      <c r="G736" s="33"/>
      <c r="H736" s="33"/>
      <c r="I736" s="33"/>
      <c r="J736" s="33"/>
      <c r="K736" s="33"/>
      <c r="L736" s="33"/>
      <c r="M736" s="33"/>
      <c r="N736" s="33"/>
      <c r="O736" s="33"/>
      <c r="P736" s="33"/>
      <c r="Q736" s="33"/>
      <c r="R736" s="33"/>
    </row>
    <row r="737">
      <c r="A737" s="33"/>
      <c r="B737" s="33"/>
      <c r="C737" s="33"/>
      <c r="D737" s="33"/>
      <c r="E737" s="33"/>
      <c r="F737" s="33"/>
      <c r="G737" s="33"/>
      <c r="H737" s="33"/>
      <c r="I737" s="33"/>
      <c r="J737" s="33"/>
      <c r="K737" s="33"/>
      <c r="L737" s="33"/>
      <c r="M737" s="33"/>
      <c r="N737" s="33"/>
      <c r="O737" s="33"/>
      <c r="P737" s="33"/>
      <c r="Q737" s="33"/>
      <c r="R737" s="33"/>
    </row>
    <row r="738">
      <c r="A738" s="33"/>
      <c r="B738" s="33"/>
      <c r="C738" s="33"/>
      <c r="D738" s="33"/>
      <c r="E738" s="33"/>
      <c r="F738" s="33"/>
      <c r="G738" s="33"/>
      <c r="H738" s="33"/>
      <c r="I738" s="33"/>
      <c r="J738" s="33"/>
      <c r="K738" s="33"/>
      <c r="L738" s="33"/>
      <c r="M738" s="33"/>
      <c r="N738" s="33"/>
      <c r="O738" s="33"/>
      <c r="P738" s="33"/>
      <c r="Q738" s="33"/>
      <c r="R738" s="33"/>
    </row>
    <row r="739">
      <c r="A739" s="33"/>
      <c r="B739" s="33"/>
      <c r="C739" s="33"/>
      <c r="D739" s="33"/>
      <c r="E739" s="33"/>
      <c r="F739" s="33"/>
      <c r="G739" s="33"/>
      <c r="H739" s="33"/>
      <c r="I739" s="33"/>
      <c r="J739" s="33"/>
      <c r="K739" s="33"/>
      <c r="L739" s="33"/>
      <c r="M739" s="33"/>
      <c r="N739" s="33"/>
      <c r="O739" s="33"/>
      <c r="P739" s="33"/>
      <c r="Q739" s="33"/>
      <c r="R739" s="33"/>
    </row>
    <row r="740">
      <c r="A740" s="33"/>
      <c r="B740" s="33"/>
      <c r="C740" s="33"/>
      <c r="D740" s="33"/>
      <c r="E740" s="33"/>
      <c r="F740" s="33"/>
      <c r="G740" s="33"/>
      <c r="H740" s="33"/>
      <c r="I740" s="33"/>
      <c r="J740" s="33"/>
      <c r="K740" s="33"/>
      <c r="L740" s="33"/>
      <c r="M740" s="33"/>
      <c r="N740" s="33"/>
      <c r="O740" s="33"/>
      <c r="P740" s="33"/>
      <c r="Q740" s="33"/>
      <c r="R740" s="33"/>
    </row>
    <row r="741">
      <c r="A741" s="33"/>
      <c r="B741" s="33"/>
      <c r="C741" s="33"/>
      <c r="D741" s="33"/>
      <c r="E741" s="33"/>
      <c r="F741" s="33"/>
      <c r="G741" s="33"/>
      <c r="H741" s="33"/>
      <c r="I741" s="33"/>
      <c r="J741" s="33"/>
      <c r="K741" s="33"/>
      <c r="L741" s="33"/>
      <c r="M741" s="33"/>
      <c r="N741" s="33"/>
      <c r="O741" s="33"/>
      <c r="P741" s="33"/>
      <c r="Q741" s="33"/>
      <c r="R741" s="33"/>
    </row>
    <row r="742">
      <c r="A742" s="33"/>
      <c r="B742" s="33"/>
      <c r="C742" s="33"/>
      <c r="D742" s="33"/>
      <c r="E742" s="33"/>
      <c r="F742" s="33"/>
      <c r="G742" s="33"/>
      <c r="H742" s="33"/>
      <c r="I742" s="33"/>
      <c r="J742" s="33"/>
      <c r="K742" s="33"/>
      <c r="L742" s="33"/>
      <c r="M742" s="33"/>
      <c r="N742" s="33"/>
      <c r="O742" s="33"/>
      <c r="P742" s="33"/>
      <c r="Q742" s="33"/>
      <c r="R742" s="33"/>
    </row>
    <row r="743">
      <c r="A743" s="33"/>
      <c r="B743" s="33"/>
      <c r="C743" s="33"/>
      <c r="D743" s="33"/>
      <c r="E743" s="33"/>
      <c r="F743" s="33"/>
      <c r="G743" s="33"/>
      <c r="H743" s="33"/>
      <c r="I743" s="33"/>
      <c r="J743" s="33"/>
      <c r="K743" s="33"/>
      <c r="L743" s="33"/>
      <c r="M743" s="33"/>
      <c r="N743" s="33"/>
      <c r="O743" s="33"/>
      <c r="P743" s="33"/>
      <c r="Q743" s="33"/>
      <c r="R743" s="33"/>
    </row>
    <row r="744">
      <c r="A744" s="33"/>
      <c r="B744" s="33"/>
      <c r="C744" s="33"/>
      <c r="D744" s="33"/>
      <c r="E744" s="33"/>
      <c r="F744" s="33"/>
      <c r="G744" s="33"/>
      <c r="H744" s="33"/>
      <c r="I744" s="33"/>
      <c r="J744" s="33"/>
      <c r="K744" s="33"/>
      <c r="L744" s="33"/>
      <c r="M744" s="33"/>
      <c r="N744" s="33"/>
      <c r="O744" s="33"/>
      <c r="P744" s="33"/>
      <c r="Q744" s="33"/>
      <c r="R744" s="33"/>
    </row>
    <row r="745">
      <c r="A745" s="33"/>
      <c r="B745" s="33"/>
      <c r="C745" s="33"/>
      <c r="D745" s="33"/>
      <c r="E745" s="33"/>
      <c r="F745" s="33"/>
      <c r="G745" s="33"/>
      <c r="H745" s="33"/>
      <c r="I745" s="33"/>
      <c r="J745" s="33"/>
      <c r="K745" s="33"/>
      <c r="L745" s="33"/>
      <c r="M745" s="33"/>
      <c r="N745" s="33"/>
      <c r="O745" s="33"/>
      <c r="P745" s="33"/>
      <c r="Q745" s="33"/>
      <c r="R745" s="33"/>
    </row>
    <row r="746">
      <c r="A746" s="33"/>
      <c r="B746" s="33"/>
      <c r="C746" s="33"/>
      <c r="D746" s="33"/>
      <c r="E746" s="33"/>
      <c r="F746" s="33"/>
      <c r="G746" s="33"/>
      <c r="H746" s="33"/>
      <c r="I746" s="33"/>
      <c r="J746" s="33"/>
      <c r="K746" s="33"/>
      <c r="L746" s="33"/>
      <c r="M746" s="33"/>
      <c r="N746" s="33"/>
      <c r="O746" s="33"/>
      <c r="P746" s="33"/>
      <c r="Q746" s="33"/>
      <c r="R746" s="33"/>
    </row>
    <row r="747">
      <c r="A747" s="33"/>
      <c r="B747" s="33"/>
      <c r="C747" s="33"/>
      <c r="D747" s="33"/>
      <c r="E747" s="33"/>
      <c r="F747" s="33"/>
      <c r="G747" s="33"/>
      <c r="H747" s="33"/>
      <c r="I747" s="33"/>
      <c r="J747" s="33"/>
      <c r="K747" s="33"/>
      <c r="L747" s="33"/>
      <c r="M747" s="33"/>
      <c r="N747" s="33"/>
      <c r="O747" s="33"/>
      <c r="P747" s="33"/>
      <c r="Q747" s="33"/>
      <c r="R747" s="33"/>
    </row>
    <row r="748">
      <c r="A748" s="33"/>
      <c r="B748" s="33"/>
      <c r="C748" s="33"/>
      <c r="D748" s="33"/>
      <c r="E748" s="33"/>
      <c r="F748" s="33"/>
      <c r="G748" s="33"/>
      <c r="H748" s="33"/>
      <c r="I748" s="33"/>
      <c r="J748" s="33"/>
      <c r="K748" s="33"/>
      <c r="L748" s="33"/>
      <c r="M748" s="33"/>
      <c r="N748" s="33"/>
      <c r="O748" s="33"/>
      <c r="P748" s="33"/>
      <c r="Q748" s="33"/>
      <c r="R748" s="33"/>
    </row>
    <row r="749">
      <c r="A749" s="33"/>
      <c r="B749" s="33"/>
      <c r="C749" s="33"/>
      <c r="D749" s="33"/>
      <c r="E749" s="33"/>
      <c r="F749" s="33"/>
      <c r="G749" s="33"/>
      <c r="H749" s="33"/>
      <c r="I749" s="33"/>
      <c r="J749" s="33"/>
      <c r="K749" s="33"/>
      <c r="L749" s="33"/>
      <c r="M749" s="33"/>
      <c r="N749" s="33"/>
      <c r="O749" s="33"/>
      <c r="P749" s="33"/>
      <c r="Q749" s="33"/>
      <c r="R749" s="33"/>
    </row>
    <row r="750">
      <c r="A750" s="33"/>
      <c r="B750" s="33"/>
      <c r="C750" s="33"/>
      <c r="D750" s="33"/>
      <c r="E750" s="33"/>
      <c r="F750" s="33"/>
      <c r="G750" s="33"/>
      <c r="H750" s="33"/>
      <c r="I750" s="33"/>
      <c r="J750" s="33"/>
      <c r="K750" s="33"/>
      <c r="L750" s="33"/>
      <c r="M750" s="33"/>
      <c r="N750" s="33"/>
      <c r="O750" s="33"/>
      <c r="P750" s="33"/>
      <c r="Q750" s="33"/>
      <c r="R750" s="33"/>
    </row>
    <row r="751">
      <c r="A751" s="33"/>
      <c r="B751" s="33"/>
      <c r="C751" s="33"/>
      <c r="D751" s="33"/>
      <c r="E751" s="33"/>
      <c r="F751" s="33"/>
      <c r="G751" s="33"/>
      <c r="H751" s="33"/>
      <c r="I751" s="33"/>
      <c r="J751" s="33"/>
      <c r="K751" s="33"/>
      <c r="L751" s="33"/>
      <c r="M751" s="33"/>
      <c r="N751" s="33"/>
      <c r="O751" s="33"/>
      <c r="P751" s="33"/>
      <c r="Q751" s="33"/>
      <c r="R751" s="33"/>
    </row>
    <row r="752">
      <c r="A752" s="33"/>
      <c r="B752" s="33"/>
      <c r="C752" s="33"/>
      <c r="D752" s="33"/>
      <c r="E752" s="33"/>
      <c r="F752" s="33"/>
      <c r="G752" s="33"/>
      <c r="H752" s="33"/>
      <c r="I752" s="33"/>
      <c r="J752" s="33"/>
      <c r="K752" s="33"/>
      <c r="L752" s="33"/>
      <c r="M752" s="33"/>
      <c r="N752" s="33"/>
      <c r="O752" s="33"/>
      <c r="P752" s="33"/>
      <c r="Q752" s="33"/>
      <c r="R752" s="33"/>
    </row>
    <row r="753">
      <c r="A753" s="33"/>
      <c r="B753" s="33"/>
      <c r="C753" s="33"/>
      <c r="D753" s="33"/>
      <c r="E753" s="33"/>
      <c r="F753" s="33"/>
      <c r="G753" s="33"/>
      <c r="H753" s="33"/>
      <c r="I753" s="33"/>
      <c r="J753" s="33"/>
      <c r="K753" s="33"/>
      <c r="L753" s="33"/>
      <c r="M753" s="33"/>
      <c r="N753" s="33"/>
      <c r="O753" s="33"/>
      <c r="P753" s="33"/>
      <c r="Q753" s="33"/>
      <c r="R753" s="33"/>
    </row>
    <row r="754">
      <c r="A754" s="33"/>
      <c r="B754" s="33"/>
      <c r="C754" s="33"/>
      <c r="D754" s="33"/>
      <c r="E754" s="33"/>
      <c r="F754" s="33"/>
      <c r="G754" s="33"/>
      <c r="H754" s="33"/>
      <c r="I754" s="33"/>
      <c r="J754" s="33"/>
      <c r="K754" s="33"/>
      <c r="L754" s="33"/>
      <c r="M754" s="33"/>
      <c r="N754" s="33"/>
      <c r="O754" s="33"/>
      <c r="P754" s="33"/>
      <c r="Q754" s="33"/>
      <c r="R754" s="33"/>
    </row>
    <row r="755">
      <c r="A755" s="33"/>
      <c r="B755" s="33"/>
      <c r="C755" s="33"/>
      <c r="D755" s="33"/>
      <c r="E755" s="33"/>
      <c r="F755" s="33"/>
      <c r="G755" s="33"/>
      <c r="H755" s="33"/>
      <c r="I755" s="33"/>
      <c r="J755" s="33"/>
      <c r="K755" s="33"/>
      <c r="L755" s="33"/>
      <c r="M755" s="33"/>
      <c r="N755" s="33"/>
      <c r="O755" s="33"/>
      <c r="P755" s="33"/>
      <c r="Q755" s="33"/>
      <c r="R755" s="33"/>
    </row>
    <row r="756">
      <c r="A756" s="33"/>
      <c r="B756" s="33"/>
      <c r="C756" s="33"/>
      <c r="D756" s="33"/>
      <c r="E756" s="33"/>
      <c r="F756" s="33"/>
      <c r="G756" s="33"/>
      <c r="H756" s="33"/>
      <c r="I756" s="33"/>
      <c r="J756" s="33"/>
      <c r="K756" s="33"/>
      <c r="L756" s="33"/>
      <c r="M756" s="33"/>
      <c r="N756" s="33"/>
      <c r="O756" s="33"/>
      <c r="P756" s="33"/>
      <c r="Q756" s="33"/>
      <c r="R756" s="33"/>
    </row>
    <row r="757">
      <c r="A757" s="33"/>
      <c r="B757" s="33"/>
      <c r="C757" s="33"/>
      <c r="D757" s="33"/>
      <c r="E757" s="33"/>
      <c r="F757" s="33"/>
      <c r="G757" s="33"/>
      <c r="H757" s="33"/>
      <c r="I757" s="33"/>
      <c r="J757" s="33"/>
      <c r="K757" s="33"/>
      <c r="L757" s="33"/>
      <c r="M757" s="33"/>
      <c r="N757" s="33"/>
      <c r="O757" s="33"/>
      <c r="P757" s="33"/>
      <c r="Q757" s="33"/>
      <c r="R757" s="33"/>
    </row>
    <row r="758">
      <c r="A758" s="33"/>
      <c r="B758" s="33"/>
      <c r="C758" s="33"/>
      <c r="D758" s="33"/>
      <c r="E758" s="33"/>
      <c r="F758" s="33"/>
      <c r="G758" s="33"/>
      <c r="H758" s="33"/>
      <c r="I758" s="33"/>
      <c r="J758" s="33"/>
      <c r="K758" s="33"/>
      <c r="L758" s="33"/>
      <c r="M758" s="33"/>
      <c r="N758" s="33"/>
      <c r="O758" s="33"/>
      <c r="P758" s="33"/>
      <c r="Q758" s="33"/>
      <c r="R758" s="33"/>
    </row>
    <row r="759">
      <c r="A759" s="33"/>
      <c r="B759" s="33"/>
      <c r="C759" s="33"/>
      <c r="D759" s="33"/>
      <c r="E759" s="33"/>
      <c r="F759" s="33"/>
      <c r="G759" s="33"/>
      <c r="H759" s="33"/>
      <c r="I759" s="33"/>
      <c r="J759" s="33"/>
      <c r="K759" s="33"/>
      <c r="L759" s="33"/>
      <c r="M759" s="33"/>
      <c r="N759" s="33"/>
      <c r="O759" s="33"/>
      <c r="P759" s="33"/>
      <c r="Q759" s="33"/>
      <c r="R759" s="33"/>
    </row>
    <row r="760">
      <c r="A760" s="33"/>
      <c r="B760" s="33"/>
      <c r="C760" s="33"/>
      <c r="D760" s="33"/>
      <c r="E760" s="33"/>
      <c r="F760" s="33"/>
      <c r="G760" s="33"/>
      <c r="H760" s="33"/>
      <c r="I760" s="33"/>
      <c r="J760" s="33"/>
      <c r="K760" s="33"/>
      <c r="L760" s="33"/>
      <c r="M760" s="33"/>
      <c r="N760" s="33"/>
      <c r="O760" s="33"/>
      <c r="P760" s="33"/>
      <c r="Q760" s="33"/>
      <c r="R760" s="33"/>
    </row>
    <row r="761">
      <c r="A761" s="33"/>
      <c r="B761" s="33"/>
      <c r="C761" s="33"/>
      <c r="D761" s="33"/>
      <c r="E761" s="33"/>
      <c r="F761" s="33"/>
      <c r="G761" s="33"/>
      <c r="H761" s="33"/>
      <c r="I761" s="33"/>
      <c r="J761" s="33"/>
      <c r="K761" s="33"/>
      <c r="L761" s="33"/>
      <c r="M761" s="33"/>
      <c r="N761" s="33"/>
      <c r="O761" s="33"/>
      <c r="P761" s="33"/>
      <c r="Q761" s="33"/>
      <c r="R761" s="33"/>
    </row>
    <row r="762">
      <c r="A762" s="33"/>
      <c r="B762" s="33"/>
      <c r="C762" s="33"/>
      <c r="D762" s="33"/>
      <c r="E762" s="33"/>
      <c r="F762" s="33"/>
      <c r="G762" s="33"/>
      <c r="H762" s="33"/>
      <c r="I762" s="33"/>
      <c r="J762" s="33"/>
      <c r="K762" s="33"/>
      <c r="L762" s="33"/>
      <c r="M762" s="33"/>
      <c r="N762" s="33"/>
      <c r="O762" s="33"/>
      <c r="P762" s="33"/>
      <c r="Q762" s="33"/>
      <c r="R762" s="33"/>
    </row>
    <row r="763">
      <c r="A763" s="33"/>
      <c r="B763" s="33"/>
      <c r="C763" s="33"/>
      <c r="D763" s="33"/>
      <c r="E763" s="33"/>
      <c r="F763" s="33"/>
      <c r="G763" s="33"/>
      <c r="H763" s="33"/>
      <c r="I763" s="33"/>
      <c r="J763" s="33"/>
      <c r="K763" s="33"/>
      <c r="L763" s="33"/>
      <c r="M763" s="33"/>
      <c r="N763" s="33"/>
      <c r="O763" s="33"/>
      <c r="P763" s="33"/>
      <c r="Q763" s="33"/>
      <c r="R763" s="33"/>
    </row>
    <row r="764">
      <c r="A764" s="33"/>
      <c r="B764" s="33"/>
      <c r="C764" s="33"/>
      <c r="D764" s="33"/>
      <c r="E764" s="33"/>
      <c r="F764" s="33"/>
      <c r="G764" s="33"/>
      <c r="H764" s="33"/>
      <c r="I764" s="33"/>
      <c r="J764" s="33"/>
      <c r="K764" s="33"/>
      <c r="L764" s="33"/>
      <c r="M764" s="33"/>
      <c r="N764" s="33"/>
      <c r="O764" s="33"/>
      <c r="P764" s="33"/>
      <c r="Q764" s="33"/>
      <c r="R764" s="33"/>
    </row>
    <row r="765">
      <c r="A765" s="33"/>
      <c r="B765" s="33"/>
      <c r="C765" s="33"/>
      <c r="D765" s="33"/>
      <c r="E765" s="33"/>
      <c r="F765" s="33"/>
      <c r="G765" s="33"/>
      <c r="H765" s="33"/>
      <c r="I765" s="33"/>
      <c r="J765" s="33"/>
      <c r="K765" s="33"/>
      <c r="L765" s="33"/>
      <c r="M765" s="33"/>
      <c r="N765" s="33"/>
      <c r="O765" s="33"/>
      <c r="P765" s="33"/>
      <c r="Q765" s="33"/>
      <c r="R765" s="33"/>
    </row>
    <row r="766">
      <c r="A766" s="33"/>
      <c r="B766" s="33"/>
      <c r="C766" s="33"/>
      <c r="D766" s="33"/>
      <c r="E766" s="33"/>
      <c r="F766" s="33"/>
      <c r="G766" s="33"/>
      <c r="H766" s="33"/>
      <c r="I766" s="33"/>
      <c r="J766" s="33"/>
      <c r="K766" s="33"/>
      <c r="L766" s="33"/>
      <c r="M766" s="33"/>
      <c r="N766" s="33"/>
      <c r="O766" s="33"/>
      <c r="P766" s="33"/>
      <c r="Q766" s="33"/>
      <c r="R766" s="33"/>
    </row>
    <row r="767">
      <c r="A767" s="33"/>
      <c r="B767" s="33"/>
      <c r="C767" s="33"/>
      <c r="D767" s="33"/>
      <c r="E767" s="33"/>
      <c r="F767" s="33"/>
      <c r="G767" s="33"/>
      <c r="H767" s="33"/>
      <c r="I767" s="33"/>
      <c r="J767" s="33"/>
      <c r="K767" s="33"/>
      <c r="L767" s="33"/>
      <c r="M767" s="33"/>
      <c r="N767" s="33"/>
      <c r="O767" s="33"/>
      <c r="P767" s="33"/>
      <c r="Q767" s="33"/>
      <c r="R767" s="33"/>
    </row>
    <row r="768">
      <c r="A768" s="33"/>
      <c r="B768" s="33"/>
      <c r="C768" s="33"/>
      <c r="D768" s="33"/>
      <c r="E768" s="33"/>
      <c r="F768" s="33"/>
      <c r="G768" s="33"/>
      <c r="H768" s="33"/>
      <c r="I768" s="33"/>
      <c r="J768" s="33"/>
      <c r="K768" s="33"/>
      <c r="L768" s="33"/>
      <c r="M768" s="33"/>
      <c r="N768" s="33"/>
      <c r="O768" s="33"/>
      <c r="P768" s="33"/>
      <c r="Q768" s="33"/>
      <c r="R768" s="33"/>
    </row>
    <row r="769">
      <c r="A769" s="33"/>
      <c r="B769" s="33"/>
      <c r="C769" s="33"/>
      <c r="D769" s="33"/>
      <c r="E769" s="33"/>
      <c r="F769" s="33"/>
      <c r="G769" s="33"/>
      <c r="H769" s="33"/>
      <c r="I769" s="33"/>
      <c r="J769" s="33"/>
      <c r="K769" s="33"/>
      <c r="L769" s="33"/>
      <c r="M769" s="33"/>
      <c r="N769" s="33"/>
      <c r="O769" s="33"/>
      <c r="P769" s="33"/>
      <c r="Q769" s="33"/>
      <c r="R769" s="33"/>
    </row>
    <row r="770">
      <c r="A770" s="33"/>
      <c r="B770" s="33"/>
      <c r="C770" s="33"/>
      <c r="D770" s="33"/>
      <c r="E770" s="33"/>
      <c r="F770" s="33"/>
      <c r="G770" s="33"/>
      <c r="H770" s="33"/>
      <c r="I770" s="33"/>
      <c r="J770" s="33"/>
      <c r="K770" s="33"/>
      <c r="L770" s="33"/>
      <c r="M770" s="33"/>
      <c r="N770" s="33"/>
      <c r="O770" s="33"/>
      <c r="P770" s="33"/>
      <c r="Q770" s="33"/>
      <c r="R770" s="33"/>
    </row>
    <row r="771">
      <c r="A771" s="33"/>
      <c r="B771" s="33"/>
      <c r="C771" s="33"/>
      <c r="D771" s="33"/>
      <c r="E771" s="33"/>
      <c r="F771" s="33"/>
      <c r="G771" s="33"/>
      <c r="H771" s="33"/>
      <c r="I771" s="33"/>
      <c r="J771" s="33"/>
      <c r="K771" s="33"/>
      <c r="L771" s="33"/>
      <c r="M771" s="33"/>
      <c r="N771" s="33"/>
      <c r="O771" s="33"/>
      <c r="P771" s="33"/>
      <c r="Q771" s="33"/>
      <c r="R771" s="33"/>
    </row>
    <row r="772">
      <c r="A772" s="33"/>
      <c r="B772" s="33"/>
      <c r="C772" s="33"/>
      <c r="D772" s="33"/>
      <c r="E772" s="33"/>
      <c r="F772" s="33"/>
      <c r="G772" s="33"/>
      <c r="H772" s="33"/>
      <c r="I772" s="33"/>
      <c r="J772" s="33"/>
      <c r="K772" s="33"/>
      <c r="L772" s="33"/>
      <c r="M772" s="33"/>
      <c r="N772" s="33"/>
      <c r="O772" s="33"/>
      <c r="P772" s="33"/>
      <c r="Q772" s="33"/>
      <c r="R772" s="33"/>
    </row>
    <row r="773">
      <c r="A773" s="33"/>
      <c r="B773" s="33"/>
      <c r="C773" s="33"/>
      <c r="D773" s="33"/>
      <c r="E773" s="33"/>
      <c r="F773" s="33"/>
      <c r="G773" s="33"/>
      <c r="H773" s="33"/>
      <c r="I773" s="33"/>
      <c r="J773" s="33"/>
      <c r="K773" s="33"/>
      <c r="L773" s="33"/>
      <c r="M773" s="33"/>
      <c r="N773" s="33"/>
      <c r="O773" s="33"/>
      <c r="P773" s="33"/>
      <c r="Q773" s="33"/>
      <c r="R773" s="33"/>
    </row>
    <row r="774">
      <c r="A774" s="33"/>
      <c r="B774" s="33"/>
      <c r="C774" s="33"/>
      <c r="D774" s="33"/>
      <c r="E774" s="33"/>
      <c r="F774" s="33"/>
      <c r="G774" s="33"/>
      <c r="H774" s="33"/>
      <c r="I774" s="33"/>
      <c r="J774" s="33"/>
      <c r="K774" s="33"/>
      <c r="L774" s="33"/>
      <c r="M774" s="33"/>
      <c r="N774" s="33"/>
      <c r="O774" s="33"/>
      <c r="P774" s="33"/>
      <c r="Q774" s="33"/>
      <c r="R774" s="33"/>
    </row>
    <row r="775">
      <c r="A775" s="33"/>
      <c r="B775" s="33"/>
      <c r="C775" s="33"/>
      <c r="D775" s="33"/>
      <c r="E775" s="33"/>
      <c r="F775" s="33"/>
      <c r="G775" s="33"/>
      <c r="H775" s="33"/>
      <c r="I775" s="33"/>
      <c r="J775" s="33"/>
      <c r="K775" s="33"/>
      <c r="L775" s="33"/>
      <c r="M775" s="33"/>
      <c r="N775" s="33"/>
      <c r="O775" s="33"/>
      <c r="P775" s="33"/>
      <c r="Q775" s="33"/>
      <c r="R775" s="33"/>
    </row>
    <row r="776">
      <c r="A776" s="33"/>
      <c r="B776" s="33"/>
      <c r="C776" s="33"/>
      <c r="D776" s="33"/>
      <c r="E776" s="33"/>
      <c r="F776" s="33"/>
      <c r="G776" s="33"/>
      <c r="H776" s="33"/>
      <c r="I776" s="33"/>
      <c r="J776" s="33"/>
      <c r="K776" s="33"/>
      <c r="L776" s="33"/>
      <c r="M776" s="33"/>
      <c r="N776" s="33"/>
      <c r="O776" s="33"/>
      <c r="P776" s="33"/>
      <c r="Q776" s="33"/>
      <c r="R776" s="33"/>
    </row>
    <row r="777">
      <c r="A777" s="33"/>
      <c r="B777" s="33"/>
      <c r="C777" s="33"/>
      <c r="D777" s="33"/>
      <c r="E777" s="33"/>
      <c r="F777" s="33"/>
      <c r="G777" s="33"/>
      <c r="H777" s="33"/>
      <c r="I777" s="33"/>
      <c r="J777" s="33"/>
      <c r="K777" s="33"/>
      <c r="L777" s="33"/>
      <c r="M777" s="33"/>
      <c r="N777" s="33"/>
      <c r="O777" s="33"/>
      <c r="P777" s="33"/>
      <c r="Q777" s="33"/>
      <c r="R777" s="33"/>
    </row>
    <row r="778">
      <c r="A778" s="33"/>
      <c r="B778" s="33"/>
      <c r="C778" s="33"/>
      <c r="D778" s="33"/>
      <c r="E778" s="33"/>
      <c r="F778" s="33"/>
      <c r="G778" s="33"/>
      <c r="H778" s="33"/>
      <c r="I778" s="33"/>
      <c r="J778" s="33"/>
      <c r="K778" s="33"/>
      <c r="L778" s="33"/>
      <c r="M778" s="33"/>
      <c r="N778" s="33"/>
      <c r="O778" s="33"/>
      <c r="P778" s="33"/>
      <c r="Q778" s="33"/>
      <c r="R778" s="33"/>
    </row>
    <row r="779">
      <c r="A779" s="33"/>
      <c r="B779" s="33"/>
      <c r="C779" s="33"/>
      <c r="D779" s="33"/>
      <c r="E779" s="33"/>
      <c r="F779" s="33"/>
      <c r="G779" s="33"/>
      <c r="H779" s="33"/>
      <c r="I779" s="33"/>
      <c r="J779" s="33"/>
      <c r="K779" s="33"/>
      <c r="L779" s="33"/>
      <c r="M779" s="33"/>
      <c r="N779" s="33"/>
      <c r="O779" s="33"/>
      <c r="P779" s="33"/>
      <c r="Q779" s="33"/>
      <c r="R779" s="33"/>
    </row>
    <row r="780">
      <c r="A780" s="33"/>
      <c r="B780" s="33"/>
      <c r="C780" s="33"/>
      <c r="D780" s="33"/>
      <c r="E780" s="33"/>
      <c r="F780" s="33"/>
      <c r="G780" s="33"/>
      <c r="H780" s="33"/>
      <c r="I780" s="33"/>
      <c r="J780" s="33"/>
      <c r="K780" s="33"/>
      <c r="L780" s="33"/>
      <c r="M780" s="33"/>
      <c r="N780" s="33"/>
      <c r="O780" s="33"/>
      <c r="P780" s="33"/>
      <c r="Q780" s="33"/>
      <c r="R780" s="33"/>
    </row>
    <row r="781">
      <c r="A781" s="33"/>
      <c r="B781" s="33"/>
      <c r="C781" s="33"/>
      <c r="D781" s="33"/>
      <c r="E781" s="33"/>
      <c r="F781" s="33"/>
      <c r="G781" s="33"/>
      <c r="H781" s="33"/>
      <c r="I781" s="33"/>
      <c r="J781" s="33"/>
      <c r="K781" s="33"/>
      <c r="L781" s="33"/>
      <c r="M781" s="33"/>
      <c r="N781" s="33"/>
      <c r="O781" s="33"/>
      <c r="P781" s="33"/>
      <c r="Q781" s="33"/>
      <c r="R781" s="33"/>
    </row>
    <row r="782">
      <c r="A782" s="33"/>
      <c r="B782" s="33"/>
      <c r="C782" s="33"/>
      <c r="D782" s="33"/>
      <c r="E782" s="33"/>
      <c r="F782" s="33"/>
      <c r="G782" s="33"/>
      <c r="H782" s="33"/>
      <c r="I782" s="33"/>
      <c r="J782" s="33"/>
      <c r="K782" s="33"/>
      <c r="L782" s="33"/>
      <c r="M782" s="33"/>
      <c r="N782" s="33"/>
      <c r="O782" s="33"/>
      <c r="P782" s="33"/>
      <c r="Q782" s="33"/>
      <c r="R782" s="33"/>
    </row>
    <row r="783">
      <c r="A783" s="33"/>
      <c r="B783" s="33"/>
      <c r="C783" s="33"/>
      <c r="D783" s="33"/>
      <c r="E783" s="33"/>
      <c r="F783" s="33"/>
      <c r="G783" s="33"/>
      <c r="H783" s="33"/>
      <c r="I783" s="33"/>
      <c r="J783" s="33"/>
      <c r="K783" s="33"/>
      <c r="L783" s="33"/>
      <c r="M783" s="33"/>
      <c r="N783" s="33"/>
      <c r="O783" s="33"/>
      <c r="P783" s="33"/>
      <c r="Q783" s="33"/>
      <c r="R783" s="33"/>
    </row>
    <row r="784">
      <c r="A784" s="33"/>
      <c r="B784" s="33"/>
      <c r="C784" s="33"/>
      <c r="D784" s="33"/>
      <c r="E784" s="33"/>
      <c r="F784" s="33"/>
      <c r="G784" s="33"/>
      <c r="H784" s="33"/>
      <c r="I784" s="33"/>
      <c r="J784" s="33"/>
      <c r="K784" s="33"/>
      <c r="L784" s="33"/>
      <c r="M784" s="33"/>
      <c r="N784" s="33"/>
      <c r="O784" s="33"/>
      <c r="P784" s="33"/>
      <c r="Q784" s="33"/>
      <c r="R784" s="33"/>
    </row>
    <row r="785">
      <c r="A785" s="33"/>
      <c r="B785" s="33"/>
      <c r="C785" s="33"/>
      <c r="D785" s="33"/>
      <c r="E785" s="33"/>
      <c r="F785" s="33"/>
      <c r="G785" s="33"/>
      <c r="H785" s="33"/>
      <c r="I785" s="33"/>
      <c r="J785" s="33"/>
      <c r="K785" s="33"/>
      <c r="L785" s="33"/>
      <c r="M785" s="33"/>
      <c r="N785" s="33"/>
      <c r="O785" s="33"/>
      <c r="P785" s="33"/>
      <c r="Q785" s="33"/>
      <c r="R785" s="33"/>
    </row>
    <row r="786">
      <c r="A786" s="33"/>
      <c r="B786" s="33"/>
      <c r="C786" s="33"/>
      <c r="D786" s="33"/>
      <c r="E786" s="33"/>
      <c r="F786" s="33"/>
      <c r="G786" s="33"/>
      <c r="H786" s="33"/>
      <c r="I786" s="33"/>
      <c r="J786" s="33"/>
      <c r="K786" s="33"/>
      <c r="L786" s="33"/>
      <c r="M786" s="33"/>
      <c r="N786" s="33"/>
      <c r="O786" s="33"/>
      <c r="P786" s="33"/>
      <c r="Q786" s="33"/>
      <c r="R786" s="33"/>
    </row>
    <row r="787">
      <c r="A787" s="33"/>
      <c r="B787" s="33"/>
      <c r="C787" s="33"/>
      <c r="D787" s="33"/>
      <c r="E787" s="33"/>
      <c r="F787" s="33"/>
      <c r="G787" s="33"/>
      <c r="H787" s="33"/>
      <c r="I787" s="33"/>
      <c r="J787" s="33"/>
      <c r="K787" s="33"/>
      <c r="L787" s="33"/>
      <c r="M787" s="33"/>
      <c r="N787" s="33"/>
      <c r="O787" s="33"/>
      <c r="P787" s="33"/>
      <c r="Q787" s="33"/>
      <c r="R787" s="33"/>
    </row>
    <row r="788">
      <c r="A788" s="33"/>
      <c r="B788" s="33"/>
      <c r="C788" s="33"/>
      <c r="D788" s="33"/>
      <c r="E788" s="33"/>
      <c r="F788" s="33"/>
      <c r="G788" s="33"/>
      <c r="H788" s="33"/>
      <c r="I788" s="33"/>
      <c r="J788" s="33"/>
      <c r="K788" s="33"/>
      <c r="L788" s="33"/>
      <c r="M788" s="33"/>
      <c r="N788" s="33"/>
      <c r="O788" s="33"/>
      <c r="P788" s="33"/>
      <c r="Q788" s="33"/>
      <c r="R788" s="33"/>
    </row>
    <row r="789">
      <c r="A789" s="33"/>
      <c r="B789" s="33"/>
      <c r="C789" s="33"/>
      <c r="D789" s="33"/>
      <c r="E789" s="33"/>
      <c r="F789" s="33"/>
      <c r="G789" s="33"/>
      <c r="H789" s="33"/>
      <c r="I789" s="33"/>
      <c r="J789" s="33"/>
      <c r="K789" s="33"/>
      <c r="L789" s="33"/>
      <c r="M789" s="33"/>
      <c r="N789" s="33"/>
      <c r="O789" s="33"/>
      <c r="P789" s="33"/>
      <c r="Q789" s="33"/>
      <c r="R789" s="33"/>
    </row>
    <row r="790">
      <c r="A790" s="33"/>
      <c r="B790" s="33"/>
      <c r="C790" s="33"/>
      <c r="D790" s="33"/>
      <c r="E790" s="33"/>
      <c r="F790" s="33"/>
      <c r="G790" s="33"/>
      <c r="H790" s="33"/>
      <c r="I790" s="33"/>
      <c r="J790" s="33"/>
      <c r="K790" s="33"/>
      <c r="L790" s="33"/>
      <c r="M790" s="33"/>
      <c r="N790" s="33"/>
      <c r="O790" s="33"/>
      <c r="P790" s="33"/>
      <c r="Q790" s="33"/>
      <c r="R790" s="33"/>
    </row>
    <row r="791">
      <c r="A791" s="33"/>
      <c r="B791" s="33"/>
      <c r="C791" s="33"/>
      <c r="D791" s="33"/>
      <c r="E791" s="33"/>
      <c r="F791" s="33"/>
      <c r="G791" s="33"/>
      <c r="H791" s="33"/>
      <c r="I791" s="33"/>
      <c r="J791" s="33"/>
      <c r="K791" s="33"/>
      <c r="L791" s="33"/>
      <c r="M791" s="33"/>
      <c r="N791" s="33"/>
      <c r="O791" s="33"/>
      <c r="P791" s="33"/>
      <c r="Q791" s="33"/>
      <c r="R791" s="33"/>
    </row>
    <row r="792">
      <c r="A792" s="33"/>
      <c r="B792" s="33"/>
      <c r="C792" s="33"/>
      <c r="D792" s="33"/>
      <c r="E792" s="33"/>
      <c r="F792" s="33"/>
      <c r="G792" s="33"/>
      <c r="H792" s="33"/>
      <c r="I792" s="33"/>
      <c r="J792" s="33"/>
      <c r="K792" s="33"/>
      <c r="L792" s="33"/>
      <c r="M792" s="33"/>
      <c r="N792" s="33"/>
      <c r="O792" s="33"/>
      <c r="P792" s="33"/>
      <c r="Q792" s="33"/>
      <c r="R792" s="33"/>
    </row>
    <row r="793">
      <c r="A793" s="33"/>
      <c r="B793" s="33"/>
      <c r="C793" s="33"/>
      <c r="D793" s="33"/>
      <c r="E793" s="33"/>
      <c r="F793" s="33"/>
      <c r="G793" s="33"/>
      <c r="H793" s="33"/>
      <c r="I793" s="33"/>
      <c r="J793" s="33"/>
      <c r="K793" s="33"/>
      <c r="L793" s="33"/>
      <c r="M793" s="33"/>
      <c r="N793" s="33"/>
      <c r="O793" s="33"/>
      <c r="P793" s="33"/>
      <c r="Q793" s="33"/>
      <c r="R793" s="33"/>
    </row>
    <row r="794">
      <c r="A794" s="33"/>
      <c r="B794" s="33"/>
      <c r="C794" s="33"/>
      <c r="D794" s="33"/>
      <c r="E794" s="33"/>
      <c r="F794" s="33"/>
      <c r="G794" s="33"/>
      <c r="H794" s="33"/>
      <c r="I794" s="33"/>
      <c r="J794" s="33"/>
      <c r="K794" s="33"/>
      <c r="L794" s="33"/>
      <c r="M794" s="33"/>
      <c r="N794" s="33"/>
      <c r="O794" s="33"/>
      <c r="P794" s="33"/>
      <c r="Q794" s="33"/>
      <c r="R794" s="33"/>
    </row>
    <row r="795">
      <c r="A795" s="33"/>
      <c r="B795" s="33"/>
      <c r="C795" s="33"/>
      <c r="D795" s="33"/>
      <c r="E795" s="33"/>
      <c r="F795" s="33"/>
      <c r="G795" s="33"/>
      <c r="H795" s="33"/>
      <c r="I795" s="33"/>
      <c r="J795" s="33"/>
      <c r="K795" s="33"/>
      <c r="L795" s="33"/>
      <c r="M795" s="33"/>
      <c r="N795" s="33"/>
      <c r="O795" s="33"/>
      <c r="P795" s="33"/>
      <c r="Q795" s="33"/>
      <c r="R795" s="33"/>
    </row>
    <row r="796">
      <c r="A796" s="33"/>
      <c r="B796" s="33"/>
      <c r="C796" s="33"/>
      <c r="D796" s="33"/>
      <c r="E796" s="33"/>
      <c r="F796" s="33"/>
      <c r="G796" s="33"/>
      <c r="H796" s="33"/>
      <c r="I796" s="33"/>
      <c r="J796" s="33"/>
      <c r="K796" s="33"/>
      <c r="L796" s="33"/>
      <c r="M796" s="33"/>
      <c r="N796" s="33"/>
      <c r="O796" s="33"/>
      <c r="P796" s="33"/>
      <c r="Q796" s="33"/>
      <c r="R796" s="33"/>
    </row>
    <row r="797">
      <c r="A797" s="33"/>
      <c r="B797" s="33"/>
      <c r="C797" s="33"/>
      <c r="D797" s="33"/>
      <c r="E797" s="33"/>
      <c r="F797" s="33"/>
      <c r="G797" s="33"/>
      <c r="H797" s="33"/>
      <c r="I797" s="33"/>
      <c r="J797" s="33"/>
      <c r="K797" s="33"/>
      <c r="L797" s="33"/>
      <c r="M797" s="33"/>
      <c r="N797" s="33"/>
      <c r="O797" s="33"/>
      <c r="P797" s="33"/>
      <c r="Q797" s="33"/>
      <c r="R797" s="33"/>
    </row>
    <row r="798">
      <c r="A798" s="33"/>
      <c r="B798" s="33"/>
      <c r="C798" s="33"/>
      <c r="D798" s="33"/>
      <c r="E798" s="33"/>
      <c r="F798" s="33"/>
      <c r="G798" s="33"/>
      <c r="H798" s="33"/>
      <c r="I798" s="33"/>
      <c r="J798" s="33"/>
      <c r="K798" s="33"/>
      <c r="L798" s="33"/>
      <c r="M798" s="33"/>
      <c r="N798" s="33"/>
      <c r="O798" s="33"/>
      <c r="P798" s="33"/>
      <c r="Q798" s="33"/>
      <c r="R798" s="33"/>
    </row>
    <row r="799">
      <c r="A799" s="33"/>
      <c r="B799" s="33"/>
      <c r="C799" s="33"/>
      <c r="D799" s="33"/>
      <c r="E799" s="33"/>
      <c r="F799" s="33"/>
      <c r="G799" s="33"/>
      <c r="H799" s="33"/>
      <c r="I799" s="33"/>
      <c r="J799" s="33"/>
      <c r="K799" s="33"/>
      <c r="L799" s="33"/>
      <c r="M799" s="33"/>
      <c r="N799" s="33"/>
      <c r="O799" s="33"/>
      <c r="P799" s="33"/>
      <c r="Q799" s="33"/>
      <c r="R799" s="33"/>
    </row>
    <row r="800">
      <c r="A800" s="33"/>
      <c r="B800" s="33"/>
      <c r="C800" s="33"/>
      <c r="D800" s="33"/>
      <c r="E800" s="33"/>
      <c r="F800" s="33"/>
      <c r="G800" s="33"/>
      <c r="H800" s="33"/>
      <c r="I800" s="33"/>
      <c r="J800" s="33"/>
      <c r="K800" s="33"/>
      <c r="L800" s="33"/>
      <c r="M800" s="33"/>
      <c r="N800" s="33"/>
      <c r="O800" s="33"/>
      <c r="P800" s="33"/>
      <c r="Q800" s="33"/>
      <c r="R800" s="33"/>
    </row>
    <row r="801">
      <c r="A801" s="33"/>
      <c r="B801" s="33"/>
      <c r="C801" s="33"/>
      <c r="D801" s="33"/>
      <c r="E801" s="33"/>
      <c r="F801" s="33"/>
      <c r="G801" s="33"/>
      <c r="H801" s="33"/>
      <c r="I801" s="33"/>
      <c r="J801" s="33"/>
      <c r="K801" s="33"/>
      <c r="L801" s="33"/>
      <c r="M801" s="33"/>
      <c r="N801" s="33"/>
      <c r="O801" s="33"/>
      <c r="P801" s="33"/>
      <c r="Q801" s="33"/>
      <c r="R801" s="33"/>
    </row>
    <row r="802">
      <c r="A802" s="33"/>
      <c r="B802" s="33"/>
      <c r="C802" s="33"/>
      <c r="D802" s="33"/>
      <c r="E802" s="33"/>
      <c r="F802" s="33"/>
      <c r="G802" s="33"/>
      <c r="H802" s="33"/>
      <c r="I802" s="33"/>
      <c r="J802" s="33"/>
      <c r="K802" s="33"/>
      <c r="L802" s="33"/>
      <c r="M802" s="33"/>
      <c r="N802" s="33"/>
      <c r="O802" s="33"/>
      <c r="P802" s="33"/>
      <c r="Q802" s="33"/>
      <c r="R802" s="33"/>
    </row>
    <row r="803">
      <c r="A803" s="33"/>
      <c r="B803" s="33"/>
      <c r="C803" s="33"/>
      <c r="D803" s="33"/>
      <c r="E803" s="33"/>
      <c r="F803" s="33"/>
      <c r="G803" s="33"/>
      <c r="H803" s="33"/>
      <c r="I803" s="33"/>
      <c r="J803" s="33"/>
      <c r="K803" s="33"/>
      <c r="L803" s="33"/>
      <c r="M803" s="33"/>
      <c r="N803" s="33"/>
      <c r="O803" s="33"/>
      <c r="P803" s="33"/>
      <c r="Q803" s="33"/>
      <c r="R803" s="33"/>
    </row>
    <row r="804">
      <c r="A804" s="33"/>
      <c r="B804" s="33"/>
      <c r="C804" s="33"/>
      <c r="D804" s="33"/>
      <c r="E804" s="33"/>
      <c r="F804" s="33"/>
      <c r="G804" s="33"/>
      <c r="H804" s="33"/>
      <c r="I804" s="33"/>
      <c r="J804" s="33"/>
      <c r="K804" s="33"/>
      <c r="L804" s="33"/>
      <c r="M804" s="33"/>
      <c r="N804" s="33"/>
      <c r="O804" s="33"/>
      <c r="P804" s="33"/>
      <c r="Q804" s="33"/>
      <c r="R804" s="33"/>
    </row>
    <row r="805">
      <c r="A805" s="33"/>
      <c r="B805" s="33"/>
      <c r="C805" s="33"/>
      <c r="D805" s="33"/>
      <c r="E805" s="33"/>
      <c r="F805" s="33"/>
      <c r="G805" s="33"/>
      <c r="H805" s="33"/>
      <c r="I805" s="33"/>
      <c r="J805" s="33"/>
      <c r="K805" s="33"/>
      <c r="L805" s="33"/>
      <c r="M805" s="33"/>
      <c r="N805" s="33"/>
      <c r="O805" s="33"/>
      <c r="P805" s="33"/>
      <c r="Q805" s="33"/>
      <c r="R805" s="33"/>
    </row>
    <row r="806">
      <c r="A806" s="33"/>
      <c r="B806" s="33"/>
      <c r="C806" s="33"/>
      <c r="D806" s="33"/>
      <c r="E806" s="33"/>
      <c r="F806" s="33"/>
      <c r="G806" s="33"/>
      <c r="H806" s="33"/>
      <c r="I806" s="33"/>
      <c r="J806" s="33"/>
      <c r="K806" s="33"/>
      <c r="L806" s="33"/>
      <c r="M806" s="33"/>
      <c r="N806" s="33"/>
      <c r="O806" s="33"/>
      <c r="P806" s="33"/>
      <c r="Q806" s="33"/>
      <c r="R806" s="33"/>
    </row>
    <row r="807">
      <c r="A807" s="33"/>
      <c r="B807" s="33"/>
      <c r="C807" s="33"/>
      <c r="D807" s="33"/>
      <c r="E807" s="33"/>
      <c r="F807" s="33"/>
      <c r="G807" s="33"/>
      <c r="H807" s="33"/>
      <c r="I807" s="33"/>
      <c r="J807" s="33"/>
      <c r="K807" s="33"/>
      <c r="L807" s="33"/>
      <c r="M807" s="33"/>
      <c r="N807" s="33"/>
      <c r="O807" s="33"/>
      <c r="P807" s="33"/>
      <c r="Q807" s="33"/>
      <c r="R807" s="33"/>
    </row>
    <row r="808">
      <c r="A808" s="33"/>
      <c r="B808" s="33"/>
      <c r="C808" s="33"/>
      <c r="D808" s="33"/>
      <c r="E808" s="33"/>
      <c r="F808" s="33"/>
      <c r="G808" s="33"/>
      <c r="H808" s="33"/>
      <c r="I808" s="33"/>
      <c r="J808" s="33"/>
      <c r="K808" s="33"/>
      <c r="L808" s="33"/>
      <c r="M808" s="33"/>
      <c r="N808" s="33"/>
      <c r="O808" s="33"/>
      <c r="P808" s="33"/>
      <c r="Q808" s="33"/>
      <c r="R808" s="33"/>
    </row>
    <row r="809">
      <c r="A809" s="33"/>
      <c r="B809" s="33"/>
      <c r="C809" s="33"/>
      <c r="D809" s="33"/>
      <c r="E809" s="33"/>
      <c r="F809" s="33"/>
      <c r="G809" s="33"/>
      <c r="H809" s="33"/>
      <c r="I809" s="33"/>
      <c r="J809" s="33"/>
      <c r="K809" s="33"/>
      <c r="L809" s="33"/>
      <c r="M809" s="33"/>
      <c r="N809" s="33"/>
      <c r="O809" s="33"/>
      <c r="P809" s="33"/>
      <c r="Q809" s="33"/>
      <c r="R809" s="33"/>
    </row>
    <row r="810">
      <c r="A810" s="33"/>
      <c r="B810" s="33"/>
      <c r="C810" s="33"/>
      <c r="D810" s="33"/>
      <c r="E810" s="33"/>
      <c r="F810" s="33"/>
      <c r="G810" s="33"/>
      <c r="H810" s="33"/>
      <c r="I810" s="33"/>
      <c r="J810" s="33"/>
      <c r="K810" s="33"/>
      <c r="L810" s="33"/>
      <c r="M810" s="33"/>
      <c r="N810" s="33"/>
      <c r="O810" s="33"/>
      <c r="P810" s="33"/>
      <c r="Q810" s="33"/>
      <c r="R810" s="33"/>
    </row>
    <row r="811">
      <c r="A811" s="33"/>
      <c r="B811" s="33"/>
      <c r="C811" s="33"/>
      <c r="D811" s="33"/>
      <c r="E811" s="33"/>
      <c r="F811" s="33"/>
      <c r="G811" s="33"/>
      <c r="H811" s="33"/>
      <c r="I811" s="33"/>
      <c r="J811" s="33"/>
      <c r="K811" s="33"/>
      <c r="L811" s="33"/>
      <c r="M811" s="33"/>
      <c r="N811" s="33"/>
      <c r="O811" s="33"/>
      <c r="P811" s="33"/>
      <c r="Q811" s="33"/>
      <c r="R811" s="33"/>
    </row>
    <row r="812">
      <c r="A812" s="33"/>
      <c r="B812" s="33"/>
      <c r="C812" s="33"/>
      <c r="D812" s="33"/>
      <c r="E812" s="33"/>
      <c r="F812" s="33"/>
      <c r="G812" s="33"/>
      <c r="H812" s="33"/>
      <c r="I812" s="33"/>
      <c r="J812" s="33"/>
      <c r="K812" s="33"/>
      <c r="L812" s="33"/>
      <c r="M812" s="33"/>
      <c r="N812" s="33"/>
      <c r="O812" s="33"/>
      <c r="P812" s="33"/>
      <c r="Q812" s="33"/>
      <c r="R812" s="33"/>
    </row>
    <row r="813">
      <c r="A813" s="33"/>
      <c r="B813" s="33"/>
      <c r="C813" s="33"/>
      <c r="D813" s="33"/>
      <c r="E813" s="33"/>
      <c r="F813" s="33"/>
      <c r="G813" s="33"/>
      <c r="H813" s="33"/>
      <c r="I813" s="33"/>
      <c r="J813" s="33"/>
      <c r="K813" s="33"/>
      <c r="L813" s="33"/>
      <c r="M813" s="33"/>
      <c r="N813" s="33"/>
      <c r="O813" s="33"/>
      <c r="P813" s="33"/>
      <c r="Q813" s="33"/>
      <c r="R813" s="33"/>
    </row>
    <row r="814">
      <c r="A814" s="33"/>
      <c r="B814" s="33"/>
      <c r="C814" s="33"/>
      <c r="D814" s="33"/>
      <c r="E814" s="33"/>
      <c r="F814" s="33"/>
      <c r="G814" s="33"/>
      <c r="H814" s="33"/>
      <c r="I814" s="33"/>
      <c r="J814" s="33"/>
      <c r="K814" s="33"/>
      <c r="L814" s="33"/>
      <c r="M814" s="33"/>
      <c r="N814" s="33"/>
      <c r="O814" s="33"/>
      <c r="P814" s="33"/>
      <c r="Q814" s="33"/>
      <c r="R814" s="33"/>
    </row>
    <row r="815">
      <c r="A815" s="33"/>
      <c r="B815" s="33"/>
      <c r="C815" s="33"/>
      <c r="D815" s="33"/>
      <c r="E815" s="33"/>
      <c r="F815" s="33"/>
      <c r="G815" s="33"/>
      <c r="H815" s="33"/>
      <c r="I815" s="33"/>
      <c r="J815" s="33"/>
      <c r="K815" s="33"/>
      <c r="L815" s="33"/>
      <c r="M815" s="33"/>
      <c r="N815" s="33"/>
      <c r="O815" s="33"/>
      <c r="P815" s="33"/>
      <c r="Q815" s="33"/>
      <c r="R815" s="33"/>
    </row>
    <row r="816">
      <c r="A816" s="33"/>
      <c r="B816" s="33"/>
      <c r="C816" s="33"/>
      <c r="D816" s="33"/>
      <c r="E816" s="33"/>
      <c r="F816" s="33"/>
      <c r="G816" s="33"/>
      <c r="H816" s="33"/>
      <c r="I816" s="33"/>
      <c r="J816" s="33"/>
      <c r="K816" s="33"/>
      <c r="L816" s="33"/>
      <c r="M816" s="33"/>
      <c r="N816" s="33"/>
      <c r="O816" s="33"/>
      <c r="P816" s="33"/>
      <c r="Q816" s="33"/>
      <c r="R816" s="33"/>
    </row>
    <row r="817">
      <c r="A817" s="33"/>
      <c r="B817" s="33"/>
      <c r="C817" s="33"/>
      <c r="D817" s="33"/>
      <c r="E817" s="33"/>
      <c r="F817" s="33"/>
      <c r="G817" s="33"/>
      <c r="H817" s="33"/>
      <c r="I817" s="33"/>
      <c r="J817" s="33"/>
      <c r="K817" s="33"/>
      <c r="L817" s="33"/>
      <c r="M817" s="33"/>
      <c r="N817" s="33"/>
      <c r="O817" s="33"/>
      <c r="P817" s="33"/>
      <c r="Q817" s="33"/>
      <c r="R817" s="33"/>
    </row>
    <row r="818">
      <c r="A818" s="33"/>
      <c r="B818" s="33"/>
      <c r="C818" s="33"/>
      <c r="D818" s="33"/>
      <c r="E818" s="33"/>
      <c r="F818" s="33"/>
      <c r="G818" s="33"/>
      <c r="H818" s="33"/>
      <c r="I818" s="33"/>
      <c r="J818" s="33"/>
      <c r="K818" s="33"/>
      <c r="L818" s="33"/>
      <c r="M818" s="33"/>
      <c r="N818" s="33"/>
      <c r="O818" s="33"/>
      <c r="P818" s="33"/>
      <c r="Q818" s="33"/>
      <c r="R818" s="33"/>
    </row>
    <row r="819">
      <c r="A819" s="33"/>
      <c r="B819" s="33"/>
      <c r="C819" s="33"/>
      <c r="D819" s="33"/>
      <c r="E819" s="33"/>
      <c r="F819" s="33"/>
      <c r="G819" s="33"/>
      <c r="H819" s="33"/>
      <c r="I819" s="33"/>
      <c r="J819" s="33"/>
      <c r="K819" s="33"/>
      <c r="L819" s="33"/>
      <c r="M819" s="33"/>
      <c r="N819" s="33"/>
      <c r="O819" s="33"/>
      <c r="P819" s="33"/>
      <c r="Q819" s="33"/>
      <c r="R819" s="33"/>
    </row>
    <row r="820">
      <c r="A820" s="33"/>
      <c r="B820" s="33"/>
      <c r="C820" s="33"/>
      <c r="D820" s="33"/>
      <c r="E820" s="33"/>
      <c r="F820" s="33"/>
      <c r="G820" s="33"/>
      <c r="H820" s="33"/>
      <c r="I820" s="33"/>
      <c r="J820" s="33"/>
      <c r="K820" s="33"/>
      <c r="L820" s="33"/>
      <c r="M820" s="33"/>
      <c r="N820" s="33"/>
      <c r="O820" s="33"/>
      <c r="P820" s="33"/>
      <c r="Q820" s="33"/>
      <c r="R820" s="33"/>
    </row>
    <row r="821">
      <c r="A821" s="33"/>
      <c r="B821" s="33"/>
      <c r="C821" s="33"/>
      <c r="D821" s="33"/>
      <c r="E821" s="33"/>
      <c r="F821" s="33"/>
      <c r="G821" s="33"/>
      <c r="H821" s="33"/>
      <c r="I821" s="33"/>
      <c r="J821" s="33"/>
      <c r="K821" s="33"/>
      <c r="L821" s="33"/>
      <c r="M821" s="33"/>
      <c r="N821" s="33"/>
      <c r="O821" s="33"/>
      <c r="P821" s="33"/>
      <c r="Q821" s="33"/>
      <c r="R821" s="33"/>
    </row>
    <row r="822">
      <c r="A822" s="33"/>
      <c r="B822" s="33"/>
      <c r="C822" s="33"/>
      <c r="D822" s="33"/>
      <c r="E822" s="33"/>
      <c r="F822" s="33"/>
      <c r="G822" s="33"/>
      <c r="H822" s="33"/>
      <c r="I822" s="33"/>
      <c r="J822" s="33"/>
      <c r="K822" s="33"/>
      <c r="L822" s="33"/>
      <c r="M822" s="33"/>
      <c r="N822" s="33"/>
      <c r="O822" s="33"/>
      <c r="P822" s="33"/>
      <c r="Q822" s="33"/>
      <c r="R822" s="33"/>
    </row>
    <row r="823">
      <c r="A823" s="33"/>
      <c r="B823" s="33"/>
      <c r="C823" s="33"/>
      <c r="D823" s="33"/>
      <c r="E823" s="33"/>
      <c r="F823" s="33"/>
      <c r="G823" s="33"/>
      <c r="H823" s="33"/>
      <c r="I823" s="33"/>
      <c r="J823" s="33"/>
      <c r="K823" s="33"/>
      <c r="L823" s="33"/>
      <c r="M823" s="33"/>
      <c r="N823" s="33"/>
      <c r="O823" s="33"/>
      <c r="P823" s="33"/>
      <c r="Q823" s="33"/>
      <c r="R823" s="33"/>
    </row>
    <row r="824">
      <c r="A824" s="33"/>
      <c r="B824" s="33"/>
      <c r="C824" s="33"/>
      <c r="D824" s="33"/>
      <c r="E824" s="33"/>
      <c r="F824" s="33"/>
      <c r="G824" s="33"/>
      <c r="H824" s="33"/>
      <c r="I824" s="33"/>
      <c r="J824" s="33"/>
      <c r="K824" s="33"/>
      <c r="L824" s="33"/>
      <c r="M824" s="33"/>
      <c r="N824" s="33"/>
      <c r="O824" s="33"/>
      <c r="P824" s="33"/>
      <c r="Q824" s="33"/>
      <c r="R824" s="33"/>
    </row>
    <row r="825">
      <c r="A825" s="33"/>
      <c r="B825" s="33"/>
      <c r="C825" s="33"/>
      <c r="D825" s="33"/>
      <c r="E825" s="33"/>
      <c r="F825" s="33"/>
      <c r="G825" s="33"/>
      <c r="H825" s="33"/>
      <c r="I825" s="33"/>
      <c r="J825" s="33"/>
      <c r="K825" s="33"/>
      <c r="L825" s="33"/>
      <c r="M825" s="33"/>
      <c r="N825" s="33"/>
      <c r="O825" s="33"/>
      <c r="P825" s="33"/>
      <c r="Q825" s="33"/>
      <c r="R825" s="33"/>
    </row>
    <row r="826">
      <c r="A826" s="33"/>
      <c r="B826" s="33"/>
      <c r="C826" s="33"/>
      <c r="D826" s="33"/>
      <c r="E826" s="33"/>
      <c r="F826" s="33"/>
      <c r="G826" s="33"/>
      <c r="H826" s="33"/>
      <c r="I826" s="33"/>
      <c r="J826" s="33"/>
      <c r="K826" s="33"/>
      <c r="L826" s="33"/>
      <c r="M826" s="33"/>
      <c r="N826" s="33"/>
      <c r="O826" s="33"/>
      <c r="P826" s="33"/>
      <c r="Q826" s="33"/>
      <c r="R826" s="33"/>
    </row>
    <row r="827">
      <c r="A827" s="33"/>
      <c r="B827" s="33"/>
      <c r="C827" s="33"/>
      <c r="D827" s="33"/>
      <c r="E827" s="33"/>
      <c r="F827" s="33"/>
      <c r="G827" s="33"/>
      <c r="H827" s="33"/>
      <c r="I827" s="33"/>
      <c r="J827" s="33"/>
      <c r="K827" s="33"/>
      <c r="L827" s="33"/>
      <c r="M827" s="33"/>
      <c r="N827" s="33"/>
      <c r="O827" s="33"/>
      <c r="P827" s="33"/>
      <c r="Q827" s="33"/>
      <c r="R827" s="33"/>
    </row>
    <row r="828">
      <c r="A828" s="33"/>
      <c r="B828" s="33"/>
      <c r="C828" s="33"/>
      <c r="D828" s="33"/>
      <c r="E828" s="33"/>
      <c r="F828" s="33"/>
      <c r="G828" s="33"/>
      <c r="H828" s="33"/>
      <c r="I828" s="33"/>
      <c r="J828" s="33"/>
      <c r="K828" s="33"/>
      <c r="L828" s="33"/>
      <c r="M828" s="33"/>
      <c r="N828" s="33"/>
      <c r="O828" s="33"/>
      <c r="P828" s="33"/>
      <c r="Q828" s="33"/>
      <c r="R828" s="33"/>
    </row>
    <row r="829">
      <c r="A829" s="33"/>
      <c r="B829" s="33"/>
      <c r="C829" s="33"/>
      <c r="D829" s="33"/>
      <c r="E829" s="33"/>
      <c r="F829" s="33"/>
      <c r="G829" s="33"/>
      <c r="H829" s="33"/>
      <c r="I829" s="33"/>
      <c r="J829" s="33"/>
      <c r="K829" s="33"/>
      <c r="L829" s="33"/>
      <c r="M829" s="33"/>
      <c r="N829" s="33"/>
      <c r="O829" s="33"/>
      <c r="P829" s="33"/>
      <c r="Q829" s="33"/>
      <c r="R829" s="33"/>
    </row>
    <row r="830">
      <c r="A830" s="33"/>
      <c r="B830" s="33"/>
      <c r="C830" s="33"/>
      <c r="D830" s="33"/>
      <c r="E830" s="33"/>
      <c r="F830" s="33"/>
      <c r="G830" s="33"/>
      <c r="H830" s="33"/>
      <c r="I830" s="33"/>
      <c r="J830" s="33"/>
      <c r="K830" s="33"/>
      <c r="L830" s="33"/>
      <c r="M830" s="33"/>
      <c r="N830" s="33"/>
      <c r="O830" s="33"/>
      <c r="P830" s="33"/>
      <c r="Q830" s="33"/>
      <c r="R830" s="33"/>
    </row>
    <row r="831">
      <c r="A831" s="33"/>
      <c r="B831" s="33"/>
      <c r="C831" s="33"/>
      <c r="D831" s="33"/>
      <c r="E831" s="33"/>
      <c r="F831" s="33"/>
      <c r="G831" s="33"/>
      <c r="H831" s="33"/>
      <c r="I831" s="33"/>
      <c r="J831" s="33"/>
      <c r="K831" s="33"/>
      <c r="L831" s="33"/>
      <c r="M831" s="33"/>
      <c r="N831" s="33"/>
      <c r="O831" s="33"/>
      <c r="P831" s="33"/>
      <c r="Q831" s="33"/>
      <c r="R831" s="33"/>
    </row>
    <row r="832">
      <c r="A832" s="33"/>
      <c r="B832" s="33"/>
      <c r="C832" s="33"/>
      <c r="D832" s="33"/>
      <c r="E832" s="33"/>
      <c r="F832" s="33"/>
      <c r="G832" s="33"/>
      <c r="H832" s="33"/>
      <c r="I832" s="33"/>
      <c r="J832" s="33"/>
      <c r="K832" s="33"/>
      <c r="L832" s="33"/>
      <c r="M832" s="33"/>
      <c r="N832" s="33"/>
      <c r="O832" s="33"/>
      <c r="P832" s="33"/>
      <c r="Q832" s="33"/>
      <c r="R832" s="33"/>
    </row>
    <row r="833">
      <c r="A833" s="33"/>
      <c r="B833" s="33"/>
      <c r="C833" s="33"/>
      <c r="D833" s="33"/>
      <c r="E833" s="33"/>
      <c r="F833" s="33"/>
      <c r="G833" s="33"/>
      <c r="H833" s="33"/>
      <c r="I833" s="33"/>
      <c r="J833" s="33"/>
      <c r="K833" s="33"/>
      <c r="L833" s="33"/>
      <c r="M833" s="33"/>
      <c r="N833" s="33"/>
      <c r="O833" s="33"/>
      <c r="P833" s="33"/>
      <c r="Q833" s="33"/>
      <c r="R833" s="33"/>
    </row>
    <row r="834">
      <c r="A834" s="33"/>
      <c r="B834" s="33"/>
      <c r="C834" s="33"/>
      <c r="D834" s="33"/>
      <c r="E834" s="33"/>
      <c r="F834" s="33"/>
      <c r="G834" s="33"/>
      <c r="H834" s="33"/>
      <c r="I834" s="33"/>
      <c r="J834" s="33"/>
      <c r="K834" s="33"/>
      <c r="L834" s="33"/>
      <c r="M834" s="33"/>
      <c r="N834" s="33"/>
      <c r="O834" s="33"/>
      <c r="P834" s="33"/>
      <c r="Q834" s="33"/>
      <c r="R834" s="33"/>
    </row>
    <row r="835">
      <c r="A835" s="33"/>
      <c r="B835" s="33"/>
      <c r="C835" s="33"/>
      <c r="D835" s="33"/>
      <c r="E835" s="33"/>
      <c r="F835" s="33"/>
      <c r="G835" s="33"/>
      <c r="H835" s="33"/>
      <c r="I835" s="33"/>
      <c r="J835" s="33"/>
      <c r="K835" s="33"/>
      <c r="L835" s="33"/>
      <c r="M835" s="33"/>
      <c r="N835" s="33"/>
      <c r="O835" s="33"/>
      <c r="P835" s="33"/>
      <c r="Q835" s="33"/>
      <c r="R835" s="33"/>
    </row>
    <row r="836">
      <c r="A836" s="33"/>
      <c r="B836" s="33"/>
      <c r="C836" s="33"/>
      <c r="D836" s="33"/>
      <c r="E836" s="33"/>
      <c r="F836" s="33"/>
      <c r="G836" s="33"/>
      <c r="H836" s="33"/>
      <c r="I836" s="33"/>
      <c r="J836" s="33"/>
      <c r="K836" s="33"/>
      <c r="L836" s="33"/>
      <c r="M836" s="33"/>
      <c r="N836" s="33"/>
      <c r="O836" s="33"/>
      <c r="P836" s="33"/>
      <c r="Q836" s="33"/>
      <c r="R836" s="33"/>
    </row>
    <row r="837">
      <c r="A837" s="33"/>
      <c r="B837" s="33"/>
      <c r="C837" s="33"/>
      <c r="D837" s="33"/>
      <c r="E837" s="33"/>
      <c r="F837" s="33"/>
      <c r="G837" s="33"/>
      <c r="H837" s="33"/>
      <c r="I837" s="33"/>
      <c r="J837" s="33"/>
      <c r="K837" s="33"/>
      <c r="L837" s="33"/>
      <c r="M837" s="33"/>
      <c r="N837" s="33"/>
      <c r="O837" s="33"/>
      <c r="P837" s="33"/>
      <c r="Q837" s="33"/>
      <c r="R837" s="33"/>
    </row>
    <row r="838">
      <c r="A838" s="33"/>
      <c r="B838" s="33"/>
      <c r="C838" s="33"/>
      <c r="D838" s="33"/>
      <c r="E838" s="33"/>
      <c r="F838" s="33"/>
      <c r="G838" s="33"/>
      <c r="H838" s="33"/>
      <c r="I838" s="33"/>
      <c r="J838" s="33"/>
      <c r="K838" s="33"/>
      <c r="L838" s="33"/>
      <c r="M838" s="33"/>
      <c r="N838" s="33"/>
      <c r="O838" s="33"/>
      <c r="P838" s="33"/>
      <c r="Q838" s="33"/>
      <c r="R838" s="33"/>
    </row>
    <row r="839">
      <c r="A839" s="33"/>
      <c r="B839" s="33"/>
      <c r="C839" s="33"/>
      <c r="D839" s="33"/>
      <c r="E839" s="33"/>
      <c r="F839" s="33"/>
      <c r="G839" s="33"/>
      <c r="H839" s="33"/>
      <c r="I839" s="33"/>
      <c r="J839" s="33"/>
      <c r="K839" s="33"/>
      <c r="L839" s="33"/>
      <c r="M839" s="33"/>
      <c r="N839" s="33"/>
      <c r="O839" s="33"/>
      <c r="P839" s="33"/>
      <c r="Q839" s="33"/>
      <c r="R839" s="33"/>
    </row>
    <row r="840">
      <c r="A840" s="33"/>
      <c r="B840" s="33"/>
      <c r="C840" s="33"/>
      <c r="D840" s="33"/>
      <c r="E840" s="33"/>
      <c r="F840" s="33"/>
      <c r="G840" s="33"/>
      <c r="H840" s="33"/>
      <c r="I840" s="33"/>
      <c r="J840" s="33"/>
      <c r="K840" s="33"/>
      <c r="L840" s="33"/>
      <c r="M840" s="33"/>
      <c r="N840" s="33"/>
      <c r="O840" s="33"/>
      <c r="P840" s="33"/>
      <c r="Q840" s="33"/>
      <c r="R840" s="33"/>
    </row>
    <row r="841">
      <c r="A841" s="33"/>
      <c r="B841" s="33"/>
      <c r="C841" s="33"/>
      <c r="D841" s="33"/>
      <c r="E841" s="33"/>
      <c r="F841" s="33"/>
      <c r="G841" s="33"/>
      <c r="H841" s="33"/>
      <c r="I841" s="33"/>
      <c r="J841" s="33"/>
      <c r="K841" s="33"/>
      <c r="L841" s="33"/>
      <c r="M841" s="33"/>
      <c r="N841" s="33"/>
      <c r="O841" s="33"/>
      <c r="P841" s="33"/>
      <c r="Q841" s="33"/>
      <c r="R841" s="33"/>
    </row>
    <row r="842">
      <c r="A842" s="33"/>
      <c r="B842" s="33"/>
      <c r="C842" s="33"/>
      <c r="D842" s="33"/>
      <c r="E842" s="33"/>
      <c r="F842" s="33"/>
      <c r="G842" s="33"/>
      <c r="H842" s="33"/>
      <c r="I842" s="33"/>
      <c r="J842" s="33"/>
      <c r="K842" s="33"/>
      <c r="L842" s="33"/>
      <c r="M842" s="33"/>
      <c r="N842" s="33"/>
      <c r="O842" s="33"/>
      <c r="P842" s="33"/>
      <c r="Q842" s="33"/>
      <c r="R842" s="33"/>
    </row>
    <row r="843">
      <c r="A843" s="33"/>
      <c r="B843" s="33"/>
      <c r="C843" s="33"/>
      <c r="D843" s="33"/>
      <c r="E843" s="33"/>
      <c r="F843" s="33"/>
      <c r="G843" s="33"/>
      <c r="H843" s="33"/>
      <c r="I843" s="33"/>
      <c r="J843" s="33"/>
      <c r="K843" s="33"/>
      <c r="L843" s="33"/>
      <c r="M843" s="33"/>
      <c r="N843" s="33"/>
      <c r="O843" s="33"/>
      <c r="P843" s="33"/>
      <c r="Q843" s="33"/>
      <c r="R843" s="33"/>
    </row>
    <row r="844">
      <c r="A844" s="33"/>
      <c r="B844" s="33"/>
      <c r="C844" s="33"/>
      <c r="D844" s="33"/>
      <c r="E844" s="33"/>
      <c r="F844" s="33"/>
      <c r="G844" s="33"/>
      <c r="H844" s="33"/>
      <c r="I844" s="33"/>
      <c r="J844" s="33"/>
      <c r="K844" s="33"/>
      <c r="L844" s="33"/>
      <c r="M844" s="33"/>
      <c r="N844" s="33"/>
      <c r="O844" s="33"/>
      <c r="P844" s="33"/>
      <c r="Q844" s="33"/>
      <c r="R844" s="33"/>
    </row>
    <row r="845">
      <c r="A845" s="33"/>
      <c r="B845" s="33"/>
      <c r="C845" s="33"/>
      <c r="D845" s="33"/>
      <c r="E845" s="33"/>
      <c r="F845" s="33"/>
      <c r="G845" s="33"/>
      <c r="H845" s="33"/>
      <c r="I845" s="33"/>
      <c r="J845" s="33"/>
      <c r="K845" s="33"/>
      <c r="L845" s="33"/>
      <c r="M845" s="33"/>
      <c r="N845" s="33"/>
      <c r="O845" s="33"/>
      <c r="P845" s="33"/>
      <c r="Q845" s="33"/>
      <c r="R845" s="33"/>
    </row>
    <row r="846">
      <c r="A846" s="33"/>
      <c r="B846" s="33"/>
      <c r="C846" s="33"/>
      <c r="D846" s="33"/>
      <c r="E846" s="33"/>
      <c r="F846" s="33"/>
      <c r="G846" s="33"/>
      <c r="H846" s="33"/>
      <c r="I846" s="33"/>
      <c r="J846" s="33"/>
      <c r="K846" s="33"/>
      <c r="L846" s="33"/>
      <c r="M846" s="33"/>
      <c r="N846" s="33"/>
      <c r="O846" s="33"/>
      <c r="P846" s="33"/>
      <c r="Q846" s="33"/>
      <c r="R846" s="33"/>
    </row>
    <row r="847">
      <c r="A847" s="33"/>
      <c r="B847" s="33"/>
      <c r="C847" s="33"/>
      <c r="D847" s="33"/>
      <c r="E847" s="33"/>
      <c r="F847" s="33"/>
      <c r="G847" s="33"/>
      <c r="H847" s="33"/>
      <c r="I847" s="33"/>
      <c r="J847" s="33"/>
      <c r="K847" s="33"/>
      <c r="L847" s="33"/>
      <c r="M847" s="33"/>
      <c r="N847" s="33"/>
      <c r="O847" s="33"/>
      <c r="P847" s="33"/>
      <c r="Q847" s="33"/>
      <c r="R847" s="33"/>
    </row>
    <row r="848">
      <c r="A848" s="33"/>
      <c r="B848" s="33"/>
      <c r="C848" s="33"/>
      <c r="D848" s="33"/>
      <c r="E848" s="33"/>
      <c r="F848" s="33"/>
      <c r="G848" s="33"/>
      <c r="H848" s="33"/>
      <c r="I848" s="33"/>
      <c r="J848" s="33"/>
      <c r="K848" s="33"/>
      <c r="L848" s="33"/>
      <c r="M848" s="33"/>
      <c r="N848" s="33"/>
      <c r="O848" s="33"/>
      <c r="P848" s="33"/>
      <c r="Q848" s="33"/>
      <c r="R848" s="33"/>
    </row>
    <row r="849">
      <c r="A849" s="33"/>
      <c r="B849" s="33"/>
      <c r="C849" s="33"/>
      <c r="D849" s="33"/>
      <c r="E849" s="33"/>
      <c r="F849" s="33"/>
      <c r="G849" s="33"/>
      <c r="H849" s="33"/>
      <c r="I849" s="33"/>
      <c r="J849" s="33"/>
      <c r="K849" s="33"/>
      <c r="L849" s="33"/>
      <c r="M849" s="33"/>
      <c r="N849" s="33"/>
      <c r="O849" s="33"/>
      <c r="P849" s="33"/>
      <c r="Q849" s="33"/>
      <c r="R849" s="33"/>
    </row>
    <row r="850">
      <c r="A850" s="33"/>
      <c r="B850" s="33"/>
      <c r="C850" s="33"/>
      <c r="D850" s="33"/>
      <c r="E850" s="33"/>
      <c r="F850" s="33"/>
      <c r="G850" s="33"/>
      <c r="H850" s="33"/>
      <c r="I850" s="33"/>
      <c r="J850" s="33"/>
      <c r="K850" s="33"/>
      <c r="L850" s="33"/>
      <c r="M850" s="33"/>
      <c r="N850" s="33"/>
      <c r="O850" s="33"/>
      <c r="P850" s="33"/>
      <c r="Q850" s="33"/>
      <c r="R850" s="33"/>
    </row>
    <row r="851">
      <c r="A851" s="33"/>
      <c r="B851" s="33"/>
      <c r="C851" s="33"/>
      <c r="D851" s="33"/>
      <c r="E851" s="33"/>
      <c r="F851" s="33"/>
      <c r="G851" s="33"/>
      <c r="H851" s="33"/>
      <c r="I851" s="33"/>
      <c r="J851" s="33"/>
      <c r="K851" s="33"/>
      <c r="L851" s="33"/>
      <c r="M851" s="33"/>
      <c r="N851" s="33"/>
      <c r="O851" s="33"/>
      <c r="P851" s="33"/>
      <c r="Q851" s="33"/>
      <c r="R851" s="33"/>
    </row>
    <row r="852">
      <c r="A852" s="33"/>
      <c r="B852" s="33"/>
      <c r="C852" s="33"/>
      <c r="D852" s="33"/>
      <c r="E852" s="33"/>
      <c r="F852" s="33"/>
      <c r="G852" s="33"/>
      <c r="H852" s="33"/>
      <c r="I852" s="33"/>
      <c r="J852" s="33"/>
      <c r="K852" s="33"/>
      <c r="L852" s="33"/>
      <c r="M852" s="33"/>
      <c r="N852" s="33"/>
      <c r="O852" s="33"/>
      <c r="P852" s="33"/>
      <c r="Q852" s="33"/>
      <c r="R852" s="33"/>
    </row>
    <row r="853">
      <c r="A853" s="33"/>
      <c r="B853" s="33"/>
      <c r="C853" s="33"/>
      <c r="D853" s="33"/>
      <c r="E853" s="33"/>
      <c r="F853" s="33"/>
      <c r="G853" s="33"/>
      <c r="H853" s="33"/>
      <c r="I853" s="33"/>
      <c r="J853" s="33"/>
      <c r="K853" s="33"/>
      <c r="L853" s="33"/>
      <c r="M853" s="33"/>
      <c r="N853" s="33"/>
      <c r="O853" s="33"/>
      <c r="P853" s="33"/>
      <c r="Q853" s="33"/>
      <c r="R853" s="33"/>
    </row>
    <row r="854">
      <c r="A854" s="33"/>
      <c r="B854" s="33"/>
      <c r="C854" s="33"/>
      <c r="D854" s="33"/>
      <c r="E854" s="33"/>
      <c r="F854" s="33"/>
      <c r="G854" s="33"/>
      <c r="H854" s="33"/>
      <c r="I854" s="33"/>
      <c r="J854" s="33"/>
      <c r="K854" s="33"/>
      <c r="L854" s="33"/>
      <c r="M854" s="33"/>
      <c r="N854" s="33"/>
      <c r="O854" s="33"/>
      <c r="P854" s="33"/>
      <c r="Q854" s="33"/>
      <c r="R854" s="33"/>
    </row>
    <row r="855">
      <c r="A855" s="33"/>
      <c r="B855" s="33"/>
      <c r="C855" s="33"/>
      <c r="D855" s="33"/>
      <c r="E855" s="33"/>
      <c r="F855" s="33"/>
      <c r="G855" s="33"/>
      <c r="H855" s="33"/>
      <c r="I855" s="33"/>
      <c r="J855" s="33"/>
      <c r="K855" s="33"/>
      <c r="L855" s="33"/>
      <c r="M855" s="33"/>
      <c r="N855" s="33"/>
      <c r="O855" s="33"/>
      <c r="P855" s="33"/>
      <c r="Q855" s="33"/>
      <c r="R855" s="33"/>
    </row>
    <row r="856">
      <c r="A856" s="33"/>
      <c r="B856" s="33"/>
      <c r="C856" s="33"/>
      <c r="D856" s="33"/>
      <c r="E856" s="33"/>
      <c r="F856" s="33"/>
      <c r="G856" s="33"/>
      <c r="H856" s="33"/>
      <c r="I856" s="33"/>
      <c r="J856" s="33"/>
      <c r="K856" s="33"/>
      <c r="L856" s="33"/>
      <c r="M856" s="33"/>
      <c r="N856" s="33"/>
      <c r="O856" s="33"/>
      <c r="P856" s="33"/>
      <c r="Q856" s="33"/>
      <c r="R856" s="33"/>
    </row>
    <row r="857">
      <c r="A857" s="33"/>
      <c r="B857" s="33"/>
      <c r="C857" s="33"/>
      <c r="D857" s="33"/>
      <c r="E857" s="33"/>
      <c r="F857" s="33"/>
      <c r="G857" s="33"/>
      <c r="H857" s="33"/>
      <c r="I857" s="33"/>
      <c r="J857" s="33"/>
      <c r="K857" s="33"/>
      <c r="L857" s="33"/>
      <c r="M857" s="33"/>
      <c r="N857" s="33"/>
      <c r="O857" s="33"/>
      <c r="P857" s="33"/>
      <c r="Q857" s="33"/>
      <c r="R857" s="33"/>
    </row>
    <row r="858">
      <c r="A858" s="33"/>
      <c r="B858" s="33"/>
      <c r="C858" s="33"/>
      <c r="D858" s="33"/>
      <c r="E858" s="33"/>
      <c r="F858" s="33"/>
      <c r="G858" s="33"/>
      <c r="H858" s="33"/>
      <c r="I858" s="33"/>
      <c r="J858" s="33"/>
      <c r="K858" s="33"/>
      <c r="L858" s="33"/>
      <c r="M858" s="33"/>
      <c r="N858" s="33"/>
      <c r="O858" s="33"/>
      <c r="P858" s="33"/>
      <c r="Q858" s="33"/>
      <c r="R858" s="33"/>
    </row>
    <row r="859">
      <c r="A859" s="33"/>
      <c r="B859" s="33"/>
      <c r="C859" s="33"/>
      <c r="D859" s="33"/>
      <c r="E859" s="33"/>
      <c r="F859" s="33"/>
      <c r="G859" s="33"/>
      <c r="H859" s="33"/>
      <c r="I859" s="33"/>
      <c r="J859" s="33"/>
      <c r="K859" s="33"/>
      <c r="L859" s="33"/>
      <c r="M859" s="33"/>
      <c r="N859" s="33"/>
      <c r="O859" s="33"/>
      <c r="P859" s="33"/>
      <c r="Q859" s="33"/>
      <c r="R859" s="33"/>
    </row>
    <row r="860">
      <c r="A860" s="33"/>
      <c r="B860" s="33"/>
      <c r="C860" s="33"/>
      <c r="D860" s="33"/>
      <c r="E860" s="33"/>
      <c r="F860" s="33"/>
      <c r="G860" s="33"/>
      <c r="H860" s="33"/>
      <c r="I860" s="33"/>
      <c r="J860" s="33"/>
      <c r="K860" s="33"/>
      <c r="L860" s="33"/>
      <c r="M860" s="33"/>
      <c r="N860" s="33"/>
      <c r="O860" s="33"/>
      <c r="P860" s="33"/>
      <c r="Q860" s="33"/>
      <c r="R860" s="33"/>
    </row>
    <row r="861">
      <c r="A861" s="33"/>
      <c r="B861" s="33"/>
      <c r="C861" s="33"/>
      <c r="D861" s="33"/>
      <c r="E861" s="33"/>
      <c r="F861" s="33"/>
      <c r="G861" s="33"/>
      <c r="H861" s="33"/>
      <c r="I861" s="33"/>
      <c r="J861" s="33"/>
      <c r="K861" s="33"/>
      <c r="L861" s="33"/>
      <c r="M861" s="33"/>
      <c r="N861" s="33"/>
      <c r="O861" s="33"/>
      <c r="P861" s="33"/>
      <c r="Q861" s="33"/>
      <c r="R861" s="33"/>
    </row>
    <row r="862">
      <c r="A862" s="33"/>
      <c r="B862" s="33"/>
      <c r="C862" s="33"/>
      <c r="D862" s="33"/>
      <c r="E862" s="33"/>
      <c r="F862" s="33"/>
      <c r="G862" s="33"/>
      <c r="H862" s="33"/>
      <c r="I862" s="33"/>
      <c r="J862" s="33"/>
      <c r="K862" s="33"/>
      <c r="L862" s="33"/>
      <c r="M862" s="33"/>
      <c r="N862" s="33"/>
      <c r="O862" s="33"/>
      <c r="P862" s="33"/>
      <c r="Q862" s="33"/>
      <c r="R862" s="33"/>
    </row>
    <row r="863">
      <c r="A863" s="33"/>
      <c r="B863" s="33"/>
      <c r="C863" s="33"/>
      <c r="D863" s="33"/>
      <c r="E863" s="33"/>
      <c r="F863" s="33"/>
      <c r="G863" s="33"/>
      <c r="H863" s="33"/>
      <c r="I863" s="33"/>
      <c r="J863" s="33"/>
      <c r="K863" s="33"/>
      <c r="L863" s="33"/>
      <c r="M863" s="33"/>
      <c r="N863" s="33"/>
      <c r="O863" s="33"/>
      <c r="P863" s="33"/>
      <c r="Q863" s="33"/>
      <c r="R863" s="33"/>
    </row>
    <row r="864">
      <c r="A864" s="33"/>
      <c r="B864" s="33"/>
      <c r="C864" s="33"/>
      <c r="D864" s="33"/>
      <c r="E864" s="33"/>
      <c r="F864" s="33"/>
      <c r="G864" s="33"/>
      <c r="H864" s="33"/>
      <c r="I864" s="33"/>
      <c r="J864" s="33"/>
      <c r="K864" s="33"/>
      <c r="L864" s="33"/>
      <c r="M864" s="33"/>
      <c r="N864" s="33"/>
      <c r="O864" s="33"/>
      <c r="P864" s="33"/>
      <c r="Q864" s="33"/>
      <c r="R864" s="33"/>
    </row>
    <row r="865">
      <c r="A865" s="33"/>
      <c r="B865" s="33"/>
      <c r="C865" s="33"/>
      <c r="D865" s="33"/>
      <c r="E865" s="33"/>
      <c r="F865" s="33"/>
      <c r="G865" s="33"/>
      <c r="H865" s="33"/>
      <c r="I865" s="33"/>
      <c r="J865" s="33"/>
      <c r="K865" s="33"/>
      <c r="L865" s="33"/>
      <c r="M865" s="33"/>
      <c r="N865" s="33"/>
      <c r="O865" s="33"/>
      <c r="P865" s="33"/>
      <c r="Q865" s="33"/>
      <c r="R865" s="33"/>
    </row>
    <row r="866">
      <c r="A866" s="33"/>
      <c r="B866" s="33"/>
      <c r="C866" s="33"/>
      <c r="D866" s="33"/>
      <c r="E866" s="33"/>
      <c r="F866" s="33"/>
      <c r="G866" s="33"/>
      <c r="H866" s="33"/>
      <c r="I866" s="33"/>
      <c r="J866" s="33"/>
      <c r="K866" s="33"/>
      <c r="L866" s="33"/>
      <c r="M866" s="33"/>
      <c r="N866" s="33"/>
      <c r="O866" s="33"/>
      <c r="P866" s="33"/>
      <c r="Q866" s="33"/>
      <c r="R866" s="33"/>
    </row>
    <row r="867">
      <c r="A867" s="33"/>
      <c r="B867" s="33"/>
      <c r="C867" s="33"/>
      <c r="D867" s="33"/>
      <c r="E867" s="33"/>
      <c r="F867" s="33"/>
      <c r="G867" s="33"/>
      <c r="H867" s="33"/>
      <c r="I867" s="33"/>
      <c r="J867" s="33"/>
      <c r="K867" s="33"/>
      <c r="L867" s="33"/>
      <c r="M867" s="33"/>
      <c r="N867" s="33"/>
      <c r="O867" s="33"/>
      <c r="P867" s="33"/>
      <c r="Q867" s="33"/>
      <c r="R867" s="33"/>
    </row>
    <row r="868">
      <c r="A868" s="33"/>
      <c r="B868" s="33"/>
      <c r="C868" s="33"/>
      <c r="D868" s="33"/>
      <c r="E868" s="33"/>
      <c r="F868" s="33"/>
      <c r="G868" s="33"/>
      <c r="H868" s="33"/>
      <c r="I868" s="33"/>
      <c r="J868" s="33"/>
      <c r="K868" s="33"/>
      <c r="L868" s="33"/>
      <c r="M868" s="33"/>
      <c r="N868" s="33"/>
      <c r="O868" s="33"/>
      <c r="P868" s="33"/>
      <c r="Q868" s="33"/>
      <c r="R868" s="33"/>
    </row>
    <row r="869">
      <c r="A869" s="33"/>
      <c r="B869" s="33"/>
      <c r="C869" s="33"/>
      <c r="D869" s="33"/>
      <c r="E869" s="33"/>
      <c r="F869" s="33"/>
      <c r="G869" s="33"/>
      <c r="H869" s="33"/>
      <c r="I869" s="33"/>
      <c r="J869" s="33"/>
      <c r="K869" s="33"/>
      <c r="L869" s="33"/>
      <c r="M869" s="33"/>
      <c r="N869" s="33"/>
      <c r="O869" s="33"/>
      <c r="P869" s="33"/>
      <c r="Q869" s="33"/>
      <c r="R869" s="33"/>
    </row>
    <row r="870">
      <c r="A870" s="33"/>
      <c r="B870" s="33"/>
      <c r="C870" s="33"/>
      <c r="D870" s="33"/>
      <c r="E870" s="33"/>
      <c r="F870" s="33"/>
      <c r="G870" s="33"/>
      <c r="H870" s="33"/>
      <c r="I870" s="33"/>
      <c r="J870" s="33"/>
      <c r="K870" s="33"/>
      <c r="L870" s="33"/>
      <c r="M870" s="33"/>
      <c r="N870" s="33"/>
      <c r="O870" s="33"/>
      <c r="P870" s="33"/>
      <c r="Q870" s="33"/>
      <c r="R870" s="33"/>
    </row>
    <row r="871">
      <c r="A871" s="33"/>
      <c r="B871" s="33"/>
      <c r="C871" s="33"/>
      <c r="D871" s="33"/>
      <c r="E871" s="33"/>
      <c r="F871" s="33"/>
      <c r="G871" s="33"/>
      <c r="H871" s="33"/>
      <c r="I871" s="33"/>
      <c r="J871" s="33"/>
      <c r="K871" s="33"/>
      <c r="L871" s="33"/>
      <c r="M871" s="33"/>
      <c r="N871" s="33"/>
      <c r="O871" s="33"/>
      <c r="P871" s="33"/>
      <c r="Q871" s="33"/>
      <c r="R871" s="33"/>
    </row>
    <row r="872">
      <c r="A872" s="33"/>
      <c r="B872" s="33"/>
      <c r="C872" s="33"/>
      <c r="D872" s="33"/>
      <c r="E872" s="33"/>
      <c r="F872" s="33"/>
      <c r="G872" s="33"/>
      <c r="H872" s="33"/>
      <c r="I872" s="33"/>
      <c r="J872" s="33"/>
      <c r="K872" s="33"/>
      <c r="L872" s="33"/>
      <c r="M872" s="33"/>
      <c r="N872" s="33"/>
      <c r="O872" s="33"/>
      <c r="P872" s="33"/>
      <c r="Q872" s="33"/>
      <c r="R872" s="33"/>
    </row>
    <row r="873">
      <c r="A873" s="33"/>
      <c r="B873" s="33"/>
      <c r="C873" s="33"/>
      <c r="D873" s="33"/>
      <c r="E873" s="33"/>
      <c r="F873" s="33"/>
      <c r="G873" s="33"/>
      <c r="H873" s="33"/>
      <c r="I873" s="33"/>
      <c r="J873" s="33"/>
      <c r="K873" s="33"/>
      <c r="L873" s="33"/>
      <c r="M873" s="33"/>
      <c r="N873" s="33"/>
      <c r="O873" s="33"/>
      <c r="P873" s="33"/>
      <c r="Q873" s="33"/>
      <c r="R873" s="33"/>
    </row>
    <row r="874">
      <c r="A874" s="33"/>
      <c r="B874" s="33"/>
      <c r="C874" s="33"/>
      <c r="D874" s="33"/>
      <c r="E874" s="33"/>
      <c r="F874" s="33"/>
      <c r="G874" s="33"/>
      <c r="H874" s="33"/>
      <c r="I874" s="33"/>
      <c r="J874" s="33"/>
      <c r="K874" s="33"/>
      <c r="L874" s="33"/>
      <c r="M874" s="33"/>
      <c r="N874" s="33"/>
      <c r="O874" s="33"/>
      <c r="P874" s="33"/>
      <c r="Q874" s="33"/>
      <c r="R874" s="33"/>
    </row>
    <row r="875">
      <c r="A875" s="33"/>
      <c r="B875" s="33"/>
      <c r="C875" s="33"/>
      <c r="D875" s="33"/>
      <c r="E875" s="33"/>
      <c r="F875" s="33"/>
      <c r="G875" s="33"/>
      <c r="H875" s="33"/>
      <c r="I875" s="33"/>
      <c r="J875" s="33"/>
      <c r="K875" s="33"/>
      <c r="L875" s="33"/>
      <c r="M875" s="33"/>
      <c r="N875" s="33"/>
      <c r="O875" s="33"/>
      <c r="P875" s="33"/>
      <c r="Q875" s="33"/>
      <c r="R875" s="33"/>
    </row>
    <row r="876">
      <c r="A876" s="33"/>
      <c r="B876" s="33"/>
      <c r="C876" s="33"/>
      <c r="D876" s="33"/>
      <c r="E876" s="33"/>
      <c r="F876" s="33"/>
      <c r="G876" s="33"/>
      <c r="H876" s="33"/>
      <c r="I876" s="33"/>
      <c r="J876" s="33"/>
      <c r="K876" s="33"/>
      <c r="L876" s="33"/>
      <c r="M876" s="33"/>
      <c r="N876" s="33"/>
      <c r="O876" s="33"/>
      <c r="P876" s="33"/>
      <c r="Q876" s="33"/>
      <c r="R876" s="33"/>
    </row>
    <row r="877">
      <c r="A877" s="33"/>
      <c r="B877" s="33"/>
      <c r="C877" s="33"/>
      <c r="D877" s="33"/>
      <c r="E877" s="33"/>
      <c r="F877" s="33"/>
      <c r="G877" s="33"/>
      <c r="H877" s="33"/>
      <c r="I877" s="33"/>
      <c r="J877" s="33"/>
      <c r="K877" s="33"/>
      <c r="L877" s="33"/>
      <c r="M877" s="33"/>
      <c r="N877" s="33"/>
      <c r="O877" s="33"/>
      <c r="P877" s="33"/>
      <c r="Q877" s="33"/>
      <c r="R877" s="33"/>
    </row>
    <row r="878">
      <c r="A878" s="33"/>
      <c r="B878" s="33"/>
      <c r="C878" s="33"/>
      <c r="D878" s="33"/>
      <c r="E878" s="33"/>
      <c r="F878" s="33"/>
      <c r="G878" s="33"/>
      <c r="H878" s="33"/>
      <c r="I878" s="33"/>
      <c r="J878" s="33"/>
      <c r="K878" s="33"/>
      <c r="L878" s="33"/>
      <c r="M878" s="33"/>
      <c r="N878" s="33"/>
      <c r="O878" s="33"/>
      <c r="P878" s="33"/>
      <c r="Q878" s="33"/>
      <c r="R878" s="33"/>
    </row>
    <row r="879">
      <c r="A879" s="33"/>
      <c r="B879" s="33"/>
      <c r="C879" s="33"/>
      <c r="D879" s="33"/>
      <c r="E879" s="33"/>
      <c r="F879" s="33"/>
      <c r="G879" s="33"/>
      <c r="H879" s="33"/>
      <c r="I879" s="33"/>
      <c r="J879" s="33"/>
      <c r="K879" s="33"/>
      <c r="L879" s="33"/>
      <c r="M879" s="33"/>
      <c r="N879" s="33"/>
      <c r="O879" s="33"/>
      <c r="P879" s="33"/>
      <c r="Q879" s="33"/>
      <c r="R879" s="33"/>
    </row>
    <row r="880">
      <c r="A880" s="33"/>
      <c r="B880" s="33"/>
      <c r="C880" s="33"/>
      <c r="D880" s="33"/>
      <c r="E880" s="33"/>
      <c r="F880" s="33"/>
      <c r="G880" s="33"/>
      <c r="H880" s="33"/>
      <c r="I880" s="33"/>
      <c r="J880" s="33"/>
      <c r="K880" s="33"/>
      <c r="L880" s="33"/>
      <c r="M880" s="33"/>
      <c r="N880" s="33"/>
      <c r="O880" s="33"/>
      <c r="P880" s="33"/>
      <c r="Q880" s="33"/>
      <c r="R880" s="33"/>
    </row>
    <row r="881">
      <c r="A881" s="33"/>
      <c r="B881" s="33"/>
      <c r="C881" s="33"/>
      <c r="D881" s="33"/>
      <c r="E881" s="33"/>
      <c r="F881" s="33"/>
      <c r="G881" s="33"/>
      <c r="H881" s="33"/>
      <c r="I881" s="33"/>
      <c r="J881" s="33"/>
      <c r="K881" s="33"/>
      <c r="L881" s="33"/>
      <c r="M881" s="33"/>
      <c r="N881" s="33"/>
      <c r="O881" s="33"/>
      <c r="P881" s="33"/>
      <c r="Q881" s="33"/>
      <c r="R881" s="33"/>
    </row>
    <row r="882">
      <c r="A882" s="33"/>
      <c r="B882" s="33"/>
      <c r="C882" s="33"/>
      <c r="D882" s="33"/>
      <c r="E882" s="33"/>
      <c r="F882" s="33"/>
      <c r="G882" s="33"/>
      <c r="H882" s="33"/>
      <c r="I882" s="33"/>
      <c r="J882" s="33"/>
      <c r="K882" s="33"/>
      <c r="L882" s="33"/>
      <c r="M882" s="33"/>
      <c r="N882" s="33"/>
      <c r="O882" s="33"/>
      <c r="P882" s="33"/>
      <c r="Q882" s="33"/>
      <c r="R882" s="33"/>
    </row>
    <row r="883">
      <c r="A883" s="33"/>
      <c r="B883" s="33"/>
      <c r="C883" s="33"/>
      <c r="D883" s="33"/>
      <c r="E883" s="33"/>
      <c r="F883" s="33"/>
      <c r="G883" s="33"/>
      <c r="H883" s="33"/>
      <c r="I883" s="33"/>
      <c r="J883" s="33"/>
      <c r="K883" s="33"/>
      <c r="L883" s="33"/>
      <c r="M883" s="33"/>
      <c r="N883" s="33"/>
      <c r="O883" s="33"/>
      <c r="P883" s="33"/>
      <c r="Q883" s="33"/>
      <c r="R883" s="33"/>
    </row>
    <row r="884">
      <c r="A884" s="33"/>
      <c r="B884" s="33"/>
      <c r="C884" s="33"/>
      <c r="D884" s="33"/>
      <c r="E884" s="33"/>
      <c r="F884" s="33"/>
      <c r="G884" s="33"/>
      <c r="H884" s="33"/>
      <c r="I884" s="33"/>
      <c r="J884" s="33"/>
      <c r="K884" s="33"/>
      <c r="L884" s="33"/>
      <c r="M884" s="33"/>
      <c r="N884" s="33"/>
      <c r="O884" s="33"/>
      <c r="P884" s="33"/>
      <c r="Q884" s="33"/>
      <c r="R884" s="33"/>
    </row>
    <row r="885">
      <c r="A885" s="33"/>
      <c r="B885" s="33"/>
      <c r="C885" s="33"/>
      <c r="D885" s="33"/>
      <c r="E885" s="33"/>
      <c r="F885" s="33"/>
      <c r="G885" s="33"/>
      <c r="H885" s="33"/>
      <c r="I885" s="33"/>
      <c r="J885" s="33"/>
      <c r="K885" s="33"/>
      <c r="L885" s="33"/>
      <c r="M885" s="33"/>
      <c r="N885" s="33"/>
      <c r="O885" s="33"/>
      <c r="P885" s="33"/>
      <c r="Q885" s="33"/>
      <c r="R885" s="33"/>
    </row>
    <row r="886">
      <c r="A886" s="33"/>
      <c r="B886" s="33"/>
      <c r="C886" s="33"/>
      <c r="D886" s="33"/>
      <c r="E886" s="33"/>
      <c r="F886" s="33"/>
      <c r="G886" s="33"/>
      <c r="H886" s="33"/>
      <c r="I886" s="33"/>
      <c r="J886" s="33"/>
      <c r="K886" s="33"/>
      <c r="L886" s="33"/>
      <c r="M886" s="33"/>
      <c r="N886" s="33"/>
      <c r="O886" s="33"/>
      <c r="P886" s="33"/>
      <c r="Q886" s="33"/>
      <c r="R886" s="33"/>
    </row>
    <row r="887">
      <c r="A887" s="33"/>
      <c r="B887" s="33"/>
      <c r="C887" s="33"/>
      <c r="D887" s="33"/>
      <c r="E887" s="33"/>
      <c r="F887" s="33"/>
      <c r="G887" s="33"/>
      <c r="H887" s="33"/>
      <c r="I887" s="33"/>
      <c r="J887" s="33"/>
      <c r="K887" s="33"/>
      <c r="L887" s="33"/>
      <c r="M887" s="33"/>
      <c r="N887" s="33"/>
      <c r="O887" s="33"/>
      <c r="P887" s="33"/>
      <c r="Q887" s="33"/>
      <c r="R887" s="33"/>
    </row>
    <row r="888">
      <c r="A888" s="33"/>
      <c r="B888" s="33"/>
      <c r="C888" s="33"/>
      <c r="D888" s="33"/>
      <c r="E888" s="33"/>
      <c r="F888" s="33"/>
      <c r="G888" s="33"/>
      <c r="H888" s="33"/>
      <c r="I888" s="33"/>
      <c r="J888" s="33"/>
      <c r="K888" s="33"/>
      <c r="L888" s="33"/>
      <c r="M888" s="33"/>
      <c r="N888" s="33"/>
      <c r="O888" s="33"/>
      <c r="P888" s="33"/>
      <c r="Q888" s="33"/>
      <c r="R888" s="33"/>
    </row>
    <row r="889">
      <c r="A889" s="33"/>
      <c r="B889" s="33"/>
      <c r="C889" s="33"/>
      <c r="D889" s="33"/>
      <c r="E889" s="33"/>
      <c r="F889" s="33"/>
      <c r="G889" s="33"/>
      <c r="H889" s="33"/>
      <c r="I889" s="33"/>
      <c r="J889" s="33"/>
      <c r="K889" s="33"/>
      <c r="L889" s="33"/>
      <c r="M889" s="33"/>
      <c r="N889" s="33"/>
      <c r="O889" s="33"/>
      <c r="P889" s="33"/>
      <c r="Q889" s="33"/>
      <c r="R889" s="33"/>
    </row>
    <row r="890">
      <c r="A890" s="33"/>
      <c r="B890" s="33"/>
      <c r="C890" s="33"/>
      <c r="D890" s="33"/>
      <c r="E890" s="33"/>
      <c r="F890" s="33"/>
      <c r="G890" s="33"/>
      <c r="H890" s="33"/>
      <c r="I890" s="33"/>
      <c r="J890" s="33"/>
      <c r="K890" s="33"/>
      <c r="L890" s="33"/>
      <c r="M890" s="33"/>
      <c r="N890" s="33"/>
      <c r="O890" s="33"/>
      <c r="P890" s="33"/>
      <c r="Q890" s="33"/>
      <c r="R890" s="33"/>
    </row>
    <row r="891">
      <c r="A891" s="33"/>
      <c r="B891" s="33"/>
      <c r="C891" s="33"/>
      <c r="D891" s="33"/>
      <c r="E891" s="33"/>
      <c r="F891" s="33"/>
      <c r="G891" s="33"/>
      <c r="H891" s="33"/>
      <c r="I891" s="33"/>
      <c r="J891" s="33"/>
      <c r="K891" s="33"/>
      <c r="L891" s="33"/>
      <c r="M891" s="33"/>
      <c r="N891" s="33"/>
      <c r="O891" s="33"/>
      <c r="P891" s="33"/>
      <c r="Q891" s="33"/>
      <c r="R891" s="33"/>
    </row>
    <row r="892">
      <c r="A892" s="33"/>
      <c r="B892" s="33"/>
      <c r="C892" s="33"/>
      <c r="D892" s="33"/>
      <c r="E892" s="33"/>
      <c r="F892" s="33"/>
      <c r="G892" s="33"/>
      <c r="H892" s="33"/>
      <c r="I892" s="33"/>
      <c r="J892" s="33"/>
      <c r="K892" s="33"/>
      <c r="L892" s="33"/>
      <c r="M892" s="33"/>
      <c r="N892" s="33"/>
      <c r="O892" s="33"/>
      <c r="P892" s="33"/>
      <c r="Q892" s="33"/>
      <c r="R892" s="33"/>
    </row>
    <row r="893">
      <c r="A893" s="33"/>
      <c r="B893" s="33"/>
      <c r="C893" s="33"/>
      <c r="D893" s="33"/>
      <c r="E893" s="33"/>
      <c r="F893" s="33"/>
      <c r="G893" s="33"/>
      <c r="H893" s="33"/>
      <c r="I893" s="33"/>
      <c r="J893" s="33"/>
      <c r="K893" s="33"/>
      <c r="L893" s="33"/>
      <c r="M893" s="33"/>
      <c r="N893" s="33"/>
      <c r="O893" s="33"/>
      <c r="P893" s="33"/>
      <c r="Q893" s="33"/>
      <c r="R893" s="33"/>
    </row>
    <row r="894">
      <c r="A894" s="33"/>
      <c r="B894" s="33"/>
      <c r="C894" s="33"/>
      <c r="D894" s="33"/>
      <c r="E894" s="33"/>
      <c r="F894" s="33"/>
      <c r="G894" s="33"/>
      <c r="H894" s="33"/>
      <c r="I894" s="33"/>
      <c r="J894" s="33"/>
      <c r="K894" s="33"/>
      <c r="L894" s="33"/>
      <c r="M894" s="33"/>
      <c r="N894" s="33"/>
      <c r="O894" s="33"/>
      <c r="P894" s="33"/>
      <c r="Q894" s="33"/>
      <c r="R894" s="33"/>
    </row>
    <row r="895">
      <c r="A895" s="33"/>
      <c r="B895" s="33"/>
      <c r="C895" s="33"/>
      <c r="D895" s="33"/>
      <c r="E895" s="33"/>
      <c r="F895" s="33"/>
      <c r="G895" s="33"/>
      <c r="H895" s="33"/>
      <c r="I895" s="33"/>
      <c r="J895" s="33"/>
      <c r="K895" s="33"/>
      <c r="L895" s="33"/>
      <c r="M895" s="33"/>
      <c r="N895" s="33"/>
      <c r="O895" s="33"/>
      <c r="P895" s="33"/>
      <c r="Q895" s="33"/>
      <c r="R895" s="33"/>
    </row>
    <row r="896">
      <c r="A896" s="33"/>
      <c r="B896" s="33"/>
      <c r="C896" s="33"/>
      <c r="D896" s="33"/>
      <c r="E896" s="33"/>
      <c r="F896" s="33"/>
      <c r="G896" s="33"/>
      <c r="H896" s="33"/>
      <c r="I896" s="33"/>
      <c r="J896" s="33"/>
      <c r="K896" s="33"/>
      <c r="L896" s="33"/>
      <c r="M896" s="33"/>
      <c r="N896" s="33"/>
      <c r="O896" s="33"/>
      <c r="P896" s="33"/>
      <c r="Q896" s="33"/>
      <c r="R896" s="33"/>
    </row>
    <row r="897">
      <c r="A897" s="33"/>
      <c r="B897" s="33"/>
      <c r="C897" s="33"/>
      <c r="D897" s="33"/>
      <c r="E897" s="33"/>
      <c r="F897" s="33"/>
      <c r="G897" s="33"/>
      <c r="H897" s="33"/>
      <c r="I897" s="33"/>
      <c r="J897" s="33"/>
      <c r="K897" s="33"/>
      <c r="L897" s="33"/>
      <c r="M897" s="33"/>
      <c r="N897" s="33"/>
      <c r="O897" s="33"/>
      <c r="P897" s="33"/>
      <c r="Q897" s="33"/>
      <c r="R897" s="33"/>
    </row>
    <row r="898">
      <c r="A898" s="33"/>
      <c r="B898" s="33"/>
      <c r="C898" s="33"/>
      <c r="D898" s="33"/>
      <c r="E898" s="33"/>
      <c r="F898" s="33"/>
      <c r="G898" s="33"/>
      <c r="H898" s="33"/>
      <c r="I898" s="33"/>
      <c r="J898" s="33"/>
      <c r="K898" s="33"/>
      <c r="L898" s="33"/>
      <c r="M898" s="33"/>
      <c r="N898" s="33"/>
      <c r="O898" s="33"/>
      <c r="P898" s="33"/>
      <c r="Q898" s="33"/>
      <c r="R898" s="33"/>
    </row>
    <row r="899">
      <c r="A899" s="33"/>
      <c r="B899" s="33"/>
      <c r="C899" s="33"/>
      <c r="D899" s="33"/>
      <c r="E899" s="33"/>
      <c r="F899" s="33"/>
      <c r="G899" s="33"/>
      <c r="H899" s="33"/>
      <c r="I899" s="33"/>
      <c r="J899" s="33"/>
      <c r="K899" s="33"/>
      <c r="L899" s="33"/>
      <c r="M899" s="33"/>
      <c r="N899" s="33"/>
      <c r="O899" s="33"/>
      <c r="P899" s="33"/>
      <c r="Q899" s="33"/>
      <c r="R899" s="33"/>
    </row>
    <row r="900">
      <c r="A900" s="33"/>
      <c r="B900" s="33"/>
      <c r="C900" s="33"/>
      <c r="D900" s="33"/>
      <c r="E900" s="33"/>
      <c r="F900" s="33"/>
      <c r="G900" s="33"/>
      <c r="H900" s="33"/>
      <c r="I900" s="33"/>
      <c r="J900" s="33"/>
      <c r="K900" s="33"/>
      <c r="L900" s="33"/>
      <c r="M900" s="33"/>
      <c r="N900" s="33"/>
      <c r="O900" s="33"/>
      <c r="P900" s="33"/>
      <c r="Q900" s="33"/>
      <c r="R900" s="33"/>
    </row>
    <row r="901">
      <c r="A901" s="33"/>
      <c r="B901" s="33"/>
      <c r="C901" s="33"/>
      <c r="D901" s="33"/>
      <c r="E901" s="33"/>
      <c r="F901" s="33"/>
      <c r="G901" s="33"/>
      <c r="H901" s="33"/>
      <c r="I901" s="33"/>
      <c r="J901" s="33"/>
      <c r="K901" s="33"/>
      <c r="L901" s="33"/>
      <c r="M901" s="33"/>
      <c r="N901" s="33"/>
      <c r="O901" s="33"/>
      <c r="P901" s="33"/>
      <c r="Q901" s="33"/>
      <c r="R901" s="33"/>
    </row>
    <row r="902">
      <c r="A902" s="33"/>
      <c r="B902" s="33"/>
      <c r="C902" s="33"/>
      <c r="D902" s="33"/>
      <c r="E902" s="33"/>
      <c r="F902" s="33"/>
      <c r="G902" s="33"/>
      <c r="H902" s="33"/>
      <c r="I902" s="33"/>
      <c r="J902" s="33"/>
      <c r="K902" s="33"/>
      <c r="L902" s="33"/>
      <c r="M902" s="33"/>
      <c r="N902" s="33"/>
      <c r="O902" s="33"/>
      <c r="P902" s="33"/>
      <c r="Q902" s="33"/>
      <c r="R902" s="33"/>
    </row>
    <row r="903">
      <c r="A903" s="33"/>
      <c r="B903" s="33"/>
      <c r="C903" s="33"/>
      <c r="D903" s="33"/>
      <c r="E903" s="33"/>
      <c r="F903" s="33"/>
      <c r="G903" s="33"/>
      <c r="H903" s="33"/>
      <c r="I903" s="33"/>
      <c r="J903" s="33"/>
      <c r="K903" s="33"/>
      <c r="L903" s="33"/>
      <c r="M903" s="33"/>
      <c r="N903" s="33"/>
      <c r="O903" s="33"/>
      <c r="P903" s="33"/>
      <c r="Q903" s="33"/>
      <c r="R903" s="33"/>
    </row>
    <row r="904">
      <c r="A904" s="33"/>
      <c r="B904" s="33"/>
      <c r="C904" s="33"/>
      <c r="D904" s="33"/>
      <c r="E904" s="33"/>
      <c r="F904" s="33"/>
      <c r="G904" s="33"/>
      <c r="H904" s="33"/>
      <c r="I904" s="33"/>
      <c r="J904" s="33"/>
      <c r="K904" s="33"/>
      <c r="L904" s="33"/>
      <c r="M904" s="33"/>
      <c r="N904" s="33"/>
      <c r="O904" s="33"/>
      <c r="P904" s="33"/>
      <c r="Q904" s="33"/>
      <c r="R904" s="33"/>
    </row>
    <row r="905">
      <c r="A905" s="33"/>
      <c r="B905" s="33"/>
      <c r="C905" s="33"/>
      <c r="D905" s="33"/>
      <c r="E905" s="33"/>
      <c r="F905" s="33"/>
      <c r="G905" s="33"/>
      <c r="H905" s="33"/>
      <c r="I905" s="33"/>
      <c r="J905" s="33"/>
      <c r="K905" s="33"/>
      <c r="L905" s="33"/>
      <c r="M905" s="33"/>
      <c r="N905" s="33"/>
      <c r="O905" s="33"/>
      <c r="P905" s="33"/>
      <c r="Q905" s="33"/>
      <c r="R905" s="33"/>
    </row>
    <row r="906">
      <c r="A906" s="33"/>
      <c r="B906" s="33"/>
      <c r="C906" s="33"/>
      <c r="D906" s="33"/>
      <c r="E906" s="33"/>
      <c r="F906" s="33"/>
      <c r="G906" s="33"/>
      <c r="H906" s="33"/>
      <c r="I906" s="33"/>
      <c r="J906" s="33"/>
      <c r="K906" s="33"/>
      <c r="L906" s="33"/>
      <c r="M906" s="33"/>
      <c r="N906" s="33"/>
      <c r="O906" s="33"/>
      <c r="P906" s="33"/>
      <c r="Q906" s="33"/>
      <c r="R906" s="33"/>
    </row>
    <row r="907">
      <c r="A907" s="33"/>
      <c r="B907" s="33"/>
      <c r="C907" s="33"/>
      <c r="D907" s="33"/>
      <c r="E907" s="33"/>
      <c r="F907" s="33"/>
      <c r="G907" s="33"/>
      <c r="H907" s="33"/>
      <c r="I907" s="33"/>
      <c r="J907" s="33"/>
      <c r="K907" s="33"/>
      <c r="L907" s="33"/>
      <c r="M907" s="33"/>
      <c r="N907" s="33"/>
      <c r="O907" s="33"/>
      <c r="P907" s="33"/>
      <c r="Q907" s="33"/>
      <c r="R907" s="33"/>
    </row>
    <row r="908">
      <c r="A908" s="33"/>
      <c r="B908" s="33"/>
      <c r="C908" s="33"/>
      <c r="D908" s="33"/>
      <c r="E908" s="33"/>
      <c r="F908" s="33"/>
      <c r="G908" s="33"/>
      <c r="H908" s="33"/>
      <c r="I908" s="33"/>
      <c r="J908" s="33"/>
      <c r="K908" s="33"/>
      <c r="L908" s="33"/>
      <c r="M908" s="33"/>
      <c r="N908" s="33"/>
      <c r="O908" s="33"/>
      <c r="P908" s="33"/>
      <c r="Q908" s="33"/>
      <c r="R908" s="33"/>
    </row>
    <row r="909">
      <c r="A909" s="33"/>
      <c r="B909" s="33"/>
      <c r="C909" s="33"/>
      <c r="D909" s="33"/>
      <c r="E909" s="33"/>
      <c r="F909" s="33"/>
      <c r="G909" s="33"/>
      <c r="H909" s="33"/>
      <c r="I909" s="33"/>
      <c r="J909" s="33"/>
      <c r="K909" s="33"/>
      <c r="L909" s="33"/>
      <c r="M909" s="33"/>
      <c r="N909" s="33"/>
      <c r="O909" s="33"/>
      <c r="P909" s="33"/>
      <c r="Q909" s="33"/>
      <c r="R909" s="33"/>
    </row>
    <row r="910">
      <c r="A910" s="33"/>
      <c r="B910" s="33"/>
      <c r="C910" s="33"/>
      <c r="D910" s="33"/>
      <c r="E910" s="33"/>
      <c r="F910" s="33"/>
      <c r="G910" s="33"/>
      <c r="H910" s="33"/>
      <c r="I910" s="33"/>
      <c r="J910" s="33"/>
      <c r="K910" s="33"/>
      <c r="L910" s="33"/>
      <c r="M910" s="33"/>
      <c r="N910" s="33"/>
      <c r="O910" s="33"/>
      <c r="P910" s="33"/>
      <c r="Q910" s="33"/>
      <c r="R910" s="33"/>
    </row>
    <row r="911">
      <c r="A911" s="33"/>
      <c r="B911" s="33"/>
      <c r="C911" s="33"/>
      <c r="D911" s="33"/>
      <c r="E911" s="33"/>
      <c r="F911" s="33"/>
      <c r="G911" s="33"/>
      <c r="H911" s="33"/>
      <c r="I911" s="33"/>
      <c r="J911" s="33"/>
      <c r="K911" s="33"/>
      <c r="L911" s="33"/>
      <c r="M911" s="33"/>
      <c r="N911" s="33"/>
      <c r="O911" s="33"/>
      <c r="P911" s="33"/>
      <c r="Q911" s="33"/>
      <c r="R911" s="33"/>
    </row>
    <row r="912">
      <c r="A912" s="33"/>
      <c r="B912" s="33"/>
      <c r="C912" s="33"/>
      <c r="D912" s="33"/>
      <c r="E912" s="33"/>
      <c r="F912" s="33"/>
      <c r="G912" s="33"/>
      <c r="H912" s="33"/>
      <c r="I912" s="33"/>
      <c r="J912" s="33"/>
      <c r="K912" s="33"/>
      <c r="L912" s="33"/>
      <c r="M912" s="33"/>
      <c r="N912" s="33"/>
      <c r="O912" s="33"/>
      <c r="P912" s="33"/>
      <c r="Q912" s="33"/>
      <c r="R912" s="33"/>
    </row>
    <row r="913">
      <c r="A913" s="33"/>
      <c r="B913" s="33"/>
      <c r="C913" s="33"/>
      <c r="D913" s="33"/>
      <c r="E913" s="33"/>
      <c r="F913" s="33"/>
      <c r="G913" s="33"/>
      <c r="H913" s="33"/>
      <c r="I913" s="33"/>
      <c r="J913" s="33"/>
      <c r="K913" s="33"/>
      <c r="L913" s="33"/>
      <c r="M913" s="33"/>
      <c r="N913" s="33"/>
      <c r="O913" s="33"/>
      <c r="P913" s="33"/>
      <c r="Q913" s="33"/>
      <c r="R913" s="33"/>
    </row>
    <row r="914">
      <c r="A914" s="33"/>
      <c r="B914" s="33"/>
      <c r="C914" s="33"/>
      <c r="D914" s="33"/>
      <c r="E914" s="33"/>
      <c r="F914" s="33"/>
      <c r="G914" s="33"/>
      <c r="H914" s="33"/>
      <c r="I914" s="33"/>
      <c r="J914" s="33"/>
      <c r="K914" s="33"/>
      <c r="L914" s="33"/>
      <c r="M914" s="33"/>
      <c r="N914" s="33"/>
      <c r="O914" s="33"/>
      <c r="P914" s="33"/>
      <c r="Q914" s="33"/>
      <c r="R914" s="33"/>
    </row>
    <row r="915">
      <c r="A915" s="33"/>
      <c r="B915" s="33"/>
      <c r="C915" s="33"/>
      <c r="D915" s="33"/>
      <c r="E915" s="33"/>
      <c r="F915" s="33"/>
      <c r="G915" s="33"/>
      <c r="H915" s="33"/>
      <c r="I915" s="33"/>
      <c r="J915" s="33"/>
      <c r="K915" s="33"/>
      <c r="L915" s="33"/>
      <c r="M915" s="33"/>
      <c r="N915" s="33"/>
      <c r="O915" s="33"/>
      <c r="P915" s="33"/>
      <c r="Q915" s="33"/>
      <c r="R915" s="33"/>
    </row>
    <row r="916">
      <c r="A916" s="33"/>
      <c r="B916" s="33"/>
      <c r="C916" s="33"/>
      <c r="D916" s="33"/>
      <c r="E916" s="33"/>
      <c r="F916" s="33"/>
      <c r="G916" s="33"/>
      <c r="H916" s="33"/>
      <c r="I916" s="33"/>
      <c r="J916" s="33"/>
      <c r="K916" s="33"/>
      <c r="L916" s="33"/>
      <c r="M916" s="33"/>
      <c r="N916" s="33"/>
      <c r="O916" s="33"/>
      <c r="P916" s="33"/>
      <c r="Q916" s="33"/>
      <c r="R916" s="33"/>
    </row>
    <row r="917">
      <c r="A917" s="33"/>
      <c r="B917" s="33"/>
      <c r="C917" s="33"/>
      <c r="D917" s="33"/>
      <c r="E917" s="33"/>
      <c r="F917" s="33"/>
      <c r="G917" s="33"/>
      <c r="H917" s="33"/>
      <c r="I917" s="33"/>
      <c r="J917" s="33"/>
      <c r="K917" s="33"/>
      <c r="L917" s="33"/>
      <c r="M917" s="33"/>
      <c r="N917" s="33"/>
      <c r="O917" s="33"/>
      <c r="P917" s="33"/>
      <c r="Q917" s="33"/>
      <c r="R917" s="33"/>
    </row>
    <row r="918">
      <c r="A918" s="33"/>
      <c r="B918" s="33"/>
      <c r="C918" s="33"/>
      <c r="D918" s="33"/>
      <c r="E918" s="33"/>
      <c r="F918" s="33"/>
      <c r="G918" s="33"/>
      <c r="H918" s="33"/>
      <c r="I918" s="33"/>
      <c r="J918" s="33"/>
      <c r="K918" s="33"/>
      <c r="L918" s="33"/>
      <c r="M918" s="33"/>
      <c r="N918" s="33"/>
      <c r="O918" s="33"/>
      <c r="P918" s="33"/>
      <c r="Q918" s="33"/>
      <c r="R918" s="33"/>
    </row>
    <row r="919">
      <c r="A919" s="33"/>
      <c r="B919" s="33"/>
      <c r="C919" s="33"/>
      <c r="D919" s="33"/>
      <c r="E919" s="33"/>
      <c r="F919" s="33"/>
      <c r="G919" s="33"/>
      <c r="H919" s="33"/>
      <c r="I919" s="33"/>
      <c r="J919" s="33"/>
      <c r="K919" s="33"/>
      <c r="L919" s="33"/>
      <c r="M919" s="33"/>
      <c r="N919" s="33"/>
      <c r="O919" s="33"/>
      <c r="P919" s="33"/>
      <c r="Q919" s="33"/>
      <c r="R919" s="33"/>
    </row>
    <row r="920">
      <c r="A920" s="33"/>
      <c r="B920" s="33"/>
      <c r="C920" s="33"/>
      <c r="D920" s="33"/>
      <c r="E920" s="33"/>
      <c r="F920" s="33"/>
      <c r="G920" s="33"/>
      <c r="H920" s="33"/>
      <c r="I920" s="33"/>
      <c r="J920" s="33"/>
      <c r="K920" s="33"/>
      <c r="L920" s="33"/>
      <c r="M920" s="33"/>
      <c r="N920" s="33"/>
      <c r="O920" s="33"/>
      <c r="P920" s="33"/>
      <c r="Q920" s="33"/>
      <c r="R920" s="33"/>
    </row>
    <row r="921">
      <c r="A921" s="33"/>
      <c r="B921" s="33"/>
      <c r="C921" s="33"/>
      <c r="D921" s="33"/>
      <c r="E921" s="33"/>
      <c r="F921" s="33"/>
      <c r="G921" s="33"/>
      <c r="H921" s="33"/>
      <c r="I921" s="33"/>
      <c r="J921" s="33"/>
      <c r="K921" s="33"/>
      <c r="L921" s="33"/>
      <c r="M921" s="33"/>
      <c r="N921" s="33"/>
      <c r="O921" s="33"/>
      <c r="P921" s="33"/>
      <c r="Q921" s="33"/>
      <c r="R921" s="33"/>
    </row>
    <row r="922">
      <c r="A922" s="33"/>
      <c r="B922" s="33"/>
      <c r="C922" s="33"/>
      <c r="D922" s="33"/>
      <c r="E922" s="33"/>
      <c r="F922" s="33"/>
      <c r="G922" s="33"/>
      <c r="H922" s="33"/>
      <c r="I922" s="33"/>
      <c r="J922" s="33"/>
      <c r="K922" s="33"/>
      <c r="L922" s="33"/>
      <c r="M922" s="33"/>
      <c r="N922" s="33"/>
      <c r="O922" s="33"/>
      <c r="P922" s="33"/>
      <c r="Q922" s="33"/>
      <c r="R922" s="33"/>
    </row>
    <row r="923">
      <c r="A923" s="33"/>
      <c r="B923" s="33"/>
      <c r="C923" s="33"/>
      <c r="D923" s="33"/>
      <c r="E923" s="33"/>
      <c r="F923" s="33"/>
      <c r="G923" s="33"/>
      <c r="H923" s="33"/>
      <c r="I923" s="33"/>
      <c r="J923" s="33"/>
      <c r="K923" s="33"/>
      <c r="L923" s="33"/>
      <c r="M923" s="33"/>
      <c r="N923" s="33"/>
      <c r="O923" s="33"/>
      <c r="P923" s="33"/>
      <c r="Q923" s="33"/>
      <c r="R923" s="33"/>
    </row>
    <row r="924">
      <c r="A924" s="33"/>
      <c r="B924" s="33"/>
      <c r="C924" s="33"/>
      <c r="D924" s="33"/>
      <c r="E924" s="33"/>
      <c r="F924" s="33"/>
      <c r="G924" s="33"/>
      <c r="H924" s="33"/>
      <c r="I924" s="33"/>
      <c r="J924" s="33"/>
      <c r="K924" s="33"/>
      <c r="L924" s="33"/>
      <c r="M924" s="33"/>
      <c r="N924" s="33"/>
      <c r="O924" s="33"/>
      <c r="P924" s="33"/>
      <c r="Q924" s="33"/>
      <c r="R924" s="33"/>
    </row>
    <row r="925">
      <c r="A925" s="33"/>
      <c r="B925" s="33"/>
      <c r="C925" s="33"/>
      <c r="D925" s="33"/>
      <c r="E925" s="33"/>
      <c r="F925" s="33"/>
      <c r="G925" s="33"/>
      <c r="H925" s="33"/>
      <c r="I925" s="33"/>
      <c r="J925" s="33"/>
      <c r="K925" s="33"/>
      <c r="L925" s="33"/>
      <c r="M925" s="33"/>
      <c r="N925" s="33"/>
      <c r="O925" s="33"/>
      <c r="P925" s="33"/>
      <c r="Q925" s="33"/>
      <c r="R925" s="33"/>
    </row>
    <row r="926">
      <c r="A926" s="33"/>
      <c r="B926" s="33"/>
      <c r="C926" s="33"/>
      <c r="D926" s="33"/>
      <c r="E926" s="33"/>
      <c r="F926" s="33"/>
      <c r="G926" s="33"/>
      <c r="H926" s="33"/>
      <c r="I926" s="33"/>
      <c r="J926" s="33"/>
      <c r="K926" s="33"/>
      <c r="L926" s="33"/>
      <c r="M926" s="33"/>
      <c r="N926" s="33"/>
      <c r="O926" s="33"/>
      <c r="P926" s="33"/>
      <c r="Q926" s="33"/>
      <c r="R926" s="33"/>
    </row>
    <row r="927">
      <c r="A927" s="33"/>
      <c r="B927" s="33"/>
      <c r="C927" s="33"/>
      <c r="D927" s="33"/>
      <c r="E927" s="33"/>
      <c r="F927" s="33"/>
      <c r="G927" s="33"/>
      <c r="H927" s="33"/>
      <c r="I927" s="33"/>
      <c r="J927" s="33"/>
      <c r="K927" s="33"/>
      <c r="L927" s="33"/>
      <c r="M927" s="33"/>
      <c r="N927" s="33"/>
      <c r="O927" s="33"/>
      <c r="P927" s="33"/>
      <c r="Q927" s="33"/>
      <c r="R927" s="33"/>
    </row>
    <row r="928">
      <c r="A928" s="33"/>
      <c r="B928" s="33"/>
      <c r="C928" s="33"/>
      <c r="D928" s="33"/>
      <c r="E928" s="33"/>
      <c r="F928" s="33"/>
      <c r="G928" s="33"/>
      <c r="H928" s="33"/>
      <c r="I928" s="33"/>
      <c r="J928" s="33"/>
      <c r="K928" s="33"/>
      <c r="L928" s="33"/>
      <c r="M928" s="33"/>
      <c r="N928" s="33"/>
      <c r="O928" s="33"/>
      <c r="P928" s="33"/>
      <c r="Q928" s="33"/>
      <c r="R928" s="33"/>
    </row>
    <row r="929">
      <c r="A929" s="33"/>
      <c r="B929" s="33"/>
      <c r="C929" s="33"/>
      <c r="D929" s="33"/>
      <c r="E929" s="33"/>
      <c r="F929" s="33"/>
      <c r="G929" s="33"/>
      <c r="H929" s="33"/>
      <c r="I929" s="33"/>
      <c r="J929" s="33"/>
      <c r="K929" s="33"/>
      <c r="L929" s="33"/>
      <c r="M929" s="33"/>
      <c r="N929" s="33"/>
      <c r="O929" s="33"/>
      <c r="P929" s="33"/>
      <c r="Q929" s="33"/>
      <c r="R929" s="33"/>
    </row>
    <row r="930">
      <c r="A930" s="33"/>
      <c r="B930" s="33"/>
      <c r="C930" s="33"/>
      <c r="D930" s="33"/>
      <c r="E930" s="33"/>
      <c r="F930" s="33"/>
      <c r="G930" s="33"/>
      <c r="H930" s="33"/>
      <c r="I930" s="33"/>
      <c r="J930" s="33"/>
      <c r="K930" s="33"/>
      <c r="L930" s="33"/>
      <c r="M930" s="33"/>
      <c r="N930" s="33"/>
      <c r="O930" s="33"/>
      <c r="P930" s="33"/>
      <c r="Q930" s="33"/>
      <c r="R930" s="33"/>
    </row>
    <row r="931">
      <c r="A931" s="33"/>
      <c r="B931" s="33"/>
      <c r="C931" s="33"/>
      <c r="D931" s="33"/>
      <c r="E931" s="33"/>
      <c r="F931" s="33"/>
      <c r="G931" s="33"/>
      <c r="H931" s="33"/>
      <c r="I931" s="33"/>
      <c r="J931" s="33"/>
      <c r="K931" s="33"/>
      <c r="L931" s="33"/>
      <c r="M931" s="33"/>
      <c r="N931" s="33"/>
      <c r="O931" s="33"/>
      <c r="P931" s="33"/>
      <c r="Q931" s="33"/>
      <c r="R931" s="33"/>
    </row>
    <row r="932">
      <c r="A932" s="33"/>
      <c r="B932" s="33"/>
      <c r="C932" s="33"/>
      <c r="D932" s="33"/>
      <c r="E932" s="33"/>
      <c r="F932" s="33"/>
      <c r="G932" s="33"/>
      <c r="H932" s="33"/>
      <c r="I932" s="33"/>
      <c r="J932" s="33"/>
      <c r="K932" s="33"/>
      <c r="L932" s="33"/>
      <c r="M932" s="33"/>
      <c r="N932" s="33"/>
      <c r="O932" s="33"/>
      <c r="P932" s="33"/>
      <c r="Q932" s="33"/>
      <c r="R932" s="33"/>
    </row>
    <row r="933">
      <c r="A933" s="33"/>
      <c r="B933" s="33"/>
      <c r="C933" s="33"/>
      <c r="D933" s="33"/>
      <c r="E933" s="33"/>
      <c r="F933" s="33"/>
      <c r="G933" s="33"/>
      <c r="H933" s="33"/>
      <c r="I933" s="33"/>
      <c r="J933" s="33"/>
      <c r="K933" s="33"/>
      <c r="L933" s="33"/>
      <c r="M933" s="33"/>
      <c r="N933" s="33"/>
      <c r="O933" s="33"/>
      <c r="P933" s="33"/>
      <c r="Q933" s="33"/>
      <c r="R933" s="33"/>
    </row>
    <row r="934">
      <c r="A934" s="33"/>
      <c r="B934" s="33"/>
      <c r="C934" s="33"/>
      <c r="D934" s="33"/>
      <c r="E934" s="33"/>
      <c r="F934" s="33"/>
      <c r="G934" s="33"/>
      <c r="H934" s="33"/>
      <c r="I934" s="33"/>
      <c r="J934" s="33"/>
      <c r="K934" s="33"/>
      <c r="L934" s="33"/>
      <c r="M934" s="33"/>
      <c r="N934" s="33"/>
      <c r="O934" s="33"/>
      <c r="P934" s="33"/>
      <c r="Q934" s="33"/>
      <c r="R934" s="33"/>
    </row>
    <row r="935">
      <c r="A935" s="33"/>
      <c r="B935" s="33"/>
      <c r="C935" s="33"/>
      <c r="D935" s="33"/>
      <c r="E935" s="33"/>
      <c r="F935" s="33"/>
      <c r="G935" s="33"/>
      <c r="H935" s="33"/>
      <c r="I935" s="33"/>
      <c r="J935" s="33"/>
      <c r="K935" s="33"/>
      <c r="L935" s="33"/>
      <c r="M935" s="33"/>
      <c r="N935" s="33"/>
      <c r="O935" s="33"/>
      <c r="P935" s="33"/>
      <c r="Q935" s="33"/>
      <c r="R935" s="33"/>
    </row>
    <row r="936">
      <c r="A936" s="33"/>
      <c r="B936" s="33"/>
      <c r="C936" s="33"/>
      <c r="D936" s="33"/>
      <c r="E936" s="33"/>
      <c r="F936" s="33"/>
      <c r="G936" s="33"/>
      <c r="H936" s="33"/>
      <c r="I936" s="33"/>
      <c r="J936" s="33"/>
      <c r="K936" s="33"/>
      <c r="L936" s="33"/>
      <c r="M936" s="33"/>
      <c r="N936" s="33"/>
      <c r="O936" s="33"/>
      <c r="P936" s="33"/>
      <c r="Q936" s="33"/>
      <c r="R936" s="33"/>
    </row>
    <row r="937">
      <c r="A937" s="33"/>
      <c r="B937" s="33"/>
      <c r="C937" s="33"/>
      <c r="D937" s="33"/>
      <c r="E937" s="33"/>
      <c r="F937" s="33"/>
      <c r="G937" s="33"/>
      <c r="H937" s="33"/>
      <c r="I937" s="33"/>
      <c r="J937" s="33"/>
      <c r="K937" s="33"/>
      <c r="L937" s="33"/>
      <c r="M937" s="33"/>
      <c r="N937" s="33"/>
      <c r="O937" s="33"/>
      <c r="P937" s="33"/>
      <c r="Q937" s="33"/>
      <c r="R937" s="33"/>
    </row>
    <row r="938">
      <c r="A938" s="33"/>
      <c r="B938" s="33"/>
      <c r="C938" s="33"/>
      <c r="D938" s="33"/>
      <c r="E938" s="33"/>
      <c r="F938" s="33"/>
      <c r="G938" s="33"/>
      <c r="H938" s="33"/>
      <c r="I938" s="33"/>
      <c r="J938" s="33"/>
      <c r="K938" s="33"/>
      <c r="L938" s="33"/>
      <c r="M938" s="33"/>
      <c r="N938" s="33"/>
      <c r="O938" s="33"/>
      <c r="P938" s="33"/>
      <c r="Q938" s="33"/>
      <c r="R938" s="33"/>
    </row>
    <row r="939">
      <c r="A939" s="33"/>
      <c r="B939" s="33"/>
      <c r="C939" s="33"/>
      <c r="D939" s="33"/>
      <c r="E939" s="33"/>
      <c r="F939" s="33"/>
      <c r="G939" s="33"/>
      <c r="H939" s="33"/>
      <c r="I939" s="33"/>
      <c r="J939" s="33"/>
      <c r="K939" s="33"/>
      <c r="L939" s="33"/>
      <c r="M939" s="33"/>
      <c r="N939" s="33"/>
      <c r="O939" s="33"/>
      <c r="P939" s="33"/>
      <c r="Q939" s="33"/>
      <c r="R939" s="33"/>
    </row>
    <row r="940">
      <c r="A940" s="33"/>
      <c r="B940" s="33"/>
      <c r="C940" s="33"/>
      <c r="D940" s="33"/>
      <c r="E940" s="33"/>
      <c r="F940" s="33"/>
      <c r="G940" s="33"/>
      <c r="H940" s="33"/>
      <c r="I940" s="33"/>
      <c r="J940" s="33"/>
      <c r="K940" s="33"/>
      <c r="L940" s="33"/>
      <c r="M940" s="33"/>
      <c r="N940" s="33"/>
      <c r="O940" s="33"/>
      <c r="P940" s="33"/>
      <c r="Q940" s="33"/>
      <c r="R940" s="33"/>
    </row>
    <row r="941">
      <c r="A941" s="33"/>
      <c r="B941" s="33"/>
      <c r="C941" s="33"/>
      <c r="D941" s="33"/>
      <c r="E941" s="33"/>
      <c r="F941" s="33"/>
      <c r="G941" s="33"/>
      <c r="H941" s="33"/>
      <c r="I941" s="33"/>
      <c r="J941" s="33"/>
      <c r="K941" s="33"/>
      <c r="L941" s="33"/>
      <c r="M941" s="33"/>
      <c r="N941" s="33"/>
      <c r="O941" s="33"/>
      <c r="P941" s="33"/>
      <c r="Q941" s="33"/>
      <c r="R941" s="33"/>
    </row>
    <row r="942">
      <c r="A942" s="33"/>
      <c r="B942" s="33"/>
      <c r="C942" s="33"/>
      <c r="D942" s="33"/>
      <c r="E942" s="33"/>
      <c r="F942" s="33"/>
      <c r="G942" s="33"/>
      <c r="H942" s="33"/>
      <c r="I942" s="33"/>
      <c r="J942" s="33"/>
      <c r="K942" s="33"/>
      <c r="L942" s="33"/>
      <c r="M942" s="33"/>
      <c r="N942" s="33"/>
      <c r="O942" s="33"/>
      <c r="P942" s="33"/>
      <c r="Q942" s="33"/>
      <c r="R942" s="33"/>
    </row>
    <row r="943">
      <c r="A943" s="33"/>
      <c r="B943" s="33"/>
      <c r="C943" s="33"/>
      <c r="D943" s="33"/>
      <c r="E943" s="33"/>
      <c r="F943" s="33"/>
      <c r="G943" s="33"/>
      <c r="H943" s="33"/>
      <c r="I943" s="33"/>
      <c r="J943" s="33"/>
      <c r="K943" s="33"/>
      <c r="L943" s="33"/>
      <c r="M943" s="33"/>
      <c r="N943" s="33"/>
      <c r="O943" s="33"/>
      <c r="P943" s="33"/>
      <c r="Q943" s="33"/>
      <c r="R943" s="33"/>
    </row>
    <row r="944">
      <c r="A944" s="33"/>
      <c r="B944" s="33"/>
      <c r="C944" s="33"/>
      <c r="D944" s="33"/>
      <c r="E944" s="33"/>
      <c r="F944" s="33"/>
      <c r="G944" s="33"/>
      <c r="H944" s="33"/>
      <c r="I944" s="33"/>
      <c r="J944" s="33"/>
      <c r="K944" s="33"/>
      <c r="L944" s="33"/>
      <c r="M944" s="33"/>
      <c r="N944" s="33"/>
      <c r="O944" s="33"/>
      <c r="P944" s="33"/>
      <c r="Q944" s="33"/>
      <c r="R944" s="33"/>
    </row>
    <row r="945">
      <c r="A945" s="33"/>
      <c r="B945" s="33"/>
      <c r="C945" s="33"/>
      <c r="D945" s="33"/>
      <c r="E945" s="33"/>
      <c r="F945" s="33"/>
      <c r="G945" s="33"/>
      <c r="H945" s="33"/>
      <c r="I945" s="33"/>
      <c r="J945" s="33"/>
      <c r="K945" s="33"/>
      <c r="L945" s="33"/>
      <c r="M945" s="33"/>
      <c r="N945" s="33"/>
      <c r="O945" s="33"/>
      <c r="P945" s="33"/>
      <c r="Q945" s="33"/>
      <c r="R945" s="33"/>
    </row>
    <row r="946">
      <c r="A946" s="33"/>
      <c r="B946" s="33"/>
      <c r="C946" s="33"/>
      <c r="D946" s="33"/>
      <c r="E946" s="33"/>
      <c r="F946" s="33"/>
      <c r="G946" s="33"/>
      <c r="H946" s="33"/>
      <c r="I946" s="33"/>
      <c r="J946" s="33"/>
      <c r="K946" s="33"/>
      <c r="L946" s="33"/>
      <c r="M946" s="33"/>
      <c r="N946" s="33"/>
      <c r="O946" s="33"/>
      <c r="P946" s="33"/>
      <c r="Q946" s="33"/>
      <c r="R946" s="33"/>
    </row>
    <row r="947">
      <c r="A947" s="33"/>
      <c r="B947" s="33"/>
      <c r="C947" s="33"/>
      <c r="D947" s="33"/>
      <c r="E947" s="33"/>
      <c r="F947" s="33"/>
      <c r="G947" s="33"/>
      <c r="H947" s="33"/>
      <c r="I947" s="33"/>
      <c r="J947" s="33"/>
      <c r="K947" s="33"/>
      <c r="L947" s="33"/>
      <c r="M947" s="33"/>
      <c r="N947" s="33"/>
      <c r="O947" s="33"/>
      <c r="P947" s="33"/>
      <c r="Q947" s="33"/>
      <c r="R947" s="33"/>
    </row>
    <row r="948">
      <c r="A948" s="33"/>
      <c r="B948" s="33"/>
      <c r="C948" s="33"/>
      <c r="D948" s="33"/>
      <c r="E948" s="33"/>
      <c r="F948" s="33"/>
      <c r="G948" s="33"/>
      <c r="H948" s="33"/>
      <c r="I948" s="33"/>
      <c r="J948" s="33"/>
      <c r="K948" s="33"/>
      <c r="L948" s="33"/>
      <c r="M948" s="33"/>
      <c r="N948" s="33"/>
      <c r="O948" s="33"/>
      <c r="P948" s="33"/>
      <c r="Q948" s="33"/>
      <c r="R948" s="33"/>
    </row>
    <row r="949">
      <c r="A949" s="33"/>
      <c r="B949" s="33"/>
      <c r="C949" s="33"/>
      <c r="D949" s="33"/>
      <c r="E949" s="33"/>
      <c r="F949" s="33"/>
      <c r="G949" s="33"/>
      <c r="H949" s="33"/>
      <c r="I949" s="33"/>
      <c r="J949" s="33"/>
      <c r="K949" s="33"/>
      <c r="L949" s="33"/>
      <c r="M949" s="33"/>
      <c r="N949" s="33"/>
      <c r="O949" s="33"/>
      <c r="P949" s="33"/>
      <c r="Q949" s="33"/>
      <c r="R949" s="33"/>
    </row>
    <row r="950">
      <c r="A950" s="33"/>
      <c r="B950" s="33"/>
      <c r="C950" s="33"/>
      <c r="D950" s="33"/>
      <c r="E950" s="33"/>
      <c r="F950" s="33"/>
      <c r="G950" s="33"/>
      <c r="H950" s="33"/>
      <c r="I950" s="33"/>
      <c r="J950" s="33"/>
      <c r="K950" s="33"/>
      <c r="L950" s="33"/>
      <c r="M950" s="33"/>
      <c r="N950" s="33"/>
      <c r="O950" s="33"/>
      <c r="P950" s="33"/>
      <c r="Q950" s="33"/>
      <c r="R950" s="33"/>
    </row>
    <row r="951">
      <c r="A951" s="33"/>
      <c r="B951" s="33"/>
      <c r="C951" s="33"/>
      <c r="D951" s="33"/>
      <c r="E951" s="33"/>
      <c r="F951" s="33"/>
      <c r="G951" s="33"/>
      <c r="H951" s="33"/>
      <c r="I951" s="33"/>
      <c r="J951" s="33"/>
      <c r="K951" s="33"/>
      <c r="L951" s="33"/>
      <c r="M951" s="33"/>
      <c r="N951" s="33"/>
      <c r="O951" s="33"/>
      <c r="P951" s="33"/>
      <c r="Q951" s="33"/>
      <c r="R951" s="33"/>
    </row>
    <row r="952">
      <c r="A952" s="33"/>
      <c r="B952" s="33"/>
      <c r="C952" s="33"/>
      <c r="D952" s="33"/>
      <c r="E952" s="33"/>
      <c r="F952" s="33"/>
      <c r="G952" s="33"/>
      <c r="H952" s="33"/>
      <c r="I952" s="33"/>
      <c r="J952" s="33"/>
      <c r="K952" s="33"/>
      <c r="L952" s="33"/>
      <c r="M952" s="33"/>
      <c r="N952" s="33"/>
      <c r="O952" s="33"/>
      <c r="P952" s="33"/>
      <c r="Q952" s="33"/>
      <c r="R952" s="33"/>
    </row>
    <row r="953">
      <c r="A953" s="33"/>
      <c r="B953" s="33"/>
      <c r="C953" s="33"/>
      <c r="D953" s="33"/>
      <c r="E953" s="33"/>
      <c r="F953" s="33"/>
      <c r="G953" s="33"/>
      <c r="H953" s="33"/>
      <c r="I953" s="33"/>
      <c r="J953" s="33"/>
      <c r="K953" s="33"/>
      <c r="L953" s="33"/>
      <c r="M953" s="33"/>
      <c r="N953" s="33"/>
      <c r="O953" s="33"/>
      <c r="P953" s="33"/>
      <c r="Q953" s="33"/>
      <c r="R953" s="33"/>
    </row>
    <row r="954">
      <c r="A954" s="33"/>
      <c r="B954" s="33"/>
      <c r="C954" s="33"/>
      <c r="D954" s="33"/>
      <c r="E954" s="33"/>
      <c r="F954" s="33"/>
      <c r="G954" s="33"/>
      <c r="H954" s="33"/>
      <c r="I954" s="33"/>
      <c r="J954" s="33"/>
      <c r="K954" s="33"/>
      <c r="L954" s="33"/>
      <c r="M954" s="33"/>
      <c r="N954" s="33"/>
      <c r="O954" s="33"/>
      <c r="P954" s="33"/>
      <c r="Q954" s="33"/>
      <c r="R954" s="33"/>
    </row>
    <row r="955">
      <c r="A955" s="33"/>
      <c r="B955" s="33"/>
      <c r="C955" s="33"/>
      <c r="D955" s="33"/>
      <c r="E955" s="33"/>
      <c r="F955" s="33"/>
      <c r="G955" s="33"/>
      <c r="H955" s="33"/>
      <c r="I955" s="33"/>
      <c r="J955" s="33"/>
      <c r="K955" s="33"/>
      <c r="L955" s="33"/>
      <c r="M955" s="33"/>
      <c r="N955" s="33"/>
      <c r="O955" s="33"/>
      <c r="P955" s="33"/>
      <c r="Q955" s="33"/>
      <c r="R955" s="33"/>
    </row>
    <row r="956">
      <c r="A956" s="33"/>
      <c r="B956" s="33"/>
      <c r="C956" s="33"/>
      <c r="D956" s="33"/>
      <c r="E956" s="33"/>
      <c r="F956" s="33"/>
      <c r="G956" s="33"/>
      <c r="H956" s="33"/>
      <c r="I956" s="33"/>
      <c r="J956" s="33"/>
      <c r="K956" s="33"/>
      <c r="L956" s="33"/>
      <c r="M956" s="33"/>
      <c r="N956" s="33"/>
      <c r="O956" s="33"/>
      <c r="P956" s="33"/>
      <c r="Q956" s="33"/>
      <c r="R956" s="33"/>
    </row>
    <row r="957">
      <c r="A957" s="33"/>
      <c r="B957" s="33"/>
      <c r="C957" s="33"/>
      <c r="D957" s="33"/>
      <c r="E957" s="33"/>
      <c r="F957" s="33"/>
      <c r="G957" s="33"/>
      <c r="H957" s="33"/>
      <c r="I957" s="33"/>
      <c r="J957" s="33"/>
      <c r="K957" s="33"/>
      <c r="L957" s="33"/>
      <c r="M957" s="33"/>
      <c r="N957" s="33"/>
      <c r="O957" s="33"/>
      <c r="P957" s="33"/>
      <c r="Q957" s="33"/>
      <c r="R957" s="33"/>
    </row>
    <row r="958">
      <c r="A958" s="33"/>
      <c r="B958" s="33"/>
      <c r="C958" s="33"/>
      <c r="D958" s="33"/>
      <c r="E958" s="33"/>
      <c r="F958" s="33"/>
      <c r="G958" s="33"/>
      <c r="H958" s="33"/>
      <c r="I958" s="33"/>
      <c r="J958" s="33"/>
      <c r="K958" s="33"/>
      <c r="L958" s="33"/>
      <c r="M958" s="33"/>
      <c r="N958" s="33"/>
      <c r="O958" s="33"/>
      <c r="P958" s="33"/>
      <c r="Q958" s="33"/>
      <c r="R958" s="33"/>
    </row>
    <row r="959">
      <c r="A959" s="33"/>
      <c r="B959" s="33"/>
      <c r="C959" s="33"/>
      <c r="D959" s="33"/>
      <c r="E959" s="33"/>
      <c r="F959" s="33"/>
      <c r="G959" s="33"/>
      <c r="H959" s="33"/>
      <c r="I959" s="33"/>
      <c r="J959" s="33"/>
      <c r="K959" s="33"/>
      <c r="L959" s="33"/>
      <c r="M959" s="33"/>
      <c r="N959" s="33"/>
      <c r="O959" s="33"/>
      <c r="P959" s="33"/>
      <c r="Q959" s="33"/>
      <c r="R959" s="33"/>
    </row>
    <row r="960">
      <c r="A960" s="33"/>
      <c r="B960" s="33"/>
      <c r="C960" s="33"/>
      <c r="D960" s="33"/>
      <c r="E960" s="33"/>
      <c r="F960" s="33"/>
      <c r="G960" s="33"/>
      <c r="H960" s="33"/>
      <c r="I960" s="33"/>
      <c r="J960" s="33"/>
      <c r="K960" s="33"/>
      <c r="L960" s="33"/>
      <c r="M960" s="33"/>
      <c r="N960" s="33"/>
      <c r="O960" s="33"/>
      <c r="P960" s="33"/>
      <c r="Q960" s="33"/>
      <c r="R960" s="33"/>
    </row>
    <row r="961">
      <c r="A961" s="33"/>
      <c r="B961" s="33"/>
      <c r="C961" s="33"/>
      <c r="D961" s="33"/>
      <c r="E961" s="33"/>
      <c r="F961" s="33"/>
      <c r="G961" s="33"/>
      <c r="H961" s="33"/>
      <c r="I961" s="33"/>
      <c r="J961" s="33"/>
      <c r="K961" s="33"/>
      <c r="L961" s="33"/>
      <c r="M961" s="33"/>
      <c r="N961" s="33"/>
      <c r="O961" s="33"/>
      <c r="P961" s="33"/>
      <c r="Q961" s="33"/>
      <c r="R961" s="33"/>
    </row>
    <row r="962">
      <c r="A962" s="33"/>
      <c r="B962" s="33"/>
      <c r="C962" s="33"/>
      <c r="D962" s="33"/>
      <c r="E962" s="33"/>
      <c r="F962" s="33"/>
      <c r="G962" s="33"/>
      <c r="H962" s="33"/>
      <c r="I962" s="33"/>
      <c r="J962" s="33"/>
      <c r="K962" s="33"/>
      <c r="L962" s="33"/>
      <c r="M962" s="33"/>
      <c r="N962" s="33"/>
      <c r="O962" s="33"/>
      <c r="P962" s="33"/>
      <c r="Q962" s="33"/>
      <c r="R962" s="33"/>
    </row>
    <row r="963">
      <c r="A963" s="33"/>
      <c r="B963" s="33"/>
      <c r="C963" s="33"/>
      <c r="D963" s="33"/>
      <c r="E963" s="33"/>
      <c r="F963" s="33"/>
      <c r="G963" s="33"/>
      <c r="H963" s="33"/>
      <c r="I963" s="33"/>
      <c r="J963" s="33"/>
      <c r="K963" s="33"/>
      <c r="L963" s="33"/>
      <c r="M963" s="33"/>
      <c r="N963" s="33"/>
      <c r="O963" s="33"/>
      <c r="P963" s="33"/>
      <c r="Q963" s="33"/>
      <c r="R963" s="33"/>
    </row>
    <row r="964">
      <c r="A964" s="33"/>
      <c r="B964" s="33"/>
      <c r="C964" s="33"/>
      <c r="D964" s="33"/>
      <c r="E964" s="33"/>
      <c r="F964" s="33"/>
      <c r="G964" s="33"/>
      <c r="H964" s="33"/>
      <c r="I964" s="33"/>
      <c r="J964" s="33"/>
      <c r="K964" s="33"/>
      <c r="L964" s="33"/>
      <c r="M964" s="33"/>
      <c r="N964" s="33"/>
      <c r="O964" s="33"/>
      <c r="P964" s="33"/>
      <c r="Q964" s="33"/>
      <c r="R964" s="33"/>
    </row>
    <row r="965">
      <c r="A965" s="33"/>
      <c r="B965" s="33"/>
      <c r="C965" s="33"/>
      <c r="D965" s="33"/>
      <c r="E965" s="33"/>
      <c r="F965" s="33"/>
      <c r="G965" s="33"/>
      <c r="H965" s="33"/>
      <c r="I965" s="33"/>
      <c r="J965" s="33"/>
      <c r="K965" s="33"/>
      <c r="L965" s="33"/>
      <c r="M965" s="33"/>
      <c r="N965" s="33"/>
      <c r="O965" s="33"/>
      <c r="P965" s="33"/>
      <c r="Q965" s="33"/>
      <c r="R965" s="33"/>
    </row>
    <row r="966">
      <c r="A966" s="33"/>
      <c r="B966" s="33"/>
      <c r="C966" s="33"/>
      <c r="D966" s="33"/>
      <c r="E966" s="33"/>
      <c r="F966" s="33"/>
      <c r="G966" s="33"/>
      <c r="H966" s="33"/>
      <c r="I966" s="33"/>
      <c r="J966" s="33"/>
      <c r="K966" s="33"/>
      <c r="L966" s="33"/>
      <c r="M966" s="33"/>
      <c r="N966" s="33"/>
      <c r="O966" s="33"/>
      <c r="P966" s="33"/>
      <c r="Q966" s="33"/>
      <c r="R966" s="33"/>
    </row>
    <row r="967">
      <c r="A967" s="33"/>
      <c r="B967" s="33"/>
      <c r="C967" s="33"/>
      <c r="D967" s="33"/>
      <c r="E967" s="33"/>
      <c r="F967" s="33"/>
      <c r="G967" s="33"/>
      <c r="H967" s="33"/>
      <c r="I967" s="33"/>
      <c r="J967" s="33"/>
      <c r="K967" s="33"/>
      <c r="L967" s="33"/>
      <c r="M967" s="33"/>
      <c r="N967" s="33"/>
      <c r="O967" s="33"/>
      <c r="P967" s="33"/>
      <c r="Q967" s="33"/>
      <c r="R967" s="33"/>
    </row>
    <row r="968">
      <c r="A968" s="33"/>
      <c r="B968" s="33"/>
      <c r="C968" s="33"/>
      <c r="D968" s="33"/>
      <c r="E968" s="33"/>
      <c r="F968" s="33"/>
      <c r="G968" s="33"/>
      <c r="H968" s="33"/>
      <c r="I968" s="33"/>
      <c r="J968" s="33"/>
      <c r="K968" s="33"/>
      <c r="L968" s="33"/>
      <c r="M968" s="33"/>
      <c r="N968" s="33"/>
      <c r="O968" s="33"/>
      <c r="P968" s="33"/>
      <c r="Q968" s="33"/>
      <c r="R968" s="33"/>
    </row>
    <row r="969">
      <c r="A969" s="33"/>
      <c r="B969" s="33"/>
      <c r="C969" s="33"/>
      <c r="D969" s="33"/>
      <c r="E969" s="33"/>
      <c r="F969" s="33"/>
      <c r="G969" s="33"/>
      <c r="H969" s="33"/>
      <c r="I969" s="33"/>
      <c r="J969" s="33"/>
      <c r="K969" s="33"/>
      <c r="L969" s="33"/>
      <c r="M969" s="33"/>
      <c r="N969" s="33"/>
      <c r="O969" s="33"/>
      <c r="P969" s="33"/>
      <c r="Q969" s="33"/>
      <c r="R969" s="33"/>
    </row>
    <row r="970">
      <c r="A970" s="33"/>
      <c r="B970" s="33"/>
      <c r="C970" s="33"/>
      <c r="D970" s="33"/>
      <c r="E970" s="33"/>
      <c r="F970" s="33"/>
      <c r="G970" s="33"/>
      <c r="H970" s="33"/>
      <c r="I970" s="33"/>
      <c r="J970" s="33"/>
      <c r="K970" s="33"/>
      <c r="L970" s="33"/>
      <c r="M970" s="33"/>
      <c r="N970" s="33"/>
      <c r="O970" s="33"/>
      <c r="P970" s="33"/>
      <c r="Q970" s="33"/>
      <c r="R970" s="33"/>
    </row>
    <row r="971">
      <c r="A971" s="33"/>
      <c r="B971" s="33"/>
      <c r="C971" s="33"/>
      <c r="D971" s="33"/>
      <c r="E971" s="33"/>
      <c r="F971" s="33"/>
      <c r="G971" s="33"/>
      <c r="H971" s="33"/>
      <c r="I971" s="33"/>
      <c r="J971" s="33"/>
      <c r="K971" s="33"/>
      <c r="L971" s="33"/>
      <c r="M971" s="33"/>
      <c r="N971" s="33"/>
      <c r="O971" s="33"/>
      <c r="P971" s="33"/>
      <c r="Q971" s="33"/>
      <c r="R971" s="33"/>
    </row>
    <row r="972">
      <c r="A972" s="33"/>
      <c r="B972" s="33"/>
      <c r="C972" s="33"/>
      <c r="D972" s="33"/>
      <c r="E972" s="33"/>
      <c r="F972" s="33"/>
      <c r="G972" s="33"/>
      <c r="H972" s="33"/>
      <c r="I972" s="33"/>
      <c r="J972" s="33"/>
      <c r="K972" s="33"/>
      <c r="L972" s="33"/>
      <c r="M972" s="33"/>
      <c r="N972" s="33"/>
      <c r="O972" s="33"/>
      <c r="P972" s="33"/>
      <c r="Q972" s="33"/>
      <c r="R972" s="33"/>
    </row>
    <row r="973">
      <c r="A973" s="33"/>
      <c r="B973" s="33"/>
      <c r="C973" s="33"/>
      <c r="D973" s="33"/>
      <c r="E973" s="33"/>
      <c r="F973" s="33"/>
      <c r="G973" s="33"/>
      <c r="H973" s="33"/>
      <c r="I973" s="33"/>
      <c r="J973" s="33"/>
      <c r="K973" s="33"/>
      <c r="L973" s="33"/>
      <c r="M973" s="33"/>
      <c r="N973" s="33"/>
      <c r="O973" s="33"/>
      <c r="P973" s="33"/>
      <c r="Q973" s="33"/>
      <c r="R973" s="33"/>
    </row>
    <row r="974">
      <c r="A974" s="33"/>
      <c r="B974" s="33"/>
      <c r="C974" s="33"/>
      <c r="D974" s="33"/>
      <c r="E974" s="33"/>
      <c r="F974" s="33"/>
      <c r="G974" s="33"/>
      <c r="H974" s="33"/>
      <c r="I974" s="33"/>
      <c r="J974" s="33"/>
      <c r="K974" s="33"/>
      <c r="L974" s="33"/>
      <c r="M974" s="33"/>
      <c r="N974" s="33"/>
      <c r="O974" s="33"/>
      <c r="P974" s="33"/>
      <c r="Q974" s="33"/>
      <c r="R974" s="33"/>
    </row>
    <row r="975">
      <c r="A975" s="33"/>
      <c r="B975" s="33"/>
      <c r="C975" s="33"/>
      <c r="D975" s="33"/>
      <c r="E975" s="33"/>
      <c r="F975" s="33"/>
      <c r="G975" s="33"/>
      <c r="H975" s="33"/>
      <c r="I975" s="33"/>
      <c r="J975" s="33"/>
      <c r="K975" s="33"/>
      <c r="L975" s="33"/>
      <c r="M975" s="33"/>
      <c r="N975" s="33"/>
      <c r="O975" s="33"/>
      <c r="P975" s="33"/>
      <c r="Q975" s="33"/>
      <c r="R975" s="33"/>
    </row>
    <row r="976">
      <c r="A976" s="33"/>
      <c r="B976" s="33"/>
      <c r="C976" s="33"/>
      <c r="D976" s="33"/>
      <c r="E976" s="33"/>
      <c r="F976" s="33"/>
      <c r="G976" s="33"/>
      <c r="H976" s="33"/>
      <c r="I976" s="33"/>
      <c r="J976" s="33"/>
      <c r="K976" s="33"/>
      <c r="L976" s="33"/>
      <c r="M976" s="33"/>
      <c r="N976" s="33"/>
      <c r="O976" s="33"/>
      <c r="P976" s="33"/>
      <c r="Q976" s="33"/>
      <c r="R976" s="33"/>
    </row>
    <row r="977">
      <c r="A977" s="33"/>
      <c r="B977" s="33"/>
      <c r="C977" s="33"/>
      <c r="D977" s="33"/>
      <c r="E977" s="33"/>
      <c r="F977" s="33"/>
      <c r="G977" s="33"/>
      <c r="H977" s="33"/>
      <c r="I977" s="33"/>
      <c r="J977" s="33"/>
      <c r="K977" s="33"/>
      <c r="L977" s="33"/>
      <c r="M977" s="33"/>
      <c r="N977" s="33"/>
      <c r="O977" s="33"/>
      <c r="P977" s="33"/>
      <c r="Q977" s="33"/>
      <c r="R977" s="33"/>
    </row>
    <row r="978">
      <c r="A978" s="33"/>
      <c r="B978" s="33"/>
      <c r="C978" s="33"/>
      <c r="D978" s="33"/>
      <c r="E978" s="33"/>
      <c r="F978" s="33"/>
      <c r="G978" s="33"/>
      <c r="H978" s="33"/>
      <c r="I978" s="33"/>
      <c r="J978" s="33"/>
      <c r="K978" s="33"/>
      <c r="L978" s="33"/>
      <c r="M978" s="33"/>
      <c r="N978" s="33"/>
      <c r="O978" s="33"/>
      <c r="P978" s="33"/>
      <c r="Q978" s="33"/>
      <c r="R978" s="33"/>
    </row>
    <row r="979">
      <c r="A979" s="33"/>
      <c r="B979" s="33"/>
      <c r="C979" s="33"/>
      <c r="D979" s="33"/>
      <c r="E979" s="33"/>
      <c r="F979" s="33"/>
      <c r="G979" s="33"/>
      <c r="H979" s="33"/>
      <c r="I979" s="33"/>
      <c r="J979" s="33"/>
      <c r="K979" s="33"/>
      <c r="L979" s="33"/>
      <c r="M979" s="33"/>
      <c r="N979" s="33"/>
      <c r="O979" s="33"/>
      <c r="P979" s="33"/>
      <c r="Q979" s="33"/>
      <c r="R979" s="33"/>
    </row>
    <row r="980">
      <c r="A980" s="33"/>
      <c r="B980" s="33"/>
      <c r="C980" s="33"/>
      <c r="D980" s="33"/>
      <c r="E980" s="33"/>
      <c r="F980" s="33"/>
      <c r="G980" s="33"/>
      <c r="H980" s="33"/>
      <c r="I980" s="33"/>
      <c r="J980" s="33"/>
      <c r="K980" s="33"/>
      <c r="L980" s="33"/>
      <c r="M980" s="33"/>
      <c r="N980" s="33"/>
      <c r="O980" s="33"/>
      <c r="P980" s="33"/>
      <c r="Q980" s="33"/>
      <c r="R980" s="33"/>
    </row>
    <row r="981">
      <c r="A981" s="33"/>
      <c r="B981" s="33"/>
      <c r="C981" s="33"/>
      <c r="D981" s="33"/>
      <c r="E981" s="33"/>
      <c r="F981" s="33"/>
      <c r="G981" s="33"/>
      <c r="H981" s="33"/>
      <c r="I981" s="33"/>
      <c r="J981" s="33"/>
      <c r="K981" s="33"/>
      <c r="L981" s="33"/>
      <c r="M981" s="33"/>
      <c r="N981" s="33"/>
      <c r="O981" s="33"/>
      <c r="P981" s="33"/>
      <c r="Q981" s="33"/>
      <c r="R981" s="33"/>
    </row>
    <row r="982">
      <c r="A982" s="33"/>
      <c r="B982" s="33"/>
      <c r="C982" s="33"/>
      <c r="D982" s="33"/>
      <c r="E982" s="33"/>
      <c r="F982" s="33"/>
      <c r="G982" s="33"/>
      <c r="H982" s="33"/>
      <c r="I982" s="33"/>
      <c r="J982" s="33"/>
      <c r="K982" s="33"/>
      <c r="L982" s="33"/>
      <c r="M982" s="33"/>
      <c r="N982" s="33"/>
      <c r="O982" s="33"/>
      <c r="P982" s="33"/>
      <c r="Q982" s="33"/>
      <c r="R982" s="33"/>
    </row>
    <row r="983">
      <c r="A983" s="33"/>
      <c r="B983" s="33"/>
      <c r="C983" s="33"/>
      <c r="D983" s="33"/>
      <c r="E983" s="33"/>
      <c r="F983" s="33"/>
      <c r="G983" s="33"/>
      <c r="H983" s="33"/>
      <c r="I983" s="33"/>
      <c r="J983" s="33"/>
      <c r="K983" s="33"/>
      <c r="L983" s="33"/>
      <c r="M983" s="33"/>
      <c r="N983" s="33"/>
      <c r="O983" s="33"/>
      <c r="P983" s="33"/>
      <c r="Q983" s="33"/>
      <c r="R983" s="33"/>
    </row>
    <row r="984">
      <c r="A984" s="33"/>
      <c r="B984" s="33"/>
      <c r="C984" s="33"/>
      <c r="D984" s="33"/>
      <c r="E984" s="33"/>
      <c r="F984" s="33"/>
      <c r="G984" s="33"/>
      <c r="H984" s="33"/>
      <c r="I984" s="33"/>
      <c r="J984" s="33"/>
      <c r="K984" s="33"/>
      <c r="L984" s="33"/>
      <c r="M984" s="33"/>
      <c r="N984" s="33"/>
      <c r="O984" s="33"/>
      <c r="P984" s="33"/>
      <c r="Q984" s="33"/>
      <c r="R984" s="33"/>
    </row>
    <row r="985">
      <c r="A985" s="33"/>
      <c r="B985" s="33"/>
      <c r="C985" s="33"/>
      <c r="D985" s="33"/>
      <c r="E985" s="33"/>
      <c r="F985" s="33"/>
      <c r="G985" s="33"/>
      <c r="H985" s="33"/>
      <c r="I985" s="33"/>
      <c r="J985" s="33"/>
      <c r="K985" s="33"/>
      <c r="L985" s="33"/>
      <c r="M985" s="33"/>
      <c r="N985" s="33"/>
      <c r="O985" s="33"/>
      <c r="P985" s="33"/>
      <c r="Q985" s="33"/>
      <c r="R985" s="33"/>
    </row>
    <row r="986">
      <c r="A986" s="33"/>
      <c r="B986" s="33"/>
      <c r="C986" s="33"/>
      <c r="D986" s="33"/>
      <c r="E986" s="33"/>
      <c r="F986" s="33"/>
      <c r="G986" s="33"/>
      <c r="H986" s="33"/>
      <c r="I986" s="33"/>
      <c r="J986" s="33"/>
      <c r="K986" s="33"/>
      <c r="L986" s="33"/>
      <c r="M986" s="33"/>
      <c r="N986" s="33"/>
      <c r="O986" s="33"/>
      <c r="P986" s="33"/>
      <c r="Q986" s="33"/>
      <c r="R986" s="33"/>
    </row>
    <row r="987">
      <c r="A987" s="33"/>
      <c r="B987" s="33"/>
      <c r="C987" s="33"/>
      <c r="D987" s="33"/>
      <c r="E987" s="33"/>
      <c r="F987" s="33"/>
      <c r="G987" s="33"/>
      <c r="H987" s="33"/>
      <c r="I987" s="33"/>
      <c r="J987" s="33"/>
      <c r="K987" s="33"/>
      <c r="L987" s="33"/>
      <c r="M987" s="33"/>
      <c r="N987" s="33"/>
      <c r="O987" s="33"/>
      <c r="P987" s="33"/>
      <c r="Q987" s="33"/>
      <c r="R987" s="33"/>
    </row>
    <row r="988">
      <c r="A988" s="33"/>
      <c r="B988" s="33"/>
      <c r="C988" s="33"/>
      <c r="D988" s="33"/>
      <c r="E988" s="33"/>
      <c r="F988" s="33"/>
      <c r="G988" s="33"/>
      <c r="H988" s="33"/>
      <c r="I988" s="33"/>
      <c r="J988" s="33"/>
      <c r="K988" s="33"/>
      <c r="L988" s="33"/>
      <c r="M988" s="33"/>
      <c r="N988" s="33"/>
      <c r="O988" s="33"/>
      <c r="P988" s="33"/>
      <c r="Q988" s="33"/>
      <c r="R988" s="33"/>
    </row>
    <row r="989">
      <c r="A989" s="33"/>
      <c r="B989" s="33"/>
      <c r="C989" s="33"/>
      <c r="D989" s="33"/>
      <c r="E989" s="33"/>
      <c r="F989" s="33"/>
      <c r="G989" s="33"/>
      <c r="H989" s="33"/>
      <c r="I989" s="33"/>
      <c r="J989" s="33"/>
      <c r="K989" s="33"/>
      <c r="L989" s="33"/>
      <c r="M989" s="33"/>
      <c r="N989" s="33"/>
      <c r="O989" s="33"/>
      <c r="P989" s="33"/>
      <c r="Q989" s="33"/>
      <c r="R989" s="33"/>
    </row>
    <row r="990">
      <c r="A990" s="33"/>
      <c r="B990" s="33"/>
      <c r="C990" s="33"/>
      <c r="D990" s="33"/>
      <c r="E990" s="33"/>
      <c r="F990" s="33"/>
      <c r="G990" s="33"/>
      <c r="H990" s="33"/>
      <c r="I990" s="33"/>
      <c r="J990" s="33"/>
      <c r="K990" s="33"/>
      <c r="L990" s="33"/>
      <c r="M990" s="33"/>
      <c r="N990" s="33"/>
      <c r="O990" s="33"/>
      <c r="P990" s="33"/>
      <c r="Q990" s="33"/>
      <c r="R990" s="33"/>
    </row>
    <row r="991">
      <c r="A991" s="33"/>
      <c r="B991" s="33"/>
      <c r="C991" s="33"/>
      <c r="D991" s="33"/>
      <c r="E991" s="33"/>
      <c r="F991" s="33"/>
      <c r="G991" s="33"/>
      <c r="H991" s="33"/>
      <c r="I991" s="33"/>
      <c r="J991" s="33"/>
      <c r="K991" s="33"/>
      <c r="L991" s="33"/>
      <c r="M991" s="33"/>
      <c r="N991" s="33"/>
      <c r="O991" s="33"/>
      <c r="P991" s="33"/>
      <c r="Q991" s="33"/>
      <c r="R991" s="33"/>
    </row>
    <row r="992">
      <c r="A992" s="33"/>
      <c r="B992" s="33"/>
      <c r="C992" s="33"/>
      <c r="D992" s="33"/>
      <c r="E992" s="33"/>
      <c r="F992" s="33"/>
      <c r="G992" s="33"/>
      <c r="H992" s="33"/>
      <c r="I992" s="33"/>
      <c r="J992" s="33"/>
      <c r="K992" s="33"/>
      <c r="L992" s="33"/>
      <c r="M992" s="33"/>
      <c r="N992" s="33"/>
      <c r="O992" s="33"/>
      <c r="P992" s="33"/>
      <c r="Q992" s="33"/>
      <c r="R992" s="33"/>
    </row>
    <row r="993">
      <c r="A993" s="33"/>
      <c r="B993" s="33"/>
      <c r="C993" s="33"/>
      <c r="D993" s="33"/>
      <c r="E993" s="33"/>
      <c r="F993" s="33"/>
      <c r="G993" s="33"/>
      <c r="H993" s="33"/>
      <c r="I993" s="33"/>
      <c r="J993" s="33"/>
      <c r="K993" s="33"/>
      <c r="L993" s="33"/>
      <c r="M993" s="33"/>
      <c r="N993" s="33"/>
      <c r="O993" s="33"/>
      <c r="P993" s="33"/>
      <c r="Q993" s="33"/>
      <c r="R993" s="33"/>
    </row>
    <row r="994">
      <c r="A994" s="33"/>
      <c r="B994" s="33"/>
      <c r="C994" s="33"/>
      <c r="D994" s="33"/>
      <c r="E994" s="33"/>
      <c r="F994" s="33"/>
      <c r="G994" s="33"/>
      <c r="H994" s="33"/>
      <c r="I994" s="33"/>
      <c r="J994" s="33"/>
      <c r="K994" s="33"/>
      <c r="L994" s="33"/>
      <c r="M994" s="33"/>
      <c r="N994" s="33"/>
      <c r="O994" s="33"/>
      <c r="P994" s="33"/>
      <c r="Q994" s="33"/>
      <c r="R994" s="33"/>
    </row>
    <row r="995">
      <c r="A995" s="33"/>
      <c r="B995" s="33"/>
      <c r="C995" s="33"/>
      <c r="D995" s="33"/>
      <c r="E995" s="33"/>
      <c r="F995" s="33"/>
      <c r="G995" s="33"/>
      <c r="H995" s="33"/>
      <c r="I995" s="33"/>
      <c r="J995" s="33"/>
      <c r="K995" s="33"/>
      <c r="L995" s="33"/>
      <c r="M995" s="33"/>
      <c r="N995" s="33"/>
      <c r="O995" s="33"/>
      <c r="P995" s="33"/>
      <c r="Q995" s="33"/>
      <c r="R995" s="33"/>
    </row>
    <row r="996">
      <c r="A996" s="33"/>
      <c r="B996" s="33"/>
      <c r="C996" s="33"/>
      <c r="D996" s="33"/>
      <c r="E996" s="33"/>
      <c r="F996" s="33"/>
      <c r="G996" s="33"/>
      <c r="H996" s="33"/>
      <c r="I996" s="33"/>
      <c r="J996" s="33"/>
      <c r="K996" s="33"/>
      <c r="L996" s="33"/>
      <c r="M996" s="33"/>
      <c r="N996" s="33"/>
      <c r="O996" s="33"/>
      <c r="P996" s="33"/>
      <c r="Q996" s="33"/>
      <c r="R996" s="33"/>
    </row>
    <row r="997">
      <c r="A997" s="33"/>
      <c r="B997" s="33"/>
      <c r="C997" s="33"/>
      <c r="D997" s="33"/>
      <c r="E997" s="33"/>
      <c r="F997" s="33"/>
      <c r="G997" s="33"/>
      <c r="H997" s="33"/>
      <c r="I997" s="33"/>
      <c r="J997" s="33"/>
      <c r="K997" s="33"/>
      <c r="L997" s="33"/>
      <c r="M997" s="33"/>
      <c r="N997" s="33"/>
      <c r="O997" s="33"/>
      <c r="P997" s="33"/>
      <c r="Q997" s="33"/>
      <c r="R997" s="33"/>
    </row>
    <row r="998">
      <c r="A998" s="33"/>
      <c r="B998" s="33"/>
      <c r="C998" s="33"/>
      <c r="D998" s="33"/>
      <c r="E998" s="33"/>
      <c r="F998" s="33"/>
      <c r="G998" s="33"/>
      <c r="H998" s="33"/>
      <c r="I998" s="33"/>
      <c r="J998" s="33"/>
      <c r="K998" s="33"/>
      <c r="L998" s="33"/>
      <c r="M998" s="33"/>
      <c r="N998" s="33"/>
      <c r="O998" s="33"/>
      <c r="P998" s="33"/>
      <c r="Q998" s="33"/>
      <c r="R998" s="33"/>
    </row>
    <row r="999">
      <c r="A999" s="33"/>
      <c r="B999" s="33"/>
      <c r="C999" s="33"/>
      <c r="D999" s="33"/>
      <c r="E999" s="33"/>
      <c r="F999" s="33"/>
      <c r="G999" s="33"/>
      <c r="H999" s="33"/>
      <c r="I999" s="33"/>
      <c r="J999" s="33"/>
      <c r="K999" s="33"/>
      <c r="L999" s="33"/>
      <c r="M999" s="33"/>
      <c r="N999" s="33"/>
      <c r="O999" s="33"/>
      <c r="P999" s="33"/>
      <c r="Q999" s="33"/>
      <c r="R999" s="33"/>
    </row>
    <row r="1000">
      <c r="A1000" s="33"/>
      <c r="B1000" s="33"/>
      <c r="C1000" s="33"/>
      <c r="D1000" s="33"/>
      <c r="E1000" s="33"/>
      <c r="F1000" s="33"/>
      <c r="G1000" s="33"/>
      <c r="H1000" s="33"/>
      <c r="I1000" s="33"/>
      <c r="J1000" s="33"/>
      <c r="K1000" s="33"/>
      <c r="L1000" s="33"/>
      <c r="M1000" s="33"/>
      <c r="N1000" s="33"/>
      <c r="O1000" s="33"/>
      <c r="P1000" s="33"/>
      <c r="Q1000" s="33"/>
      <c r="R1000" s="33"/>
    </row>
    <row r="1001">
      <c r="A1001" s="33"/>
      <c r="B1001" s="33"/>
      <c r="C1001" s="33"/>
      <c r="D1001" s="33"/>
      <c r="E1001" s="33"/>
      <c r="F1001" s="33"/>
      <c r="G1001" s="33"/>
      <c r="H1001" s="33"/>
      <c r="I1001" s="33"/>
      <c r="J1001" s="33"/>
      <c r="K1001" s="33"/>
      <c r="L1001" s="33"/>
      <c r="M1001" s="33"/>
      <c r="N1001" s="33"/>
      <c r="O1001" s="33"/>
      <c r="P1001" s="33"/>
      <c r="Q1001" s="33"/>
      <c r="R1001" s="33"/>
    </row>
    <row r="1002">
      <c r="A1002" s="33"/>
      <c r="B1002" s="33"/>
      <c r="C1002" s="33"/>
      <c r="D1002" s="33"/>
      <c r="E1002" s="33"/>
      <c r="F1002" s="33"/>
      <c r="G1002" s="33"/>
      <c r="H1002" s="33"/>
      <c r="I1002" s="33"/>
      <c r="J1002" s="33"/>
      <c r="K1002" s="33"/>
      <c r="L1002" s="33"/>
      <c r="M1002" s="33"/>
      <c r="N1002" s="33"/>
      <c r="O1002" s="33"/>
      <c r="P1002" s="33"/>
      <c r="Q1002" s="33"/>
      <c r="R1002" s="33"/>
    </row>
    <row r="1003">
      <c r="A1003" s="33"/>
      <c r="B1003" s="33"/>
      <c r="C1003" s="33"/>
      <c r="D1003" s="33"/>
      <c r="E1003" s="33"/>
      <c r="F1003" s="33"/>
      <c r="G1003" s="33"/>
      <c r="H1003" s="33"/>
      <c r="I1003" s="33"/>
      <c r="J1003" s="33"/>
      <c r="K1003" s="33"/>
      <c r="L1003" s="33"/>
      <c r="M1003" s="33"/>
      <c r="N1003" s="33"/>
      <c r="O1003" s="33"/>
      <c r="P1003" s="33"/>
      <c r="Q1003" s="33"/>
      <c r="R1003" s="33"/>
    </row>
    <row r="1004">
      <c r="A1004" s="33"/>
      <c r="B1004" s="33"/>
      <c r="C1004" s="33"/>
      <c r="D1004" s="33"/>
      <c r="E1004" s="33"/>
      <c r="F1004" s="33"/>
      <c r="G1004" s="33"/>
      <c r="H1004" s="33"/>
      <c r="I1004" s="33"/>
      <c r="J1004" s="33"/>
      <c r="K1004" s="33"/>
      <c r="L1004" s="33"/>
      <c r="M1004" s="33"/>
      <c r="N1004" s="33"/>
      <c r="O1004" s="33"/>
      <c r="P1004" s="33"/>
      <c r="Q1004" s="33"/>
      <c r="R1004" s="33"/>
    </row>
    <row r="1005">
      <c r="A1005" s="33"/>
      <c r="B1005" s="33"/>
      <c r="C1005" s="33"/>
      <c r="D1005" s="33"/>
      <c r="E1005" s="33"/>
      <c r="F1005" s="33"/>
      <c r="G1005" s="33"/>
      <c r="H1005" s="33"/>
      <c r="I1005" s="33"/>
      <c r="J1005" s="33"/>
      <c r="K1005" s="33"/>
      <c r="L1005" s="33"/>
      <c r="M1005" s="33"/>
      <c r="N1005" s="33"/>
      <c r="O1005" s="33"/>
      <c r="P1005" s="33"/>
      <c r="Q1005" s="33"/>
      <c r="R1005" s="33"/>
    </row>
  </sheetData>
  <autoFilter ref="$A$1:$R$26"/>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15.0"/>
    <col customWidth="1" min="3" max="3" width="15.63"/>
  </cols>
  <sheetData>
    <row r="1" ht="43.5" customHeight="1">
      <c r="A1" s="148" t="s">
        <v>38</v>
      </c>
      <c r="B1" s="148" t="s">
        <v>90</v>
      </c>
      <c r="C1" s="149" t="s">
        <v>286</v>
      </c>
      <c r="D1" s="148" t="s">
        <v>281</v>
      </c>
      <c r="E1" s="148" t="s">
        <v>209</v>
      </c>
      <c r="F1" s="148" t="s">
        <v>213</v>
      </c>
      <c r="G1" s="148" t="s">
        <v>216</v>
      </c>
      <c r="H1" s="148" t="s">
        <v>282</v>
      </c>
      <c r="I1" s="148" t="s">
        <v>222</v>
      </c>
      <c r="J1" s="148" t="s">
        <v>271</v>
      </c>
      <c r="K1" s="148" t="s">
        <v>275</v>
      </c>
      <c r="L1" s="148" t="s">
        <v>232</v>
      </c>
      <c r="M1" s="148" t="s">
        <v>235</v>
      </c>
      <c r="N1" s="148" t="s">
        <v>238</v>
      </c>
      <c r="O1" s="148" t="s">
        <v>242</v>
      </c>
      <c r="P1" s="148" t="s">
        <v>43</v>
      </c>
      <c r="Q1" s="148" t="s">
        <v>247</v>
      </c>
      <c r="R1" s="150" t="s">
        <v>285</v>
      </c>
    </row>
    <row r="2">
      <c r="A2" s="29">
        <v>1.0</v>
      </c>
      <c r="B2" s="29" t="s">
        <v>52</v>
      </c>
      <c r="C2" s="33">
        <f>R2/Weights_by_Category[[#TOTALS],[BEST]]</f>
        <v>77.25289343</v>
      </c>
      <c r="D2" s="33">
        <f>NORMALIZED_DATA!B4*TIER_WEIGHTS!$C$2</f>
        <v>0.2857142857</v>
      </c>
      <c r="E2" s="33">
        <f>NORMALIZED_DATA!C4*TIER_WEIGHTS!$C$8</f>
        <v>0.4027777778</v>
      </c>
      <c r="F2" s="33">
        <f>NORMALIZED_DATA!D4*TIER_WEIGHTS!$C$7</f>
        <v>0.36</v>
      </c>
      <c r="G2" s="33">
        <f>NORMALIZED_DATA!F4*TIER_WEIGHTS!$C$3</f>
        <v>4.5</v>
      </c>
      <c r="H2" s="33">
        <f>NORMALIZED_DATA!G4*TIER_WEIGHTS!$C$9</f>
        <v>3</v>
      </c>
      <c r="I2" s="33">
        <f>NORMALIZED_DATA!H4*TIER_WEIGHTS!$C$14</f>
        <v>0.9166666667</v>
      </c>
      <c r="J2" s="33">
        <f>NORMALIZED_DATA!J4*TIER_WEIGHTS!$C$4</f>
        <v>2.721626617</v>
      </c>
      <c r="K2" s="33">
        <f>NORMALIZED_DATA!O4*TIER_WEIGHTS!$C$5</f>
        <v>2.739130435</v>
      </c>
      <c r="L2" s="33">
        <f>NORMALIZED_DATA!U4*TIER_WEIGHTS!$C$12</f>
        <v>3.115384615</v>
      </c>
      <c r="M2" s="33">
        <f>NORMALIZED_DATA!V4*TIER_WEIGHTS!$C$15</f>
        <v>0.06930515759</v>
      </c>
      <c r="N2" s="33">
        <f>NORMALIZED_DATA!W4*TIER_WEIGHTS!$C$13</f>
        <v>2.391304348</v>
      </c>
      <c r="O2" s="33">
        <f>NORMALIZED_DATA!Y4*TIER_WEIGHTS!$C$6</f>
        <v>5.357142857</v>
      </c>
      <c r="P2" s="33">
        <f>NORMALIZED_DATA!Z4*TIER_WEIGHTS!$C$11</f>
        <v>4</v>
      </c>
      <c r="Q2" s="33">
        <f>NORMALIZED_DATA!AA4*TIER_WEIGHTS!$C$10</f>
        <v>0.9648517173</v>
      </c>
      <c r="R2" s="147">
        <f t="shared" ref="R2:R26" si="1">sum(D2:Q2)</f>
        <v>30.82390448</v>
      </c>
    </row>
    <row r="3">
      <c r="A3" s="29">
        <v>2.0</v>
      </c>
      <c r="B3" s="29" t="s">
        <v>51</v>
      </c>
      <c r="C3" s="33">
        <f>R3/Weights_by_Category[[#TOTALS],[BEST]]</f>
        <v>71.46486124</v>
      </c>
      <c r="D3" s="33">
        <f>NORMALIZED_DATA!B2*TIER_WEIGHTS!$C$2</f>
        <v>1</v>
      </c>
      <c r="E3" s="33">
        <f>NORMALIZED_DATA!C2*TIER_WEIGHTS!$C$8</f>
        <v>1</v>
      </c>
      <c r="F3" s="33">
        <f>NORMALIZED_DATA!D2*TIER_WEIGHTS!$C$7</f>
        <v>1.8</v>
      </c>
      <c r="G3" s="33">
        <f>NORMALIZED_DATA!F2*TIER_WEIGHTS!$C$3</f>
        <v>3.537117904</v>
      </c>
      <c r="H3" s="33">
        <f>NORMALIZED_DATA!G2*TIER_WEIGHTS!$C$9</f>
        <v>1.588235294</v>
      </c>
      <c r="I3" s="33">
        <f>NORMALIZED_DATA!H2*TIER_WEIGHTS!$C$14</f>
        <v>1</v>
      </c>
      <c r="J3" s="33">
        <f>NORMALIZED_DATA!J2*TIER_WEIGHTS!$C$4</f>
        <v>2.642883549</v>
      </c>
      <c r="K3" s="33">
        <f>NORMALIZED_DATA!O2*TIER_WEIGHTS!$C$5</f>
        <v>2.608695652</v>
      </c>
      <c r="L3" s="33">
        <f>NORMALIZED_DATA!U2*TIER_WEIGHTS!$C$12</f>
        <v>2.423076923</v>
      </c>
      <c r="M3" s="33">
        <f>NORMALIZED_DATA!V2*TIER_WEIGHTS!$C$15</f>
        <v>0.09638252149</v>
      </c>
      <c r="N3" s="33">
        <f>NORMALIZED_DATA!W2*TIER_WEIGHTS!$C$13</f>
        <v>2.956521739</v>
      </c>
      <c r="O3" s="33">
        <f>NORMALIZED_DATA!Y2*TIER_WEIGHTS!$C$6</f>
        <v>4.339285714</v>
      </c>
      <c r="P3" s="33">
        <f>NORMALIZED_DATA!Z2*TIER_WEIGHTS!$C$11</f>
        <v>2.5</v>
      </c>
      <c r="Q3" s="33">
        <f>NORMALIZED_DATA!AA2*TIER_WEIGHTS!$C$10</f>
        <v>1.022280337</v>
      </c>
      <c r="R3" s="147">
        <f t="shared" si="1"/>
        <v>28.51447963</v>
      </c>
    </row>
    <row r="4">
      <c r="A4" s="29">
        <v>3.0</v>
      </c>
      <c r="B4" s="29" t="s">
        <v>53</v>
      </c>
      <c r="C4" s="33">
        <f>R4/Weights_by_Category[[#TOTALS],[BEST]]</f>
        <v>63.69730143</v>
      </c>
      <c r="D4" s="33">
        <f>NORMALIZED_DATA!B16*TIER_WEIGHTS!$C$2</f>
        <v>1</v>
      </c>
      <c r="E4" s="33">
        <f>NORMALIZED_DATA!C16*TIER_WEIGHTS!$C$8</f>
        <v>0.1111111111</v>
      </c>
      <c r="F4" s="33">
        <f>NORMALIZED_DATA!D16*TIER_WEIGHTS!$C$7</f>
        <v>0</v>
      </c>
      <c r="G4" s="33">
        <f>NORMALIZED_DATA!F16*TIER_WEIGHTS!$C$3</f>
        <v>2.073144105</v>
      </c>
      <c r="H4" s="33">
        <f>NORMALIZED_DATA!G16*TIER_WEIGHTS!$C$9</f>
        <v>1.764705882</v>
      </c>
      <c r="I4" s="33">
        <f>NORMALIZED_DATA!H16*TIER_WEIGHTS!$C$14</f>
        <v>0.1666666667</v>
      </c>
      <c r="J4" s="33">
        <f>NORMALIZED_DATA!J16*TIER_WEIGHTS!$C$4</f>
        <v>1.151201479</v>
      </c>
      <c r="K4" s="33">
        <f>NORMALIZED_DATA!O16*TIER_WEIGHTS!$C$5</f>
        <v>1.304347826</v>
      </c>
      <c r="L4" s="33">
        <f>NORMALIZED_DATA!U16*TIER_WEIGHTS!$C$12</f>
        <v>4.5</v>
      </c>
      <c r="M4" s="33">
        <f>NORMALIZED_DATA!V16*TIER_WEIGHTS!$C$15</f>
        <v>0.2140401146</v>
      </c>
      <c r="N4" s="33">
        <f>NORMALIZED_DATA!W16*TIER_WEIGHTS!$C$13</f>
        <v>2.956521739</v>
      </c>
      <c r="O4" s="33">
        <f>NORMALIZED_DATA!Y16*TIER_WEIGHTS!$C$6</f>
        <v>5.571428571</v>
      </c>
      <c r="P4" s="33">
        <f>NORMALIZED_DATA!Z16*TIER_WEIGHTS!$C$11</f>
        <v>4</v>
      </c>
      <c r="Q4" s="33">
        <f>NORMALIZED_DATA!AA16*TIER_WEIGHTS!$C$10</f>
        <v>0.6020557745</v>
      </c>
      <c r="R4" s="147">
        <f t="shared" si="1"/>
        <v>25.41522327</v>
      </c>
    </row>
    <row r="5">
      <c r="A5" s="29">
        <v>4.0</v>
      </c>
      <c r="B5" s="29" t="s">
        <v>54</v>
      </c>
      <c r="C5" s="33">
        <f>R5/Weights_by_Category[[#TOTALS],[BEST]]</f>
        <v>61.60943166</v>
      </c>
      <c r="D5" s="33">
        <f>NORMALIZED_DATA!B7*TIER_WEIGHTS!$C$2</f>
        <v>0.1428571429</v>
      </c>
      <c r="E5" s="33">
        <f>NORMALIZED_DATA!C7*TIER_WEIGHTS!$C$8</f>
        <v>0.2777777778</v>
      </c>
      <c r="F5" s="33">
        <f>NORMALIZED_DATA!D7*TIER_WEIGHTS!$C$7</f>
        <v>0.36</v>
      </c>
      <c r="G5" s="33">
        <f>NORMALIZED_DATA!F7*TIER_WEIGHTS!$C$3</f>
        <v>3.222707424</v>
      </c>
      <c r="H5" s="33">
        <f>NORMALIZED_DATA!G7*TIER_WEIGHTS!$C$9</f>
        <v>1.588235294</v>
      </c>
      <c r="I5" s="33">
        <f>NORMALIZED_DATA!H7*TIER_WEIGHTS!$C$14</f>
        <v>0.5833333333</v>
      </c>
      <c r="J5" s="33">
        <f>NORMALIZED_DATA!J7*TIER_WEIGHTS!$C$4</f>
        <v>2.355637708</v>
      </c>
      <c r="K5" s="33">
        <f>NORMALIZED_DATA!O7*TIER_WEIGHTS!$C$5</f>
        <v>2.739130435</v>
      </c>
      <c r="L5" s="33">
        <f>NORMALIZED_DATA!U7*TIER_WEIGHTS!$C$12</f>
        <v>2.25</v>
      </c>
      <c r="M5" s="33">
        <f>NORMALIZED_DATA!V7*TIER_WEIGHTS!$C$15</f>
        <v>0.4332378223</v>
      </c>
      <c r="N5" s="33">
        <f>NORMALIZED_DATA!W7*TIER_WEIGHTS!$C$13</f>
        <v>2.47826087</v>
      </c>
      <c r="O5" s="33">
        <f>NORMALIZED_DATA!Y7*TIER_WEIGHTS!$C$6</f>
        <v>4.553571429</v>
      </c>
      <c r="P5" s="33">
        <f>NORMALIZED_DATA!Z7*TIER_WEIGHTS!$C$11</f>
        <v>2.5</v>
      </c>
      <c r="Q5" s="33">
        <f>NORMALIZED_DATA!AA7*TIER_WEIGHTS!$C$10</f>
        <v>1.097413997</v>
      </c>
      <c r="R5" s="147">
        <f t="shared" si="1"/>
        <v>24.58216323</v>
      </c>
    </row>
    <row r="6">
      <c r="A6" s="29">
        <v>5.0</v>
      </c>
      <c r="B6" s="29" t="s">
        <v>55</v>
      </c>
      <c r="C6" s="33">
        <f>R6/Weights_by_Category[[#TOTALS],[BEST]]</f>
        <v>59.08067262</v>
      </c>
      <c r="D6" s="33">
        <f>NORMALIZED_DATA!B9*TIER_WEIGHTS!$C$2</f>
        <v>0.4285714286</v>
      </c>
      <c r="E6" s="33">
        <f>NORMALIZED_DATA!C9*TIER_WEIGHTS!$C$8</f>
        <v>0.5</v>
      </c>
      <c r="F6" s="33">
        <f>NORMALIZED_DATA!D9*TIER_WEIGHTS!$C$7</f>
        <v>1.08</v>
      </c>
      <c r="G6" s="33">
        <f>NORMALIZED_DATA!F9*TIER_WEIGHTS!$C$3</f>
        <v>1.89628821</v>
      </c>
      <c r="H6" s="33">
        <f>NORMALIZED_DATA!G9*TIER_WEIGHTS!$C$9</f>
        <v>0.8823529412</v>
      </c>
      <c r="I6" s="33">
        <f>NORMALIZED_DATA!H9*TIER_WEIGHTS!$C$14</f>
        <v>0.25</v>
      </c>
      <c r="J6" s="33">
        <f>NORMALIZED_DATA!J9*TIER_WEIGHTS!$C$4</f>
        <v>3</v>
      </c>
      <c r="K6" s="33">
        <f>NORMALIZED_DATA!O9*TIER_WEIGHTS!$C$5</f>
        <v>3</v>
      </c>
      <c r="L6" s="33">
        <f>NORMALIZED_DATA!U9*TIER_WEIGHTS!$C$12</f>
        <v>2.596153846</v>
      </c>
      <c r="M6" s="33">
        <f>NORMALIZED_DATA!V9*TIER_WEIGHTS!$C$15</f>
        <v>0.6717765043</v>
      </c>
      <c r="N6" s="33">
        <f>NORMALIZED_DATA!W9*TIER_WEIGHTS!$C$13</f>
        <v>2.304347826</v>
      </c>
      <c r="O6" s="33">
        <f>NORMALIZED_DATA!Y9*TIER_WEIGHTS!$C$6</f>
        <v>3.75</v>
      </c>
      <c r="P6" s="33">
        <f>NORMALIZED_DATA!Z9*TIER_WEIGHTS!$C$11</f>
        <v>2</v>
      </c>
      <c r="Q6" s="33">
        <f>NORMALIZED_DATA!AA9*TIER_WEIGHTS!$C$10</f>
        <v>1.213697619</v>
      </c>
      <c r="R6" s="147">
        <f t="shared" si="1"/>
        <v>23.57318837</v>
      </c>
    </row>
    <row r="7">
      <c r="A7" s="29">
        <v>6.0</v>
      </c>
      <c r="B7" s="29" t="s">
        <v>57</v>
      </c>
      <c r="C7" s="33">
        <f>R7/Weights_by_Category[[#TOTALS],[BEST]]</f>
        <v>58.26405123</v>
      </c>
      <c r="D7" s="33">
        <f>NORMALIZED_DATA!B13*TIER_WEIGHTS!$C$2</f>
        <v>0.1428571429</v>
      </c>
      <c r="E7" s="33">
        <f>NORMALIZED_DATA!C13*TIER_WEIGHTS!$C$8</f>
        <v>0.3888888889</v>
      </c>
      <c r="F7" s="33">
        <f>NORMALIZED_DATA!D13*TIER_WEIGHTS!$C$7</f>
        <v>0.36</v>
      </c>
      <c r="G7" s="33">
        <f>NORMALIZED_DATA!F13*TIER_WEIGHTS!$C$3</f>
        <v>1.748908297</v>
      </c>
      <c r="H7" s="33">
        <f>NORMALIZED_DATA!G13*TIER_WEIGHTS!$C$9</f>
        <v>1.588235294</v>
      </c>
      <c r="I7" s="33">
        <f>NORMALIZED_DATA!H13*TIER_WEIGHTS!$C$14</f>
        <v>0.3333333333</v>
      </c>
      <c r="J7" s="33">
        <f>NORMALIZED_DATA!J13*TIER_WEIGHTS!$C$4</f>
        <v>1.317560074</v>
      </c>
      <c r="K7" s="33">
        <f>NORMALIZED_DATA!O13*TIER_WEIGHTS!$C$5</f>
        <v>1.304347826</v>
      </c>
      <c r="L7" s="33">
        <f>NORMALIZED_DATA!U13*TIER_WEIGHTS!$C$12</f>
        <v>3.461538462</v>
      </c>
      <c r="M7" s="33">
        <f>NORMALIZED_DATA!V13*TIER_WEIGHTS!$C$15</f>
        <v>0.7974928367</v>
      </c>
      <c r="N7" s="33">
        <f>NORMALIZED_DATA!W13*TIER_WEIGHTS!$C$13</f>
        <v>1.826086957</v>
      </c>
      <c r="O7" s="33">
        <f>NORMALIZED_DATA!Y13*TIER_WEIGHTS!$C$6</f>
        <v>6</v>
      </c>
      <c r="P7" s="33">
        <f>NORMALIZED_DATA!Z13*TIER_WEIGHTS!$C$11</f>
        <v>3</v>
      </c>
      <c r="Q7" s="33">
        <f>NORMALIZED_DATA!AA13*TIER_WEIGHTS!$C$10</f>
        <v>0.9781073294</v>
      </c>
      <c r="R7" s="147">
        <f t="shared" si="1"/>
        <v>23.24735644</v>
      </c>
    </row>
    <row r="8">
      <c r="A8" s="29">
        <v>7.0</v>
      </c>
      <c r="B8" s="29" t="s">
        <v>59</v>
      </c>
      <c r="C8" s="33">
        <f>R8/Weights_by_Category[[#TOTALS],[BEST]]</f>
        <v>55.53180577</v>
      </c>
      <c r="D8" s="33">
        <f>NORMALIZED_DATA!B10*TIER_WEIGHTS!$C$2</f>
        <v>0</v>
      </c>
      <c r="E8" s="33">
        <f>NORMALIZED_DATA!C10*TIER_WEIGHTS!$C$8</f>
        <v>0.1944444444</v>
      </c>
      <c r="F8" s="33">
        <f>NORMALIZED_DATA!D10*TIER_WEIGHTS!$C$7</f>
        <v>0</v>
      </c>
      <c r="G8" s="33">
        <f>NORMALIZED_DATA!F10*TIER_WEIGHTS!$C$3</f>
        <v>0.7565502183</v>
      </c>
      <c r="H8" s="33">
        <f>NORMALIZED_DATA!G10*TIER_WEIGHTS!$C$9</f>
        <v>1.588235294</v>
      </c>
      <c r="I8" s="33">
        <f>NORMALIZED_DATA!H10*TIER_WEIGHTS!$C$14</f>
        <v>0.5</v>
      </c>
      <c r="J8" s="33">
        <f>NORMALIZED_DATA!J10*TIER_WEIGHTS!$C$4</f>
        <v>2.402218115</v>
      </c>
      <c r="K8" s="33">
        <f>NORMALIZED_DATA!O10*TIER_WEIGHTS!$C$5</f>
        <v>2.217391304</v>
      </c>
      <c r="L8" s="33">
        <f>NORMALIZED_DATA!U10*TIER_WEIGHTS!$C$12</f>
        <v>2.942307692</v>
      </c>
      <c r="M8" s="33">
        <f>NORMALIZED_DATA!V10*TIER_WEIGHTS!$C$15</f>
        <v>0</v>
      </c>
      <c r="N8" s="33">
        <f>NORMALIZED_DATA!W10*TIER_WEIGHTS!$C$13</f>
        <v>2.826086957</v>
      </c>
      <c r="O8" s="33">
        <f>NORMALIZED_DATA!Y10*TIER_WEIGHTS!$C$6</f>
        <v>4.821428571</v>
      </c>
      <c r="P8" s="33">
        <f>NORMALIZED_DATA!Z10*TIER_WEIGHTS!$C$11</f>
        <v>3</v>
      </c>
      <c r="Q8" s="33">
        <f>NORMALIZED_DATA!AA10*TIER_WEIGHTS!$C$10</f>
        <v>0.9085279066</v>
      </c>
      <c r="R8" s="147">
        <f t="shared" si="1"/>
        <v>22.1571905</v>
      </c>
    </row>
    <row r="9">
      <c r="A9" s="29">
        <v>8.0</v>
      </c>
      <c r="B9" s="29" t="s">
        <v>58</v>
      </c>
      <c r="C9" s="33">
        <f>R9/Weights_by_Category[[#TOTALS],[BEST]]</f>
        <v>52.38018873</v>
      </c>
      <c r="D9" s="33">
        <f>NORMALIZED_DATA!B5*TIER_WEIGHTS!$C$2</f>
        <v>0.1428571429</v>
      </c>
      <c r="E9" s="33">
        <f>NORMALIZED_DATA!C5*TIER_WEIGHTS!$C$8</f>
        <v>0.1944444444</v>
      </c>
      <c r="F9" s="33">
        <f>NORMALIZED_DATA!D5*TIER_WEIGHTS!$C$7</f>
        <v>0.36</v>
      </c>
      <c r="G9" s="33">
        <f>NORMALIZED_DATA!F5*TIER_WEIGHTS!$C$3</f>
        <v>0.442139738</v>
      </c>
      <c r="H9" s="33">
        <f>NORMALIZED_DATA!G5*TIER_WEIGHTS!$C$9</f>
        <v>1.058823529</v>
      </c>
      <c r="I9" s="33">
        <f>NORMALIZED_DATA!H5*TIER_WEIGHTS!$C$14</f>
        <v>0.8333333333</v>
      </c>
      <c r="J9" s="33">
        <f>NORMALIZED_DATA!J5*TIER_WEIGHTS!$C$4</f>
        <v>2.9012939</v>
      </c>
      <c r="K9" s="33">
        <f>NORMALIZED_DATA!O5*TIER_WEIGHTS!$C$5</f>
        <v>2.739130435</v>
      </c>
      <c r="L9" s="33">
        <f>NORMALIZED_DATA!U5*TIER_WEIGHTS!$C$12</f>
        <v>2.423076923</v>
      </c>
      <c r="M9" s="33">
        <f>NORMALIZED_DATA!V5*TIER_WEIGHTS!$C$15</f>
        <v>0.07285100287</v>
      </c>
      <c r="N9" s="33">
        <f>NORMALIZED_DATA!W5*TIER_WEIGHTS!$C$13</f>
        <v>2.347826087</v>
      </c>
      <c r="O9" s="33">
        <f>NORMALIZED_DATA!Y5*TIER_WEIGHTS!$C$6</f>
        <v>2.732142857</v>
      </c>
      <c r="P9" s="33">
        <f>NORMALIZED_DATA!Z5*TIER_WEIGHTS!$C$11</f>
        <v>3.5</v>
      </c>
      <c r="Q9" s="33">
        <f>NORMALIZED_DATA!AA5*TIER_WEIGHTS!$C$10</f>
        <v>1.151775909</v>
      </c>
      <c r="R9" s="147">
        <f t="shared" si="1"/>
        <v>20.8996953</v>
      </c>
    </row>
    <row r="10">
      <c r="A10" s="29">
        <v>9.0</v>
      </c>
      <c r="B10" s="29" t="s">
        <v>56</v>
      </c>
      <c r="C10" s="33">
        <f>R10/Weights_by_Category[[#TOTALS],[BEST]]</f>
        <v>51.89313865</v>
      </c>
      <c r="D10" s="33">
        <f>NORMALIZED_DATA!B3*TIER_WEIGHTS!$C$2</f>
        <v>0.5714285714</v>
      </c>
      <c r="E10" s="33">
        <f>NORMALIZED_DATA!C3*TIER_WEIGHTS!$C$8</f>
        <v>0.4305555556</v>
      </c>
      <c r="F10" s="33">
        <f>NORMALIZED_DATA!D3*TIER_WEIGHTS!$C$7</f>
        <v>1.08</v>
      </c>
      <c r="G10" s="33">
        <f>NORMALIZED_DATA!F3*TIER_WEIGHTS!$C$3</f>
        <v>1.601528384</v>
      </c>
      <c r="H10" s="33">
        <f>NORMALIZED_DATA!G3*TIER_WEIGHTS!$C$9</f>
        <v>1.411764706</v>
      </c>
      <c r="I10" s="33">
        <f>NORMALIZED_DATA!H3*TIER_WEIGHTS!$C$14</f>
        <v>0.4166666667</v>
      </c>
      <c r="J10" s="33">
        <f>NORMALIZED_DATA!J3*TIER_WEIGHTS!$C$4</f>
        <v>1.603696858</v>
      </c>
      <c r="K10" s="33">
        <f>NORMALIZED_DATA!O3*TIER_WEIGHTS!$C$5</f>
        <v>1.434782609</v>
      </c>
      <c r="L10" s="33">
        <f>NORMALIZED_DATA!U3*TIER_WEIGHTS!$C$12</f>
        <v>3.115384615</v>
      </c>
      <c r="M10" s="33">
        <f>NORMALIZED_DATA!V3*TIER_WEIGHTS!$C$15</f>
        <v>0.2698065903</v>
      </c>
      <c r="N10" s="33">
        <f>NORMALIZED_DATA!W3*TIER_WEIGHTS!$C$13</f>
        <v>2.869565217</v>
      </c>
      <c r="O10" s="33">
        <f>NORMALIZED_DATA!Y3*TIER_WEIGHTS!$C$6</f>
        <v>3.107142857</v>
      </c>
      <c r="P10" s="33">
        <f>NORMALIZED_DATA!Z3*TIER_WEIGHTS!$C$11</f>
        <v>1.5</v>
      </c>
      <c r="Q10" s="33">
        <f>NORMALIZED_DATA!AA3*TIER_WEIGHTS!$C$10</f>
        <v>1.293039692</v>
      </c>
      <c r="R10" s="147">
        <f t="shared" si="1"/>
        <v>20.70536232</v>
      </c>
    </row>
    <row r="11">
      <c r="A11" s="29">
        <v>10.0</v>
      </c>
      <c r="B11" s="29" t="s">
        <v>60</v>
      </c>
      <c r="C11" s="33">
        <f>R11/Weights_by_Category[[#TOTALS],[BEST]]</f>
        <v>48.51187627</v>
      </c>
      <c r="D11" s="33">
        <f>NORMALIZED_DATA!B23*TIER_WEIGHTS!$C$2</f>
        <v>0.2857142857</v>
      </c>
      <c r="E11" s="33">
        <f>NORMALIZED_DATA!C23*TIER_WEIGHTS!$C$8</f>
        <v>0.05555555556</v>
      </c>
      <c r="F11" s="33">
        <f>NORMALIZED_DATA!D23*TIER_WEIGHTS!$C$7</f>
        <v>0</v>
      </c>
      <c r="G11" s="33">
        <f>NORMALIZED_DATA!F23*TIER_WEIGHTS!$C$3</f>
        <v>0</v>
      </c>
      <c r="H11" s="33">
        <f>NORMALIZED_DATA!G23*TIER_WEIGHTS!$C$9</f>
        <v>2.117647059</v>
      </c>
      <c r="I11" s="33">
        <f>NORMALIZED_DATA!H23*TIER_WEIGHTS!$C$14</f>
        <v>0.25</v>
      </c>
      <c r="J11" s="33">
        <f>NORMALIZED_DATA!J23*TIER_WEIGHTS!$C$4</f>
        <v>0.09316081331</v>
      </c>
      <c r="K11" s="33">
        <f>NORMALIZED_DATA!O23*TIER_WEIGHTS!$C$5</f>
        <v>0.7826086957</v>
      </c>
      <c r="L11" s="33">
        <f>NORMALIZED_DATA!U23*TIER_WEIGHTS!$C$12</f>
        <v>2.942307692</v>
      </c>
      <c r="M11" s="33">
        <f>NORMALIZED_DATA!V23*TIER_WEIGHTS!$C$15</f>
        <v>0.05125358166</v>
      </c>
      <c r="N11" s="33">
        <f>NORMALIZED_DATA!W23*TIER_WEIGHTS!$C$13</f>
        <v>3</v>
      </c>
      <c r="O11" s="33">
        <f>NORMALIZED_DATA!Y23*TIER_WEIGHTS!$C$6</f>
        <v>3.9375</v>
      </c>
      <c r="P11" s="33">
        <f>NORMALIZED_DATA!Z23*TIER_WEIGHTS!$C$11</f>
        <v>4.5</v>
      </c>
      <c r="Q11" s="33">
        <f>NORMALIZED_DATA!AA23*TIER_WEIGHTS!$C$10</f>
        <v>1.340490948</v>
      </c>
      <c r="R11" s="147">
        <f t="shared" si="1"/>
        <v>19.35623863</v>
      </c>
    </row>
    <row r="12">
      <c r="A12" s="29">
        <v>11.0</v>
      </c>
      <c r="B12" s="29" t="s">
        <v>63</v>
      </c>
      <c r="C12" s="33">
        <f>R12/Weights_by_Category[[#TOTALS],[BEST]]</f>
        <v>47.91025429</v>
      </c>
      <c r="D12" s="33">
        <f>NORMALIZED_DATA!B20*TIER_WEIGHTS!$C$2</f>
        <v>0</v>
      </c>
      <c r="E12" s="33">
        <f>NORMALIZED_DATA!C20*TIER_WEIGHTS!$C$8</f>
        <v>0.06944444444</v>
      </c>
      <c r="F12" s="33">
        <f>NORMALIZED_DATA!D20*TIER_WEIGHTS!$C$7</f>
        <v>0</v>
      </c>
      <c r="G12" s="33">
        <f>NORMALIZED_DATA!F20*TIER_WEIGHTS!$C$3</f>
        <v>0.7467248908</v>
      </c>
      <c r="H12" s="33">
        <f>NORMALIZED_DATA!G20*TIER_WEIGHTS!$C$9</f>
        <v>1.058823529</v>
      </c>
      <c r="I12" s="33">
        <f>NORMALIZED_DATA!H20*TIER_WEIGHTS!$C$14</f>
        <v>0.25</v>
      </c>
      <c r="J12" s="33">
        <f>NORMALIZED_DATA!J20*TIER_WEIGHTS!$C$4</f>
        <v>2.104990758</v>
      </c>
      <c r="K12" s="33">
        <f>NORMALIZED_DATA!O20*TIER_WEIGHTS!$C$5</f>
        <v>1.434782609</v>
      </c>
      <c r="L12" s="33">
        <f>NORMALIZED_DATA!U20*TIER_WEIGHTS!$C$12</f>
        <v>2.596153846</v>
      </c>
      <c r="M12" s="33">
        <f>NORMALIZED_DATA!V20*TIER_WEIGHTS!$C$15</f>
        <v>0.07317335244</v>
      </c>
      <c r="N12" s="33">
        <f>NORMALIZED_DATA!W20*TIER_WEIGHTS!$C$13</f>
        <v>1.869565217</v>
      </c>
      <c r="O12" s="33">
        <f>NORMALIZED_DATA!Y20*TIER_WEIGHTS!$C$6</f>
        <v>4.446428571</v>
      </c>
      <c r="P12" s="33">
        <f>NORMALIZED_DATA!Z20*TIER_WEIGHTS!$C$11</f>
        <v>3.5</v>
      </c>
      <c r="Q12" s="33">
        <f>NORMALIZED_DATA!AA20*TIER_WEIGHTS!$C$10</f>
        <v>0.9661042433</v>
      </c>
      <c r="R12" s="147">
        <f t="shared" si="1"/>
        <v>19.11619146</v>
      </c>
    </row>
    <row r="13">
      <c r="A13" s="29">
        <v>12.0</v>
      </c>
      <c r="B13" s="29" t="s">
        <v>61</v>
      </c>
      <c r="C13" s="33">
        <f>R13/Weights_by_Category[[#TOTALS],[BEST]]</f>
        <v>42.51622104</v>
      </c>
      <c r="D13" s="33">
        <f>NORMALIZED_DATA!B17*TIER_WEIGHTS!$C$2</f>
        <v>0.1428571429</v>
      </c>
      <c r="E13" s="33">
        <f>NORMALIZED_DATA!C17*TIER_WEIGHTS!$C$8</f>
        <v>0.3194444444</v>
      </c>
      <c r="F13" s="33">
        <f>NORMALIZED_DATA!D17*TIER_WEIGHTS!$C$7</f>
        <v>0</v>
      </c>
      <c r="G13" s="33">
        <f>NORMALIZED_DATA!F17*TIER_WEIGHTS!$C$3</f>
        <v>2.13209607</v>
      </c>
      <c r="H13" s="33">
        <f>NORMALIZED_DATA!G17*TIER_WEIGHTS!$C$9</f>
        <v>1.588235294</v>
      </c>
      <c r="I13" s="33">
        <f>NORMALIZED_DATA!H17*TIER_WEIGHTS!$C$14</f>
        <v>0.6666666667</v>
      </c>
      <c r="J13" s="33">
        <f>NORMALIZED_DATA!J17*TIER_WEIGHTS!$C$4</f>
        <v>2.107208872</v>
      </c>
      <c r="K13" s="33">
        <f>NORMALIZED_DATA!O17*TIER_WEIGHTS!$C$5</f>
        <v>2.086956522</v>
      </c>
      <c r="L13" s="33">
        <f>NORMALIZED_DATA!U17*TIER_WEIGHTS!$C$12</f>
        <v>1.038461538</v>
      </c>
      <c r="M13" s="33">
        <f>NORMALIZED_DATA!V17*TIER_WEIGHTS!$C$15</f>
        <v>0.1853510029</v>
      </c>
      <c r="N13" s="33">
        <f>NORMALIZED_DATA!W17*TIER_WEIGHTS!$C$13</f>
        <v>1.260869565</v>
      </c>
      <c r="O13" s="33">
        <f>NORMALIZED_DATA!Y17*TIER_WEIGHTS!$C$6</f>
        <v>1.660714286</v>
      </c>
      <c r="P13" s="33">
        <f>NORMALIZED_DATA!Z17*TIER_WEIGHTS!$C$11</f>
        <v>2.5</v>
      </c>
      <c r="Q13" s="33">
        <f>NORMALIZED_DATA!AA17*TIER_WEIGHTS!$C$10</f>
        <v>1.275110792</v>
      </c>
      <c r="R13" s="147">
        <f t="shared" si="1"/>
        <v>16.9639722</v>
      </c>
    </row>
    <row r="14">
      <c r="A14" s="29">
        <v>13.0</v>
      </c>
      <c r="B14" s="29" t="s">
        <v>62</v>
      </c>
      <c r="C14" s="33">
        <f>R14/Weights_by_Category[[#TOTALS],[BEST]]</f>
        <v>41.71390859</v>
      </c>
      <c r="D14" s="33">
        <f>NORMALIZED_DATA!B8*TIER_WEIGHTS!$C$2</f>
        <v>0.4285714286</v>
      </c>
      <c r="E14" s="33">
        <f>NORMALIZED_DATA!C8*TIER_WEIGHTS!$C$8</f>
        <v>0.1111111111</v>
      </c>
      <c r="F14" s="33">
        <f>NORMALIZED_DATA!D8*TIER_WEIGHTS!$C$7</f>
        <v>0</v>
      </c>
      <c r="G14" s="33">
        <f>NORMALIZED_DATA!F8*TIER_WEIGHTS!$C$3</f>
        <v>2.741266376</v>
      </c>
      <c r="H14" s="33">
        <f>NORMALIZED_DATA!G8*TIER_WEIGHTS!$C$9</f>
        <v>2.294117647</v>
      </c>
      <c r="I14" s="33">
        <f>NORMALIZED_DATA!H8*TIER_WEIGHTS!$C$14</f>
        <v>0.5833333333</v>
      </c>
      <c r="J14" s="33">
        <f>NORMALIZED_DATA!J8*TIER_WEIGHTS!$C$4</f>
        <v>1.217744917</v>
      </c>
      <c r="K14" s="33">
        <f>NORMALIZED_DATA!O8*TIER_WEIGHTS!$C$5</f>
        <v>1.304347826</v>
      </c>
      <c r="L14" s="33">
        <f>NORMALIZED_DATA!U8*TIER_WEIGHTS!$C$12</f>
        <v>0.8653846154</v>
      </c>
      <c r="M14" s="33">
        <f>NORMALIZED_DATA!V8*TIER_WEIGHTS!$C$15</f>
        <v>0.2598137536</v>
      </c>
      <c r="N14" s="33">
        <f>NORMALIZED_DATA!W8*TIER_WEIGHTS!$C$13</f>
        <v>1.752173913</v>
      </c>
      <c r="O14" s="33">
        <f>NORMALIZED_DATA!Y8*TIER_WEIGHTS!$C$6</f>
        <v>2.357142857</v>
      </c>
      <c r="P14" s="33">
        <f>NORMALIZED_DATA!Z8*TIER_WEIGHTS!$C$11</f>
        <v>2</v>
      </c>
      <c r="Q14" s="33">
        <f>NORMALIZED_DATA!AA8*TIER_WEIGHTS!$C$10</f>
        <v>0.7288417495</v>
      </c>
      <c r="R14" s="147">
        <f t="shared" si="1"/>
        <v>16.64384953</v>
      </c>
    </row>
    <row r="15">
      <c r="A15" s="29">
        <v>14.0</v>
      </c>
      <c r="B15" s="29" t="s">
        <v>69</v>
      </c>
      <c r="C15" s="33">
        <f>R15/Weights_by_Category[[#TOTALS],[BEST]]</f>
        <v>37.21953064</v>
      </c>
      <c r="D15" s="33">
        <f>NORMALIZED_DATA!B21*TIER_WEIGHTS!$C$2</f>
        <v>0</v>
      </c>
      <c r="E15" s="33">
        <f>NORMALIZED_DATA!C21*TIER_WEIGHTS!$C$8</f>
        <v>0.05555555556</v>
      </c>
      <c r="F15" s="33">
        <f>NORMALIZED_DATA!D21*TIER_WEIGHTS!$C$7</f>
        <v>0</v>
      </c>
      <c r="G15" s="33">
        <f>NORMALIZED_DATA!F21*TIER_WEIGHTS!$C$3</f>
        <v>2.662663755</v>
      </c>
      <c r="H15" s="33">
        <f>NORMALIZED_DATA!G21*TIER_WEIGHTS!$C$9</f>
        <v>1.058823529</v>
      </c>
      <c r="I15" s="33">
        <f>NORMALIZED_DATA!H21*TIER_WEIGHTS!$C$14</f>
        <v>0.08333333333</v>
      </c>
      <c r="J15" s="33">
        <f>NORMALIZED_DATA!J21*TIER_WEIGHTS!$C$4</f>
        <v>1.296487985</v>
      </c>
      <c r="K15" s="33">
        <f>NORMALIZED_DATA!O21*TIER_WEIGHTS!$C$5</f>
        <v>1.826086957</v>
      </c>
      <c r="L15" s="33">
        <f>NORMALIZED_DATA!U21*TIER_WEIGHTS!$C$12</f>
        <v>2.423076923</v>
      </c>
      <c r="M15" s="33">
        <f>NORMALIZED_DATA!V21*TIER_WEIGHTS!$C$15</f>
        <v>1.8</v>
      </c>
      <c r="N15" s="33">
        <f>NORMALIZED_DATA!W21*TIER_WEIGHTS!$C$13</f>
        <v>1.347826087</v>
      </c>
      <c r="O15" s="33">
        <f>NORMALIZED_DATA!Y21*TIER_WEIGHTS!$C$6</f>
        <v>1.071428571</v>
      </c>
      <c r="P15" s="33">
        <f>NORMALIZED_DATA!Z21*TIER_WEIGHTS!$C$11</f>
        <v>0.5</v>
      </c>
      <c r="Q15" s="33">
        <f>NORMALIZED_DATA!AA21*TIER_WEIGHTS!$C$10</f>
        <v>0.7253100268</v>
      </c>
      <c r="R15" s="147">
        <f t="shared" si="1"/>
        <v>14.85059272</v>
      </c>
    </row>
    <row r="16">
      <c r="A16" s="29">
        <v>15.0</v>
      </c>
      <c r="B16" s="29" t="s">
        <v>64</v>
      </c>
      <c r="C16" s="33">
        <f>R16/Weights_by_Category[[#TOTALS],[BEST]]</f>
        <v>36.58447176</v>
      </c>
      <c r="D16" s="33">
        <f>NORMALIZED_DATA!B14*TIER_WEIGHTS!$C$2</f>
        <v>0.2857142857</v>
      </c>
      <c r="E16" s="33">
        <f>NORMALIZED_DATA!C14*TIER_WEIGHTS!$C$8</f>
        <v>0.4444444444</v>
      </c>
      <c r="F16" s="33">
        <f>NORMALIZED_DATA!D14*TIER_WEIGHTS!$C$7</f>
        <v>0.36</v>
      </c>
      <c r="G16" s="33">
        <f>NORMALIZED_DATA!F14*TIER_WEIGHTS!$C$3</f>
        <v>0.2358078603</v>
      </c>
      <c r="H16" s="33">
        <f>NORMALIZED_DATA!G14*TIER_WEIGHTS!$C$9</f>
        <v>0.1764705882</v>
      </c>
      <c r="I16" s="33">
        <f>NORMALIZED_DATA!H14*TIER_WEIGHTS!$C$14</f>
        <v>0.25</v>
      </c>
      <c r="J16" s="33">
        <f>NORMALIZED_DATA!J14*TIER_WEIGHTS!$C$4</f>
        <v>0.8894639556</v>
      </c>
      <c r="K16" s="33">
        <f>NORMALIZED_DATA!O14*TIER_WEIGHTS!$C$5</f>
        <v>0.9130434783</v>
      </c>
      <c r="L16" s="33">
        <f>NORMALIZED_DATA!U14*TIER_WEIGHTS!$C$12</f>
        <v>2.769230769</v>
      </c>
      <c r="M16" s="33">
        <f>NORMALIZED_DATA!V14*TIER_WEIGHTS!$C$15</f>
        <v>0.5460601719</v>
      </c>
      <c r="N16" s="33">
        <f>NORMALIZED_DATA!W14*TIER_WEIGHTS!$C$13</f>
        <v>1.826086957</v>
      </c>
      <c r="O16" s="33">
        <f>NORMALIZED_DATA!Y14*TIER_WEIGHTS!$C$6</f>
        <v>3.160714286</v>
      </c>
      <c r="P16" s="33">
        <f>NORMALIZED_DATA!Z14*TIER_WEIGHTS!$C$11</f>
        <v>2</v>
      </c>
      <c r="Q16" s="33">
        <f>NORMALIZED_DATA!AA14*TIER_WEIGHTS!$C$10</f>
        <v>0.7401674346</v>
      </c>
      <c r="R16" s="147">
        <f t="shared" si="1"/>
        <v>14.59720423</v>
      </c>
    </row>
    <row r="17">
      <c r="A17" s="29">
        <v>16.0</v>
      </c>
      <c r="B17" s="29" t="s">
        <v>67</v>
      </c>
      <c r="C17" s="33">
        <f>R17/Weights_by_Category[[#TOTALS],[BEST]]</f>
        <v>34.5575094</v>
      </c>
      <c r="D17" s="33">
        <f>NORMALIZED_DATA!B22*TIER_WEIGHTS!$C$2</f>
        <v>0.1428571429</v>
      </c>
      <c r="E17" s="33">
        <f>NORMALIZED_DATA!C22*TIER_WEIGHTS!$C$8</f>
        <v>0.2777777778</v>
      </c>
      <c r="F17" s="33">
        <f>NORMALIZED_DATA!D22*TIER_WEIGHTS!$C$7</f>
        <v>0.36</v>
      </c>
      <c r="G17" s="33">
        <f>NORMALIZED_DATA!F22*TIER_WEIGHTS!$C$3</f>
        <v>1.090611354</v>
      </c>
      <c r="H17" s="33">
        <f>NORMALIZED_DATA!G22*TIER_WEIGHTS!$C$9</f>
        <v>0.7058823529</v>
      </c>
      <c r="I17" s="33">
        <f>NORMALIZED_DATA!H22*TIER_WEIGHTS!$C$14</f>
        <v>0.08333333333</v>
      </c>
      <c r="J17" s="33">
        <f>NORMALIZED_DATA!J22*TIER_WEIGHTS!$C$4</f>
        <v>2.53974122</v>
      </c>
      <c r="K17" s="33">
        <f>NORMALIZED_DATA!O22*TIER_WEIGHTS!$C$5</f>
        <v>2.086956522</v>
      </c>
      <c r="L17" s="33">
        <f>NORMALIZED_DATA!U22*TIER_WEIGHTS!$C$12</f>
        <v>2.423076923</v>
      </c>
      <c r="M17" s="33">
        <f>NORMALIZED_DATA!V22*TIER_WEIGHTS!$C$15</f>
        <v>0.06285816619</v>
      </c>
      <c r="N17" s="33">
        <f>NORMALIZED_DATA!W22*TIER_WEIGHTS!$C$13</f>
        <v>1</v>
      </c>
      <c r="O17" s="33">
        <f>NORMALIZED_DATA!Y22*TIER_WEIGHTS!$C$6</f>
        <v>0</v>
      </c>
      <c r="P17" s="33">
        <f>NORMALIZED_DATA!Z22*TIER_WEIGHTS!$C$11</f>
        <v>1.5</v>
      </c>
      <c r="Q17" s="33">
        <f>NORMALIZED_DATA!AA22*TIER_WEIGHTS!$C$10</f>
        <v>1.515351457</v>
      </c>
      <c r="R17" s="147">
        <f t="shared" si="1"/>
        <v>13.78844625</v>
      </c>
    </row>
    <row r="18">
      <c r="A18" s="29">
        <v>17.0</v>
      </c>
      <c r="B18" s="29" t="s">
        <v>70</v>
      </c>
      <c r="C18" s="33">
        <f>R18/Weights_by_Category[[#TOTALS],[BEST]]</f>
        <v>30.63192682</v>
      </c>
      <c r="D18" s="33">
        <f>NORMALIZED_DATA!B15*TIER_WEIGHTS!$C$2</f>
        <v>0</v>
      </c>
      <c r="E18" s="33">
        <f>NORMALIZED_DATA!C15*TIER_WEIGHTS!$C$8</f>
        <v>0.25</v>
      </c>
      <c r="F18" s="33">
        <f>NORMALIZED_DATA!D15*TIER_WEIGHTS!$C$7</f>
        <v>0</v>
      </c>
      <c r="G18" s="33">
        <f>NORMALIZED_DATA!F15*TIER_WEIGHTS!$C$3</f>
        <v>0.03930131004</v>
      </c>
      <c r="H18" s="33">
        <f>NORMALIZED_DATA!G15*TIER_WEIGHTS!$C$9</f>
        <v>0.5294117647</v>
      </c>
      <c r="I18" s="33">
        <f>NORMALIZED_DATA!H15*TIER_WEIGHTS!$C$14</f>
        <v>0.5</v>
      </c>
      <c r="J18" s="33">
        <f>NORMALIZED_DATA!J15*TIER_WEIGHTS!$C$4</f>
        <v>1.224399261</v>
      </c>
      <c r="K18" s="33">
        <f>NORMALIZED_DATA!O15*TIER_WEIGHTS!$C$5</f>
        <v>1.434782609</v>
      </c>
      <c r="L18" s="33">
        <f>NORMALIZED_DATA!U15*TIER_WEIGHTS!$C$12</f>
        <v>1.730769231</v>
      </c>
      <c r="M18" s="33">
        <f>NORMALIZED_DATA!V15*TIER_WEIGHTS!$C$15</f>
        <v>0.4686962751</v>
      </c>
      <c r="N18" s="33">
        <f>NORMALIZED_DATA!W15*TIER_WEIGHTS!$C$13</f>
        <v>2.130434783</v>
      </c>
      <c r="O18" s="33">
        <f>NORMALIZED_DATA!Y15*TIER_WEIGHTS!$C$6</f>
        <v>2.303571429</v>
      </c>
      <c r="P18" s="33">
        <f>NORMALIZED_DATA!Z15*TIER_WEIGHTS!$C$11</f>
        <v>1</v>
      </c>
      <c r="Q18" s="33">
        <f>NORMALIZED_DATA!AA15*TIER_WEIGHTS!$C$10</f>
        <v>0.6107721405</v>
      </c>
      <c r="R18" s="147">
        <f t="shared" si="1"/>
        <v>12.2221388</v>
      </c>
    </row>
    <row r="19">
      <c r="A19" s="29">
        <v>18.0</v>
      </c>
      <c r="B19" s="29" t="s">
        <v>65</v>
      </c>
      <c r="C19" s="33">
        <f>R19/Weights_by_Category[[#TOTALS],[BEST]]</f>
        <v>29.00912202</v>
      </c>
      <c r="D19" s="33">
        <f>NORMALIZED_DATA!B12*TIER_WEIGHTS!$C$2</f>
        <v>0.5714285714</v>
      </c>
      <c r="E19" s="33">
        <f>NORMALIZED_DATA!C12*TIER_WEIGHTS!$C$8</f>
        <v>0.3888888889</v>
      </c>
      <c r="F19" s="33">
        <f>NORMALIZED_DATA!D12*TIER_WEIGHTS!$C$7</f>
        <v>0.72</v>
      </c>
      <c r="G19" s="33">
        <f>NORMALIZED_DATA!F12*TIER_WEIGHTS!$C$3</f>
        <v>0.481441048</v>
      </c>
      <c r="H19" s="33">
        <f>NORMALIZED_DATA!G12*TIER_WEIGHTS!$C$9</f>
        <v>0.3529411765</v>
      </c>
      <c r="I19" s="33">
        <f>NORMALIZED_DATA!H12*TIER_WEIGHTS!$C$14</f>
        <v>0</v>
      </c>
      <c r="J19" s="33">
        <f>NORMALIZED_DATA!J12*TIER_WEIGHTS!$C$4</f>
        <v>0.7630314233</v>
      </c>
      <c r="K19" s="33">
        <f>NORMALIZED_DATA!O12*TIER_WEIGHTS!$C$5</f>
        <v>1.043478261</v>
      </c>
      <c r="L19" s="33">
        <f>NORMALIZED_DATA!U12*TIER_WEIGHTS!$C$12</f>
        <v>0.8653846154</v>
      </c>
      <c r="M19" s="33">
        <f>NORMALIZED_DATA!V12*TIER_WEIGHTS!$C$15</f>
        <v>0.4203438395</v>
      </c>
      <c r="N19" s="33">
        <f>NORMALIZED_DATA!W12*TIER_WEIGHTS!$C$13</f>
        <v>0.7391304348</v>
      </c>
      <c r="O19" s="33">
        <f>NORMALIZED_DATA!Y12*TIER_WEIGHTS!$C$6</f>
        <v>1.928571429</v>
      </c>
      <c r="P19" s="33">
        <f>NORMALIZED_DATA!Z12*TIER_WEIGHTS!$C$11</f>
        <v>1.5</v>
      </c>
      <c r="Q19" s="33">
        <f>NORMALIZED_DATA!AA12*TIER_WEIGHTS!$C$10</f>
        <v>1.8</v>
      </c>
      <c r="R19" s="147">
        <f t="shared" si="1"/>
        <v>11.57463969</v>
      </c>
    </row>
    <row r="20">
      <c r="A20" s="29">
        <v>19.0</v>
      </c>
      <c r="B20" s="29" t="s">
        <v>68</v>
      </c>
      <c r="C20" s="33">
        <f>R20/Weights_by_Category[[#TOTALS],[BEST]]</f>
        <v>27.62343743</v>
      </c>
      <c r="D20" s="33">
        <f>NORMALIZED_DATA!B11*TIER_WEIGHTS!$C$2</f>
        <v>0.2857142857</v>
      </c>
      <c r="E20" s="33">
        <f>NORMALIZED_DATA!C11*TIER_WEIGHTS!$C$8</f>
        <v>0.4583333333</v>
      </c>
      <c r="F20" s="33">
        <f>NORMALIZED_DATA!D11*TIER_WEIGHTS!$C$7</f>
        <v>0.36</v>
      </c>
      <c r="G20" s="33">
        <f>NORMALIZED_DATA!F11*TIER_WEIGHTS!$C$3</f>
        <v>0.9334061135</v>
      </c>
      <c r="H20" s="33">
        <f>NORMALIZED_DATA!G11*TIER_WEIGHTS!$C$9</f>
        <v>0.5294117647</v>
      </c>
      <c r="I20" s="33">
        <f>NORMALIZED_DATA!H11*TIER_WEIGHTS!$C$14</f>
        <v>0.5</v>
      </c>
      <c r="J20" s="33">
        <f>NORMALIZED_DATA!J11*TIER_WEIGHTS!$C$4</f>
        <v>1.770055453</v>
      </c>
      <c r="K20" s="33">
        <f>NORMALIZED_DATA!O11*TIER_WEIGHTS!$C$5</f>
        <v>1.173913043</v>
      </c>
      <c r="L20" s="33">
        <f>NORMALIZED_DATA!U11*TIER_WEIGHTS!$C$12</f>
        <v>0.6923076923</v>
      </c>
      <c r="M20" s="33">
        <f>NORMALIZED_DATA!V11*TIER_WEIGHTS!$C$15</f>
        <v>0.459025788</v>
      </c>
      <c r="N20" s="33">
        <f>NORMALIZED_DATA!W11*TIER_WEIGHTS!$C$13</f>
        <v>1.695652174</v>
      </c>
      <c r="O20" s="33">
        <f>NORMALIZED_DATA!Y11*TIER_WEIGHTS!$C$6</f>
        <v>0.8035714286</v>
      </c>
      <c r="P20" s="33">
        <f>NORMALIZED_DATA!Z11*TIER_WEIGHTS!$C$11</f>
        <v>0</v>
      </c>
      <c r="Q20" s="33">
        <f>NORMALIZED_DATA!AA11*TIER_WEIGHTS!$C$10</f>
        <v>1.360360459</v>
      </c>
      <c r="R20" s="147">
        <f t="shared" si="1"/>
        <v>11.02175154</v>
      </c>
    </row>
    <row r="21">
      <c r="A21" s="29">
        <v>20.0</v>
      </c>
      <c r="B21" s="29" t="s">
        <v>66</v>
      </c>
      <c r="C21" s="33">
        <f>R21/Weights_by_Category[[#TOTALS],[BEST]]</f>
        <v>27.36863203</v>
      </c>
      <c r="D21" s="33">
        <f>NORMALIZED_DATA!B6*TIER_WEIGHTS!$C$2</f>
        <v>0.7142857143</v>
      </c>
      <c r="E21" s="33">
        <f>NORMALIZED_DATA!C6*TIER_WEIGHTS!$C$8</f>
        <v>0.1944444444</v>
      </c>
      <c r="F21" s="33">
        <f>NORMALIZED_DATA!D6*TIER_WEIGHTS!$C$7</f>
        <v>0.72</v>
      </c>
      <c r="G21" s="33">
        <f>NORMALIZED_DATA!F6*TIER_WEIGHTS!$C$3</f>
        <v>0.4126637555</v>
      </c>
      <c r="H21" s="33">
        <f>NORMALIZED_DATA!G6*TIER_WEIGHTS!$C$9</f>
        <v>0.8823529412</v>
      </c>
      <c r="I21" s="33">
        <f>NORMALIZED_DATA!H6*TIER_WEIGHTS!$C$14</f>
        <v>0.08333333333</v>
      </c>
      <c r="J21" s="33">
        <f>NORMALIZED_DATA!J6*TIER_WEIGHTS!$C$4</f>
        <v>0</v>
      </c>
      <c r="K21" s="33">
        <f>NORMALIZED_DATA!O6*TIER_WEIGHTS!$C$5</f>
        <v>0</v>
      </c>
      <c r="L21" s="33">
        <f>NORMALIZED_DATA!U6*TIER_WEIGHTS!$C$12</f>
        <v>1.557692308</v>
      </c>
      <c r="M21" s="33">
        <f>NORMALIZED_DATA!V6*TIER_WEIGHTS!$C$15</f>
        <v>0.2034025788</v>
      </c>
      <c r="N21" s="33">
        <f>NORMALIZED_DATA!W6*TIER_WEIGHTS!$C$13</f>
        <v>1.27173913</v>
      </c>
      <c r="O21" s="33">
        <f>NORMALIZED_DATA!Y6*TIER_WEIGHTS!$C$6</f>
        <v>1.714285714</v>
      </c>
      <c r="P21" s="33">
        <f>NORMALIZED_DATA!Z6*TIER_WEIGHTS!$C$11</f>
        <v>1.5</v>
      </c>
      <c r="Q21" s="33">
        <f>NORMALIZED_DATA!AA6*TIER_WEIGHTS!$C$10</f>
        <v>1.665884262</v>
      </c>
      <c r="R21" s="147">
        <f t="shared" si="1"/>
        <v>10.92008418</v>
      </c>
    </row>
    <row r="22">
      <c r="A22" s="29">
        <v>21.0</v>
      </c>
      <c r="B22" s="29" t="s">
        <v>72</v>
      </c>
      <c r="C22" s="33">
        <f>R22/Weights_by_Category[[#TOTALS],[BEST]]</f>
        <v>26.89780421</v>
      </c>
      <c r="D22" s="33">
        <f>NORMALIZED_DATA!B24*TIER_WEIGHTS!$C$2</f>
        <v>0</v>
      </c>
      <c r="E22" s="33">
        <f>NORMALIZED_DATA!C24*TIER_WEIGHTS!$C$8</f>
        <v>0.04166666667</v>
      </c>
      <c r="F22" s="33">
        <f>NORMALIZED_DATA!D24*TIER_WEIGHTS!$C$7</f>
        <v>0</v>
      </c>
      <c r="G22" s="33">
        <f>NORMALIZED_DATA!F24*TIER_WEIGHTS!$C$3</f>
        <v>0.2358078603</v>
      </c>
      <c r="H22" s="33">
        <f>NORMALIZED_DATA!G24*TIER_WEIGHTS!$C$9</f>
        <v>0.1764705882</v>
      </c>
      <c r="I22" s="33">
        <f>NORMALIZED_DATA!H24*TIER_WEIGHTS!$C$14</f>
        <v>0.5</v>
      </c>
      <c r="J22" s="33">
        <f>NORMALIZED_DATA!J24*TIER_WEIGHTS!$C$4</f>
        <v>2.092791128</v>
      </c>
      <c r="K22" s="33">
        <f>NORMALIZED_DATA!O24*TIER_WEIGHTS!$C$5</f>
        <v>1.434782609</v>
      </c>
      <c r="L22" s="33">
        <f>NORMALIZED_DATA!U24*TIER_WEIGHTS!$C$12</f>
        <v>0.6923076923</v>
      </c>
      <c r="M22" s="33">
        <f>NORMALIZED_DATA!V24*TIER_WEIGHTS!$C$15</f>
        <v>0.2575573066</v>
      </c>
      <c r="N22" s="33">
        <f>NORMALIZED_DATA!W24*TIER_WEIGHTS!$C$13</f>
        <v>1.304347826</v>
      </c>
      <c r="O22" s="33">
        <f>NORMALIZED_DATA!Y24*TIER_WEIGHTS!$C$6</f>
        <v>1.821428571</v>
      </c>
      <c r="P22" s="33">
        <f>NORMALIZED_DATA!Z24*TIER_WEIGHTS!$C$11</f>
        <v>1</v>
      </c>
      <c r="Q22" s="33">
        <f>NORMALIZED_DATA!AA24*TIER_WEIGHTS!$C$10</f>
        <v>1.175063631</v>
      </c>
      <c r="R22" s="147">
        <f t="shared" si="1"/>
        <v>10.73222388</v>
      </c>
    </row>
    <row r="23">
      <c r="A23" s="29">
        <v>22.0</v>
      </c>
      <c r="B23" s="29" t="s">
        <v>71</v>
      </c>
      <c r="C23" s="33">
        <f>R23/Weights_by_Category[[#TOTALS],[BEST]]</f>
        <v>26.84641144</v>
      </c>
      <c r="D23" s="33">
        <f>NORMALIZED_DATA!B19*TIER_WEIGHTS!$C$2</f>
        <v>0.2857142857</v>
      </c>
      <c r="E23" s="33">
        <f>NORMALIZED_DATA!C19*TIER_WEIGHTS!$C$8</f>
        <v>0.3472222222</v>
      </c>
      <c r="F23" s="33">
        <f>NORMALIZED_DATA!D19*TIER_WEIGHTS!$C$7</f>
        <v>0</v>
      </c>
      <c r="G23" s="33">
        <f>NORMALIZED_DATA!F19*TIER_WEIGHTS!$C$3</f>
        <v>0</v>
      </c>
      <c r="H23" s="33">
        <f>NORMALIZED_DATA!G19*TIER_WEIGHTS!$C$9</f>
        <v>0</v>
      </c>
      <c r="I23" s="33">
        <f>NORMALIZED_DATA!H19*TIER_WEIGHTS!$C$14</f>
        <v>0.25</v>
      </c>
      <c r="J23" s="33">
        <f>NORMALIZED_DATA!J19*TIER_WEIGHTS!$C$4</f>
        <v>2.474306839</v>
      </c>
      <c r="K23" s="33">
        <f>NORMALIZED_DATA!O19*TIER_WEIGHTS!$C$5</f>
        <v>2.086956522</v>
      </c>
      <c r="L23" s="33">
        <f>NORMALIZED_DATA!U19*TIER_WEIGHTS!$C$12</f>
        <v>1.211538462</v>
      </c>
      <c r="M23" s="33">
        <f>NORMALIZED_DATA!V19*TIER_WEIGHTS!$C$15</f>
        <v>0.1660100287</v>
      </c>
      <c r="N23" s="33">
        <f>NORMALIZED_DATA!W19*TIER_WEIGHTS!$C$13</f>
        <v>1.217391304</v>
      </c>
      <c r="O23" s="33">
        <f>NORMALIZED_DATA!Y19*TIER_WEIGHTS!$C$6</f>
        <v>0.6428571429</v>
      </c>
      <c r="P23" s="33">
        <f>NORMALIZED_DATA!Z19*TIER_WEIGHTS!$C$11</f>
        <v>1</v>
      </c>
      <c r="Q23" s="33">
        <f>NORMALIZED_DATA!AA19*TIER_WEIGHTS!$C$10</f>
        <v>1.029721359</v>
      </c>
      <c r="R23" s="147">
        <f t="shared" si="1"/>
        <v>10.71171817</v>
      </c>
    </row>
    <row r="24">
      <c r="A24" s="29">
        <v>23.0</v>
      </c>
      <c r="B24" s="29" t="s">
        <v>73</v>
      </c>
      <c r="C24" s="33">
        <f>R24/Weights_by_Category[[#TOTALS],[BEST]]</f>
        <v>25.85674424</v>
      </c>
      <c r="D24" s="33">
        <f>NORMALIZED_DATA!B25*TIER_WEIGHTS!$C$2</f>
        <v>0</v>
      </c>
      <c r="E24" s="33">
        <f>NORMALIZED_DATA!C25*TIER_WEIGHTS!$C$8</f>
        <v>0.3472222222</v>
      </c>
      <c r="F24" s="33">
        <f>NORMALIZED_DATA!D25*TIER_WEIGHTS!$C$7</f>
        <v>0</v>
      </c>
      <c r="G24" s="33">
        <f>NORMALIZED_DATA!F25*TIER_WEIGHTS!$C$3</f>
        <v>0.2751091703</v>
      </c>
      <c r="H24" s="33">
        <f>NORMALIZED_DATA!G25*TIER_WEIGHTS!$C$9</f>
        <v>0.5294117647</v>
      </c>
      <c r="I24" s="33">
        <f>NORMALIZED_DATA!H25*TIER_WEIGHTS!$C$14</f>
        <v>0.1666666667</v>
      </c>
      <c r="J24" s="33">
        <f>NORMALIZED_DATA!J25*TIER_WEIGHTS!$C$4</f>
        <v>1.801109057</v>
      </c>
      <c r="K24" s="33">
        <f>NORMALIZED_DATA!O25*TIER_WEIGHTS!$C$5</f>
        <v>1.565217391</v>
      </c>
      <c r="L24" s="33">
        <f>NORMALIZED_DATA!U25*TIER_WEIGHTS!$C$12</f>
        <v>1.211538462</v>
      </c>
      <c r="M24" s="33">
        <f>NORMALIZED_DATA!V25*TIER_WEIGHTS!$C$15</f>
        <v>0.1998567335</v>
      </c>
      <c r="N24" s="33">
        <f>NORMALIZED_DATA!W25*TIER_WEIGHTS!$C$13</f>
        <v>0.9565217391</v>
      </c>
      <c r="O24" s="33">
        <f>NORMALIZED_DATA!Y25*TIER_WEIGHTS!$C$6</f>
        <v>1.339285714</v>
      </c>
      <c r="P24" s="33">
        <f>NORMALIZED_DATA!Z25*TIER_WEIGHTS!$C$11</f>
        <v>1</v>
      </c>
      <c r="Q24" s="33">
        <f>NORMALIZED_DATA!AA25*TIER_WEIGHTS!$C$10</f>
        <v>0.9249020325</v>
      </c>
      <c r="R24" s="147">
        <f t="shared" si="1"/>
        <v>10.31684095</v>
      </c>
    </row>
    <row r="25">
      <c r="A25" s="29">
        <v>24.0</v>
      </c>
      <c r="B25" s="29" t="s">
        <v>75</v>
      </c>
      <c r="C25" s="33">
        <f>R25/Weights_by_Category[[#TOTALS],[BEST]]</f>
        <v>23.47047476</v>
      </c>
      <c r="D25" s="33">
        <f>NORMALIZED_DATA!B18*TIER_WEIGHTS!$C$2</f>
        <v>0</v>
      </c>
      <c r="E25" s="33">
        <f>NORMALIZED_DATA!C18*TIER_WEIGHTS!$C$8</f>
        <v>0</v>
      </c>
      <c r="F25" s="33">
        <f>NORMALIZED_DATA!D18*TIER_WEIGHTS!$C$7</f>
        <v>0</v>
      </c>
      <c r="G25" s="33">
        <f>NORMALIZED_DATA!F18*TIER_WEIGHTS!$C$3</f>
        <v>1.346069869</v>
      </c>
      <c r="H25" s="33">
        <f>NORMALIZED_DATA!G18*TIER_WEIGHTS!$C$9</f>
        <v>1.058823529</v>
      </c>
      <c r="I25" s="33">
        <f>NORMALIZED_DATA!H18*TIER_WEIGHTS!$C$14</f>
        <v>0.3333333333</v>
      </c>
      <c r="J25" s="33">
        <f>NORMALIZED_DATA!J18*TIER_WEIGHTS!$C$4</f>
        <v>0.6787430684</v>
      </c>
      <c r="K25" s="33">
        <f>NORMALIZED_DATA!O18*TIER_WEIGHTS!$C$5</f>
        <v>0.9130434783</v>
      </c>
      <c r="L25" s="33">
        <f>NORMALIZED_DATA!U18*TIER_WEIGHTS!$C$12</f>
        <v>1.384615385</v>
      </c>
      <c r="M25" s="33">
        <f>NORMALIZED_DATA!V18*TIER_WEIGHTS!$C$15</f>
        <v>0.1850286533</v>
      </c>
      <c r="N25" s="33">
        <f>NORMALIZED_DATA!W18*TIER_WEIGHTS!$C$13</f>
        <v>0.3043478261</v>
      </c>
      <c r="O25" s="33">
        <f>NORMALIZED_DATA!Y18*TIER_WEIGHTS!$C$6</f>
        <v>0.1607142857</v>
      </c>
      <c r="P25" s="33">
        <f>NORMALIZED_DATA!Z18*TIER_WEIGHTS!$C$11</f>
        <v>3</v>
      </c>
      <c r="Q25" s="33">
        <f>NORMALIZED_DATA!AA18*TIER_WEIGHTS!$C$10</f>
        <v>0</v>
      </c>
      <c r="R25" s="147">
        <f t="shared" si="1"/>
        <v>9.364719428</v>
      </c>
    </row>
    <row r="26">
      <c r="A26" s="29">
        <v>25.0</v>
      </c>
      <c r="B26" s="29" t="s">
        <v>74</v>
      </c>
      <c r="C26" s="33">
        <f>R26/Weights_by_Category[[#TOTALS],[BEST]]</f>
        <v>18.40069277</v>
      </c>
      <c r="D26" s="33">
        <f>NORMALIZED_DATA!B26*TIER_WEIGHTS!$C$2</f>
        <v>0.1428571429</v>
      </c>
      <c r="E26" s="33">
        <f>NORMALIZED_DATA!C26*TIER_WEIGHTS!$C$8</f>
        <v>0.1944444444</v>
      </c>
      <c r="F26" s="33">
        <f>NORMALIZED_DATA!D26*TIER_WEIGHTS!$C$7</f>
        <v>0</v>
      </c>
      <c r="G26" s="33">
        <f>NORMALIZED_DATA!F26*TIER_WEIGHTS!$C$3</f>
        <v>0.6484716157</v>
      </c>
      <c r="H26" s="33">
        <f>NORMALIZED_DATA!G26*TIER_WEIGHTS!$C$9</f>
        <v>0.5294117647</v>
      </c>
      <c r="I26" s="33">
        <f>NORMALIZED_DATA!H26*TIER_WEIGHTS!$C$14</f>
        <v>0.08333333333</v>
      </c>
      <c r="J26" s="33">
        <f>NORMALIZED_DATA!J26*TIER_WEIGHTS!$C$4</f>
        <v>0.4846580407</v>
      </c>
      <c r="K26" s="33">
        <f>NORMALIZED_DATA!O26*TIER_WEIGHTS!$C$5</f>
        <v>0.652173913</v>
      </c>
      <c r="L26" s="33">
        <f>NORMALIZED_DATA!U26*TIER_WEIGHTS!$C$12</f>
        <v>0</v>
      </c>
      <c r="M26" s="33">
        <f>NORMALIZED_DATA!V26*TIER_WEIGHTS!$C$15</f>
        <v>0.004835243553</v>
      </c>
      <c r="N26" s="33">
        <f>NORMALIZED_DATA!W26*TIER_WEIGHTS!$C$13</f>
        <v>0</v>
      </c>
      <c r="O26" s="33">
        <f>NORMALIZED_DATA!Y26*TIER_WEIGHTS!$C$6</f>
        <v>2.035714286</v>
      </c>
      <c r="P26" s="33">
        <f>NORMALIZED_DATA!Z26*TIER_WEIGHTS!$C$11</f>
        <v>1</v>
      </c>
      <c r="Q26" s="33">
        <f>NORMALIZED_DATA!AA26*TIER_WEIGHTS!$C$10</f>
        <v>1.56597663</v>
      </c>
      <c r="R26" s="147">
        <f t="shared" si="1"/>
        <v>7.341876414</v>
      </c>
    </row>
    <row r="27">
      <c r="A27" s="29"/>
      <c r="B27" s="29"/>
      <c r="C27" s="33"/>
      <c r="D27" s="33"/>
      <c r="E27" s="33"/>
      <c r="F27" s="33"/>
      <c r="G27" s="33"/>
      <c r="H27" s="33"/>
      <c r="I27" s="33"/>
      <c r="J27" s="33"/>
      <c r="K27" s="33"/>
      <c r="L27" s="33"/>
      <c r="M27" s="33"/>
      <c r="N27" s="33"/>
      <c r="O27" s="33"/>
      <c r="P27" s="33"/>
      <c r="Q27" s="33"/>
      <c r="R27" s="33"/>
    </row>
    <row r="28">
      <c r="A28" s="33"/>
      <c r="B28" s="33"/>
      <c r="C28" s="33"/>
      <c r="D28" s="33"/>
      <c r="E28" s="33"/>
      <c r="F28" s="33"/>
      <c r="G28" s="33"/>
      <c r="H28" s="33"/>
      <c r="I28" s="33"/>
      <c r="J28" s="33"/>
      <c r="K28" s="33"/>
      <c r="L28" s="33"/>
      <c r="M28" s="33"/>
      <c r="N28" s="33"/>
      <c r="O28" s="33"/>
      <c r="P28" s="33"/>
      <c r="Q28" s="33"/>
      <c r="R28" s="33"/>
    </row>
    <row r="29">
      <c r="A29" s="33"/>
      <c r="B29" s="33"/>
      <c r="C29" s="33"/>
      <c r="D29" s="33"/>
      <c r="E29" s="33"/>
      <c r="F29" s="33"/>
      <c r="G29" s="33"/>
      <c r="H29" s="33"/>
      <c r="I29" s="33"/>
      <c r="J29" s="33"/>
      <c r="K29" s="33"/>
      <c r="L29" s="33"/>
      <c r="M29" s="33"/>
      <c r="N29" s="33"/>
      <c r="O29" s="33"/>
      <c r="P29" s="33"/>
      <c r="Q29" s="33"/>
      <c r="R29" s="33"/>
    </row>
    <row r="30">
      <c r="A30" s="33"/>
      <c r="B30" s="33"/>
      <c r="C30" s="33"/>
      <c r="D30" s="33"/>
      <c r="E30" s="33"/>
      <c r="F30" s="33"/>
      <c r="G30" s="33"/>
      <c r="H30" s="33"/>
      <c r="I30" s="33"/>
      <c r="J30" s="33"/>
      <c r="K30" s="33"/>
      <c r="L30" s="33"/>
      <c r="M30" s="33"/>
      <c r="N30" s="33"/>
      <c r="O30" s="33"/>
      <c r="P30" s="33"/>
      <c r="Q30" s="33"/>
      <c r="R30" s="33"/>
    </row>
    <row r="31">
      <c r="A31" s="33"/>
      <c r="B31" s="33"/>
      <c r="C31" s="33"/>
      <c r="D31" s="33"/>
      <c r="E31" s="33"/>
      <c r="F31" s="33"/>
      <c r="G31" s="33"/>
      <c r="H31" s="33"/>
      <c r="I31" s="33"/>
      <c r="J31" s="33"/>
      <c r="K31" s="33"/>
      <c r="L31" s="33"/>
      <c r="M31" s="33"/>
      <c r="N31" s="33"/>
      <c r="O31" s="33"/>
      <c r="P31" s="33"/>
      <c r="Q31" s="33"/>
      <c r="R31" s="33"/>
    </row>
    <row r="32">
      <c r="A32" s="33"/>
      <c r="B32" s="33"/>
      <c r="C32" s="33"/>
      <c r="D32" s="33"/>
      <c r="E32" s="33"/>
      <c r="F32" s="33"/>
      <c r="G32" s="33"/>
      <c r="H32" s="33"/>
      <c r="I32" s="33"/>
      <c r="J32" s="33"/>
      <c r="K32" s="33"/>
      <c r="L32" s="33"/>
      <c r="M32" s="33"/>
      <c r="N32" s="33"/>
      <c r="O32" s="33"/>
      <c r="P32" s="33"/>
      <c r="Q32" s="33"/>
      <c r="R32" s="33"/>
    </row>
    <row r="33">
      <c r="A33" s="33"/>
      <c r="B33" s="33"/>
      <c r="C33" s="33"/>
      <c r="D33" s="33"/>
      <c r="E33" s="33"/>
      <c r="F33" s="33"/>
      <c r="G33" s="33"/>
      <c r="H33" s="33"/>
      <c r="I33" s="33"/>
      <c r="J33" s="33"/>
      <c r="K33" s="33"/>
      <c r="L33" s="33"/>
      <c r="M33" s="33"/>
      <c r="N33" s="33"/>
      <c r="O33" s="33"/>
      <c r="P33" s="33"/>
      <c r="Q33" s="33"/>
      <c r="R33" s="33"/>
    </row>
    <row r="34">
      <c r="A34" s="33"/>
      <c r="B34" s="33"/>
      <c r="C34" s="33"/>
      <c r="D34" s="33"/>
      <c r="E34" s="33"/>
      <c r="F34" s="33"/>
      <c r="G34" s="33"/>
      <c r="H34" s="33"/>
      <c r="I34" s="33"/>
      <c r="J34" s="33"/>
      <c r="K34" s="33"/>
      <c r="L34" s="33"/>
      <c r="M34" s="33"/>
      <c r="N34" s="33"/>
      <c r="O34" s="33"/>
      <c r="P34" s="33"/>
      <c r="Q34" s="33"/>
      <c r="R34" s="33"/>
    </row>
    <row r="35">
      <c r="A35" s="33"/>
      <c r="B35" s="33"/>
      <c r="C35" s="33"/>
      <c r="D35" s="33"/>
      <c r="E35" s="33"/>
      <c r="F35" s="33"/>
      <c r="G35" s="33"/>
      <c r="H35" s="33"/>
      <c r="I35" s="33"/>
      <c r="J35" s="33"/>
      <c r="K35" s="33"/>
      <c r="L35" s="33"/>
      <c r="M35" s="33"/>
      <c r="N35" s="33"/>
      <c r="O35" s="33"/>
      <c r="P35" s="33"/>
      <c r="Q35" s="33"/>
      <c r="R35" s="33"/>
    </row>
    <row r="36">
      <c r="A36" s="33"/>
      <c r="B36" s="33"/>
      <c r="C36" s="33"/>
      <c r="D36" s="33"/>
      <c r="E36" s="33"/>
      <c r="F36" s="33"/>
      <c r="G36" s="33"/>
      <c r="H36" s="33"/>
      <c r="I36" s="33"/>
      <c r="J36" s="33"/>
      <c r="K36" s="33"/>
      <c r="L36" s="33"/>
      <c r="M36" s="33"/>
      <c r="N36" s="33"/>
      <c r="O36" s="33"/>
      <c r="P36" s="33"/>
      <c r="Q36" s="33"/>
      <c r="R36" s="33"/>
    </row>
    <row r="37">
      <c r="A37" s="33"/>
      <c r="B37" s="33"/>
      <c r="C37" s="33"/>
      <c r="D37" s="33"/>
      <c r="E37" s="33"/>
      <c r="F37" s="33"/>
      <c r="G37" s="33"/>
      <c r="H37" s="33"/>
      <c r="I37" s="33"/>
      <c r="J37" s="33"/>
      <c r="K37" s="33"/>
      <c r="L37" s="33"/>
      <c r="M37" s="33"/>
      <c r="N37" s="33"/>
      <c r="O37" s="33"/>
      <c r="P37" s="33"/>
      <c r="Q37" s="33"/>
      <c r="R37" s="33"/>
    </row>
    <row r="38">
      <c r="A38" s="33"/>
      <c r="B38" s="33"/>
      <c r="C38" s="33"/>
      <c r="D38" s="33"/>
      <c r="E38" s="33"/>
      <c r="F38" s="33"/>
      <c r="G38" s="33"/>
      <c r="H38" s="33"/>
      <c r="I38" s="33"/>
      <c r="J38" s="33"/>
      <c r="K38" s="33"/>
      <c r="L38" s="33"/>
      <c r="M38" s="33"/>
      <c r="N38" s="33"/>
      <c r="O38" s="33"/>
      <c r="P38" s="33"/>
      <c r="Q38" s="33"/>
      <c r="R38" s="33"/>
    </row>
    <row r="39">
      <c r="A39" s="33"/>
      <c r="B39" s="33"/>
      <c r="C39" s="33"/>
      <c r="D39" s="33"/>
      <c r="E39" s="33"/>
      <c r="F39" s="33"/>
      <c r="G39" s="33"/>
      <c r="H39" s="33"/>
      <c r="I39" s="33"/>
      <c r="J39" s="33"/>
      <c r="K39" s="33"/>
      <c r="L39" s="33"/>
      <c r="M39" s="33"/>
      <c r="N39" s="33"/>
      <c r="O39" s="33"/>
      <c r="P39" s="33"/>
      <c r="Q39" s="33"/>
      <c r="R39" s="33"/>
    </row>
    <row r="40">
      <c r="A40" s="33"/>
      <c r="B40" s="33"/>
      <c r="C40" s="33"/>
      <c r="D40" s="33"/>
      <c r="E40" s="33"/>
      <c r="F40" s="33"/>
      <c r="G40" s="33"/>
      <c r="H40" s="33"/>
      <c r="I40" s="33"/>
      <c r="J40" s="33"/>
      <c r="K40" s="33"/>
      <c r="L40" s="33"/>
      <c r="M40" s="33"/>
      <c r="N40" s="33"/>
      <c r="O40" s="33"/>
      <c r="P40" s="33"/>
      <c r="Q40" s="33"/>
      <c r="R40" s="33"/>
    </row>
    <row r="41">
      <c r="A41" s="33"/>
      <c r="B41" s="33"/>
      <c r="C41" s="33"/>
      <c r="D41" s="33"/>
      <c r="E41" s="33"/>
      <c r="F41" s="33"/>
      <c r="G41" s="33"/>
      <c r="H41" s="33"/>
      <c r="I41" s="33"/>
      <c r="J41" s="33"/>
      <c r="K41" s="33"/>
      <c r="L41" s="33"/>
      <c r="M41" s="33"/>
      <c r="N41" s="33"/>
      <c r="O41" s="33"/>
      <c r="P41" s="33"/>
      <c r="Q41" s="33"/>
      <c r="R41" s="33"/>
    </row>
    <row r="42">
      <c r="A42" s="33"/>
      <c r="B42" s="33"/>
      <c r="C42" s="33"/>
      <c r="D42" s="33"/>
      <c r="E42" s="33"/>
      <c r="F42" s="33"/>
      <c r="G42" s="33"/>
      <c r="H42" s="33"/>
      <c r="I42" s="33"/>
      <c r="J42" s="33"/>
      <c r="K42" s="33"/>
      <c r="L42" s="33"/>
      <c r="M42" s="33"/>
      <c r="N42" s="33"/>
      <c r="O42" s="33"/>
      <c r="P42" s="33"/>
      <c r="Q42" s="33"/>
      <c r="R42" s="33"/>
    </row>
    <row r="43">
      <c r="A43" s="33"/>
      <c r="B43" s="33"/>
      <c r="C43" s="33"/>
      <c r="D43" s="33"/>
      <c r="E43" s="33"/>
      <c r="F43" s="33"/>
      <c r="G43" s="33"/>
      <c r="H43" s="33"/>
      <c r="I43" s="33"/>
      <c r="J43" s="33"/>
      <c r="K43" s="33"/>
      <c r="L43" s="33"/>
      <c r="M43" s="33"/>
      <c r="N43" s="33"/>
      <c r="O43" s="33"/>
      <c r="P43" s="33"/>
      <c r="Q43" s="33"/>
      <c r="R43" s="33"/>
    </row>
    <row r="44">
      <c r="A44" s="33"/>
      <c r="B44" s="33"/>
      <c r="C44" s="33"/>
      <c r="D44" s="33"/>
      <c r="E44" s="33"/>
      <c r="F44" s="33"/>
      <c r="G44" s="33"/>
      <c r="H44" s="33"/>
      <c r="I44" s="33"/>
      <c r="J44" s="33"/>
      <c r="K44" s="33"/>
      <c r="L44" s="33"/>
      <c r="M44" s="33"/>
      <c r="N44" s="33"/>
      <c r="O44" s="33"/>
      <c r="P44" s="33"/>
      <c r="Q44" s="33"/>
      <c r="R44" s="33"/>
    </row>
    <row r="45">
      <c r="A45" s="33"/>
      <c r="B45" s="33"/>
      <c r="C45" s="33"/>
      <c r="D45" s="33"/>
      <c r="E45" s="33"/>
      <c r="F45" s="33"/>
      <c r="G45" s="33"/>
      <c r="H45" s="33"/>
      <c r="I45" s="33"/>
      <c r="J45" s="33"/>
      <c r="K45" s="33"/>
      <c r="L45" s="33"/>
      <c r="M45" s="33"/>
      <c r="N45" s="33"/>
      <c r="O45" s="33"/>
      <c r="P45" s="33"/>
      <c r="Q45" s="33"/>
      <c r="R45" s="33"/>
    </row>
    <row r="46">
      <c r="A46" s="33"/>
      <c r="B46" s="33"/>
      <c r="C46" s="33"/>
      <c r="D46" s="33"/>
      <c r="E46" s="33"/>
      <c r="F46" s="33"/>
      <c r="G46" s="33"/>
      <c r="H46" s="33"/>
      <c r="I46" s="33"/>
      <c r="J46" s="33"/>
      <c r="K46" s="33"/>
      <c r="L46" s="33"/>
      <c r="M46" s="33"/>
      <c r="N46" s="33"/>
      <c r="O46" s="33"/>
      <c r="P46" s="33"/>
      <c r="Q46" s="33"/>
      <c r="R46" s="33"/>
    </row>
    <row r="47">
      <c r="A47" s="33"/>
      <c r="B47" s="33"/>
      <c r="C47" s="33"/>
      <c r="D47" s="33"/>
      <c r="E47" s="33"/>
      <c r="F47" s="33"/>
      <c r="G47" s="33"/>
      <c r="H47" s="33"/>
      <c r="I47" s="33"/>
      <c r="J47" s="33"/>
      <c r="K47" s="33"/>
      <c r="L47" s="33"/>
      <c r="M47" s="33"/>
      <c r="N47" s="33"/>
      <c r="O47" s="33"/>
      <c r="P47" s="33"/>
      <c r="Q47" s="33"/>
      <c r="R47" s="33"/>
    </row>
    <row r="48">
      <c r="A48" s="33"/>
      <c r="B48" s="33"/>
      <c r="C48" s="33"/>
      <c r="D48" s="33"/>
      <c r="E48" s="33"/>
      <c r="F48" s="33"/>
      <c r="G48" s="33"/>
      <c r="H48" s="33"/>
      <c r="I48" s="33"/>
      <c r="J48" s="33"/>
      <c r="K48" s="33"/>
      <c r="L48" s="33"/>
      <c r="M48" s="33"/>
      <c r="N48" s="33"/>
      <c r="O48" s="33"/>
      <c r="P48" s="33"/>
      <c r="Q48" s="33"/>
      <c r="R48" s="33"/>
    </row>
    <row r="49">
      <c r="A49" s="33"/>
      <c r="B49" s="33"/>
      <c r="C49" s="33"/>
      <c r="D49" s="33"/>
      <c r="E49" s="33"/>
      <c r="F49" s="33"/>
      <c r="G49" s="33"/>
      <c r="H49" s="33"/>
      <c r="I49" s="33"/>
      <c r="J49" s="33"/>
      <c r="K49" s="33"/>
      <c r="L49" s="33"/>
      <c r="M49" s="33"/>
      <c r="N49" s="33"/>
      <c r="O49" s="33"/>
      <c r="P49" s="33"/>
      <c r="Q49" s="33"/>
      <c r="R49" s="33"/>
    </row>
    <row r="50">
      <c r="A50" s="33"/>
      <c r="B50" s="33"/>
      <c r="C50" s="33"/>
      <c r="D50" s="33"/>
      <c r="E50" s="33"/>
      <c r="F50" s="33"/>
      <c r="G50" s="33"/>
      <c r="H50" s="33"/>
      <c r="I50" s="33"/>
      <c r="J50" s="33"/>
      <c r="K50" s="33"/>
      <c r="L50" s="33"/>
      <c r="M50" s="33"/>
      <c r="N50" s="33"/>
      <c r="O50" s="33"/>
      <c r="P50" s="33"/>
      <c r="Q50" s="33"/>
      <c r="R50" s="33"/>
    </row>
    <row r="51">
      <c r="A51" s="33"/>
      <c r="B51" s="33"/>
      <c r="C51" s="33"/>
      <c r="D51" s="33"/>
      <c r="E51" s="33"/>
      <c r="F51" s="33"/>
      <c r="G51" s="33"/>
      <c r="H51" s="33"/>
      <c r="I51" s="33"/>
      <c r="J51" s="33"/>
      <c r="K51" s="33"/>
      <c r="L51" s="33"/>
      <c r="M51" s="33"/>
      <c r="N51" s="33"/>
      <c r="O51" s="33"/>
      <c r="P51" s="33"/>
      <c r="Q51" s="33"/>
      <c r="R51" s="33"/>
    </row>
    <row r="52">
      <c r="A52" s="33"/>
      <c r="B52" s="33"/>
      <c r="C52" s="33"/>
      <c r="D52" s="33"/>
      <c r="E52" s="33"/>
      <c r="F52" s="33"/>
      <c r="G52" s="33"/>
      <c r="H52" s="33"/>
      <c r="I52" s="33"/>
      <c r="J52" s="33"/>
      <c r="K52" s="33"/>
      <c r="L52" s="33"/>
      <c r="M52" s="33"/>
      <c r="N52" s="33"/>
      <c r="O52" s="33"/>
      <c r="P52" s="33"/>
      <c r="Q52" s="33"/>
      <c r="R52" s="33"/>
    </row>
    <row r="53">
      <c r="A53" s="33"/>
      <c r="B53" s="33"/>
      <c r="C53" s="33"/>
      <c r="D53" s="33"/>
      <c r="E53" s="33"/>
      <c r="F53" s="33"/>
      <c r="G53" s="33"/>
      <c r="H53" s="33"/>
      <c r="I53" s="33"/>
      <c r="J53" s="33"/>
      <c r="K53" s="33"/>
      <c r="L53" s="33"/>
      <c r="M53" s="33"/>
      <c r="N53" s="33"/>
      <c r="O53" s="33"/>
      <c r="P53" s="33"/>
      <c r="Q53" s="33"/>
      <c r="R53" s="33"/>
    </row>
    <row r="54">
      <c r="A54" s="33"/>
      <c r="B54" s="33"/>
      <c r="C54" s="33"/>
      <c r="D54" s="33"/>
      <c r="E54" s="33"/>
      <c r="F54" s="33"/>
      <c r="G54" s="33"/>
      <c r="H54" s="33"/>
      <c r="I54" s="33"/>
      <c r="J54" s="33"/>
      <c r="K54" s="33"/>
      <c r="L54" s="33"/>
      <c r="M54" s="33"/>
      <c r="N54" s="33"/>
      <c r="O54" s="33"/>
      <c r="P54" s="33"/>
      <c r="Q54" s="33"/>
      <c r="R54" s="33"/>
    </row>
    <row r="55">
      <c r="A55" s="33"/>
      <c r="B55" s="33"/>
      <c r="C55" s="33"/>
      <c r="D55" s="33"/>
      <c r="E55" s="33"/>
      <c r="F55" s="33"/>
      <c r="G55" s="33"/>
      <c r="H55" s="33"/>
      <c r="I55" s="33"/>
      <c r="J55" s="33"/>
      <c r="K55" s="33"/>
      <c r="L55" s="33"/>
      <c r="M55" s="33"/>
      <c r="N55" s="33"/>
      <c r="O55" s="33"/>
      <c r="P55" s="33"/>
      <c r="Q55" s="33"/>
      <c r="R55" s="33"/>
    </row>
    <row r="56">
      <c r="A56" s="33"/>
      <c r="B56" s="33"/>
      <c r="C56" s="33"/>
      <c r="D56" s="33"/>
      <c r="E56" s="33"/>
      <c r="F56" s="33"/>
      <c r="G56" s="33"/>
      <c r="H56" s="33"/>
      <c r="I56" s="33"/>
      <c r="J56" s="33"/>
      <c r="K56" s="33"/>
      <c r="L56" s="33"/>
      <c r="M56" s="33"/>
      <c r="N56" s="33"/>
      <c r="O56" s="33"/>
      <c r="P56" s="33"/>
      <c r="Q56" s="33"/>
      <c r="R56" s="33"/>
    </row>
    <row r="57">
      <c r="A57" s="33"/>
      <c r="B57" s="33"/>
      <c r="C57" s="33"/>
      <c r="D57" s="33"/>
      <c r="E57" s="33"/>
      <c r="F57" s="33"/>
      <c r="G57" s="33"/>
      <c r="H57" s="33"/>
      <c r="I57" s="33"/>
      <c r="J57" s="33"/>
      <c r="K57" s="33"/>
      <c r="L57" s="33"/>
      <c r="M57" s="33"/>
      <c r="N57" s="33"/>
      <c r="O57" s="33"/>
      <c r="P57" s="33"/>
      <c r="Q57" s="33"/>
      <c r="R57" s="33"/>
    </row>
    <row r="58">
      <c r="A58" s="33"/>
      <c r="B58" s="33"/>
      <c r="C58" s="33"/>
      <c r="D58" s="33"/>
      <c r="E58" s="33"/>
      <c r="F58" s="33"/>
      <c r="G58" s="33"/>
      <c r="H58" s="33"/>
      <c r="I58" s="33"/>
      <c r="J58" s="33"/>
      <c r="K58" s="33"/>
      <c r="L58" s="33"/>
      <c r="M58" s="33"/>
      <c r="N58" s="33"/>
      <c r="O58" s="33"/>
      <c r="P58" s="33"/>
      <c r="Q58" s="33"/>
      <c r="R58" s="33"/>
    </row>
    <row r="59">
      <c r="A59" s="33"/>
      <c r="B59" s="33"/>
      <c r="C59" s="33"/>
      <c r="D59" s="33"/>
      <c r="E59" s="33"/>
      <c r="F59" s="33"/>
      <c r="G59" s="33"/>
      <c r="H59" s="33"/>
      <c r="I59" s="33"/>
      <c r="J59" s="33"/>
      <c r="K59" s="33"/>
      <c r="L59" s="33"/>
      <c r="M59" s="33"/>
      <c r="N59" s="33"/>
      <c r="O59" s="33"/>
      <c r="P59" s="33"/>
      <c r="Q59" s="33"/>
      <c r="R59" s="33"/>
    </row>
    <row r="60">
      <c r="A60" s="33"/>
      <c r="B60" s="33"/>
      <c r="C60" s="33"/>
      <c r="D60" s="33"/>
      <c r="E60" s="33"/>
      <c r="F60" s="33"/>
      <c r="G60" s="33"/>
      <c r="H60" s="33"/>
      <c r="I60" s="33"/>
      <c r="J60" s="33"/>
      <c r="K60" s="33"/>
      <c r="L60" s="33"/>
      <c r="M60" s="33"/>
      <c r="N60" s="33"/>
      <c r="O60" s="33"/>
      <c r="P60" s="33"/>
      <c r="Q60" s="33"/>
      <c r="R60" s="33"/>
    </row>
    <row r="61">
      <c r="A61" s="33"/>
      <c r="B61" s="33"/>
      <c r="C61" s="33"/>
      <c r="D61" s="33"/>
      <c r="E61" s="33"/>
      <c r="F61" s="33"/>
      <c r="G61" s="33"/>
      <c r="H61" s="33"/>
      <c r="I61" s="33"/>
      <c r="J61" s="33"/>
      <c r="K61" s="33"/>
      <c r="L61" s="33"/>
      <c r="M61" s="33"/>
      <c r="N61" s="33"/>
      <c r="O61" s="33"/>
      <c r="P61" s="33"/>
      <c r="Q61" s="33"/>
      <c r="R61" s="33"/>
    </row>
    <row r="62">
      <c r="A62" s="33"/>
      <c r="B62" s="33"/>
      <c r="C62" s="33"/>
      <c r="D62" s="33"/>
      <c r="E62" s="33"/>
      <c r="F62" s="33"/>
      <c r="G62" s="33"/>
      <c r="H62" s="33"/>
      <c r="I62" s="33"/>
      <c r="J62" s="33"/>
      <c r="K62" s="33"/>
      <c r="L62" s="33"/>
      <c r="M62" s="33"/>
      <c r="N62" s="33"/>
      <c r="O62" s="33"/>
      <c r="P62" s="33"/>
      <c r="Q62" s="33"/>
      <c r="R62" s="33"/>
    </row>
    <row r="63">
      <c r="A63" s="33"/>
      <c r="B63" s="33"/>
      <c r="C63" s="33"/>
      <c r="D63" s="33"/>
      <c r="E63" s="33"/>
      <c r="F63" s="33"/>
      <c r="G63" s="33"/>
      <c r="H63" s="33"/>
      <c r="I63" s="33"/>
      <c r="J63" s="33"/>
      <c r="K63" s="33"/>
      <c r="L63" s="33"/>
      <c r="M63" s="33"/>
      <c r="N63" s="33"/>
      <c r="O63" s="33"/>
      <c r="P63" s="33"/>
      <c r="Q63" s="33"/>
      <c r="R63" s="33"/>
    </row>
    <row r="64">
      <c r="A64" s="33"/>
      <c r="B64" s="33"/>
      <c r="C64" s="33"/>
      <c r="D64" s="33"/>
      <c r="E64" s="33"/>
      <c r="F64" s="33"/>
      <c r="G64" s="33"/>
      <c r="H64" s="33"/>
      <c r="I64" s="33"/>
      <c r="J64" s="33"/>
      <c r="K64" s="33"/>
      <c r="L64" s="33"/>
      <c r="M64" s="33"/>
      <c r="N64" s="33"/>
      <c r="O64" s="33"/>
      <c r="P64" s="33"/>
      <c r="Q64" s="33"/>
      <c r="R64" s="33"/>
    </row>
    <row r="65">
      <c r="A65" s="33"/>
      <c r="B65" s="33"/>
      <c r="C65" s="33"/>
      <c r="D65" s="33"/>
      <c r="E65" s="33"/>
      <c r="F65" s="33"/>
      <c r="G65" s="33"/>
      <c r="H65" s="33"/>
      <c r="I65" s="33"/>
      <c r="J65" s="33"/>
      <c r="K65" s="33"/>
      <c r="L65" s="33"/>
      <c r="M65" s="33"/>
      <c r="N65" s="33"/>
      <c r="O65" s="33"/>
      <c r="P65" s="33"/>
      <c r="Q65" s="33"/>
      <c r="R65" s="33"/>
    </row>
    <row r="66">
      <c r="A66" s="33"/>
      <c r="B66" s="33"/>
      <c r="C66" s="33"/>
      <c r="D66" s="33"/>
      <c r="E66" s="33"/>
      <c r="F66" s="33"/>
      <c r="G66" s="33"/>
      <c r="H66" s="33"/>
      <c r="I66" s="33"/>
      <c r="J66" s="33"/>
      <c r="K66" s="33"/>
      <c r="L66" s="33"/>
      <c r="M66" s="33"/>
      <c r="N66" s="33"/>
      <c r="O66" s="33"/>
      <c r="P66" s="33"/>
      <c r="Q66" s="33"/>
      <c r="R66" s="33"/>
    </row>
    <row r="67">
      <c r="A67" s="33"/>
      <c r="B67" s="33"/>
      <c r="C67" s="33"/>
      <c r="D67" s="33"/>
      <c r="E67" s="33"/>
      <c r="F67" s="33"/>
      <c r="G67" s="33"/>
      <c r="H67" s="33"/>
      <c r="I67" s="33"/>
      <c r="J67" s="33"/>
      <c r="K67" s="33"/>
      <c r="L67" s="33"/>
      <c r="M67" s="33"/>
      <c r="N67" s="33"/>
      <c r="O67" s="33"/>
      <c r="P67" s="33"/>
      <c r="Q67" s="33"/>
      <c r="R67" s="33"/>
    </row>
    <row r="68">
      <c r="A68" s="33"/>
      <c r="B68" s="33"/>
      <c r="C68" s="33"/>
      <c r="D68" s="33"/>
      <c r="E68" s="33"/>
      <c r="F68" s="33"/>
      <c r="G68" s="33"/>
      <c r="H68" s="33"/>
      <c r="I68" s="33"/>
      <c r="J68" s="33"/>
      <c r="K68" s="33"/>
      <c r="L68" s="33"/>
      <c r="M68" s="33"/>
      <c r="N68" s="33"/>
      <c r="O68" s="33"/>
      <c r="P68" s="33"/>
      <c r="Q68" s="33"/>
      <c r="R68" s="33"/>
    </row>
    <row r="69">
      <c r="A69" s="33"/>
      <c r="B69" s="33"/>
      <c r="C69" s="33"/>
      <c r="D69" s="33"/>
      <c r="E69" s="33"/>
      <c r="F69" s="33"/>
      <c r="G69" s="33"/>
      <c r="H69" s="33"/>
      <c r="I69" s="33"/>
      <c r="J69" s="33"/>
      <c r="K69" s="33"/>
      <c r="L69" s="33"/>
      <c r="M69" s="33"/>
      <c r="N69" s="33"/>
      <c r="O69" s="33"/>
      <c r="P69" s="33"/>
      <c r="Q69" s="33"/>
      <c r="R69" s="33"/>
    </row>
    <row r="70">
      <c r="A70" s="33"/>
      <c r="B70" s="33"/>
      <c r="C70" s="33"/>
      <c r="D70" s="33"/>
      <c r="E70" s="33"/>
      <c r="F70" s="33"/>
      <c r="G70" s="33"/>
      <c r="H70" s="33"/>
      <c r="I70" s="33"/>
      <c r="J70" s="33"/>
      <c r="K70" s="33"/>
      <c r="L70" s="33"/>
      <c r="M70" s="33"/>
      <c r="N70" s="33"/>
      <c r="O70" s="33"/>
      <c r="P70" s="33"/>
      <c r="Q70" s="33"/>
      <c r="R70" s="33"/>
    </row>
    <row r="71">
      <c r="A71" s="33"/>
      <c r="B71" s="33"/>
      <c r="C71" s="33"/>
      <c r="D71" s="33"/>
      <c r="E71" s="33"/>
      <c r="F71" s="33"/>
      <c r="G71" s="33"/>
      <c r="H71" s="33"/>
      <c r="I71" s="33"/>
      <c r="J71" s="33"/>
      <c r="K71" s="33"/>
      <c r="L71" s="33"/>
      <c r="M71" s="33"/>
      <c r="N71" s="33"/>
      <c r="O71" s="33"/>
      <c r="P71" s="33"/>
      <c r="Q71" s="33"/>
      <c r="R71" s="33"/>
    </row>
    <row r="72">
      <c r="A72" s="33"/>
      <c r="B72" s="33"/>
      <c r="C72" s="33"/>
      <c r="D72" s="33"/>
      <c r="E72" s="33"/>
      <c r="F72" s="33"/>
      <c r="G72" s="33"/>
      <c r="H72" s="33"/>
      <c r="I72" s="33"/>
      <c r="J72" s="33"/>
      <c r="K72" s="33"/>
      <c r="L72" s="33"/>
      <c r="M72" s="33"/>
      <c r="N72" s="33"/>
      <c r="O72" s="33"/>
      <c r="P72" s="33"/>
      <c r="Q72" s="33"/>
      <c r="R72" s="33"/>
    </row>
    <row r="73">
      <c r="A73" s="33"/>
      <c r="B73" s="33"/>
      <c r="C73" s="33"/>
      <c r="D73" s="33"/>
      <c r="E73" s="33"/>
      <c r="F73" s="33"/>
      <c r="G73" s="33"/>
      <c r="H73" s="33"/>
      <c r="I73" s="33"/>
      <c r="J73" s="33"/>
      <c r="K73" s="33"/>
      <c r="L73" s="33"/>
      <c r="M73" s="33"/>
      <c r="N73" s="33"/>
      <c r="O73" s="33"/>
      <c r="P73" s="33"/>
      <c r="Q73" s="33"/>
      <c r="R73" s="33"/>
    </row>
    <row r="74">
      <c r="A74" s="33"/>
      <c r="B74" s="33"/>
      <c r="C74" s="33"/>
      <c r="D74" s="33"/>
      <c r="E74" s="33"/>
      <c r="F74" s="33"/>
      <c r="G74" s="33"/>
      <c r="H74" s="33"/>
      <c r="I74" s="33"/>
      <c r="J74" s="33"/>
      <c r="K74" s="33"/>
      <c r="L74" s="33"/>
      <c r="M74" s="33"/>
      <c r="N74" s="33"/>
      <c r="O74" s="33"/>
      <c r="P74" s="33"/>
      <c r="Q74" s="33"/>
      <c r="R74" s="33"/>
    </row>
    <row r="75">
      <c r="A75" s="33"/>
      <c r="B75" s="33"/>
      <c r="C75" s="33"/>
      <c r="D75" s="33"/>
      <c r="E75" s="33"/>
      <c r="F75" s="33"/>
      <c r="G75" s="33"/>
      <c r="H75" s="33"/>
      <c r="I75" s="33"/>
      <c r="J75" s="33"/>
      <c r="K75" s="33"/>
      <c r="L75" s="33"/>
      <c r="M75" s="33"/>
      <c r="N75" s="33"/>
      <c r="O75" s="33"/>
      <c r="P75" s="33"/>
      <c r="Q75" s="33"/>
      <c r="R75" s="33"/>
    </row>
    <row r="76">
      <c r="A76" s="33"/>
      <c r="B76" s="33"/>
      <c r="C76" s="33"/>
      <c r="D76" s="33"/>
      <c r="E76" s="33"/>
      <c r="F76" s="33"/>
      <c r="G76" s="33"/>
      <c r="H76" s="33"/>
      <c r="I76" s="33"/>
      <c r="J76" s="33"/>
      <c r="K76" s="33"/>
      <c r="L76" s="33"/>
      <c r="M76" s="33"/>
      <c r="N76" s="33"/>
      <c r="O76" s="33"/>
      <c r="P76" s="33"/>
      <c r="Q76" s="33"/>
      <c r="R76" s="33"/>
    </row>
    <row r="77">
      <c r="A77" s="33"/>
      <c r="B77" s="33"/>
      <c r="C77" s="33"/>
      <c r="D77" s="33"/>
      <c r="E77" s="33"/>
      <c r="F77" s="33"/>
      <c r="G77" s="33"/>
      <c r="H77" s="33"/>
      <c r="I77" s="33"/>
      <c r="J77" s="33"/>
      <c r="K77" s="33"/>
      <c r="L77" s="33"/>
      <c r="M77" s="33"/>
      <c r="N77" s="33"/>
      <c r="O77" s="33"/>
      <c r="P77" s="33"/>
      <c r="Q77" s="33"/>
      <c r="R77" s="33"/>
    </row>
    <row r="78">
      <c r="A78" s="33"/>
      <c r="B78" s="33"/>
      <c r="C78" s="33"/>
      <c r="D78" s="33"/>
      <c r="E78" s="33"/>
      <c r="F78" s="33"/>
      <c r="G78" s="33"/>
      <c r="H78" s="33"/>
      <c r="I78" s="33"/>
      <c r="J78" s="33"/>
      <c r="K78" s="33"/>
      <c r="L78" s="33"/>
      <c r="M78" s="33"/>
      <c r="N78" s="33"/>
      <c r="O78" s="33"/>
      <c r="P78" s="33"/>
      <c r="Q78" s="33"/>
      <c r="R78" s="33"/>
    </row>
    <row r="79">
      <c r="A79" s="33"/>
      <c r="B79" s="33"/>
      <c r="C79" s="33"/>
      <c r="D79" s="33"/>
      <c r="E79" s="33"/>
      <c r="F79" s="33"/>
      <c r="G79" s="33"/>
      <c r="H79" s="33"/>
      <c r="I79" s="33"/>
      <c r="J79" s="33"/>
      <c r="K79" s="33"/>
      <c r="L79" s="33"/>
      <c r="M79" s="33"/>
      <c r="N79" s="33"/>
      <c r="O79" s="33"/>
      <c r="P79" s="33"/>
      <c r="Q79" s="33"/>
      <c r="R79" s="33"/>
    </row>
    <row r="80">
      <c r="A80" s="33"/>
      <c r="B80" s="33"/>
      <c r="C80" s="33"/>
      <c r="D80" s="33"/>
      <c r="E80" s="33"/>
      <c r="F80" s="33"/>
      <c r="G80" s="33"/>
      <c r="H80" s="33"/>
      <c r="I80" s="33"/>
      <c r="J80" s="33"/>
      <c r="K80" s="33"/>
      <c r="L80" s="33"/>
      <c r="M80" s="33"/>
      <c r="N80" s="33"/>
      <c r="O80" s="33"/>
      <c r="P80" s="33"/>
      <c r="Q80" s="33"/>
      <c r="R80" s="33"/>
    </row>
    <row r="81">
      <c r="A81" s="33"/>
      <c r="B81" s="33"/>
      <c r="C81" s="33"/>
      <c r="D81" s="33"/>
      <c r="E81" s="33"/>
      <c r="F81" s="33"/>
      <c r="G81" s="33"/>
      <c r="H81" s="33"/>
      <c r="I81" s="33"/>
      <c r="J81" s="33"/>
      <c r="K81" s="33"/>
      <c r="L81" s="33"/>
      <c r="M81" s="33"/>
      <c r="N81" s="33"/>
      <c r="O81" s="33"/>
      <c r="P81" s="33"/>
      <c r="Q81" s="33"/>
      <c r="R81" s="33"/>
    </row>
    <row r="82">
      <c r="A82" s="33"/>
      <c r="B82" s="33"/>
      <c r="C82" s="33"/>
      <c r="D82" s="33"/>
      <c r="E82" s="33"/>
      <c r="F82" s="33"/>
      <c r="G82" s="33"/>
      <c r="H82" s="33"/>
      <c r="I82" s="33"/>
      <c r="J82" s="33"/>
      <c r="K82" s="33"/>
      <c r="L82" s="33"/>
      <c r="M82" s="33"/>
      <c r="N82" s="33"/>
      <c r="O82" s="33"/>
      <c r="P82" s="33"/>
      <c r="Q82" s="33"/>
      <c r="R82" s="33"/>
    </row>
    <row r="83">
      <c r="A83" s="33"/>
      <c r="B83" s="33"/>
      <c r="C83" s="33"/>
      <c r="D83" s="33"/>
      <c r="E83" s="33"/>
      <c r="F83" s="33"/>
      <c r="G83" s="33"/>
      <c r="H83" s="33"/>
      <c r="I83" s="33"/>
      <c r="J83" s="33"/>
      <c r="K83" s="33"/>
      <c r="L83" s="33"/>
      <c r="M83" s="33"/>
      <c r="N83" s="33"/>
      <c r="O83" s="33"/>
      <c r="P83" s="33"/>
      <c r="Q83" s="33"/>
      <c r="R83" s="33"/>
    </row>
    <row r="84">
      <c r="A84" s="33"/>
      <c r="B84" s="33"/>
      <c r="C84" s="33"/>
      <c r="D84" s="33"/>
      <c r="E84" s="33"/>
      <c r="F84" s="33"/>
      <c r="G84" s="33"/>
      <c r="H84" s="33"/>
      <c r="I84" s="33"/>
      <c r="J84" s="33"/>
      <c r="K84" s="33"/>
      <c r="L84" s="33"/>
      <c r="M84" s="33"/>
      <c r="N84" s="33"/>
      <c r="O84" s="33"/>
      <c r="P84" s="33"/>
      <c r="Q84" s="33"/>
      <c r="R84" s="33"/>
    </row>
    <row r="85">
      <c r="A85" s="33"/>
      <c r="B85" s="33"/>
      <c r="C85" s="33"/>
      <c r="D85" s="33"/>
      <c r="E85" s="33"/>
      <c r="F85" s="33"/>
      <c r="G85" s="33"/>
      <c r="H85" s="33"/>
      <c r="I85" s="33"/>
      <c r="J85" s="33"/>
      <c r="K85" s="33"/>
      <c r="L85" s="33"/>
      <c r="M85" s="33"/>
      <c r="N85" s="33"/>
      <c r="O85" s="33"/>
      <c r="P85" s="33"/>
      <c r="Q85" s="33"/>
      <c r="R85" s="33"/>
    </row>
    <row r="86">
      <c r="A86" s="33"/>
      <c r="B86" s="33"/>
      <c r="C86" s="33"/>
      <c r="D86" s="33"/>
      <c r="E86" s="33"/>
      <c r="F86" s="33"/>
      <c r="G86" s="33"/>
      <c r="H86" s="33"/>
      <c r="I86" s="33"/>
      <c r="J86" s="33"/>
      <c r="K86" s="33"/>
      <c r="L86" s="33"/>
      <c r="M86" s="33"/>
      <c r="N86" s="33"/>
      <c r="O86" s="33"/>
      <c r="P86" s="33"/>
      <c r="Q86" s="33"/>
      <c r="R86" s="33"/>
    </row>
    <row r="87">
      <c r="A87" s="33"/>
      <c r="B87" s="33"/>
      <c r="C87" s="33"/>
      <c r="D87" s="33"/>
      <c r="E87" s="33"/>
      <c r="F87" s="33"/>
      <c r="G87" s="33"/>
      <c r="H87" s="33"/>
      <c r="I87" s="33"/>
      <c r="J87" s="33"/>
      <c r="K87" s="33"/>
      <c r="L87" s="33"/>
      <c r="M87" s="33"/>
      <c r="N87" s="33"/>
      <c r="O87" s="33"/>
      <c r="P87" s="33"/>
      <c r="Q87" s="33"/>
      <c r="R87" s="33"/>
    </row>
    <row r="88">
      <c r="A88" s="33"/>
      <c r="B88" s="33"/>
      <c r="C88" s="33"/>
      <c r="D88" s="33"/>
      <c r="E88" s="33"/>
      <c r="F88" s="33"/>
      <c r="G88" s="33"/>
      <c r="H88" s="33"/>
      <c r="I88" s="33"/>
      <c r="J88" s="33"/>
      <c r="K88" s="33"/>
      <c r="L88" s="33"/>
      <c r="M88" s="33"/>
      <c r="N88" s="33"/>
      <c r="O88" s="33"/>
      <c r="P88" s="33"/>
      <c r="Q88" s="33"/>
      <c r="R88" s="33"/>
    </row>
    <row r="89">
      <c r="A89" s="33"/>
      <c r="B89" s="33"/>
      <c r="C89" s="33"/>
      <c r="D89" s="33"/>
      <c r="E89" s="33"/>
      <c r="F89" s="33"/>
      <c r="G89" s="33"/>
      <c r="H89" s="33"/>
      <c r="I89" s="33"/>
      <c r="J89" s="33"/>
      <c r="K89" s="33"/>
      <c r="L89" s="33"/>
      <c r="M89" s="33"/>
      <c r="N89" s="33"/>
      <c r="O89" s="33"/>
      <c r="P89" s="33"/>
      <c r="Q89" s="33"/>
      <c r="R89" s="33"/>
    </row>
    <row r="90">
      <c r="A90" s="33"/>
      <c r="B90" s="33"/>
      <c r="C90" s="33"/>
      <c r="D90" s="33"/>
      <c r="E90" s="33"/>
      <c r="F90" s="33"/>
      <c r="G90" s="33"/>
      <c r="H90" s="33"/>
      <c r="I90" s="33"/>
      <c r="J90" s="33"/>
      <c r="K90" s="33"/>
      <c r="L90" s="33"/>
      <c r="M90" s="33"/>
      <c r="N90" s="33"/>
      <c r="O90" s="33"/>
      <c r="P90" s="33"/>
      <c r="Q90" s="33"/>
      <c r="R90" s="33"/>
    </row>
    <row r="91">
      <c r="A91" s="33"/>
      <c r="B91" s="33"/>
      <c r="C91" s="33"/>
      <c r="D91" s="33"/>
      <c r="E91" s="33"/>
      <c r="F91" s="33"/>
      <c r="G91" s="33"/>
      <c r="H91" s="33"/>
      <c r="I91" s="33"/>
      <c r="J91" s="33"/>
      <c r="K91" s="33"/>
      <c r="L91" s="33"/>
      <c r="M91" s="33"/>
      <c r="N91" s="33"/>
      <c r="O91" s="33"/>
      <c r="P91" s="33"/>
      <c r="Q91" s="33"/>
      <c r="R91" s="33"/>
    </row>
    <row r="92">
      <c r="A92" s="33"/>
      <c r="B92" s="33"/>
      <c r="C92" s="33"/>
      <c r="D92" s="33"/>
      <c r="E92" s="33"/>
      <c r="F92" s="33"/>
      <c r="G92" s="33"/>
      <c r="H92" s="33"/>
      <c r="I92" s="33"/>
      <c r="J92" s="33"/>
      <c r="K92" s="33"/>
      <c r="L92" s="33"/>
      <c r="M92" s="33"/>
      <c r="N92" s="33"/>
      <c r="O92" s="33"/>
      <c r="P92" s="33"/>
      <c r="Q92" s="33"/>
      <c r="R92" s="33"/>
    </row>
    <row r="93">
      <c r="A93" s="33"/>
      <c r="B93" s="33"/>
      <c r="C93" s="33"/>
      <c r="D93" s="33"/>
      <c r="E93" s="33"/>
      <c r="F93" s="33"/>
      <c r="G93" s="33"/>
      <c r="H93" s="33"/>
      <c r="I93" s="33"/>
      <c r="J93" s="33"/>
      <c r="K93" s="33"/>
      <c r="L93" s="33"/>
      <c r="M93" s="33"/>
      <c r="N93" s="33"/>
      <c r="O93" s="33"/>
      <c r="P93" s="33"/>
      <c r="Q93" s="33"/>
      <c r="R93" s="33"/>
    </row>
    <row r="94">
      <c r="A94" s="33"/>
      <c r="B94" s="33"/>
      <c r="C94" s="33"/>
      <c r="D94" s="33"/>
      <c r="E94" s="33"/>
      <c r="F94" s="33"/>
      <c r="G94" s="33"/>
      <c r="H94" s="33"/>
      <c r="I94" s="33"/>
      <c r="J94" s="33"/>
      <c r="K94" s="33"/>
      <c r="L94" s="33"/>
      <c r="M94" s="33"/>
      <c r="N94" s="33"/>
      <c r="O94" s="33"/>
      <c r="P94" s="33"/>
      <c r="Q94" s="33"/>
      <c r="R94" s="33"/>
    </row>
    <row r="95">
      <c r="A95" s="33"/>
      <c r="B95" s="33"/>
      <c r="C95" s="33"/>
      <c r="D95" s="33"/>
      <c r="E95" s="33"/>
      <c r="F95" s="33"/>
      <c r="G95" s="33"/>
      <c r="H95" s="33"/>
      <c r="I95" s="33"/>
      <c r="J95" s="33"/>
      <c r="K95" s="33"/>
      <c r="L95" s="33"/>
      <c r="M95" s="33"/>
      <c r="N95" s="33"/>
      <c r="O95" s="33"/>
      <c r="P95" s="33"/>
      <c r="Q95" s="33"/>
      <c r="R95" s="33"/>
    </row>
    <row r="96">
      <c r="A96" s="33"/>
      <c r="B96" s="33"/>
      <c r="C96" s="33"/>
      <c r="D96" s="33"/>
      <c r="E96" s="33"/>
      <c r="F96" s="33"/>
      <c r="G96" s="33"/>
      <c r="H96" s="33"/>
      <c r="I96" s="33"/>
      <c r="J96" s="33"/>
      <c r="K96" s="33"/>
      <c r="L96" s="33"/>
      <c r="M96" s="33"/>
      <c r="N96" s="33"/>
      <c r="O96" s="33"/>
      <c r="P96" s="33"/>
      <c r="Q96" s="33"/>
      <c r="R96" s="33"/>
    </row>
    <row r="97">
      <c r="A97" s="33"/>
      <c r="B97" s="33"/>
      <c r="C97" s="33"/>
      <c r="D97" s="33"/>
      <c r="E97" s="33"/>
      <c r="F97" s="33"/>
      <c r="G97" s="33"/>
      <c r="H97" s="33"/>
      <c r="I97" s="33"/>
      <c r="J97" s="33"/>
      <c r="K97" s="33"/>
      <c r="L97" s="33"/>
      <c r="M97" s="33"/>
      <c r="N97" s="33"/>
      <c r="O97" s="33"/>
      <c r="P97" s="33"/>
      <c r="Q97" s="33"/>
      <c r="R97" s="33"/>
    </row>
    <row r="98">
      <c r="A98" s="33"/>
      <c r="B98" s="33"/>
      <c r="C98" s="33"/>
      <c r="D98" s="33"/>
      <c r="E98" s="33"/>
      <c r="F98" s="33"/>
      <c r="G98" s="33"/>
      <c r="H98" s="33"/>
      <c r="I98" s="33"/>
      <c r="J98" s="33"/>
      <c r="K98" s="33"/>
      <c r="L98" s="33"/>
      <c r="M98" s="33"/>
      <c r="N98" s="33"/>
      <c r="O98" s="33"/>
      <c r="P98" s="33"/>
      <c r="Q98" s="33"/>
      <c r="R98" s="33"/>
    </row>
    <row r="99">
      <c r="A99" s="33"/>
      <c r="B99" s="33"/>
      <c r="C99" s="33"/>
      <c r="D99" s="33"/>
      <c r="E99" s="33"/>
      <c r="F99" s="33"/>
      <c r="G99" s="33"/>
      <c r="H99" s="33"/>
      <c r="I99" s="33"/>
      <c r="J99" s="33"/>
      <c r="K99" s="33"/>
      <c r="L99" s="33"/>
      <c r="M99" s="33"/>
      <c r="N99" s="33"/>
      <c r="O99" s="33"/>
      <c r="P99" s="33"/>
      <c r="Q99" s="33"/>
      <c r="R99" s="33"/>
    </row>
    <row r="100">
      <c r="A100" s="33"/>
      <c r="B100" s="33"/>
      <c r="C100" s="33"/>
      <c r="D100" s="33"/>
      <c r="E100" s="33"/>
      <c r="F100" s="33"/>
      <c r="G100" s="33"/>
      <c r="H100" s="33"/>
      <c r="I100" s="33"/>
      <c r="J100" s="33"/>
      <c r="K100" s="33"/>
      <c r="L100" s="33"/>
      <c r="M100" s="33"/>
      <c r="N100" s="33"/>
      <c r="O100" s="33"/>
      <c r="P100" s="33"/>
      <c r="Q100" s="33"/>
      <c r="R100" s="33"/>
    </row>
    <row r="101">
      <c r="A101" s="33"/>
      <c r="B101" s="33"/>
      <c r="C101" s="33"/>
      <c r="D101" s="33"/>
      <c r="E101" s="33"/>
      <c r="F101" s="33"/>
      <c r="G101" s="33"/>
      <c r="H101" s="33"/>
      <c r="I101" s="33"/>
      <c r="J101" s="33"/>
      <c r="K101" s="33"/>
      <c r="L101" s="33"/>
      <c r="M101" s="33"/>
      <c r="N101" s="33"/>
      <c r="O101" s="33"/>
      <c r="P101" s="33"/>
      <c r="Q101" s="33"/>
      <c r="R101" s="33"/>
    </row>
    <row r="102">
      <c r="A102" s="33"/>
      <c r="B102" s="33"/>
      <c r="C102" s="33"/>
      <c r="D102" s="33"/>
      <c r="E102" s="33"/>
      <c r="F102" s="33"/>
      <c r="G102" s="33"/>
      <c r="H102" s="33"/>
      <c r="I102" s="33"/>
      <c r="J102" s="33"/>
      <c r="K102" s="33"/>
      <c r="L102" s="33"/>
      <c r="M102" s="33"/>
      <c r="N102" s="33"/>
      <c r="O102" s="33"/>
      <c r="P102" s="33"/>
      <c r="Q102" s="33"/>
      <c r="R102" s="33"/>
    </row>
    <row r="103">
      <c r="A103" s="33"/>
      <c r="B103" s="33"/>
      <c r="C103" s="33"/>
      <c r="D103" s="33"/>
      <c r="E103" s="33"/>
      <c r="F103" s="33"/>
      <c r="G103" s="33"/>
      <c r="H103" s="33"/>
      <c r="I103" s="33"/>
      <c r="J103" s="33"/>
      <c r="K103" s="33"/>
      <c r="L103" s="33"/>
      <c r="M103" s="33"/>
      <c r="N103" s="33"/>
      <c r="O103" s="33"/>
      <c r="P103" s="33"/>
      <c r="Q103" s="33"/>
      <c r="R103" s="33"/>
    </row>
    <row r="104">
      <c r="A104" s="33"/>
      <c r="B104" s="33"/>
      <c r="C104" s="33"/>
      <c r="D104" s="33"/>
      <c r="E104" s="33"/>
      <c r="F104" s="33"/>
      <c r="G104" s="33"/>
      <c r="H104" s="33"/>
      <c r="I104" s="33"/>
      <c r="J104" s="33"/>
      <c r="K104" s="33"/>
      <c r="L104" s="33"/>
      <c r="M104" s="33"/>
      <c r="N104" s="33"/>
      <c r="O104" s="33"/>
      <c r="P104" s="33"/>
      <c r="Q104" s="33"/>
      <c r="R104" s="33"/>
    </row>
    <row r="105">
      <c r="A105" s="33"/>
      <c r="B105" s="33"/>
      <c r="C105" s="33"/>
      <c r="D105" s="33"/>
      <c r="E105" s="33"/>
      <c r="F105" s="33"/>
      <c r="G105" s="33"/>
      <c r="H105" s="33"/>
      <c r="I105" s="33"/>
      <c r="J105" s="33"/>
      <c r="K105" s="33"/>
      <c r="L105" s="33"/>
      <c r="M105" s="33"/>
      <c r="N105" s="33"/>
      <c r="O105" s="33"/>
      <c r="P105" s="33"/>
      <c r="Q105" s="33"/>
      <c r="R105" s="33"/>
    </row>
    <row r="106">
      <c r="A106" s="33"/>
      <c r="B106" s="33"/>
      <c r="C106" s="33"/>
      <c r="D106" s="33"/>
      <c r="E106" s="33"/>
      <c r="F106" s="33"/>
      <c r="G106" s="33"/>
      <c r="H106" s="33"/>
      <c r="I106" s="33"/>
      <c r="J106" s="33"/>
      <c r="K106" s="33"/>
      <c r="L106" s="33"/>
      <c r="M106" s="33"/>
      <c r="N106" s="33"/>
      <c r="O106" s="33"/>
      <c r="P106" s="33"/>
      <c r="Q106" s="33"/>
      <c r="R106" s="33"/>
    </row>
    <row r="107">
      <c r="A107" s="33"/>
      <c r="B107" s="33"/>
      <c r="C107" s="33"/>
      <c r="D107" s="33"/>
      <c r="E107" s="33"/>
      <c r="F107" s="33"/>
      <c r="G107" s="33"/>
      <c r="H107" s="33"/>
      <c r="I107" s="33"/>
      <c r="J107" s="33"/>
      <c r="K107" s="33"/>
      <c r="L107" s="33"/>
      <c r="M107" s="33"/>
      <c r="N107" s="33"/>
      <c r="O107" s="33"/>
      <c r="P107" s="33"/>
      <c r="Q107" s="33"/>
      <c r="R107" s="33"/>
    </row>
    <row r="108">
      <c r="A108" s="33"/>
      <c r="B108" s="33"/>
      <c r="C108" s="33"/>
      <c r="D108" s="33"/>
      <c r="E108" s="33"/>
      <c r="F108" s="33"/>
      <c r="G108" s="33"/>
      <c r="H108" s="33"/>
      <c r="I108" s="33"/>
      <c r="J108" s="33"/>
      <c r="K108" s="33"/>
      <c r="L108" s="33"/>
      <c r="M108" s="33"/>
      <c r="N108" s="33"/>
      <c r="O108" s="33"/>
      <c r="P108" s="33"/>
      <c r="Q108" s="33"/>
      <c r="R108" s="33"/>
    </row>
    <row r="109">
      <c r="A109" s="33"/>
      <c r="B109" s="33"/>
      <c r="C109" s="33"/>
      <c r="D109" s="33"/>
      <c r="E109" s="33"/>
      <c r="F109" s="33"/>
      <c r="G109" s="33"/>
      <c r="H109" s="33"/>
      <c r="I109" s="33"/>
      <c r="J109" s="33"/>
      <c r="K109" s="33"/>
      <c r="L109" s="33"/>
      <c r="M109" s="33"/>
      <c r="N109" s="33"/>
      <c r="O109" s="33"/>
      <c r="P109" s="33"/>
      <c r="Q109" s="33"/>
      <c r="R109" s="33"/>
    </row>
    <row r="110">
      <c r="A110" s="33"/>
      <c r="B110" s="33"/>
      <c r="C110" s="33"/>
      <c r="D110" s="33"/>
      <c r="E110" s="33"/>
      <c r="F110" s="33"/>
      <c r="G110" s="33"/>
      <c r="H110" s="33"/>
      <c r="I110" s="33"/>
      <c r="J110" s="33"/>
      <c r="K110" s="33"/>
      <c r="L110" s="33"/>
      <c r="M110" s="33"/>
      <c r="N110" s="33"/>
      <c r="O110" s="33"/>
      <c r="P110" s="33"/>
      <c r="Q110" s="33"/>
      <c r="R110" s="33"/>
    </row>
    <row r="111">
      <c r="A111" s="33"/>
      <c r="B111" s="33"/>
      <c r="C111" s="33"/>
      <c r="D111" s="33"/>
      <c r="E111" s="33"/>
      <c r="F111" s="33"/>
      <c r="G111" s="33"/>
      <c r="H111" s="33"/>
      <c r="I111" s="33"/>
      <c r="J111" s="33"/>
      <c r="K111" s="33"/>
      <c r="L111" s="33"/>
      <c r="M111" s="33"/>
      <c r="N111" s="33"/>
      <c r="O111" s="33"/>
      <c r="P111" s="33"/>
      <c r="Q111" s="33"/>
      <c r="R111" s="33"/>
    </row>
    <row r="112">
      <c r="A112" s="33"/>
      <c r="B112" s="33"/>
      <c r="C112" s="33"/>
      <c r="D112" s="33"/>
      <c r="E112" s="33"/>
      <c r="F112" s="33"/>
      <c r="G112" s="33"/>
      <c r="H112" s="33"/>
      <c r="I112" s="33"/>
      <c r="J112" s="33"/>
      <c r="K112" s="33"/>
      <c r="L112" s="33"/>
      <c r="M112" s="33"/>
      <c r="N112" s="33"/>
      <c r="O112" s="33"/>
      <c r="P112" s="33"/>
      <c r="Q112" s="33"/>
      <c r="R112" s="33"/>
    </row>
    <row r="113">
      <c r="A113" s="33"/>
      <c r="B113" s="33"/>
      <c r="C113" s="33"/>
      <c r="D113" s="33"/>
      <c r="E113" s="33"/>
      <c r="F113" s="33"/>
      <c r="G113" s="33"/>
      <c r="H113" s="33"/>
      <c r="I113" s="33"/>
      <c r="J113" s="33"/>
      <c r="K113" s="33"/>
      <c r="L113" s="33"/>
      <c r="M113" s="33"/>
      <c r="N113" s="33"/>
      <c r="O113" s="33"/>
      <c r="P113" s="33"/>
      <c r="Q113" s="33"/>
      <c r="R113" s="33"/>
    </row>
    <row r="114">
      <c r="A114" s="33"/>
      <c r="B114" s="33"/>
      <c r="C114" s="33"/>
      <c r="D114" s="33"/>
      <c r="E114" s="33"/>
      <c r="F114" s="33"/>
      <c r="G114" s="33"/>
      <c r="H114" s="33"/>
      <c r="I114" s="33"/>
      <c r="J114" s="33"/>
      <c r="K114" s="33"/>
      <c r="L114" s="33"/>
      <c r="M114" s="33"/>
      <c r="N114" s="33"/>
      <c r="O114" s="33"/>
      <c r="P114" s="33"/>
      <c r="Q114" s="33"/>
      <c r="R114" s="33"/>
    </row>
    <row r="115">
      <c r="A115" s="33"/>
      <c r="B115" s="33"/>
      <c r="C115" s="33"/>
      <c r="D115" s="33"/>
      <c r="E115" s="33"/>
      <c r="F115" s="33"/>
      <c r="G115" s="33"/>
      <c r="H115" s="33"/>
      <c r="I115" s="33"/>
      <c r="J115" s="33"/>
      <c r="K115" s="33"/>
      <c r="L115" s="33"/>
      <c r="M115" s="33"/>
      <c r="N115" s="33"/>
      <c r="O115" s="33"/>
      <c r="P115" s="33"/>
      <c r="Q115" s="33"/>
      <c r="R115" s="33"/>
    </row>
    <row r="116">
      <c r="A116" s="33"/>
      <c r="B116" s="33"/>
      <c r="C116" s="33"/>
      <c r="D116" s="33"/>
      <c r="E116" s="33"/>
      <c r="F116" s="33"/>
      <c r="G116" s="33"/>
      <c r="H116" s="33"/>
      <c r="I116" s="33"/>
      <c r="J116" s="33"/>
      <c r="K116" s="33"/>
      <c r="L116" s="33"/>
      <c r="M116" s="33"/>
      <c r="N116" s="33"/>
      <c r="O116" s="33"/>
      <c r="P116" s="33"/>
      <c r="Q116" s="33"/>
      <c r="R116" s="33"/>
    </row>
    <row r="117">
      <c r="A117" s="33"/>
      <c r="B117" s="33"/>
      <c r="C117" s="33"/>
      <c r="D117" s="33"/>
      <c r="E117" s="33"/>
      <c r="F117" s="33"/>
      <c r="G117" s="33"/>
      <c r="H117" s="33"/>
      <c r="I117" s="33"/>
      <c r="J117" s="33"/>
      <c r="K117" s="33"/>
      <c r="L117" s="33"/>
      <c r="M117" s="33"/>
      <c r="N117" s="33"/>
      <c r="O117" s="33"/>
      <c r="P117" s="33"/>
      <c r="Q117" s="33"/>
      <c r="R117" s="33"/>
    </row>
    <row r="118">
      <c r="A118" s="33"/>
      <c r="B118" s="33"/>
      <c r="C118" s="33"/>
      <c r="D118" s="33"/>
      <c r="E118" s="33"/>
      <c r="F118" s="33"/>
      <c r="G118" s="33"/>
      <c r="H118" s="33"/>
      <c r="I118" s="33"/>
      <c r="J118" s="33"/>
      <c r="K118" s="33"/>
      <c r="L118" s="33"/>
      <c r="M118" s="33"/>
      <c r="N118" s="33"/>
      <c r="O118" s="33"/>
      <c r="P118" s="33"/>
      <c r="Q118" s="33"/>
      <c r="R118" s="33"/>
    </row>
    <row r="119">
      <c r="A119" s="33"/>
      <c r="B119" s="33"/>
      <c r="C119" s="33"/>
      <c r="D119" s="33"/>
      <c r="E119" s="33"/>
      <c r="F119" s="33"/>
      <c r="G119" s="33"/>
      <c r="H119" s="33"/>
      <c r="I119" s="33"/>
      <c r="J119" s="33"/>
      <c r="K119" s="33"/>
      <c r="L119" s="33"/>
      <c r="M119" s="33"/>
      <c r="N119" s="33"/>
      <c r="O119" s="33"/>
      <c r="P119" s="33"/>
      <c r="Q119" s="33"/>
      <c r="R119" s="33"/>
    </row>
    <row r="120">
      <c r="A120" s="33"/>
      <c r="B120" s="33"/>
      <c r="C120" s="33"/>
      <c r="D120" s="33"/>
      <c r="E120" s="33"/>
      <c r="F120" s="33"/>
      <c r="G120" s="33"/>
      <c r="H120" s="33"/>
      <c r="I120" s="33"/>
      <c r="J120" s="33"/>
      <c r="K120" s="33"/>
      <c r="L120" s="33"/>
      <c r="M120" s="33"/>
      <c r="N120" s="33"/>
      <c r="O120" s="33"/>
      <c r="P120" s="33"/>
      <c r="Q120" s="33"/>
      <c r="R120" s="33"/>
    </row>
    <row r="121">
      <c r="A121" s="33"/>
      <c r="B121" s="33"/>
      <c r="C121" s="33"/>
      <c r="D121" s="33"/>
      <c r="E121" s="33"/>
      <c r="F121" s="33"/>
      <c r="G121" s="33"/>
      <c r="H121" s="33"/>
      <c r="I121" s="33"/>
      <c r="J121" s="33"/>
      <c r="K121" s="33"/>
      <c r="L121" s="33"/>
      <c r="M121" s="33"/>
      <c r="N121" s="33"/>
      <c r="O121" s="33"/>
      <c r="P121" s="33"/>
      <c r="Q121" s="33"/>
      <c r="R121" s="33"/>
    </row>
    <row r="122">
      <c r="A122" s="33"/>
      <c r="B122" s="33"/>
      <c r="C122" s="33"/>
      <c r="D122" s="33"/>
      <c r="E122" s="33"/>
      <c r="F122" s="33"/>
      <c r="G122" s="33"/>
      <c r="H122" s="33"/>
      <c r="I122" s="33"/>
      <c r="J122" s="33"/>
      <c r="K122" s="33"/>
      <c r="L122" s="33"/>
      <c r="M122" s="33"/>
      <c r="N122" s="33"/>
      <c r="O122" s="33"/>
      <c r="P122" s="33"/>
      <c r="Q122" s="33"/>
      <c r="R122" s="33"/>
    </row>
    <row r="123">
      <c r="A123" s="33"/>
      <c r="B123" s="33"/>
      <c r="C123" s="33"/>
      <c r="D123" s="33"/>
      <c r="E123" s="33"/>
      <c r="F123" s="33"/>
      <c r="G123" s="33"/>
      <c r="H123" s="33"/>
      <c r="I123" s="33"/>
      <c r="J123" s="33"/>
      <c r="K123" s="33"/>
      <c r="L123" s="33"/>
      <c r="M123" s="33"/>
      <c r="N123" s="33"/>
      <c r="O123" s="33"/>
      <c r="P123" s="33"/>
      <c r="Q123" s="33"/>
      <c r="R123" s="33"/>
    </row>
    <row r="124">
      <c r="A124" s="33"/>
      <c r="B124" s="33"/>
      <c r="C124" s="33"/>
      <c r="D124" s="33"/>
      <c r="E124" s="33"/>
      <c r="F124" s="33"/>
      <c r="G124" s="33"/>
      <c r="H124" s="33"/>
      <c r="I124" s="33"/>
      <c r="J124" s="33"/>
      <c r="K124" s="33"/>
      <c r="L124" s="33"/>
      <c r="M124" s="33"/>
      <c r="N124" s="33"/>
      <c r="O124" s="33"/>
      <c r="P124" s="33"/>
      <c r="Q124" s="33"/>
      <c r="R124" s="33"/>
    </row>
    <row r="125">
      <c r="A125" s="33"/>
      <c r="B125" s="33"/>
      <c r="C125" s="33"/>
      <c r="D125" s="33"/>
      <c r="E125" s="33"/>
      <c r="F125" s="33"/>
      <c r="G125" s="33"/>
      <c r="H125" s="33"/>
      <c r="I125" s="33"/>
      <c r="J125" s="33"/>
      <c r="K125" s="33"/>
      <c r="L125" s="33"/>
      <c r="M125" s="33"/>
      <c r="N125" s="33"/>
      <c r="O125" s="33"/>
      <c r="P125" s="33"/>
      <c r="Q125" s="33"/>
      <c r="R125" s="33"/>
    </row>
    <row r="126">
      <c r="A126" s="33"/>
      <c r="B126" s="33"/>
      <c r="C126" s="33"/>
      <c r="D126" s="33"/>
      <c r="E126" s="33"/>
      <c r="F126" s="33"/>
      <c r="G126" s="33"/>
      <c r="H126" s="33"/>
      <c r="I126" s="33"/>
      <c r="J126" s="33"/>
      <c r="K126" s="33"/>
      <c r="L126" s="33"/>
      <c r="M126" s="33"/>
      <c r="N126" s="33"/>
      <c r="O126" s="33"/>
      <c r="P126" s="33"/>
      <c r="Q126" s="33"/>
      <c r="R126" s="33"/>
    </row>
    <row r="127">
      <c r="A127" s="33"/>
      <c r="B127" s="33"/>
      <c r="C127" s="33"/>
      <c r="D127" s="33"/>
      <c r="E127" s="33"/>
      <c r="F127" s="33"/>
      <c r="G127" s="33"/>
      <c r="H127" s="33"/>
      <c r="I127" s="33"/>
      <c r="J127" s="33"/>
      <c r="K127" s="33"/>
      <c r="L127" s="33"/>
      <c r="M127" s="33"/>
      <c r="N127" s="33"/>
      <c r="O127" s="33"/>
      <c r="P127" s="33"/>
      <c r="Q127" s="33"/>
      <c r="R127" s="33"/>
    </row>
    <row r="128">
      <c r="A128" s="33"/>
      <c r="B128" s="33"/>
      <c r="C128" s="33"/>
      <c r="D128" s="33"/>
      <c r="E128" s="33"/>
      <c r="F128" s="33"/>
      <c r="G128" s="33"/>
      <c r="H128" s="33"/>
      <c r="I128" s="33"/>
      <c r="J128" s="33"/>
      <c r="K128" s="33"/>
      <c r="L128" s="33"/>
      <c r="M128" s="33"/>
      <c r="N128" s="33"/>
      <c r="O128" s="33"/>
      <c r="P128" s="33"/>
      <c r="Q128" s="33"/>
      <c r="R128" s="33"/>
    </row>
    <row r="129">
      <c r="A129" s="33"/>
      <c r="B129" s="33"/>
      <c r="C129" s="33"/>
      <c r="D129" s="33"/>
      <c r="E129" s="33"/>
      <c r="F129" s="33"/>
      <c r="G129" s="33"/>
      <c r="H129" s="33"/>
      <c r="I129" s="33"/>
      <c r="J129" s="33"/>
      <c r="K129" s="33"/>
      <c r="L129" s="33"/>
      <c r="M129" s="33"/>
      <c r="N129" s="33"/>
      <c r="O129" s="33"/>
      <c r="P129" s="33"/>
      <c r="Q129" s="33"/>
      <c r="R129" s="33"/>
    </row>
    <row r="130">
      <c r="A130" s="33"/>
      <c r="B130" s="33"/>
      <c r="C130" s="33"/>
      <c r="D130" s="33"/>
      <c r="E130" s="33"/>
      <c r="F130" s="33"/>
      <c r="G130" s="33"/>
      <c r="H130" s="33"/>
      <c r="I130" s="33"/>
      <c r="J130" s="33"/>
      <c r="K130" s="33"/>
      <c r="L130" s="33"/>
      <c r="M130" s="33"/>
      <c r="N130" s="33"/>
      <c r="O130" s="33"/>
      <c r="P130" s="33"/>
      <c r="Q130" s="33"/>
      <c r="R130" s="33"/>
    </row>
    <row r="131">
      <c r="A131" s="33"/>
      <c r="B131" s="33"/>
      <c r="C131" s="33"/>
      <c r="D131" s="33"/>
      <c r="E131" s="33"/>
      <c r="F131" s="33"/>
      <c r="G131" s="33"/>
      <c r="H131" s="33"/>
      <c r="I131" s="33"/>
      <c r="J131" s="33"/>
      <c r="K131" s="33"/>
      <c r="L131" s="33"/>
      <c r="M131" s="33"/>
      <c r="N131" s="33"/>
      <c r="O131" s="33"/>
      <c r="P131" s="33"/>
      <c r="Q131" s="33"/>
      <c r="R131" s="33"/>
    </row>
    <row r="132">
      <c r="A132" s="33"/>
      <c r="B132" s="33"/>
      <c r="C132" s="33"/>
      <c r="D132" s="33"/>
      <c r="E132" s="33"/>
      <c r="F132" s="33"/>
      <c r="G132" s="33"/>
      <c r="H132" s="33"/>
      <c r="I132" s="33"/>
      <c r="J132" s="33"/>
      <c r="K132" s="33"/>
      <c r="L132" s="33"/>
      <c r="M132" s="33"/>
      <c r="N132" s="33"/>
      <c r="O132" s="33"/>
      <c r="P132" s="33"/>
      <c r="Q132" s="33"/>
      <c r="R132" s="33"/>
    </row>
    <row r="133">
      <c r="A133" s="33"/>
      <c r="B133" s="33"/>
      <c r="C133" s="33"/>
      <c r="D133" s="33"/>
      <c r="E133" s="33"/>
      <c r="F133" s="33"/>
      <c r="G133" s="33"/>
      <c r="H133" s="33"/>
      <c r="I133" s="33"/>
      <c r="J133" s="33"/>
      <c r="K133" s="33"/>
      <c r="L133" s="33"/>
      <c r="M133" s="33"/>
      <c r="N133" s="33"/>
      <c r="O133" s="33"/>
      <c r="P133" s="33"/>
      <c r="Q133" s="33"/>
      <c r="R133" s="33"/>
    </row>
    <row r="134">
      <c r="A134" s="33"/>
      <c r="B134" s="33"/>
      <c r="C134" s="33"/>
      <c r="D134" s="33"/>
      <c r="E134" s="33"/>
      <c r="F134" s="33"/>
      <c r="G134" s="33"/>
      <c r="H134" s="33"/>
      <c r="I134" s="33"/>
      <c r="J134" s="33"/>
      <c r="K134" s="33"/>
      <c r="L134" s="33"/>
      <c r="M134" s="33"/>
      <c r="N134" s="33"/>
      <c r="O134" s="33"/>
      <c r="P134" s="33"/>
      <c r="Q134" s="33"/>
      <c r="R134" s="33"/>
    </row>
    <row r="135">
      <c r="A135" s="33"/>
      <c r="B135" s="33"/>
      <c r="C135" s="33"/>
      <c r="D135" s="33"/>
      <c r="E135" s="33"/>
      <c r="F135" s="33"/>
      <c r="G135" s="33"/>
      <c r="H135" s="33"/>
      <c r="I135" s="33"/>
      <c r="J135" s="33"/>
      <c r="K135" s="33"/>
      <c r="L135" s="33"/>
      <c r="M135" s="33"/>
      <c r="N135" s="33"/>
      <c r="O135" s="33"/>
      <c r="P135" s="33"/>
      <c r="Q135" s="33"/>
      <c r="R135" s="33"/>
    </row>
    <row r="136">
      <c r="A136" s="33"/>
      <c r="B136" s="33"/>
      <c r="C136" s="33"/>
      <c r="D136" s="33"/>
      <c r="E136" s="33"/>
      <c r="F136" s="33"/>
      <c r="G136" s="33"/>
      <c r="H136" s="33"/>
      <c r="I136" s="33"/>
      <c r="J136" s="33"/>
      <c r="K136" s="33"/>
      <c r="L136" s="33"/>
      <c r="M136" s="33"/>
      <c r="N136" s="33"/>
      <c r="O136" s="33"/>
      <c r="P136" s="33"/>
      <c r="Q136" s="33"/>
      <c r="R136" s="33"/>
    </row>
    <row r="137">
      <c r="A137" s="33"/>
      <c r="B137" s="33"/>
      <c r="C137" s="33"/>
      <c r="D137" s="33"/>
      <c r="E137" s="33"/>
      <c r="F137" s="33"/>
      <c r="G137" s="33"/>
      <c r="H137" s="33"/>
      <c r="I137" s="33"/>
      <c r="J137" s="33"/>
      <c r="K137" s="33"/>
      <c r="L137" s="33"/>
      <c r="M137" s="33"/>
      <c r="N137" s="33"/>
      <c r="O137" s="33"/>
      <c r="P137" s="33"/>
      <c r="Q137" s="33"/>
      <c r="R137" s="33"/>
    </row>
    <row r="138">
      <c r="A138" s="33"/>
      <c r="B138" s="33"/>
      <c r="C138" s="33"/>
      <c r="D138" s="33"/>
      <c r="E138" s="33"/>
      <c r="F138" s="33"/>
      <c r="G138" s="33"/>
      <c r="H138" s="33"/>
      <c r="I138" s="33"/>
      <c r="J138" s="33"/>
      <c r="K138" s="33"/>
      <c r="L138" s="33"/>
      <c r="M138" s="33"/>
      <c r="N138" s="33"/>
      <c r="O138" s="33"/>
      <c r="P138" s="33"/>
      <c r="Q138" s="33"/>
      <c r="R138" s="33"/>
    </row>
    <row r="139">
      <c r="A139" s="33"/>
      <c r="B139" s="33"/>
      <c r="C139" s="33"/>
      <c r="D139" s="33"/>
      <c r="E139" s="33"/>
      <c r="F139" s="33"/>
      <c r="G139" s="33"/>
      <c r="H139" s="33"/>
      <c r="I139" s="33"/>
      <c r="J139" s="33"/>
      <c r="K139" s="33"/>
      <c r="L139" s="33"/>
      <c r="M139" s="33"/>
      <c r="N139" s="33"/>
      <c r="O139" s="33"/>
      <c r="P139" s="33"/>
      <c r="Q139" s="33"/>
      <c r="R139" s="33"/>
    </row>
    <row r="140">
      <c r="A140" s="33"/>
      <c r="B140" s="33"/>
      <c r="C140" s="33"/>
      <c r="D140" s="33"/>
      <c r="E140" s="33"/>
      <c r="F140" s="33"/>
      <c r="G140" s="33"/>
      <c r="H140" s="33"/>
      <c r="I140" s="33"/>
      <c r="J140" s="33"/>
      <c r="K140" s="33"/>
      <c r="L140" s="33"/>
      <c r="M140" s="33"/>
      <c r="N140" s="33"/>
      <c r="O140" s="33"/>
      <c r="P140" s="33"/>
      <c r="Q140" s="33"/>
      <c r="R140" s="33"/>
    </row>
    <row r="141">
      <c r="A141" s="33"/>
      <c r="B141" s="33"/>
      <c r="C141" s="33"/>
      <c r="D141" s="33"/>
      <c r="E141" s="33"/>
      <c r="F141" s="33"/>
      <c r="G141" s="33"/>
      <c r="H141" s="33"/>
      <c r="I141" s="33"/>
      <c r="J141" s="33"/>
      <c r="K141" s="33"/>
      <c r="L141" s="33"/>
      <c r="M141" s="33"/>
      <c r="N141" s="33"/>
      <c r="O141" s="33"/>
      <c r="P141" s="33"/>
      <c r="Q141" s="33"/>
      <c r="R141" s="33"/>
    </row>
    <row r="142">
      <c r="A142" s="33"/>
      <c r="B142" s="33"/>
      <c r="C142" s="33"/>
      <c r="D142" s="33"/>
      <c r="E142" s="33"/>
      <c r="F142" s="33"/>
      <c r="G142" s="33"/>
      <c r="H142" s="33"/>
      <c r="I142" s="33"/>
      <c r="J142" s="33"/>
      <c r="K142" s="33"/>
      <c r="L142" s="33"/>
      <c r="M142" s="33"/>
      <c r="N142" s="33"/>
      <c r="O142" s="33"/>
      <c r="P142" s="33"/>
      <c r="Q142" s="33"/>
      <c r="R142" s="33"/>
    </row>
    <row r="143">
      <c r="A143" s="33"/>
      <c r="B143" s="33"/>
      <c r="C143" s="33"/>
      <c r="D143" s="33"/>
      <c r="E143" s="33"/>
      <c r="F143" s="33"/>
      <c r="G143" s="33"/>
      <c r="H143" s="33"/>
      <c r="I143" s="33"/>
      <c r="J143" s="33"/>
      <c r="K143" s="33"/>
      <c r="L143" s="33"/>
      <c r="M143" s="33"/>
      <c r="N143" s="33"/>
      <c r="O143" s="33"/>
      <c r="P143" s="33"/>
      <c r="Q143" s="33"/>
      <c r="R143" s="33"/>
    </row>
    <row r="144">
      <c r="A144" s="33"/>
      <c r="B144" s="33"/>
      <c r="C144" s="33"/>
      <c r="D144" s="33"/>
      <c r="E144" s="33"/>
      <c r="F144" s="33"/>
      <c r="G144" s="33"/>
      <c r="H144" s="33"/>
      <c r="I144" s="33"/>
      <c r="J144" s="33"/>
      <c r="K144" s="33"/>
      <c r="L144" s="33"/>
      <c r="M144" s="33"/>
      <c r="N144" s="33"/>
      <c r="O144" s="33"/>
      <c r="P144" s="33"/>
      <c r="Q144" s="33"/>
      <c r="R144" s="33"/>
    </row>
    <row r="145">
      <c r="A145" s="33"/>
      <c r="B145" s="33"/>
      <c r="C145" s="33"/>
      <c r="D145" s="33"/>
      <c r="E145" s="33"/>
      <c r="F145" s="33"/>
      <c r="G145" s="33"/>
      <c r="H145" s="33"/>
      <c r="I145" s="33"/>
      <c r="J145" s="33"/>
      <c r="K145" s="33"/>
      <c r="L145" s="33"/>
      <c r="M145" s="33"/>
      <c r="N145" s="33"/>
      <c r="O145" s="33"/>
      <c r="P145" s="33"/>
      <c r="Q145" s="33"/>
      <c r="R145" s="33"/>
    </row>
    <row r="146">
      <c r="A146" s="33"/>
      <c r="B146" s="33"/>
      <c r="C146" s="33"/>
      <c r="D146" s="33"/>
      <c r="E146" s="33"/>
      <c r="F146" s="33"/>
      <c r="G146" s="33"/>
      <c r="H146" s="33"/>
      <c r="I146" s="33"/>
      <c r="J146" s="33"/>
      <c r="K146" s="33"/>
      <c r="L146" s="33"/>
      <c r="M146" s="33"/>
      <c r="N146" s="33"/>
      <c r="O146" s="33"/>
      <c r="P146" s="33"/>
      <c r="Q146" s="33"/>
      <c r="R146" s="33"/>
    </row>
    <row r="147">
      <c r="A147" s="33"/>
      <c r="B147" s="33"/>
      <c r="C147" s="33"/>
      <c r="D147" s="33"/>
      <c r="E147" s="33"/>
      <c r="F147" s="33"/>
      <c r="G147" s="33"/>
      <c r="H147" s="33"/>
      <c r="I147" s="33"/>
      <c r="J147" s="33"/>
      <c r="K147" s="33"/>
      <c r="L147" s="33"/>
      <c r="M147" s="33"/>
      <c r="N147" s="33"/>
      <c r="O147" s="33"/>
      <c r="P147" s="33"/>
      <c r="Q147" s="33"/>
      <c r="R147" s="33"/>
    </row>
    <row r="148">
      <c r="A148" s="33"/>
      <c r="B148" s="33"/>
      <c r="C148" s="33"/>
      <c r="D148" s="33"/>
      <c r="E148" s="33"/>
      <c r="F148" s="33"/>
      <c r="G148" s="33"/>
      <c r="H148" s="33"/>
      <c r="I148" s="33"/>
      <c r="J148" s="33"/>
      <c r="K148" s="33"/>
      <c r="L148" s="33"/>
      <c r="M148" s="33"/>
      <c r="N148" s="33"/>
      <c r="O148" s="33"/>
      <c r="P148" s="33"/>
      <c r="Q148" s="33"/>
      <c r="R148" s="33"/>
    </row>
    <row r="149">
      <c r="A149" s="33"/>
      <c r="B149" s="33"/>
      <c r="C149" s="33"/>
      <c r="D149" s="33"/>
      <c r="E149" s="33"/>
      <c r="F149" s="33"/>
      <c r="G149" s="33"/>
      <c r="H149" s="33"/>
      <c r="I149" s="33"/>
      <c r="J149" s="33"/>
      <c r="K149" s="33"/>
      <c r="L149" s="33"/>
      <c r="M149" s="33"/>
      <c r="N149" s="33"/>
      <c r="O149" s="33"/>
      <c r="P149" s="33"/>
      <c r="Q149" s="33"/>
      <c r="R149" s="33"/>
    </row>
    <row r="150">
      <c r="A150" s="33"/>
      <c r="B150" s="33"/>
      <c r="C150" s="33"/>
      <c r="D150" s="33"/>
      <c r="E150" s="33"/>
      <c r="F150" s="33"/>
      <c r="G150" s="33"/>
      <c r="H150" s="33"/>
      <c r="I150" s="33"/>
      <c r="J150" s="33"/>
      <c r="K150" s="33"/>
      <c r="L150" s="33"/>
      <c r="M150" s="33"/>
      <c r="N150" s="33"/>
      <c r="O150" s="33"/>
      <c r="P150" s="33"/>
      <c r="Q150" s="33"/>
      <c r="R150" s="33"/>
    </row>
    <row r="151">
      <c r="A151" s="33"/>
      <c r="B151" s="33"/>
      <c r="C151" s="33"/>
      <c r="D151" s="33"/>
      <c r="E151" s="33"/>
      <c r="F151" s="33"/>
      <c r="G151" s="33"/>
      <c r="H151" s="33"/>
      <c r="I151" s="33"/>
      <c r="J151" s="33"/>
      <c r="K151" s="33"/>
      <c r="L151" s="33"/>
      <c r="M151" s="33"/>
      <c r="N151" s="33"/>
      <c r="O151" s="33"/>
      <c r="P151" s="33"/>
      <c r="Q151" s="33"/>
      <c r="R151" s="33"/>
    </row>
    <row r="152">
      <c r="A152" s="33"/>
      <c r="B152" s="33"/>
      <c r="C152" s="33"/>
      <c r="D152" s="33"/>
      <c r="E152" s="33"/>
      <c r="F152" s="33"/>
      <c r="G152" s="33"/>
      <c r="H152" s="33"/>
      <c r="I152" s="33"/>
      <c r="J152" s="33"/>
      <c r="K152" s="33"/>
      <c r="L152" s="33"/>
      <c r="M152" s="33"/>
      <c r="N152" s="33"/>
      <c r="O152" s="33"/>
      <c r="P152" s="33"/>
      <c r="Q152" s="33"/>
      <c r="R152" s="33"/>
    </row>
    <row r="153">
      <c r="A153" s="33"/>
      <c r="B153" s="33"/>
      <c r="C153" s="33"/>
      <c r="D153" s="33"/>
      <c r="E153" s="33"/>
      <c r="F153" s="33"/>
      <c r="G153" s="33"/>
      <c r="H153" s="33"/>
      <c r="I153" s="33"/>
      <c r="J153" s="33"/>
      <c r="K153" s="33"/>
      <c r="L153" s="33"/>
      <c r="M153" s="33"/>
      <c r="N153" s="33"/>
      <c r="O153" s="33"/>
      <c r="P153" s="33"/>
      <c r="Q153" s="33"/>
      <c r="R153" s="33"/>
    </row>
    <row r="154">
      <c r="A154" s="33"/>
      <c r="B154" s="33"/>
      <c r="C154" s="33"/>
      <c r="D154" s="33"/>
      <c r="E154" s="33"/>
      <c r="F154" s="33"/>
      <c r="G154" s="33"/>
      <c r="H154" s="33"/>
      <c r="I154" s="33"/>
      <c r="J154" s="33"/>
      <c r="K154" s="33"/>
      <c r="L154" s="33"/>
      <c r="M154" s="33"/>
      <c r="N154" s="33"/>
      <c r="O154" s="33"/>
      <c r="P154" s="33"/>
      <c r="Q154" s="33"/>
      <c r="R154" s="33"/>
    </row>
    <row r="155">
      <c r="A155" s="33"/>
      <c r="B155" s="33"/>
      <c r="C155" s="33"/>
      <c r="D155" s="33"/>
      <c r="E155" s="33"/>
      <c r="F155" s="33"/>
      <c r="G155" s="33"/>
      <c r="H155" s="33"/>
      <c r="I155" s="33"/>
      <c r="J155" s="33"/>
      <c r="K155" s="33"/>
      <c r="L155" s="33"/>
      <c r="M155" s="33"/>
      <c r="N155" s="33"/>
      <c r="O155" s="33"/>
      <c r="P155" s="33"/>
      <c r="Q155" s="33"/>
      <c r="R155" s="33"/>
    </row>
    <row r="156">
      <c r="A156" s="33"/>
      <c r="B156" s="33"/>
      <c r="C156" s="33"/>
      <c r="D156" s="33"/>
      <c r="E156" s="33"/>
      <c r="F156" s="33"/>
      <c r="G156" s="33"/>
      <c r="H156" s="33"/>
      <c r="I156" s="33"/>
      <c r="J156" s="33"/>
      <c r="K156" s="33"/>
      <c r="L156" s="33"/>
      <c r="M156" s="33"/>
      <c r="N156" s="33"/>
      <c r="O156" s="33"/>
      <c r="P156" s="33"/>
      <c r="Q156" s="33"/>
      <c r="R156" s="33"/>
    </row>
    <row r="157">
      <c r="A157" s="33"/>
      <c r="B157" s="33"/>
      <c r="C157" s="33"/>
      <c r="D157" s="33"/>
      <c r="E157" s="33"/>
      <c r="F157" s="33"/>
      <c r="G157" s="33"/>
      <c r="H157" s="33"/>
      <c r="I157" s="33"/>
      <c r="J157" s="33"/>
      <c r="K157" s="33"/>
      <c r="L157" s="33"/>
      <c r="M157" s="33"/>
      <c r="N157" s="33"/>
      <c r="O157" s="33"/>
      <c r="P157" s="33"/>
      <c r="Q157" s="33"/>
      <c r="R157" s="33"/>
    </row>
    <row r="158">
      <c r="A158" s="33"/>
      <c r="B158" s="33"/>
      <c r="C158" s="33"/>
      <c r="D158" s="33"/>
      <c r="E158" s="33"/>
      <c r="F158" s="33"/>
      <c r="G158" s="33"/>
      <c r="H158" s="33"/>
      <c r="I158" s="33"/>
      <c r="J158" s="33"/>
      <c r="K158" s="33"/>
      <c r="L158" s="33"/>
      <c r="M158" s="33"/>
      <c r="N158" s="33"/>
      <c r="O158" s="33"/>
      <c r="P158" s="33"/>
      <c r="Q158" s="33"/>
      <c r="R158" s="33"/>
    </row>
    <row r="159">
      <c r="A159" s="33"/>
      <c r="B159" s="33"/>
      <c r="C159" s="33"/>
      <c r="D159" s="33"/>
      <c r="E159" s="33"/>
      <c r="F159" s="33"/>
      <c r="G159" s="33"/>
      <c r="H159" s="33"/>
      <c r="I159" s="33"/>
      <c r="J159" s="33"/>
      <c r="K159" s="33"/>
      <c r="L159" s="33"/>
      <c r="M159" s="33"/>
      <c r="N159" s="33"/>
      <c r="O159" s="33"/>
      <c r="P159" s="33"/>
      <c r="Q159" s="33"/>
      <c r="R159" s="33"/>
    </row>
    <row r="160">
      <c r="A160" s="33"/>
      <c r="B160" s="33"/>
      <c r="C160" s="33"/>
      <c r="D160" s="33"/>
      <c r="E160" s="33"/>
      <c r="F160" s="33"/>
      <c r="G160" s="33"/>
      <c r="H160" s="33"/>
      <c r="I160" s="33"/>
      <c r="J160" s="33"/>
      <c r="K160" s="33"/>
      <c r="L160" s="33"/>
      <c r="M160" s="33"/>
      <c r="N160" s="33"/>
      <c r="O160" s="33"/>
      <c r="P160" s="33"/>
      <c r="Q160" s="33"/>
      <c r="R160" s="33"/>
    </row>
    <row r="161">
      <c r="A161" s="33"/>
      <c r="B161" s="33"/>
      <c r="C161" s="33"/>
      <c r="D161" s="33"/>
      <c r="E161" s="33"/>
      <c r="F161" s="33"/>
      <c r="G161" s="33"/>
      <c r="H161" s="33"/>
      <c r="I161" s="33"/>
      <c r="J161" s="33"/>
      <c r="K161" s="33"/>
      <c r="L161" s="33"/>
      <c r="M161" s="33"/>
      <c r="N161" s="33"/>
      <c r="O161" s="33"/>
      <c r="P161" s="33"/>
      <c r="Q161" s="33"/>
      <c r="R161" s="33"/>
    </row>
    <row r="162">
      <c r="A162" s="33"/>
      <c r="B162" s="33"/>
      <c r="C162" s="33"/>
      <c r="D162" s="33"/>
      <c r="E162" s="33"/>
      <c r="F162" s="33"/>
      <c r="G162" s="33"/>
      <c r="H162" s="33"/>
      <c r="I162" s="33"/>
      <c r="J162" s="33"/>
      <c r="K162" s="33"/>
      <c r="L162" s="33"/>
      <c r="M162" s="33"/>
      <c r="N162" s="33"/>
      <c r="O162" s="33"/>
      <c r="P162" s="33"/>
      <c r="Q162" s="33"/>
      <c r="R162" s="33"/>
    </row>
    <row r="163">
      <c r="A163" s="33"/>
      <c r="B163" s="33"/>
      <c r="C163" s="33"/>
      <c r="D163" s="33"/>
      <c r="E163" s="33"/>
      <c r="F163" s="33"/>
      <c r="G163" s="33"/>
      <c r="H163" s="33"/>
      <c r="I163" s="33"/>
      <c r="J163" s="33"/>
      <c r="K163" s="33"/>
      <c r="L163" s="33"/>
      <c r="M163" s="33"/>
      <c r="N163" s="33"/>
      <c r="O163" s="33"/>
      <c r="P163" s="33"/>
      <c r="Q163" s="33"/>
      <c r="R163" s="33"/>
    </row>
    <row r="164">
      <c r="A164" s="33"/>
      <c r="B164" s="33"/>
      <c r="C164" s="33"/>
      <c r="D164" s="33"/>
      <c r="E164" s="33"/>
      <c r="F164" s="33"/>
      <c r="G164" s="33"/>
      <c r="H164" s="33"/>
      <c r="I164" s="33"/>
      <c r="J164" s="33"/>
      <c r="K164" s="33"/>
      <c r="L164" s="33"/>
      <c r="M164" s="33"/>
      <c r="N164" s="33"/>
      <c r="O164" s="33"/>
      <c r="P164" s="33"/>
      <c r="Q164" s="33"/>
      <c r="R164" s="33"/>
    </row>
    <row r="165">
      <c r="A165" s="33"/>
      <c r="B165" s="33"/>
      <c r="C165" s="33"/>
      <c r="D165" s="33"/>
      <c r="E165" s="33"/>
      <c r="F165" s="33"/>
      <c r="G165" s="33"/>
      <c r="H165" s="33"/>
      <c r="I165" s="33"/>
      <c r="J165" s="33"/>
      <c r="K165" s="33"/>
      <c r="L165" s="33"/>
      <c r="M165" s="33"/>
      <c r="N165" s="33"/>
      <c r="O165" s="33"/>
      <c r="P165" s="33"/>
      <c r="Q165" s="33"/>
      <c r="R165" s="33"/>
    </row>
    <row r="166">
      <c r="A166" s="33"/>
      <c r="B166" s="33"/>
      <c r="C166" s="33"/>
      <c r="D166" s="33"/>
      <c r="E166" s="33"/>
      <c r="F166" s="33"/>
      <c r="G166" s="33"/>
      <c r="H166" s="33"/>
      <c r="I166" s="33"/>
      <c r="J166" s="33"/>
      <c r="K166" s="33"/>
      <c r="L166" s="33"/>
      <c r="M166" s="33"/>
      <c r="N166" s="33"/>
      <c r="O166" s="33"/>
      <c r="P166" s="33"/>
      <c r="Q166" s="33"/>
      <c r="R166" s="33"/>
    </row>
    <row r="167">
      <c r="A167" s="33"/>
      <c r="B167" s="33"/>
      <c r="C167" s="33"/>
      <c r="D167" s="33"/>
      <c r="E167" s="33"/>
      <c r="F167" s="33"/>
      <c r="G167" s="33"/>
      <c r="H167" s="33"/>
      <c r="I167" s="33"/>
      <c r="J167" s="33"/>
      <c r="K167" s="33"/>
      <c r="L167" s="33"/>
      <c r="M167" s="33"/>
      <c r="N167" s="33"/>
      <c r="O167" s="33"/>
      <c r="P167" s="33"/>
      <c r="Q167" s="33"/>
      <c r="R167" s="33"/>
    </row>
    <row r="168">
      <c r="A168" s="33"/>
      <c r="B168" s="33"/>
      <c r="C168" s="33"/>
      <c r="D168" s="33"/>
      <c r="E168" s="33"/>
      <c r="F168" s="33"/>
      <c r="G168" s="33"/>
      <c r="H168" s="33"/>
      <c r="I168" s="33"/>
      <c r="J168" s="33"/>
      <c r="K168" s="33"/>
      <c r="L168" s="33"/>
      <c r="M168" s="33"/>
      <c r="N168" s="33"/>
      <c r="O168" s="33"/>
      <c r="P168" s="33"/>
      <c r="Q168" s="33"/>
      <c r="R168" s="33"/>
    </row>
    <row r="169">
      <c r="A169" s="33"/>
      <c r="B169" s="33"/>
      <c r="C169" s="33"/>
      <c r="D169" s="33"/>
      <c r="E169" s="33"/>
      <c r="F169" s="33"/>
      <c r="G169" s="33"/>
      <c r="H169" s="33"/>
      <c r="I169" s="33"/>
      <c r="J169" s="33"/>
      <c r="K169" s="33"/>
      <c r="L169" s="33"/>
      <c r="M169" s="33"/>
      <c r="N169" s="33"/>
      <c r="O169" s="33"/>
      <c r="P169" s="33"/>
      <c r="Q169" s="33"/>
      <c r="R169" s="33"/>
    </row>
    <row r="170">
      <c r="A170" s="33"/>
      <c r="B170" s="33"/>
      <c r="C170" s="33"/>
      <c r="D170" s="33"/>
      <c r="E170" s="33"/>
      <c r="F170" s="33"/>
      <c r="G170" s="33"/>
      <c r="H170" s="33"/>
      <c r="I170" s="33"/>
      <c r="J170" s="33"/>
      <c r="K170" s="33"/>
      <c r="L170" s="33"/>
      <c r="M170" s="33"/>
      <c r="N170" s="33"/>
      <c r="O170" s="33"/>
      <c r="P170" s="33"/>
      <c r="Q170" s="33"/>
      <c r="R170" s="33"/>
    </row>
    <row r="171">
      <c r="A171" s="33"/>
      <c r="B171" s="33"/>
      <c r="C171" s="33"/>
      <c r="D171" s="33"/>
      <c r="E171" s="33"/>
      <c r="F171" s="33"/>
      <c r="G171" s="33"/>
      <c r="H171" s="33"/>
      <c r="I171" s="33"/>
      <c r="J171" s="33"/>
      <c r="K171" s="33"/>
      <c r="L171" s="33"/>
      <c r="M171" s="33"/>
      <c r="N171" s="33"/>
      <c r="O171" s="33"/>
      <c r="P171" s="33"/>
      <c r="Q171" s="33"/>
      <c r="R171" s="33"/>
    </row>
    <row r="172">
      <c r="A172" s="33"/>
      <c r="B172" s="33"/>
      <c r="C172" s="33"/>
      <c r="D172" s="33"/>
      <c r="E172" s="33"/>
      <c r="F172" s="33"/>
      <c r="G172" s="33"/>
      <c r="H172" s="33"/>
      <c r="I172" s="33"/>
      <c r="J172" s="33"/>
      <c r="K172" s="33"/>
      <c r="L172" s="33"/>
      <c r="M172" s="33"/>
      <c r="N172" s="33"/>
      <c r="O172" s="33"/>
      <c r="P172" s="33"/>
      <c r="Q172" s="33"/>
      <c r="R172" s="33"/>
    </row>
    <row r="173">
      <c r="A173" s="33"/>
      <c r="B173" s="33"/>
      <c r="C173" s="33"/>
      <c r="D173" s="33"/>
      <c r="E173" s="33"/>
      <c r="F173" s="33"/>
      <c r="G173" s="33"/>
      <c r="H173" s="33"/>
      <c r="I173" s="33"/>
      <c r="J173" s="33"/>
      <c r="K173" s="33"/>
      <c r="L173" s="33"/>
      <c r="M173" s="33"/>
      <c r="N173" s="33"/>
      <c r="O173" s="33"/>
      <c r="P173" s="33"/>
      <c r="Q173" s="33"/>
      <c r="R173" s="33"/>
    </row>
    <row r="174">
      <c r="A174" s="33"/>
      <c r="B174" s="33"/>
      <c r="C174" s="33"/>
      <c r="D174" s="33"/>
      <c r="E174" s="33"/>
      <c r="F174" s="33"/>
      <c r="G174" s="33"/>
      <c r="H174" s="33"/>
      <c r="I174" s="33"/>
      <c r="J174" s="33"/>
      <c r="K174" s="33"/>
      <c r="L174" s="33"/>
      <c r="M174" s="33"/>
      <c r="N174" s="33"/>
      <c r="O174" s="33"/>
      <c r="P174" s="33"/>
      <c r="Q174" s="33"/>
      <c r="R174" s="33"/>
    </row>
    <row r="175">
      <c r="A175" s="33"/>
      <c r="B175" s="33"/>
      <c r="C175" s="33"/>
      <c r="D175" s="33"/>
      <c r="E175" s="33"/>
      <c r="F175" s="33"/>
      <c r="G175" s="33"/>
      <c r="H175" s="33"/>
      <c r="I175" s="33"/>
      <c r="J175" s="33"/>
      <c r="K175" s="33"/>
      <c r="L175" s="33"/>
      <c r="M175" s="33"/>
      <c r="N175" s="33"/>
      <c r="O175" s="33"/>
      <c r="P175" s="33"/>
      <c r="Q175" s="33"/>
      <c r="R175" s="33"/>
    </row>
    <row r="176">
      <c r="A176" s="33"/>
      <c r="B176" s="33"/>
      <c r="C176" s="33"/>
      <c r="D176" s="33"/>
      <c r="E176" s="33"/>
      <c r="F176" s="33"/>
      <c r="G176" s="33"/>
      <c r="H176" s="33"/>
      <c r="I176" s="33"/>
      <c r="J176" s="33"/>
      <c r="K176" s="33"/>
      <c r="L176" s="33"/>
      <c r="M176" s="33"/>
      <c r="N176" s="33"/>
      <c r="O176" s="33"/>
      <c r="P176" s="33"/>
      <c r="Q176" s="33"/>
      <c r="R176" s="33"/>
    </row>
    <row r="177">
      <c r="A177" s="33"/>
      <c r="B177" s="33"/>
      <c r="C177" s="33"/>
      <c r="D177" s="33"/>
      <c r="E177" s="33"/>
      <c r="F177" s="33"/>
      <c r="G177" s="33"/>
      <c r="H177" s="33"/>
      <c r="I177" s="33"/>
      <c r="J177" s="33"/>
      <c r="K177" s="33"/>
      <c r="L177" s="33"/>
      <c r="M177" s="33"/>
      <c r="N177" s="33"/>
      <c r="O177" s="33"/>
      <c r="P177" s="33"/>
      <c r="Q177" s="33"/>
      <c r="R177" s="33"/>
    </row>
    <row r="178">
      <c r="A178" s="33"/>
      <c r="B178" s="33"/>
      <c r="C178" s="33"/>
      <c r="D178" s="33"/>
      <c r="E178" s="33"/>
      <c r="F178" s="33"/>
      <c r="G178" s="33"/>
      <c r="H178" s="33"/>
      <c r="I178" s="33"/>
      <c r="J178" s="33"/>
      <c r="K178" s="33"/>
      <c r="L178" s="33"/>
      <c r="M178" s="33"/>
      <c r="N178" s="33"/>
      <c r="O178" s="33"/>
      <c r="P178" s="33"/>
      <c r="Q178" s="33"/>
      <c r="R178" s="33"/>
    </row>
    <row r="179">
      <c r="A179" s="33"/>
      <c r="B179" s="33"/>
      <c r="C179" s="33"/>
      <c r="D179" s="33"/>
      <c r="E179" s="33"/>
      <c r="F179" s="33"/>
      <c r="G179" s="33"/>
      <c r="H179" s="33"/>
      <c r="I179" s="33"/>
      <c r="J179" s="33"/>
      <c r="K179" s="33"/>
      <c r="L179" s="33"/>
      <c r="M179" s="33"/>
      <c r="N179" s="33"/>
      <c r="O179" s="33"/>
      <c r="P179" s="33"/>
      <c r="Q179" s="33"/>
      <c r="R179" s="33"/>
    </row>
    <row r="180">
      <c r="A180" s="33"/>
      <c r="B180" s="33"/>
      <c r="C180" s="33"/>
      <c r="D180" s="33"/>
      <c r="E180" s="33"/>
      <c r="F180" s="33"/>
      <c r="G180" s="33"/>
      <c r="H180" s="33"/>
      <c r="I180" s="33"/>
      <c r="J180" s="33"/>
      <c r="K180" s="33"/>
      <c r="L180" s="33"/>
      <c r="M180" s="33"/>
      <c r="N180" s="33"/>
      <c r="O180" s="33"/>
      <c r="P180" s="33"/>
      <c r="Q180" s="33"/>
      <c r="R180" s="33"/>
    </row>
    <row r="181">
      <c r="A181" s="33"/>
      <c r="B181" s="33"/>
      <c r="C181" s="33"/>
      <c r="D181" s="33"/>
      <c r="E181" s="33"/>
      <c r="F181" s="33"/>
      <c r="G181" s="33"/>
      <c r="H181" s="33"/>
      <c r="I181" s="33"/>
      <c r="J181" s="33"/>
      <c r="K181" s="33"/>
      <c r="L181" s="33"/>
      <c r="M181" s="33"/>
      <c r="N181" s="33"/>
      <c r="O181" s="33"/>
      <c r="P181" s="33"/>
      <c r="Q181" s="33"/>
      <c r="R181" s="33"/>
    </row>
    <row r="182">
      <c r="A182" s="33"/>
      <c r="B182" s="33"/>
      <c r="C182" s="33"/>
      <c r="D182" s="33"/>
      <c r="E182" s="33"/>
      <c r="F182" s="33"/>
      <c r="G182" s="33"/>
      <c r="H182" s="33"/>
      <c r="I182" s="33"/>
      <c r="J182" s="33"/>
      <c r="K182" s="33"/>
      <c r="L182" s="33"/>
      <c r="M182" s="33"/>
      <c r="N182" s="33"/>
      <c r="O182" s="33"/>
      <c r="P182" s="33"/>
      <c r="Q182" s="33"/>
      <c r="R182" s="33"/>
    </row>
    <row r="183">
      <c r="A183" s="33"/>
      <c r="B183" s="33"/>
      <c r="C183" s="33"/>
      <c r="D183" s="33"/>
      <c r="E183" s="33"/>
      <c r="F183" s="33"/>
      <c r="G183" s="33"/>
      <c r="H183" s="33"/>
      <c r="I183" s="33"/>
      <c r="J183" s="33"/>
      <c r="K183" s="33"/>
      <c r="L183" s="33"/>
      <c r="M183" s="33"/>
      <c r="N183" s="33"/>
      <c r="O183" s="33"/>
      <c r="P183" s="33"/>
      <c r="Q183" s="33"/>
      <c r="R183" s="33"/>
    </row>
    <row r="184">
      <c r="A184" s="33"/>
      <c r="B184" s="33"/>
      <c r="C184" s="33"/>
      <c r="D184" s="33"/>
      <c r="E184" s="33"/>
      <c r="F184" s="33"/>
      <c r="G184" s="33"/>
      <c r="H184" s="33"/>
      <c r="I184" s="33"/>
      <c r="J184" s="33"/>
      <c r="K184" s="33"/>
      <c r="L184" s="33"/>
      <c r="M184" s="33"/>
      <c r="N184" s="33"/>
      <c r="O184" s="33"/>
      <c r="P184" s="33"/>
      <c r="Q184" s="33"/>
      <c r="R184" s="33"/>
    </row>
    <row r="185">
      <c r="A185" s="33"/>
      <c r="B185" s="33"/>
      <c r="C185" s="33"/>
      <c r="D185" s="33"/>
      <c r="E185" s="33"/>
      <c r="F185" s="33"/>
      <c r="G185" s="33"/>
      <c r="H185" s="33"/>
      <c r="I185" s="33"/>
      <c r="J185" s="33"/>
      <c r="K185" s="33"/>
      <c r="L185" s="33"/>
      <c r="M185" s="33"/>
      <c r="N185" s="33"/>
      <c r="O185" s="33"/>
      <c r="P185" s="33"/>
      <c r="Q185" s="33"/>
      <c r="R185" s="33"/>
    </row>
    <row r="186">
      <c r="A186" s="33"/>
      <c r="B186" s="33"/>
      <c r="C186" s="33"/>
      <c r="D186" s="33"/>
      <c r="E186" s="33"/>
      <c r="F186" s="33"/>
      <c r="G186" s="33"/>
      <c r="H186" s="33"/>
      <c r="I186" s="33"/>
      <c r="J186" s="33"/>
      <c r="K186" s="33"/>
      <c r="L186" s="33"/>
      <c r="M186" s="33"/>
      <c r="N186" s="33"/>
      <c r="O186" s="33"/>
      <c r="P186" s="33"/>
      <c r="Q186" s="33"/>
      <c r="R186" s="33"/>
    </row>
    <row r="187">
      <c r="A187" s="33"/>
      <c r="B187" s="33"/>
      <c r="C187" s="33"/>
      <c r="D187" s="33"/>
      <c r="E187" s="33"/>
      <c r="F187" s="33"/>
      <c r="G187" s="33"/>
      <c r="H187" s="33"/>
      <c r="I187" s="33"/>
      <c r="J187" s="33"/>
      <c r="K187" s="33"/>
      <c r="L187" s="33"/>
      <c r="M187" s="33"/>
      <c r="N187" s="33"/>
      <c r="O187" s="33"/>
      <c r="P187" s="33"/>
      <c r="Q187" s="33"/>
      <c r="R187" s="33"/>
    </row>
    <row r="188">
      <c r="A188" s="33"/>
      <c r="B188" s="33"/>
      <c r="C188" s="33"/>
      <c r="D188" s="33"/>
      <c r="E188" s="33"/>
      <c r="F188" s="33"/>
      <c r="G188" s="33"/>
      <c r="H188" s="33"/>
      <c r="I188" s="33"/>
      <c r="J188" s="33"/>
      <c r="K188" s="33"/>
      <c r="L188" s="33"/>
      <c r="M188" s="33"/>
      <c r="N188" s="33"/>
      <c r="O188" s="33"/>
      <c r="P188" s="33"/>
      <c r="Q188" s="33"/>
      <c r="R188" s="33"/>
    </row>
    <row r="189">
      <c r="A189" s="33"/>
      <c r="B189" s="33"/>
      <c r="C189" s="33"/>
      <c r="D189" s="33"/>
      <c r="E189" s="33"/>
      <c r="F189" s="33"/>
      <c r="G189" s="33"/>
      <c r="H189" s="33"/>
      <c r="I189" s="33"/>
      <c r="J189" s="33"/>
      <c r="K189" s="33"/>
      <c r="L189" s="33"/>
      <c r="M189" s="33"/>
      <c r="N189" s="33"/>
      <c r="O189" s="33"/>
      <c r="P189" s="33"/>
      <c r="Q189" s="33"/>
      <c r="R189" s="33"/>
    </row>
    <row r="190">
      <c r="A190" s="33"/>
      <c r="B190" s="33"/>
      <c r="C190" s="33"/>
      <c r="D190" s="33"/>
      <c r="E190" s="33"/>
      <c r="F190" s="33"/>
      <c r="G190" s="33"/>
      <c r="H190" s="33"/>
      <c r="I190" s="33"/>
      <c r="J190" s="33"/>
      <c r="K190" s="33"/>
      <c r="L190" s="33"/>
      <c r="M190" s="33"/>
      <c r="N190" s="33"/>
      <c r="O190" s="33"/>
      <c r="P190" s="33"/>
      <c r="Q190" s="33"/>
      <c r="R190" s="33"/>
    </row>
    <row r="191">
      <c r="A191" s="33"/>
      <c r="B191" s="33"/>
      <c r="C191" s="33"/>
      <c r="D191" s="33"/>
      <c r="E191" s="33"/>
      <c r="F191" s="33"/>
      <c r="G191" s="33"/>
      <c r="H191" s="33"/>
      <c r="I191" s="33"/>
      <c r="J191" s="33"/>
      <c r="K191" s="33"/>
      <c r="L191" s="33"/>
      <c r="M191" s="33"/>
      <c r="N191" s="33"/>
      <c r="O191" s="33"/>
      <c r="P191" s="33"/>
      <c r="Q191" s="33"/>
      <c r="R191" s="33"/>
    </row>
    <row r="192">
      <c r="A192" s="33"/>
      <c r="B192" s="33"/>
      <c r="C192" s="33"/>
      <c r="D192" s="33"/>
      <c r="E192" s="33"/>
      <c r="F192" s="33"/>
      <c r="G192" s="33"/>
      <c r="H192" s="33"/>
      <c r="I192" s="33"/>
      <c r="J192" s="33"/>
      <c r="K192" s="33"/>
      <c r="L192" s="33"/>
      <c r="M192" s="33"/>
      <c r="N192" s="33"/>
      <c r="O192" s="33"/>
      <c r="P192" s="33"/>
      <c r="Q192" s="33"/>
      <c r="R192" s="33"/>
    </row>
    <row r="193">
      <c r="A193" s="33"/>
      <c r="B193" s="33"/>
      <c r="C193" s="33"/>
      <c r="D193" s="33"/>
      <c r="E193" s="33"/>
      <c r="F193" s="33"/>
      <c r="G193" s="33"/>
      <c r="H193" s="33"/>
      <c r="I193" s="33"/>
      <c r="J193" s="33"/>
      <c r="K193" s="33"/>
      <c r="L193" s="33"/>
      <c r="M193" s="33"/>
      <c r="N193" s="33"/>
      <c r="O193" s="33"/>
      <c r="P193" s="33"/>
      <c r="Q193" s="33"/>
      <c r="R193" s="33"/>
    </row>
    <row r="194">
      <c r="A194" s="33"/>
      <c r="B194" s="33"/>
      <c r="C194" s="33"/>
      <c r="D194" s="33"/>
      <c r="E194" s="33"/>
      <c r="F194" s="33"/>
      <c r="G194" s="33"/>
      <c r="H194" s="33"/>
      <c r="I194" s="33"/>
      <c r="J194" s="33"/>
      <c r="K194" s="33"/>
      <c r="L194" s="33"/>
      <c r="M194" s="33"/>
      <c r="N194" s="33"/>
      <c r="O194" s="33"/>
      <c r="P194" s="33"/>
      <c r="Q194" s="33"/>
      <c r="R194" s="33"/>
    </row>
    <row r="195">
      <c r="A195" s="33"/>
      <c r="B195" s="33"/>
      <c r="C195" s="33"/>
      <c r="D195" s="33"/>
      <c r="E195" s="33"/>
      <c r="F195" s="33"/>
      <c r="G195" s="33"/>
      <c r="H195" s="33"/>
      <c r="I195" s="33"/>
      <c r="J195" s="33"/>
      <c r="K195" s="33"/>
      <c r="L195" s="33"/>
      <c r="M195" s="33"/>
      <c r="N195" s="33"/>
      <c r="O195" s="33"/>
      <c r="P195" s="33"/>
      <c r="Q195" s="33"/>
      <c r="R195" s="33"/>
    </row>
    <row r="196">
      <c r="A196" s="33"/>
      <c r="B196" s="33"/>
      <c r="C196" s="33"/>
      <c r="D196" s="33"/>
      <c r="E196" s="33"/>
      <c r="F196" s="33"/>
      <c r="G196" s="33"/>
      <c r="H196" s="33"/>
      <c r="I196" s="33"/>
      <c r="J196" s="33"/>
      <c r="K196" s="33"/>
      <c r="L196" s="33"/>
      <c r="M196" s="33"/>
      <c r="N196" s="33"/>
      <c r="O196" s="33"/>
      <c r="P196" s="33"/>
      <c r="Q196" s="33"/>
      <c r="R196" s="33"/>
    </row>
    <row r="197">
      <c r="A197" s="33"/>
      <c r="B197" s="33"/>
      <c r="C197" s="33"/>
      <c r="D197" s="33"/>
      <c r="E197" s="33"/>
      <c r="F197" s="33"/>
      <c r="G197" s="33"/>
      <c r="H197" s="33"/>
      <c r="I197" s="33"/>
      <c r="J197" s="33"/>
      <c r="K197" s="33"/>
      <c r="L197" s="33"/>
      <c r="M197" s="33"/>
      <c r="N197" s="33"/>
      <c r="O197" s="33"/>
      <c r="P197" s="33"/>
      <c r="Q197" s="33"/>
      <c r="R197" s="33"/>
    </row>
    <row r="198">
      <c r="A198" s="33"/>
      <c r="B198" s="33"/>
      <c r="C198" s="33"/>
      <c r="D198" s="33"/>
      <c r="E198" s="33"/>
      <c r="F198" s="33"/>
      <c r="G198" s="33"/>
      <c r="H198" s="33"/>
      <c r="I198" s="33"/>
      <c r="J198" s="33"/>
      <c r="K198" s="33"/>
      <c r="L198" s="33"/>
      <c r="M198" s="33"/>
      <c r="N198" s="33"/>
      <c r="O198" s="33"/>
      <c r="P198" s="33"/>
      <c r="Q198" s="33"/>
      <c r="R198" s="33"/>
    </row>
    <row r="199">
      <c r="A199" s="33"/>
      <c r="B199" s="33"/>
      <c r="C199" s="33"/>
      <c r="D199" s="33"/>
      <c r="E199" s="33"/>
      <c r="F199" s="33"/>
      <c r="G199" s="33"/>
      <c r="H199" s="33"/>
      <c r="I199" s="33"/>
      <c r="J199" s="33"/>
      <c r="K199" s="33"/>
      <c r="L199" s="33"/>
      <c r="M199" s="33"/>
      <c r="N199" s="33"/>
      <c r="O199" s="33"/>
      <c r="P199" s="33"/>
      <c r="Q199" s="33"/>
      <c r="R199" s="33"/>
    </row>
    <row r="200">
      <c r="A200" s="33"/>
      <c r="B200" s="33"/>
      <c r="C200" s="33"/>
      <c r="D200" s="33"/>
      <c r="E200" s="33"/>
      <c r="F200" s="33"/>
      <c r="G200" s="33"/>
      <c r="H200" s="33"/>
      <c r="I200" s="33"/>
      <c r="J200" s="33"/>
      <c r="K200" s="33"/>
      <c r="L200" s="33"/>
      <c r="M200" s="33"/>
      <c r="N200" s="33"/>
      <c r="O200" s="33"/>
      <c r="P200" s="33"/>
      <c r="Q200" s="33"/>
      <c r="R200" s="33"/>
    </row>
    <row r="201">
      <c r="A201" s="33"/>
      <c r="B201" s="33"/>
      <c r="C201" s="33"/>
      <c r="D201" s="33"/>
      <c r="E201" s="33"/>
      <c r="F201" s="33"/>
      <c r="G201" s="33"/>
      <c r="H201" s="33"/>
      <c r="I201" s="33"/>
      <c r="J201" s="33"/>
      <c r="K201" s="33"/>
      <c r="L201" s="33"/>
      <c r="M201" s="33"/>
      <c r="N201" s="33"/>
      <c r="O201" s="33"/>
      <c r="P201" s="33"/>
      <c r="Q201" s="33"/>
      <c r="R201" s="33"/>
    </row>
    <row r="202">
      <c r="A202" s="33"/>
      <c r="B202" s="33"/>
      <c r="C202" s="33"/>
      <c r="D202" s="33"/>
      <c r="E202" s="33"/>
      <c r="F202" s="33"/>
      <c r="G202" s="33"/>
      <c r="H202" s="33"/>
      <c r="I202" s="33"/>
      <c r="J202" s="33"/>
      <c r="K202" s="33"/>
      <c r="L202" s="33"/>
      <c r="M202" s="33"/>
      <c r="N202" s="33"/>
      <c r="O202" s="33"/>
      <c r="P202" s="33"/>
      <c r="Q202" s="33"/>
      <c r="R202" s="33"/>
    </row>
    <row r="203">
      <c r="A203" s="33"/>
      <c r="B203" s="33"/>
      <c r="C203" s="33"/>
      <c r="D203" s="33"/>
      <c r="E203" s="33"/>
      <c r="F203" s="33"/>
      <c r="G203" s="33"/>
      <c r="H203" s="33"/>
      <c r="I203" s="33"/>
      <c r="J203" s="33"/>
      <c r="K203" s="33"/>
      <c r="L203" s="33"/>
      <c r="M203" s="33"/>
      <c r="N203" s="33"/>
      <c r="O203" s="33"/>
      <c r="P203" s="33"/>
      <c r="Q203" s="33"/>
      <c r="R203" s="33"/>
    </row>
    <row r="204">
      <c r="A204" s="33"/>
      <c r="B204" s="33"/>
      <c r="C204" s="33"/>
      <c r="D204" s="33"/>
      <c r="E204" s="33"/>
      <c r="F204" s="33"/>
      <c r="G204" s="33"/>
      <c r="H204" s="33"/>
      <c r="I204" s="33"/>
      <c r="J204" s="33"/>
      <c r="K204" s="33"/>
      <c r="L204" s="33"/>
      <c r="M204" s="33"/>
      <c r="N204" s="33"/>
      <c r="O204" s="33"/>
      <c r="P204" s="33"/>
      <c r="Q204" s="33"/>
      <c r="R204" s="33"/>
    </row>
    <row r="205">
      <c r="A205" s="33"/>
      <c r="B205" s="33"/>
      <c r="C205" s="33"/>
      <c r="D205" s="33"/>
      <c r="E205" s="33"/>
      <c r="F205" s="33"/>
      <c r="G205" s="33"/>
      <c r="H205" s="33"/>
      <c r="I205" s="33"/>
      <c r="J205" s="33"/>
      <c r="K205" s="33"/>
      <c r="L205" s="33"/>
      <c r="M205" s="33"/>
      <c r="N205" s="33"/>
      <c r="O205" s="33"/>
      <c r="P205" s="33"/>
      <c r="Q205" s="33"/>
      <c r="R205" s="33"/>
    </row>
    <row r="206">
      <c r="A206" s="33"/>
      <c r="B206" s="33"/>
      <c r="C206" s="33"/>
      <c r="D206" s="33"/>
      <c r="E206" s="33"/>
      <c r="F206" s="33"/>
      <c r="G206" s="33"/>
      <c r="H206" s="33"/>
      <c r="I206" s="33"/>
      <c r="J206" s="33"/>
      <c r="K206" s="33"/>
      <c r="L206" s="33"/>
      <c r="M206" s="33"/>
      <c r="N206" s="33"/>
      <c r="O206" s="33"/>
      <c r="P206" s="33"/>
      <c r="Q206" s="33"/>
      <c r="R206" s="33"/>
    </row>
    <row r="207">
      <c r="A207" s="33"/>
      <c r="B207" s="33"/>
      <c r="C207" s="33"/>
      <c r="D207" s="33"/>
      <c r="E207" s="33"/>
      <c r="F207" s="33"/>
      <c r="G207" s="33"/>
      <c r="H207" s="33"/>
      <c r="I207" s="33"/>
      <c r="J207" s="33"/>
      <c r="K207" s="33"/>
      <c r="L207" s="33"/>
      <c r="M207" s="33"/>
      <c r="N207" s="33"/>
      <c r="O207" s="33"/>
      <c r="P207" s="33"/>
      <c r="Q207" s="33"/>
      <c r="R207" s="33"/>
    </row>
    <row r="208">
      <c r="A208" s="33"/>
      <c r="B208" s="33"/>
      <c r="C208" s="33"/>
      <c r="D208" s="33"/>
      <c r="E208" s="33"/>
      <c r="F208" s="33"/>
      <c r="G208" s="33"/>
      <c r="H208" s="33"/>
      <c r="I208" s="33"/>
      <c r="J208" s="33"/>
      <c r="K208" s="33"/>
      <c r="L208" s="33"/>
      <c r="M208" s="33"/>
      <c r="N208" s="33"/>
      <c r="O208" s="33"/>
      <c r="P208" s="33"/>
      <c r="Q208" s="33"/>
      <c r="R208" s="33"/>
    </row>
    <row r="209">
      <c r="A209" s="33"/>
      <c r="B209" s="33"/>
      <c r="C209" s="33"/>
      <c r="D209" s="33"/>
      <c r="E209" s="33"/>
      <c r="F209" s="33"/>
      <c r="G209" s="33"/>
      <c r="H209" s="33"/>
      <c r="I209" s="33"/>
      <c r="J209" s="33"/>
      <c r="K209" s="33"/>
      <c r="L209" s="33"/>
      <c r="M209" s="33"/>
      <c r="N209" s="33"/>
      <c r="O209" s="33"/>
      <c r="P209" s="33"/>
      <c r="Q209" s="33"/>
      <c r="R209" s="33"/>
    </row>
    <row r="210">
      <c r="A210" s="33"/>
      <c r="B210" s="33"/>
      <c r="C210" s="33"/>
      <c r="D210" s="33"/>
      <c r="E210" s="33"/>
      <c r="F210" s="33"/>
      <c r="G210" s="33"/>
      <c r="H210" s="33"/>
      <c r="I210" s="33"/>
      <c r="J210" s="33"/>
      <c r="K210" s="33"/>
      <c r="L210" s="33"/>
      <c r="M210" s="33"/>
      <c r="N210" s="33"/>
      <c r="O210" s="33"/>
      <c r="P210" s="33"/>
      <c r="Q210" s="33"/>
      <c r="R210" s="33"/>
    </row>
    <row r="211">
      <c r="A211" s="33"/>
      <c r="B211" s="33"/>
      <c r="C211" s="33"/>
      <c r="D211" s="33"/>
      <c r="E211" s="33"/>
      <c r="F211" s="33"/>
      <c r="G211" s="33"/>
      <c r="H211" s="33"/>
      <c r="I211" s="33"/>
      <c r="J211" s="33"/>
      <c r="K211" s="33"/>
      <c r="L211" s="33"/>
      <c r="M211" s="33"/>
      <c r="N211" s="33"/>
      <c r="O211" s="33"/>
      <c r="P211" s="33"/>
      <c r="Q211" s="33"/>
      <c r="R211" s="33"/>
    </row>
    <row r="212">
      <c r="A212" s="33"/>
      <c r="B212" s="33"/>
      <c r="C212" s="33"/>
      <c r="D212" s="33"/>
      <c r="E212" s="33"/>
      <c r="F212" s="33"/>
      <c r="G212" s="33"/>
      <c r="H212" s="33"/>
      <c r="I212" s="33"/>
      <c r="J212" s="33"/>
      <c r="K212" s="33"/>
      <c r="L212" s="33"/>
      <c r="M212" s="33"/>
      <c r="N212" s="33"/>
      <c r="O212" s="33"/>
      <c r="P212" s="33"/>
      <c r="Q212" s="33"/>
      <c r="R212" s="33"/>
    </row>
    <row r="213">
      <c r="A213" s="33"/>
      <c r="B213" s="33"/>
      <c r="C213" s="33"/>
      <c r="D213" s="33"/>
      <c r="E213" s="33"/>
      <c r="F213" s="33"/>
      <c r="G213" s="33"/>
      <c r="H213" s="33"/>
      <c r="I213" s="33"/>
      <c r="J213" s="33"/>
      <c r="K213" s="33"/>
      <c r="L213" s="33"/>
      <c r="M213" s="33"/>
      <c r="N213" s="33"/>
      <c r="O213" s="33"/>
      <c r="P213" s="33"/>
      <c r="Q213" s="33"/>
      <c r="R213" s="33"/>
    </row>
    <row r="214">
      <c r="A214" s="33"/>
      <c r="B214" s="33"/>
      <c r="C214" s="33"/>
      <c r="D214" s="33"/>
      <c r="E214" s="33"/>
      <c r="F214" s="33"/>
      <c r="G214" s="33"/>
      <c r="H214" s="33"/>
      <c r="I214" s="33"/>
      <c r="J214" s="33"/>
      <c r="K214" s="33"/>
      <c r="L214" s="33"/>
      <c r="M214" s="33"/>
      <c r="N214" s="33"/>
      <c r="O214" s="33"/>
      <c r="P214" s="33"/>
      <c r="Q214" s="33"/>
      <c r="R214" s="33"/>
    </row>
    <row r="215">
      <c r="A215" s="33"/>
      <c r="B215" s="33"/>
      <c r="C215" s="33"/>
      <c r="D215" s="33"/>
      <c r="E215" s="33"/>
      <c r="F215" s="33"/>
      <c r="G215" s="33"/>
      <c r="H215" s="33"/>
      <c r="I215" s="33"/>
      <c r="J215" s="33"/>
      <c r="K215" s="33"/>
      <c r="L215" s="33"/>
      <c r="M215" s="33"/>
      <c r="N215" s="33"/>
      <c r="O215" s="33"/>
      <c r="P215" s="33"/>
      <c r="Q215" s="33"/>
      <c r="R215" s="33"/>
    </row>
    <row r="216">
      <c r="A216" s="33"/>
      <c r="B216" s="33"/>
      <c r="C216" s="33"/>
      <c r="D216" s="33"/>
      <c r="E216" s="33"/>
      <c r="F216" s="33"/>
      <c r="G216" s="33"/>
      <c r="H216" s="33"/>
      <c r="I216" s="33"/>
      <c r="J216" s="33"/>
      <c r="K216" s="33"/>
      <c r="L216" s="33"/>
      <c r="M216" s="33"/>
      <c r="N216" s="33"/>
      <c r="O216" s="33"/>
      <c r="P216" s="33"/>
      <c r="Q216" s="33"/>
      <c r="R216" s="33"/>
    </row>
    <row r="217">
      <c r="A217" s="33"/>
      <c r="B217" s="33"/>
      <c r="C217" s="33"/>
      <c r="D217" s="33"/>
      <c r="E217" s="33"/>
      <c r="F217" s="33"/>
      <c r="G217" s="33"/>
      <c r="H217" s="33"/>
      <c r="I217" s="33"/>
      <c r="J217" s="33"/>
      <c r="K217" s="33"/>
      <c r="L217" s="33"/>
      <c r="M217" s="33"/>
      <c r="N217" s="33"/>
      <c r="O217" s="33"/>
      <c r="P217" s="33"/>
      <c r="Q217" s="33"/>
      <c r="R217" s="33"/>
    </row>
    <row r="218">
      <c r="A218" s="33"/>
      <c r="B218" s="33"/>
      <c r="C218" s="33"/>
      <c r="D218" s="33"/>
      <c r="E218" s="33"/>
      <c r="F218" s="33"/>
      <c r="G218" s="33"/>
      <c r="H218" s="33"/>
      <c r="I218" s="33"/>
      <c r="J218" s="33"/>
      <c r="K218" s="33"/>
      <c r="L218" s="33"/>
      <c r="M218" s="33"/>
      <c r="N218" s="33"/>
      <c r="O218" s="33"/>
      <c r="P218" s="33"/>
      <c r="Q218" s="33"/>
      <c r="R218" s="33"/>
    </row>
    <row r="219">
      <c r="A219" s="33"/>
      <c r="B219" s="33"/>
      <c r="C219" s="33"/>
      <c r="D219" s="33"/>
      <c r="E219" s="33"/>
      <c r="F219" s="33"/>
      <c r="G219" s="33"/>
      <c r="H219" s="33"/>
      <c r="I219" s="33"/>
      <c r="J219" s="33"/>
      <c r="K219" s="33"/>
      <c r="L219" s="33"/>
      <c r="M219" s="33"/>
      <c r="N219" s="33"/>
      <c r="O219" s="33"/>
      <c r="P219" s="33"/>
      <c r="Q219" s="33"/>
      <c r="R219" s="33"/>
    </row>
    <row r="220">
      <c r="A220" s="33"/>
      <c r="B220" s="33"/>
      <c r="C220" s="33"/>
      <c r="D220" s="33"/>
      <c r="E220" s="33"/>
      <c r="F220" s="33"/>
      <c r="G220" s="33"/>
      <c r="H220" s="33"/>
      <c r="I220" s="33"/>
      <c r="J220" s="33"/>
      <c r="K220" s="33"/>
      <c r="L220" s="33"/>
      <c r="M220" s="33"/>
      <c r="N220" s="33"/>
      <c r="O220" s="33"/>
      <c r="P220" s="33"/>
      <c r="Q220" s="33"/>
      <c r="R220" s="33"/>
    </row>
    <row r="221">
      <c r="A221" s="33"/>
      <c r="B221" s="33"/>
      <c r="C221" s="33"/>
      <c r="D221" s="33"/>
      <c r="E221" s="33"/>
      <c r="F221" s="33"/>
      <c r="G221" s="33"/>
      <c r="H221" s="33"/>
      <c r="I221" s="33"/>
      <c r="J221" s="33"/>
      <c r="K221" s="33"/>
      <c r="L221" s="33"/>
      <c r="M221" s="33"/>
      <c r="N221" s="33"/>
      <c r="O221" s="33"/>
      <c r="P221" s="33"/>
      <c r="Q221" s="33"/>
      <c r="R221" s="33"/>
    </row>
    <row r="222">
      <c r="A222" s="33"/>
      <c r="B222" s="33"/>
      <c r="C222" s="33"/>
      <c r="D222" s="33"/>
      <c r="E222" s="33"/>
      <c r="F222" s="33"/>
      <c r="G222" s="33"/>
      <c r="H222" s="33"/>
      <c r="I222" s="33"/>
      <c r="J222" s="33"/>
      <c r="K222" s="33"/>
      <c r="L222" s="33"/>
      <c r="M222" s="33"/>
      <c r="N222" s="33"/>
      <c r="O222" s="33"/>
      <c r="P222" s="33"/>
      <c r="Q222" s="33"/>
      <c r="R222" s="33"/>
    </row>
    <row r="223">
      <c r="A223" s="33"/>
      <c r="B223" s="33"/>
      <c r="C223" s="33"/>
      <c r="D223" s="33"/>
      <c r="E223" s="33"/>
      <c r="F223" s="33"/>
      <c r="G223" s="33"/>
      <c r="H223" s="33"/>
      <c r="I223" s="33"/>
      <c r="J223" s="33"/>
      <c r="K223" s="33"/>
      <c r="L223" s="33"/>
      <c r="M223" s="33"/>
      <c r="N223" s="33"/>
      <c r="O223" s="33"/>
      <c r="P223" s="33"/>
      <c r="Q223" s="33"/>
      <c r="R223" s="33"/>
    </row>
    <row r="224">
      <c r="A224" s="33"/>
      <c r="B224" s="33"/>
      <c r="C224" s="33"/>
      <c r="D224" s="33"/>
      <c r="E224" s="33"/>
      <c r="F224" s="33"/>
      <c r="G224" s="33"/>
      <c r="H224" s="33"/>
      <c r="I224" s="33"/>
      <c r="J224" s="33"/>
      <c r="K224" s="33"/>
      <c r="L224" s="33"/>
      <c r="M224" s="33"/>
      <c r="N224" s="33"/>
      <c r="O224" s="33"/>
      <c r="P224" s="33"/>
      <c r="Q224" s="33"/>
      <c r="R224" s="33"/>
    </row>
    <row r="225">
      <c r="A225" s="33"/>
      <c r="B225" s="33"/>
      <c r="C225" s="33"/>
      <c r="D225" s="33"/>
      <c r="E225" s="33"/>
      <c r="F225" s="33"/>
      <c r="G225" s="33"/>
      <c r="H225" s="33"/>
      <c r="I225" s="33"/>
      <c r="J225" s="33"/>
      <c r="K225" s="33"/>
      <c r="L225" s="33"/>
      <c r="M225" s="33"/>
      <c r="N225" s="33"/>
      <c r="O225" s="33"/>
      <c r="P225" s="33"/>
      <c r="Q225" s="33"/>
      <c r="R225" s="33"/>
    </row>
    <row r="226">
      <c r="A226" s="33"/>
      <c r="B226" s="33"/>
      <c r="C226" s="33"/>
      <c r="D226" s="33"/>
      <c r="E226" s="33"/>
      <c r="F226" s="33"/>
      <c r="G226" s="33"/>
      <c r="H226" s="33"/>
      <c r="I226" s="33"/>
      <c r="J226" s="33"/>
      <c r="K226" s="33"/>
      <c r="L226" s="33"/>
      <c r="M226" s="33"/>
      <c r="N226" s="33"/>
      <c r="O226" s="33"/>
      <c r="P226" s="33"/>
      <c r="Q226" s="33"/>
      <c r="R226" s="33"/>
    </row>
    <row r="227">
      <c r="A227" s="33"/>
      <c r="B227" s="33"/>
      <c r="C227" s="33"/>
      <c r="D227" s="33"/>
      <c r="E227" s="33"/>
      <c r="F227" s="33"/>
      <c r="G227" s="33"/>
      <c r="H227" s="33"/>
      <c r="I227" s="33"/>
      <c r="J227" s="33"/>
      <c r="K227" s="33"/>
      <c r="L227" s="33"/>
      <c r="M227" s="33"/>
      <c r="N227" s="33"/>
      <c r="O227" s="33"/>
      <c r="P227" s="33"/>
      <c r="Q227" s="33"/>
      <c r="R227" s="33"/>
    </row>
    <row r="228">
      <c r="A228" s="33"/>
      <c r="B228" s="33"/>
      <c r="C228" s="33"/>
      <c r="D228" s="33"/>
      <c r="E228" s="33"/>
      <c r="F228" s="33"/>
      <c r="G228" s="33"/>
      <c r="H228" s="33"/>
      <c r="I228" s="33"/>
      <c r="J228" s="33"/>
      <c r="K228" s="33"/>
      <c r="L228" s="33"/>
      <c r="M228" s="33"/>
      <c r="N228" s="33"/>
      <c r="O228" s="33"/>
      <c r="P228" s="33"/>
      <c r="Q228" s="33"/>
      <c r="R228" s="33"/>
    </row>
    <row r="229">
      <c r="A229" s="33"/>
      <c r="B229" s="33"/>
      <c r="C229" s="33"/>
      <c r="D229" s="33"/>
      <c r="E229" s="33"/>
      <c r="F229" s="33"/>
      <c r="G229" s="33"/>
      <c r="H229" s="33"/>
      <c r="I229" s="33"/>
      <c r="J229" s="33"/>
      <c r="K229" s="33"/>
      <c r="L229" s="33"/>
      <c r="M229" s="33"/>
      <c r="N229" s="33"/>
      <c r="O229" s="33"/>
      <c r="P229" s="33"/>
      <c r="Q229" s="33"/>
      <c r="R229" s="33"/>
    </row>
    <row r="230">
      <c r="A230" s="33"/>
      <c r="B230" s="33"/>
      <c r="C230" s="33"/>
      <c r="D230" s="33"/>
      <c r="E230" s="33"/>
      <c r="F230" s="33"/>
      <c r="G230" s="33"/>
      <c r="H230" s="33"/>
      <c r="I230" s="33"/>
      <c r="J230" s="33"/>
      <c r="K230" s="33"/>
      <c r="L230" s="33"/>
      <c r="M230" s="33"/>
      <c r="N230" s="33"/>
      <c r="O230" s="33"/>
      <c r="P230" s="33"/>
      <c r="Q230" s="33"/>
      <c r="R230" s="33"/>
    </row>
    <row r="231">
      <c r="A231" s="33"/>
      <c r="B231" s="33"/>
      <c r="C231" s="33"/>
      <c r="D231" s="33"/>
      <c r="E231" s="33"/>
      <c r="F231" s="33"/>
      <c r="G231" s="33"/>
      <c r="H231" s="33"/>
      <c r="I231" s="33"/>
      <c r="J231" s="33"/>
      <c r="K231" s="33"/>
      <c r="L231" s="33"/>
      <c r="M231" s="33"/>
      <c r="N231" s="33"/>
      <c r="O231" s="33"/>
      <c r="P231" s="33"/>
      <c r="Q231" s="33"/>
      <c r="R231" s="33"/>
    </row>
    <row r="232">
      <c r="A232" s="33"/>
      <c r="B232" s="33"/>
      <c r="C232" s="33"/>
      <c r="D232" s="33"/>
      <c r="E232" s="33"/>
      <c r="F232" s="33"/>
      <c r="G232" s="33"/>
      <c r="H232" s="33"/>
      <c r="I232" s="33"/>
      <c r="J232" s="33"/>
      <c r="K232" s="33"/>
      <c r="L232" s="33"/>
      <c r="M232" s="33"/>
      <c r="N232" s="33"/>
      <c r="O232" s="33"/>
      <c r="P232" s="33"/>
      <c r="Q232" s="33"/>
      <c r="R232" s="33"/>
    </row>
    <row r="233">
      <c r="A233" s="33"/>
      <c r="B233" s="33"/>
      <c r="C233" s="33"/>
      <c r="D233" s="33"/>
      <c r="E233" s="33"/>
      <c r="F233" s="33"/>
      <c r="G233" s="33"/>
      <c r="H233" s="33"/>
      <c r="I233" s="33"/>
      <c r="J233" s="33"/>
      <c r="K233" s="33"/>
      <c r="L233" s="33"/>
      <c r="M233" s="33"/>
      <c r="N233" s="33"/>
      <c r="O233" s="33"/>
      <c r="P233" s="33"/>
      <c r="Q233" s="33"/>
      <c r="R233" s="33"/>
    </row>
    <row r="234">
      <c r="A234" s="33"/>
      <c r="B234" s="33"/>
      <c r="C234" s="33"/>
      <c r="D234" s="33"/>
      <c r="E234" s="33"/>
      <c r="F234" s="33"/>
      <c r="G234" s="33"/>
      <c r="H234" s="33"/>
      <c r="I234" s="33"/>
      <c r="J234" s="33"/>
      <c r="K234" s="33"/>
      <c r="L234" s="33"/>
      <c r="M234" s="33"/>
      <c r="N234" s="33"/>
      <c r="O234" s="33"/>
      <c r="P234" s="33"/>
      <c r="Q234" s="33"/>
      <c r="R234" s="33"/>
    </row>
    <row r="235">
      <c r="A235" s="33"/>
      <c r="B235" s="33"/>
      <c r="C235" s="33"/>
      <c r="D235" s="33"/>
      <c r="E235" s="33"/>
      <c r="F235" s="33"/>
      <c r="G235" s="33"/>
      <c r="H235" s="33"/>
      <c r="I235" s="33"/>
      <c r="J235" s="33"/>
      <c r="K235" s="33"/>
      <c r="L235" s="33"/>
      <c r="M235" s="33"/>
      <c r="N235" s="33"/>
      <c r="O235" s="33"/>
      <c r="P235" s="33"/>
      <c r="Q235" s="33"/>
      <c r="R235" s="33"/>
    </row>
    <row r="236">
      <c r="A236" s="33"/>
      <c r="B236" s="33"/>
      <c r="C236" s="33"/>
      <c r="D236" s="33"/>
      <c r="E236" s="33"/>
      <c r="F236" s="33"/>
      <c r="G236" s="33"/>
      <c r="H236" s="33"/>
      <c r="I236" s="33"/>
      <c r="J236" s="33"/>
      <c r="K236" s="33"/>
      <c r="L236" s="33"/>
      <c r="M236" s="33"/>
      <c r="N236" s="33"/>
      <c r="O236" s="33"/>
      <c r="P236" s="33"/>
      <c r="Q236" s="33"/>
      <c r="R236" s="33"/>
    </row>
    <row r="237">
      <c r="A237" s="33"/>
      <c r="B237" s="33"/>
      <c r="C237" s="33"/>
      <c r="D237" s="33"/>
      <c r="E237" s="33"/>
      <c r="F237" s="33"/>
      <c r="G237" s="33"/>
      <c r="H237" s="33"/>
      <c r="I237" s="33"/>
      <c r="J237" s="33"/>
      <c r="K237" s="33"/>
      <c r="L237" s="33"/>
      <c r="M237" s="33"/>
      <c r="N237" s="33"/>
      <c r="O237" s="33"/>
      <c r="P237" s="33"/>
      <c r="Q237" s="33"/>
      <c r="R237" s="33"/>
    </row>
    <row r="238">
      <c r="A238" s="33"/>
      <c r="B238" s="33"/>
      <c r="C238" s="33"/>
      <c r="D238" s="33"/>
      <c r="E238" s="33"/>
      <c r="F238" s="33"/>
      <c r="G238" s="33"/>
      <c r="H238" s="33"/>
      <c r="I238" s="33"/>
      <c r="J238" s="33"/>
      <c r="K238" s="33"/>
      <c r="L238" s="33"/>
      <c r="M238" s="33"/>
      <c r="N238" s="33"/>
      <c r="O238" s="33"/>
      <c r="P238" s="33"/>
      <c r="Q238" s="33"/>
      <c r="R238" s="33"/>
    </row>
    <row r="239">
      <c r="A239" s="33"/>
      <c r="B239" s="33"/>
      <c r="C239" s="33"/>
      <c r="D239" s="33"/>
      <c r="E239" s="33"/>
      <c r="F239" s="33"/>
      <c r="G239" s="33"/>
      <c r="H239" s="33"/>
      <c r="I239" s="33"/>
      <c r="J239" s="33"/>
      <c r="K239" s="33"/>
      <c r="L239" s="33"/>
      <c r="M239" s="33"/>
      <c r="N239" s="33"/>
      <c r="O239" s="33"/>
      <c r="P239" s="33"/>
      <c r="Q239" s="33"/>
      <c r="R239" s="33"/>
    </row>
    <row r="240">
      <c r="A240" s="33"/>
      <c r="B240" s="33"/>
      <c r="C240" s="33"/>
      <c r="D240" s="33"/>
      <c r="E240" s="33"/>
      <c r="F240" s="33"/>
      <c r="G240" s="33"/>
      <c r="H240" s="33"/>
      <c r="I240" s="33"/>
      <c r="J240" s="33"/>
      <c r="K240" s="33"/>
      <c r="L240" s="33"/>
      <c r="M240" s="33"/>
      <c r="N240" s="33"/>
      <c r="O240" s="33"/>
      <c r="P240" s="33"/>
      <c r="Q240" s="33"/>
      <c r="R240" s="33"/>
    </row>
    <row r="241">
      <c r="A241" s="33"/>
      <c r="B241" s="33"/>
      <c r="C241" s="33"/>
      <c r="D241" s="33"/>
      <c r="E241" s="33"/>
      <c r="F241" s="33"/>
      <c r="G241" s="33"/>
      <c r="H241" s="33"/>
      <c r="I241" s="33"/>
      <c r="J241" s="33"/>
      <c r="K241" s="33"/>
      <c r="L241" s="33"/>
      <c r="M241" s="33"/>
      <c r="N241" s="33"/>
      <c r="O241" s="33"/>
      <c r="P241" s="33"/>
      <c r="Q241" s="33"/>
      <c r="R241" s="33"/>
    </row>
    <row r="242">
      <c r="A242" s="33"/>
      <c r="B242" s="33"/>
      <c r="C242" s="33"/>
      <c r="D242" s="33"/>
      <c r="E242" s="33"/>
      <c r="F242" s="33"/>
      <c r="G242" s="33"/>
      <c r="H242" s="33"/>
      <c r="I242" s="33"/>
      <c r="J242" s="33"/>
      <c r="K242" s="33"/>
      <c r="L242" s="33"/>
      <c r="M242" s="33"/>
      <c r="N242" s="33"/>
      <c r="O242" s="33"/>
      <c r="P242" s="33"/>
      <c r="Q242" s="33"/>
      <c r="R242" s="33"/>
    </row>
    <row r="243">
      <c r="A243" s="33"/>
      <c r="B243" s="33"/>
      <c r="C243" s="33"/>
      <c r="D243" s="33"/>
      <c r="E243" s="33"/>
      <c r="F243" s="33"/>
      <c r="G243" s="33"/>
      <c r="H243" s="33"/>
      <c r="I243" s="33"/>
      <c r="J243" s="33"/>
      <c r="K243" s="33"/>
      <c r="L243" s="33"/>
      <c r="M243" s="33"/>
      <c r="N243" s="33"/>
      <c r="O243" s="33"/>
      <c r="P243" s="33"/>
      <c r="Q243" s="33"/>
      <c r="R243" s="33"/>
    </row>
    <row r="244">
      <c r="A244" s="33"/>
      <c r="B244" s="33"/>
      <c r="C244" s="33"/>
      <c r="D244" s="33"/>
      <c r="E244" s="33"/>
      <c r="F244" s="33"/>
      <c r="G244" s="33"/>
      <c r="H244" s="33"/>
      <c r="I244" s="33"/>
      <c r="J244" s="33"/>
      <c r="K244" s="33"/>
      <c r="L244" s="33"/>
      <c r="M244" s="33"/>
      <c r="N244" s="33"/>
      <c r="O244" s="33"/>
      <c r="P244" s="33"/>
      <c r="Q244" s="33"/>
      <c r="R244" s="33"/>
    </row>
    <row r="245">
      <c r="A245" s="33"/>
      <c r="B245" s="33"/>
      <c r="C245" s="33"/>
      <c r="D245" s="33"/>
      <c r="E245" s="33"/>
      <c r="F245" s="33"/>
      <c r="G245" s="33"/>
      <c r="H245" s="33"/>
      <c r="I245" s="33"/>
      <c r="J245" s="33"/>
      <c r="K245" s="33"/>
      <c r="L245" s="33"/>
      <c r="M245" s="33"/>
      <c r="N245" s="33"/>
      <c r="O245" s="33"/>
      <c r="P245" s="33"/>
      <c r="Q245" s="33"/>
      <c r="R245" s="33"/>
    </row>
    <row r="246">
      <c r="A246" s="33"/>
      <c r="B246" s="33"/>
      <c r="C246" s="33"/>
      <c r="D246" s="33"/>
      <c r="E246" s="33"/>
      <c r="F246" s="33"/>
      <c r="G246" s="33"/>
      <c r="H246" s="33"/>
      <c r="I246" s="33"/>
      <c r="J246" s="33"/>
      <c r="K246" s="33"/>
      <c r="L246" s="33"/>
      <c r="M246" s="33"/>
      <c r="N246" s="33"/>
      <c r="O246" s="33"/>
      <c r="P246" s="33"/>
      <c r="Q246" s="33"/>
      <c r="R246" s="33"/>
    </row>
    <row r="247">
      <c r="A247" s="33"/>
      <c r="B247" s="33"/>
      <c r="C247" s="33"/>
      <c r="D247" s="33"/>
      <c r="E247" s="33"/>
      <c r="F247" s="33"/>
      <c r="G247" s="33"/>
      <c r="H247" s="33"/>
      <c r="I247" s="33"/>
      <c r="J247" s="33"/>
      <c r="K247" s="33"/>
      <c r="L247" s="33"/>
      <c r="M247" s="33"/>
      <c r="N247" s="33"/>
      <c r="O247" s="33"/>
      <c r="P247" s="33"/>
      <c r="Q247" s="33"/>
      <c r="R247" s="33"/>
    </row>
    <row r="248">
      <c r="A248" s="33"/>
      <c r="B248" s="33"/>
      <c r="C248" s="33"/>
      <c r="D248" s="33"/>
      <c r="E248" s="33"/>
      <c r="F248" s="33"/>
      <c r="G248" s="33"/>
      <c r="H248" s="33"/>
      <c r="I248" s="33"/>
      <c r="J248" s="33"/>
      <c r="K248" s="33"/>
      <c r="L248" s="33"/>
      <c r="M248" s="33"/>
      <c r="N248" s="33"/>
      <c r="O248" s="33"/>
      <c r="P248" s="33"/>
      <c r="Q248" s="33"/>
      <c r="R248" s="33"/>
    </row>
    <row r="249">
      <c r="A249" s="33"/>
      <c r="B249" s="33"/>
      <c r="C249" s="33"/>
      <c r="D249" s="33"/>
      <c r="E249" s="33"/>
      <c r="F249" s="33"/>
      <c r="G249" s="33"/>
      <c r="H249" s="33"/>
      <c r="I249" s="33"/>
      <c r="J249" s="33"/>
      <c r="K249" s="33"/>
      <c r="L249" s="33"/>
      <c r="M249" s="33"/>
      <c r="N249" s="33"/>
      <c r="O249" s="33"/>
      <c r="P249" s="33"/>
      <c r="Q249" s="33"/>
      <c r="R249" s="33"/>
    </row>
    <row r="250">
      <c r="A250" s="33"/>
      <c r="B250" s="33"/>
      <c r="C250" s="33"/>
      <c r="D250" s="33"/>
      <c r="E250" s="33"/>
      <c r="F250" s="33"/>
      <c r="G250" s="33"/>
      <c r="H250" s="33"/>
      <c r="I250" s="33"/>
      <c r="J250" s="33"/>
      <c r="K250" s="33"/>
      <c r="L250" s="33"/>
      <c r="M250" s="33"/>
      <c r="N250" s="33"/>
      <c r="O250" s="33"/>
      <c r="P250" s="33"/>
      <c r="Q250" s="33"/>
      <c r="R250" s="33"/>
    </row>
    <row r="251">
      <c r="A251" s="33"/>
      <c r="B251" s="33"/>
      <c r="C251" s="33"/>
      <c r="D251" s="33"/>
      <c r="E251" s="33"/>
      <c r="F251" s="33"/>
      <c r="G251" s="33"/>
      <c r="H251" s="33"/>
      <c r="I251" s="33"/>
      <c r="J251" s="33"/>
      <c r="K251" s="33"/>
      <c r="L251" s="33"/>
      <c r="M251" s="33"/>
      <c r="N251" s="33"/>
      <c r="O251" s="33"/>
      <c r="P251" s="33"/>
      <c r="Q251" s="33"/>
      <c r="R251" s="33"/>
    </row>
    <row r="252">
      <c r="A252" s="33"/>
      <c r="B252" s="33"/>
      <c r="C252" s="33"/>
      <c r="D252" s="33"/>
      <c r="E252" s="33"/>
      <c r="F252" s="33"/>
      <c r="G252" s="33"/>
      <c r="H252" s="33"/>
      <c r="I252" s="33"/>
      <c r="J252" s="33"/>
      <c r="K252" s="33"/>
      <c r="L252" s="33"/>
      <c r="M252" s="33"/>
      <c r="N252" s="33"/>
      <c r="O252" s="33"/>
      <c r="P252" s="33"/>
      <c r="Q252" s="33"/>
      <c r="R252" s="33"/>
    </row>
    <row r="253">
      <c r="A253" s="33"/>
      <c r="B253" s="33"/>
      <c r="C253" s="33"/>
      <c r="D253" s="33"/>
      <c r="E253" s="33"/>
      <c r="F253" s="33"/>
      <c r="G253" s="33"/>
      <c r="H253" s="33"/>
      <c r="I253" s="33"/>
      <c r="J253" s="33"/>
      <c r="K253" s="33"/>
      <c r="L253" s="33"/>
      <c r="M253" s="33"/>
      <c r="N253" s="33"/>
      <c r="O253" s="33"/>
      <c r="P253" s="33"/>
      <c r="Q253" s="33"/>
      <c r="R253" s="33"/>
    </row>
    <row r="254">
      <c r="A254" s="33"/>
      <c r="B254" s="33"/>
      <c r="C254" s="33"/>
      <c r="D254" s="33"/>
      <c r="E254" s="33"/>
      <c r="F254" s="33"/>
      <c r="G254" s="33"/>
      <c r="H254" s="33"/>
      <c r="I254" s="33"/>
      <c r="J254" s="33"/>
      <c r="K254" s="33"/>
      <c r="L254" s="33"/>
      <c r="M254" s="33"/>
      <c r="N254" s="33"/>
      <c r="O254" s="33"/>
      <c r="P254" s="33"/>
      <c r="Q254" s="33"/>
      <c r="R254" s="33"/>
    </row>
    <row r="255">
      <c r="A255" s="33"/>
      <c r="B255" s="33"/>
      <c r="C255" s="33"/>
      <c r="D255" s="33"/>
      <c r="E255" s="33"/>
      <c r="F255" s="33"/>
      <c r="G255" s="33"/>
      <c r="H255" s="33"/>
      <c r="I255" s="33"/>
      <c r="J255" s="33"/>
      <c r="K255" s="33"/>
      <c r="L255" s="33"/>
      <c r="M255" s="33"/>
      <c r="N255" s="33"/>
      <c r="O255" s="33"/>
      <c r="P255" s="33"/>
      <c r="Q255" s="33"/>
      <c r="R255" s="33"/>
    </row>
    <row r="256">
      <c r="A256" s="33"/>
      <c r="B256" s="33"/>
      <c r="C256" s="33"/>
      <c r="D256" s="33"/>
      <c r="E256" s="33"/>
      <c r="F256" s="33"/>
      <c r="G256" s="33"/>
      <c r="H256" s="33"/>
      <c r="I256" s="33"/>
      <c r="J256" s="33"/>
      <c r="K256" s="33"/>
      <c r="L256" s="33"/>
      <c r="M256" s="33"/>
      <c r="N256" s="33"/>
      <c r="O256" s="33"/>
      <c r="P256" s="33"/>
      <c r="Q256" s="33"/>
      <c r="R256" s="33"/>
    </row>
    <row r="257">
      <c r="A257" s="33"/>
      <c r="B257" s="33"/>
      <c r="C257" s="33"/>
      <c r="D257" s="33"/>
      <c r="E257" s="33"/>
      <c r="F257" s="33"/>
      <c r="G257" s="33"/>
      <c r="H257" s="33"/>
      <c r="I257" s="33"/>
      <c r="J257" s="33"/>
      <c r="K257" s="33"/>
      <c r="L257" s="33"/>
      <c r="M257" s="33"/>
      <c r="N257" s="33"/>
      <c r="O257" s="33"/>
      <c r="P257" s="33"/>
      <c r="Q257" s="33"/>
      <c r="R257" s="33"/>
    </row>
    <row r="258">
      <c r="A258" s="33"/>
      <c r="B258" s="33"/>
      <c r="C258" s="33"/>
      <c r="D258" s="33"/>
      <c r="E258" s="33"/>
      <c r="F258" s="33"/>
      <c r="G258" s="33"/>
      <c r="H258" s="33"/>
      <c r="I258" s="33"/>
      <c r="J258" s="33"/>
      <c r="K258" s="33"/>
      <c r="L258" s="33"/>
      <c r="M258" s="33"/>
      <c r="N258" s="33"/>
      <c r="O258" s="33"/>
      <c r="P258" s="33"/>
      <c r="Q258" s="33"/>
      <c r="R258" s="33"/>
    </row>
    <row r="259">
      <c r="A259" s="33"/>
      <c r="B259" s="33"/>
      <c r="C259" s="33"/>
      <c r="D259" s="33"/>
      <c r="E259" s="33"/>
      <c r="F259" s="33"/>
      <c r="G259" s="33"/>
      <c r="H259" s="33"/>
      <c r="I259" s="33"/>
      <c r="J259" s="33"/>
      <c r="K259" s="33"/>
      <c r="L259" s="33"/>
      <c r="M259" s="33"/>
      <c r="N259" s="33"/>
      <c r="O259" s="33"/>
      <c r="P259" s="33"/>
      <c r="Q259" s="33"/>
      <c r="R259" s="33"/>
    </row>
    <row r="260">
      <c r="A260" s="33"/>
      <c r="B260" s="33"/>
      <c r="C260" s="33"/>
      <c r="D260" s="33"/>
      <c r="E260" s="33"/>
      <c r="F260" s="33"/>
      <c r="G260" s="33"/>
      <c r="H260" s="33"/>
      <c r="I260" s="33"/>
      <c r="J260" s="33"/>
      <c r="K260" s="33"/>
      <c r="L260" s="33"/>
      <c r="M260" s="33"/>
      <c r="N260" s="33"/>
      <c r="O260" s="33"/>
      <c r="P260" s="33"/>
      <c r="Q260" s="33"/>
      <c r="R260" s="33"/>
    </row>
    <row r="261">
      <c r="A261" s="33"/>
      <c r="B261" s="33"/>
      <c r="C261" s="33"/>
      <c r="D261" s="33"/>
      <c r="E261" s="33"/>
      <c r="F261" s="33"/>
      <c r="G261" s="33"/>
      <c r="H261" s="33"/>
      <c r="I261" s="33"/>
      <c r="J261" s="33"/>
      <c r="K261" s="33"/>
      <c r="L261" s="33"/>
      <c r="M261" s="33"/>
      <c r="N261" s="33"/>
      <c r="O261" s="33"/>
      <c r="P261" s="33"/>
      <c r="Q261" s="33"/>
      <c r="R261" s="33"/>
    </row>
    <row r="262">
      <c r="A262" s="33"/>
      <c r="B262" s="33"/>
      <c r="C262" s="33"/>
      <c r="D262" s="33"/>
      <c r="E262" s="33"/>
      <c r="F262" s="33"/>
      <c r="G262" s="33"/>
      <c r="H262" s="33"/>
      <c r="I262" s="33"/>
      <c r="J262" s="33"/>
      <c r="K262" s="33"/>
      <c r="L262" s="33"/>
      <c r="M262" s="33"/>
      <c r="N262" s="33"/>
      <c r="O262" s="33"/>
      <c r="P262" s="33"/>
      <c r="Q262" s="33"/>
      <c r="R262" s="33"/>
    </row>
    <row r="263">
      <c r="A263" s="33"/>
      <c r="B263" s="33"/>
      <c r="C263" s="33"/>
      <c r="D263" s="33"/>
      <c r="E263" s="33"/>
      <c r="F263" s="33"/>
      <c r="G263" s="33"/>
      <c r="H263" s="33"/>
      <c r="I263" s="33"/>
      <c r="J263" s="33"/>
      <c r="K263" s="33"/>
      <c r="L263" s="33"/>
      <c r="M263" s="33"/>
      <c r="N263" s="33"/>
      <c r="O263" s="33"/>
      <c r="P263" s="33"/>
      <c r="Q263" s="33"/>
      <c r="R263" s="33"/>
    </row>
    <row r="264">
      <c r="A264" s="33"/>
      <c r="B264" s="33"/>
      <c r="C264" s="33"/>
      <c r="D264" s="33"/>
      <c r="E264" s="33"/>
      <c r="F264" s="33"/>
      <c r="G264" s="33"/>
      <c r="H264" s="33"/>
      <c r="I264" s="33"/>
      <c r="J264" s="33"/>
      <c r="K264" s="33"/>
      <c r="L264" s="33"/>
      <c r="M264" s="33"/>
      <c r="N264" s="33"/>
      <c r="O264" s="33"/>
      <c r="P264" s="33"/>
      <c r="Q264" s="33"/>
      <c r="R264" s="33"/>
    </row>
    <row r="265">
      <c r="A265" s="33"/>
      <c r="B265" s="33"/>
      <c r="C265" s="33"/>
      <c r="D265" s="33"/>
      <c r="E265" s="33"/>
      <c r="F265" s="33"/>
      <c r="G265" s="33"/>
      <c r="H265" s="33"/>
      <c r="I265" s="33"/>
      <c r="J265" s="33"/>
      <c r="K265" s="33"/>
      <c r="L265" s="33"/>
      <c r="M265" s="33"/>
      <c r="N265" s="33"/>
      <c r="O265" s="33"/>
      <c r="P265" s="33"/>
      <c r="Q265" s="33"/>
      <c r="R265" s="33"/>
    </row>
    <row r="266">
      <c r="A266" s="33"/>
      <c r="B266" s="33"/>
      <c r="C266" s="33"/>
      <c r="D266" s="33"/>
      <c r="E266" s="33"/>
      <c r="F266" s="33"/>
      <c r="G266" s="33"/>
      <c r="H266" s="33"/>
      <c r="I266" s="33"/>
      <c r="J266" s="33"/>
      <c r="K266" s="33"/>
      <c r="L266" s="33"/>
      <c r="M266" s="33"/>
      <c r="N266" s="33"/>
      <c r="O266" s="33"/>
      <c r="P266" s="33"/>
      <c r="Q266" s="33"/>
      <c r="R266" s="33"/>
    </row>
    <row r="267">
      <c r="A267" s="33"/>
      <c r="B267" s="33"/>
      <c r="C267" s="33"/>
      <c r="D267" s="33"/>
      <c r="E267" s="33"/>
      <c r="F267" s="33"/>
      <c r="G267" s="33"/>
      <c r="H267" s="33"/>
      <c r="I267" s="33"/>
      <c r="J267" s="33"/>
      <c r="K267" s="33"/>
      <c r="L267" s="33"/>
      <c r="M267" s="33"/>
      <c r="N267" s="33"/>
      <c r="O267" s="33"/>
      <c r="P267" s="33"/>
      <c r="Q267" s="33"/>
      <c r="R267" s="33"/>
    </row>
    <row r="268">
      <c r="A268" s="33"/>
      <c r="B268" s="33"/>
      <c r="C268" s="33"/>
      <c r="D268" s="33"/>
      <c r="E268" s="33"/>
      <c r="F268" s="33"/>
      <c r="G268" s="33"/>
      <c r="H268" s="33"/>
      <c r="I268" s="33"/>
      <c r="J268" s="33"/>
      <c r="K268" s="33"/>
      <c r="L268" s="33"/>
      <c r="M268" s="33"/>
      <c r="N268" s="33"/>
      <c r="O268" s="33"/>
      <c r="P268" s="33"/>
      <c r="Q268" s="33"/>
      <c r="R268" s="33"/>
    </row>
    <row r="269">
      <c r="A269" s="33"/>
      <c r="B269" s="33"/>
      <c r="C269" s="33"/>
      <c r="D269" s="33"/>
      <c r="E269" s="33"/>
      <c r="F269" s="33"/>
      <c r="G269" s="33"/>
      <c r="H269" s="33"/>
      <c r="I269" s="33"/>
      <c r="J269" s="33"/>
      <c r="K269" s="33"/>
      <c r="L269" s="33"/>
      <c r="M269" s="33"/>
      <c r="N269" s="33"/>
      <c r="O269" s="33"/>
      <c r="P269" s="33"/>
      <c r="Q269" s="33"/>
      <c r="R269" s="33"/>
    </row>
    <row r="270">
      <c r="A270" s="33"/>
      <c r="B270" s="33"/>
      <c r="C270" s="33"/>
      <c r="D270" s="33"/>
      <c r="E270" s="33"/>
      <c r="F270" s="33"/>
      <c r="G270" s="33"/>
      <c r="H270" s="33"/>
      <c r="I270" s="33"/>
      <c r="J270" s="33"/>
      <c r="K270" s="33"/>
      <c r="L270" s="33"/>
      <c r="M270" s="33"/>
      <c r="N270" s="33"/>
      <c r="O270" s="33"/>
      <c r="P270" s="33"/>
      <c r="Q270" s="33"/>
      <c r="R270" s="33"/>
    </row>
    <row r="271">
      <c r="A271" s="33"/>
      <c r="B271" s="33"/>
      <c r="C271" s="33"/>
      <c r="D271" s="33"/>
      <c r="E271" s="33"/>
      <c r="F271" s="33"/>
      <c r="G271" s="33"/>
      <c r="H271" s="33"/>
      <c r="I271" s="33"/>
      <c r="J271" s="33"/>
      <c r="K271" s="33"/>
      <c r="L271" s="33"/>
      <c r="M271" s="33"/>
      <c r="N271" s="33"/>
      <c r="O271" s="33"/>
      <c r="P271" s="33"/>
      <c r="Q271" s="33"/>
      <c r="R271" s="33"/>
    </row>
    <row r="272">
      <c r="A272" s="33"/>
      <c r="B272" s="33"/>
      <c r="C272" s="33"/>
      <c r="D272" s="33"/>
      <c r="E272" s="33"/>
      <c r="F272" s="33"/>
      <c r="G272" s="33"/>
      <c r="H272" s="33"/>
      <c r="I272" s="33"/>
      <c r="J272" s="33"/>
      <c r="K272" s="33"/>
      <c r="L272" s="33"/>
      <c r="M272" s="33"/>
      <c r="N272" s="33"/>
      <c r="O272" s="33"/>
      <c r="P272" s="33"/>
      <c r="Q272" s="33"/>
      <c r="R272" s="33"/>
    </row>
    <row r="273">
      <c r="A273" s="33"/>
      <c r="B273" s="33"/>
      <c r="C273" s="33"/>
      <c r="D273" s="33"/>
      <c r="E273" s="33"/>
      <c r="F273" s="33"/>
      <c r="G273" s="33"/>
      <c r="H273" s="33"/>
      <c r="I273" s="33"/>
      <c r="J273" s="33"/>
      <c r="K273" s="33"/>
      <c r="L273" s="33"/>
      <c r="M273" s="33"/>
      <c r="N273" s="33"/>
      <c r="O273" s="33"/>
      <c r="P273" s="33"/>
      <c r="Q273" s="33"/>
      <c r="R273" s="33"/>
    </row>
    <row r="274">
      <c r="A274" s="33"/>
      <c r="B274" s="33"/>
      <c r="C274" s="33"/>
      <c r="D274" s="33"/>
      <c r="E274" s="33"/>
      <c r="F274" s="33"/>
      <c r="G274" s="33"/>
      <c r="H274" s="33"/>
      <c r="I274" s="33"/>
      <c r="J274" s="33"/>
      <c r="K274" s="33"/>
      <c r="L274" s="33"/>
      <c r="M274" s="33"/>
      <c r="N274" s="33"/>
      <c r="O274" s="33"/>
      <c r="P274" s="33"/>
      <c r="Q274" s="33"/>
      <c r="R274" s="33"/>
    </row>
    <row r="275">
      <c r="A275" s="33"/>
      <c r="B275" s="33"/>
      <c r="C275" s="33"/>
      <c r="D275" s="33"/>
      <c r="E275" s="33"/>
      <c r="F275" s="33"/>
      <c r="G275" s="33"/>
      <c r="H275" s="33"/>
      <c r="I275" s="33"/>
      <c r="J275" s="33"/>
      <c r="K275" s="33"/>
      <c r="L275" s="33"/>
      <c r="M275" s="33"/>
      <c r="N275" s="33"/>
      <c r="O275" s="33"/>
      <c r="P275" s="33"/>
      <c r="Q275" s="33"/>
      <c r="R275" s="33"/>
    </row>
    <row r="276">
      <c r="A276" s="33"/>
      <c r="B276" s="33"/>
      <c r="C276" s="33"/>
      <c r="D276" s="33"/>
      <c r="E276" s="33"/>
      <c r="F276" s="33"/>
      <c r="G276" s="33"/>
      <c r="H276" s="33"/>
      <c r="I276" s="33"/>
      <c r="J276" s="33"/>
      <c r="K276" s="33"/>
      <c r="L276" s="33"/>
      <c r="M276" s="33"/>
      <c r="N276" s="33"/>
      <c r="O276" s="33"/>
      <c r="P276" s="33"/>
      <c r="Q276" s="33"/>
      <c r="R276" s="33"/>
    </row>
    <row r="277">
      <c r="A277" s="33"/>
      <c r="B277" s="33"/>
      <c r="C277" s="33"/>
      <c r="D277" s="33"/>
      <c r="E277" s="33"/>
      <c r="F277" s="33"/>
      <c r="G277" s="33"/>
      <c r="H277" s="33"/>
      <c r="I277" s="33"/>
      <c r="J277" s="33"/>
      <c r="K277" s="33"/>
      <c r="L277" s="33"/>
      <c r="M277" s="33"/>
      <c r="N277" s="33"/>
      <c r="O277" s="33"/>
      <c r="P277" s="33"/>
      <c r="Q277" s="33"/>
      <c r="R277" s="33"/>
    </row>
    <row r="278">
      <c r="A278" s="33"/>
      <c r="B278" s="33"/>
      <c r="C278" s="33"/>
      <c r="D278" s="33"/>
      <c r="E278" s="33"/>
      <c r="F278" s="33"/>
      <c r="G278" s="33"/>
      <c r="H278" s="33"/>
      <c r="I278" s="33"/>
      <c r="J278" s="33"/>
      <c r="K278" s="33"/>
      <c r="L278" s="33"/>
      <c r="M278" s="33"/>
      <c r="N278" s="33"/>
      <c r="O278" s="33"/>
      <c r="P278" s="33"/>
      <c r="Q278" s="33"/>
      <c r="R278" s="33"/>
    </row>
    <row r="279">
      <c r="A279" s="33"/>
      <c r="B279" s="33"/>
      <c r="C279" s="33"/>
      <c r="D279" s="33"/>
      <c r="E279" s="33"/>
      <c r="F279" s="33"/>
      <c r="G279" s="33"/>
      <c r="H279" s="33"/>
      <c r="I279" s="33"/>
      <c r="J279" s="33"/>
      <c r="K279" s="33"/>
      <c r="L279" s="33"/>
      <c r="M279" s="33"/>
      <c r="N279" s="33"/>
      <c r="O279" s="33"/>
      <c r="P279" s="33"/>
      <c r="Q279" s="33"/>
      <c r="R279" s="33"/>
    </row>
    <row r="280">
      <c r="A280" s="33"/>
      <c r="B280" s="33"/>
      <c r="C280" s="33"/>
      <c r="D280" s="33"/>
      <c r="E280" s="33"/>
      <c r="F280" s="33"/>
      <c r="G280" s="33"/>
      <c r="H280" s="33"/>
      <c r="I280" s="33"/>
      <c r="J280" s="33"/>
      <c r="K280" s="33"/>
      <c r="L280" s="33"/>
      <c r="M280" s="33"/>
      <c r="N280" s="33"/>
      <c r="O280" s="33"/>
      <c r="P280" s="33"/>
      <c r="Q280" s="33"/>
      <c r="R280" s="33"/>
    </row>
    <row r="281">
      <c r="A281" s="33"/>
      <c r="B281" s="33"/>
      <c r="C281" s="33"/>
      <c r="D281" s="33"/>
      <c r="E281" s="33"/>
      <c r="F281" s="33"/>
      <c r="G281" s="33"/>
      <c r="H281" s="33"/>
      <c r="I281" s="33"/>
      <c r="J281" s="33"/>
      <c r="K281" s="33"/>
      <c r="L281" s="33"/>
      <c r="M281" s="33"/>
      <c r="N281" s="33"/>
      <c r="O281" s="33"/>
      <c r="P281" s="33"/>
      <c r="Q281" s="33"/>
      <c r="R281" s="33"/>
    </row>
    <row r="282">
      <c r="A282" s="33"/>
      <c r="B282" s="33"/>
      <c r="C282" s="33"/>
      <c r="D282" s="33"/>
      <c r="E282" s="33"/>
      <c r="F282" s="33"/>
      <c r="G282" s="33"/>
      <c r="H282" s="33"/>
      <c r="I282" s="33"/>
      <c r="J282" s="33"/>
      <c r="K282" s="33"/>
      <c r="L282" s="33"/>
      <c r="M282" s="33"/>
      <c r="N282" s="33"/>
      <c r="O282" s="33"/>
      <c r="P282" s="33"/>
      <c r="Q282" s="33"/>
      <c r="R282" s="33"/>
    </row>
    <row r="283">
      <c r="A283" s="33"/>
      <c r="B283" s="33"/>
      <c r="C283" s="33"/>
      <c r="D283" s="33"/>
      <c r="E283" s="33"/>
      <c r="F283" s="33"/>
      <c r="G283" s="33"/>
      <c r="H283" s="33"/>
      <c r="I283" s="33"/>
      <c r="J283" s="33"/>
      <c r="K283" s="33"/>
      <c r="L283" s="33"/>
      <c r="M283" s="33"/>
      <c r="N283" s="33"/>
      <c r="O283" s="33"/>
      <c r="P283" s="33"/>
      <c r="Q283" s="33"/>
      <c r="R283" s="33"/>
    </row>
    <row r="284">
      <c r="A284" s="33"/>
      <c r="B284" s="33"/>
      <c r="C284" s="33"/>
      <c r="D284" s="33"/>
      <c r="E284" s="33"/>
      <c r="F284" s="33"/>
      <c r="G284" s="33"/>
      <c r="H284" s="33"/>
      <c r="I284" s="33"/>
      <c r="J284" s="33"/>
      <c r="K284" s="33"/>
      <c r="L284" s="33"/>
      <c r="M284" s="33"/>
      <c r="N284" s="33"/>
      <c r="O284" s="33"/>
      <c r="P284" s="33"/>
      <c r="Q284" s="33"/>
      <c r="R284" s="33"/>
    </row>
    <row r="285">
      <c r="A285" s="33"/>
      <c r="B285" s="33"/>
      <c r="C285" s="33"/>
      <c r="D285" s="33"/>
      <c r="E285" s="33"/>
      <c r="F285" s="33"/>
      <c r="G285" s="33"/>
      <c r="H285" s="33"/>
      <c r="I285" s="33"/>
      <c r="J285" s="33"/>
      <c r="K285" s="33"/>
      <c r="L285" s="33"/>
      <c r="M285" s="33"/>
      <c r="N285" s="33"/>
      <c r="O285" s="33"/>
      <c r="P285" s="33"/>
      <c r="Q285" s="33"/>
      <c r="R285" s="33"/>
    </row>
    <row r="286">
      <c r="A286" s="33"/>
      <c r="B286" s="33"/>
      <c r="C286" s="33"/>
      <c r="D286" s="33"/>
      <c r="E286" s="33"/>
      <c r="F286" s="33"/>
      <c r="G286" s="33"/>
      <c r="H286" s="33"/>
      <c r="I286" s="33"/>
      <c r="J286" s="33"/>
      <c r="K286" s="33"/>
      <c r="L286" s="33"/>
      <c r="M286" s="33"/>
      <c r="N286" s="33"/>
      <c r="O286" s="33"/>
      <c r="P286" s="33"/>
      <c r="Q286" s="33"/>
      <c r="R286" s="33"/>
    </row>
    <row r="287">
      <c r="A287" s="33"/>
      <c r="B287" s="33"/>
      <c r="C287" s="33"/>
      <c r="D287" s="33"/>
      <c r="E287" s="33"/>
      <c r="F287" s="33"/>
      <c r="G287" s="33"/>
      <c r="H287" s="33"/>
      <c r="I287" s="33"/>
      <c r="J287" s="33"/>
      <c r="K287" s="33"/>
      <c r="L287" s="33"/>
      <c r="M287" s="33"/>
      <c r="N287" s="33"/>
      <c r="O287" s="33"/>
      <c r="P287" s="33"/>
      <c r="Q287" s="33"/>
      <c r="R287" s="33"/>
    </row>
    <row r="288">
      <c r="A288" s="33"/>
      <c r="B288" s="33"/>
      <c r="C288" s="33"/>
      <c r="D288" s="33"/>
      <c r="E288" s="33"/>
      <c r="F288" s="33"/>
      <c r="G288" s="33"/>
      <c r="H288" s="33"/>
      <c r="I288" s="33"/>
      <c r="J288" s="33"/>
      <c r="K288" s="33"/>
      <c r="L288" s="33"/>
      <c r="M288" s="33"/>
      <c r="N288" s="33"/>
      <c r="O288" s="33"/>
      <c r="P288" s="33"/>
      <c r="Q288" s="33"/>
      <c r="R288" s="33"/>
    </row>
    <row r="289">
      <c r="A289" s="33"/>
      <c r="B289" s="33"/>
      <c r="C289" s="33"/>
      <c r="D289" s="33"/>
      <c r="E289" s="33"/>
      <c r="F289" s="33"/>
      <c r="G289" s="33"/>
      <c r="H289" s="33"/>
      <c r="I289" s="33"/>
      <c r="J289" s="33"/>
      <c r="K289" s="33"/>
      <c r="L289" s="33"/>
      <c r="M289" s="33"/>
      <c r="N289" s="33"/>
      <c r="O289" s="33"/>
      <c r="P289" s="33"/>
      <c r="Q289" s="33"/>
      <c r="R289" s="33"/>
    </row>
    <row r="290">
      <c r="A290" s="33"/>
      <c r="B290" s="33"/>
      <c r="C290" s="33"/>
      <c r="D290" s="33"/>
      <c r="E290" s="33"/>
      <c r="F290" s="33"/>
      <c r="G290" s="33"/>
      <c r="H290" s="33"/>
      <c r="I290" s="33"/>
      <c r="J290" s="33"/>
      <c r="K290" s="33"/>
      <c r="L290" s="33"/>
      <c r="M290" s="33"/>
      <c r="N290" s="33"/>
      <c r="O290" s="33"/>
      <c r="P290" s="33"/>
      <c r="Q290" s="33"/>
      <c r="R290" s="33"/>
    </row>
    <row r="291">
      <c r="A291" s="33"/>
      <c r="B291" s="33"/>
      <c r="C291" s="33"/>
      <c r="D291" s="33"/>
      <c r="E291" s="33"/>
      <c r="F291" s="33"/>
      <c r="G291" s="33"/>
      <c r="H291" s="33"/>
      <c r="I291" s="33"/>
      <c r="J291" s="33"/>
      <c r="K291" s="33"/>
      <c r="L291" s="33"/>
      <c r="M291" s="33"/>
      <c r="N291" s="33"/>
      <c r="O291" s="33"/>
      <c r="P291" s="33"/>
      <c r="Q291" s="33"/>
      <c r="R291" s="33"/>
    </row>
    <row r="292">
      <c r="A292" s="33"/>
      <c r="B292" s="33"/>
      <c r="C292" s="33"/>
      <c r="D292" s="33"/>
      <c r="E292" s="33"/>
      <c r="F292" s="33"/>
      <c r="G292" s="33"/>
      <c r="H292" s="33"/>
      <c r="I292" s="33"/>
      <c r="J292" s="33"/>
      <c r="K292" s="33"/>
      <c r="L292" s="33"/>
      <c r="M292" s="33"/>
      <c r="N292" s="33"/>
      <c r="O292" s="33"/>
      <c r="P292" s="33"/>
      <c r="Q292" s="33"/>
      <c r="R292" s="33"/>
    </row>
    <row r="293">
      <c r="A293" s="33"/>
      <c r="B293" s="33"/>
      <c r="C293" s="33"/>
      <c r="D293" s="33"/>
      <c r="E293" s="33"/>
      <c r="F293" s="33"/>
      <c r="G293" s="33"/>
      <c r="H293" s="33"/>
      <c r="I293" s="33"/>
      <c r="J293" s="33"/>
      <c r="K293" s="33"/>
      <c r="L293" s="33"/>
      <c r="M293" s="33"/>
      <c r="N293" s="33"/>
      <c r="O293" s="33"/>
      <c r="P293" s="33"/>
      <c r="Q293" s="33"/>
      <c r="R293" s="33"/>
    </row>
    <row r="294">
      <c r="A294" s="33"/>
      <c r="B294" s="33"/>
      <c r="C294" s="33"/>
      <c r="D294" s="33"/>
      <c r="E294" s="33"/>
      <c r="F294" s="33"/>
      <c r="G294" s="33"/>
      <c r="H294" s="33"/>
      <c r="I294" s="33"/>
      <c r="J294" s="33"/>
      <c r="K294" s="33"/>
      <c r="L294" s="33"/>
      <c r="M294" s="33"/>
      <c r="N294" s="33"/>
      <c r="O294" s="33"/>
      <c r="P294" s="33"/>
      <c r="Q294" s="33"/>
      <c r="R294" s="33"/>
    </row>
    <row r="295">
      <c r="A295" s="33"/>
      <c r="B295" s="33"/>
      <c r="C295" s="33"/>
      <c r="D295" s="33"/>
      <c r="E295" s="33"/>
      <c r="F295" s="33"/>
      <c r="G295" s="33"/>
      <c r="H295" s="33"/>
      <c r="I295" s="33"/>
      <c r="J295" s="33"/>
      <c r="K295" s="33"/>
      <c r="L295" s="33"/>
      <c r="M295" s="33"/>
      <c r="N295" s="33"/>
      <c r="O295" s="33"/>
      <c r="P295" s="33"/>
      <c r="Q295" s="33"/>
      <c r="R295" s="33"/>
    </row>
    <row r="296">
      <c r="A296" s="33"/>
      <c r="B296" s="33"/>
      <c r="C296" s="33"/>
      <c r="D296" s="33"/>
      <c r="E296" s="33"/>
      <c r="F296" s="33"/>
      <c r="G296" s="33"/>
      <c r="H296" s="33"/>
      <c r="I296" s="33"/>
      <c r="J296" s="33"/>
      <c r="K296" s="33"/>
      <c r="L296" s="33"/>
      <c r="M296" s="33"/>
      <c r="N296" s="33"/>
      <c r="O296" s="33"/>
      <c r="P296" s="33"/>
      <c r="Q296" s="33"/>
      <c r="R296" s="33"/>
    </row>
    <row r="297">
      <c r="A297" s="33"/>
      <c r="B297" s="33"/>
      <c r="C297" s="33"/>
      <c r="D297" s="33"/>
      <c r="E297" s="33"/>
      <c r="F297" s="33"/>
      <c r="G297" s="33"/>
      <c r="H297" s="33"/>
      <c r="I297" s="33"/>
      <c r="J297" s="33"/>
      <c r="K297" s="33"/>
      <c r="L297" s="33"/>
      <c r="M297" s="33"/>
      <c r="N297" s="33"/>
      <c r="O297" s="33"/>
      <c r="P297" s="33"/>
      <c r="Q297" s="33"/>
      <c r="R297" s="33"/>
    </row>
    <row r="298">
      <c r="A298" s="33"/>
      <c r="B298" s="33"/>
      <c r="C298" s="33"/>
      <c r="D298" s="33"/>
      <c r="E298" s="33"/>
      <c r="F298" s="33"/>
      <c r="G298" s="33"/>
      <c r="H298" s="33"/>
      <c r="I298" s="33"/>
      <c r="J298" s="33"/>
      <c r="K298" s="33"/>
      <c r="L298" s="33"/>
      <c r="M298" s="33"/>
      <c r="N298" s="33"/>
      <c r="O298" s="33"/>
      <c r="P298" s="33"/>
      <c r="Q298" s="33"/>
      <c r="R298" s="33"/>
    </row>
    <row r="299">
      <c r="A299" s="33"/>
      <c r="B299" s="33"/>
      <c r="C299" s="33"/>
      <c r="D299" s="33"/>
      <c r="E299" s="33"/>
      <c r="F299" s="33"/>
      <c r="G299" s="33"/>
      <c r="H299" s="33"/>
      <c r="I299" s="33"/>
      <c r="J299" s="33"/>
      <c r="K299" s="33"/>
      <c r="L299" s="33"/>
      <c r="M299" s="33"/>
      <c r="N299" s="33"/>
      <c r="O299" s="33"/>
      <c r="P299" s="33"/>
      <c r="Q299" s="33"/>
      <c r="R299" s="33"/>
    </row>
    <row r="300">
      <c r="A300" s="33"/>
      <c r="B300" s="33"/>
      <c r="C300" s="33"/>
      <c r="D300" s="33"/>
      <c r="E300" s="33"/>
      <c r="F300" s="33"/>
      <c r="G300" s="33"/>
      <c r="H300" s="33"/>
      <c r="I300" s="33"/>
      <c r="J300" s="33"/>
      <c r="K300" s="33"/>
      <c r="L300" s="33"/>
      <c r="M300" s="33"/>
      <c r="N300" s="33"/>
      <c r="O300" s="33"/>
      <c r="P300" s="33"/>
      <c r="Q300" s="33"/>
      <c r="R300" s="33"/>
    </row>
    <row r="301">
      <c r="A301" s="33"/>
      <c r="B301" s="33"/>
      <c r="C301" s="33"/>
      <c r="D301" s="33"/>
      <c r="E301" s="33"/>
      <c r="F301" s="33"/>
      <c r="G301" s="33"/>
      <c r="H301" s="33"/>
      <c r="I301" s="33"/>
      <c r="J301" s="33"/>
      <c r="K301" s="33"/>
      <c r="L301" s="33"/>
      <c r="M301" s="33"/>
      <c r="N301" s="33"/>
      <c r="O301" s="33"/>
      <c r="P301" s="33"/>
      <c r="Q301" s="33"/>
      <c r="R301" s="33"/>
    </row>
    <row r="302">
      <c r="A302" s="33"/>
      <c r="B302" s="33"/>
      <c r="C302" s="33"/>
      <c r="D302" s="33"/>
      <c r="E302" s="33"/>
      <c r="F302" s="33"/>
      <c r="G302" s="33"/>
      <c r="H302" s="33"/>
      <c r="I302" s="33"/>
      <c r="J302" s="33"/>
      <c r="K302" s="33"/>
      <c r="L302" s="33"/>
      <c r="M302" s="33"/>
      <c r="N302" s="33"/>
      <c r="O302" s="33"/>
      <c r="P302" s="33"/>
      <c r="Q302" s="33"/>
      <c r="R302" s="33"/>
    </row>
    <row r="303">
      <c r="A303" s="33"/>
      <c r="B303" s="33"/>
      <c r="C303" s="33"/>
      <c r="D303" s="33"/>
      <c r="E303" s="33"/>
      <c r="F303" s="33"/>
      <c r="G303" s="33"/>
      <c r="H303" s="33"/>
      <c r="I303" s="33"/>
      <c r="J303" s="33"/>
      <c r="K303" s="33"/>
      <c r="L303" s="33"/>
      <c r="M303" s="33"/>
      <c r="N303" s="33"/>
      <c r="O303" s="33"/>
      <c r="P303" s="33"/>
      <c r="Q303" s="33"/>
      <c r="R303" s="33"/>
    </row>
    <row r="304">
      <c r="A304" s="33"/>
      <c r="B304" s="33"/>
      <c r="C304" s="33"/>
      <c r="D304" s="33"/>
      <c r="E304" s="33"/>
      <c r="F304" s="33"/>
      <c r="G304" s="33"/>
      <c r="H304" s="33"/>
      <c r="I304" s="33"/>
      <c r="J304" s="33"/>
      <c r="K304" s="33"/>
      <c r="L304" s="33"/>
      <c r="M304" s="33"/>
      <c r="N304" s="33"/>
      <c r="O304" s="33"/>
      <c r="P304" s="33"/>
      <c r="Q304" s="33"/>
      <c r="R304" s="33"/>
    </row>
    <row r="305">
      <c r="A305" s="33"/>
      <c r="B305" s="33"/>
      <c r="C305" s="33"/>
      <c r="D305" s="33"/>
      <c r="E305" s="33"/>
      <c r="F305" s="33"/>
      <c r="G305" s="33"/>
      <c r="H305" s="33"/>
      <c r="I305" s="33"/>
      <c r="J305" s="33"/>
      <c r="K305" s="33"/>
      <c r="L305" s="33"/>
      <c r="M305" s="33"/>
      <c r="N305" s="33"/>
      <c r="O305" s="33"/>
      <c r="P305" s="33"/>
      <c r="Q305" s="33"/>
      <c r="R305" s="33"/>
    </row>
    <row r="306">
      <c r="A306" s="33"/>
      <c r="B306" s="33"/>
      <c r="C306" s="33"/>
      <c r="D306" s="33"/>
      <c r="E306" s="33"/>
      <c r="F306" s="33"/>
      <c r="G306" s="33"/>
      <c r="H306" s="33"/>
      <c r="I306" s="33"/>
      <c r="J306" s="33"/>
      <c r="K306" s="33"/>
      <c r="L306" s="33"/>
      <c r="M306" s="33"/>
      <c r="N306" s="33"/>
      <c r="O306" s="33"/>
      <c r="P306" s="33"/>
      <c r="Q306" s="33"/>
      <c r="R306" s="33"/>
    </row>
    <row r="307">
      <c r="A307" s="33"/>
      <c r="B307" s="33"/>
      <c r="C307" s="33"/>
      <c r="D307" s="33"/>
      <c r="E307" s="33"/>
      <c r="F307" s="33"/>
      <c r="G307" s="33"/>
      <c r="H307" s="33"/>
      <c r="I307" s="33"/>
      <c r="J307" s="33"/>
      <c r="K307" s="33"/>
      <c r="L307" s="33"/>
      <c r="M307" s="33"/>
      <c r="N307" s="33"/>
      <c r="O307" s="33"/>
      <c r="P307" s="33"/>
      <c r="Q307" s="33"/>
      <c r="R307" s="33"/>
    </row>
    <row r="308">
      <c r="A308" s="33"/>
      <c r="B308" s="33"/>
      <c r="C308" s="33"/>
      <c r="D308" s="33"/>
      <c r="E308" s="33"/>
      <c r="F308" s="33"/>
      <c r="G308" s="33"/>
      <c r="H308" s="33"/>
      <c r="I308" s="33"/>
      <c r="J308" s="33"/>
      <c r="K308" s="33"/>
      <c r="L308" s="33"/>
      <c r="M308" s="33"/>
      <c r="N308" s="33"/>
      <c r="O308" s="33"/>
      <c r="P308" s="33"/>
      <c r="Q308" s="33"/>
      <c r="R308" s="33"/>
    </row>
    <row r="309">
      <c r="A309" s="33"/>
      <c r="B309" s="33"/>
      <c r="C309" s="33"/>
      <c r="D309" s="33"/>
      <c r="E309" s="33"/>
      <c r="F309" s="33"/>
      <c r="G309" s="33"/>
      <c r="H309" s="33"/>
      <c r="I309" s="33"/>
      <c r="J309" s="33"/>
      <c r="K309" s="33"/>
      <c r="L309" s="33"/>
      <c r="M309" s="33"/>
      <c r="N309" s="33"/>
      <c r="O309" s="33"/>
      <c r="P309" s="33"/>
      <c r="Q309" s="33"/>
      <c r="R309" s="33"/>
    </row>
    <row r="310">
      <c r="A310" s="33"/>
      <c r="B310" s="33"/>
      <c r="C310" s="33"/>
      <c r="D310" s="33"/>
      <c r="E310" s="33"/>
      <c r="F310" s="33"/>
      <c r="G310" s="33"/>
      <c r="H310" s="33"/>
      <c r="I310" s="33"/>
      <c r="J310" s="33"/>
      <c r="K310" s="33"/>
      <c r="L310" s="33"/>
      <c r="M310" s="33"/>
      <c r="N310" s="33"/>
      <c r="O310" s="33"/>
      <c r="P310" s="33"/>
      <c r="Q310" s="33"/>
      <c r="R310" s="33"/>
    </row>
    <row r="311">
      <c r="A311" s="33"/>
      <c r="B311" s="33"/>
      <c r="C311" s="33"/>
      <c r="D311" s="33"/>
      <c r="E311" s="33"/>
      <c r="F311" s="33"/>
      <c r="G311" s="33"/>
      <c r="H311" s="33"/>
      <c r="I311" s="33"/>
      <c r="J311" s="33"/>
      <c r="K311" s="33"/>
      <c r="L311" s="33"/>
      <c r="M311" s="33"/>
      <c r="N311" s="33"/>
      <c r="O311" s="33"/>
      <c r="P311" s="33"/>
      <c r="Q311" s="33"/>
      <c r="R311" s="33"/>
    </row>
    <row r="312">
      <c r="A312" s="33"/>
      <c r="B312" s="33"/>
      <c r="C312" s="33"/>
      <c r="D312" s="33"/>
      <c r="E312" s="33"/>
      <c r="F312" s="33"/>
      <c r="G312" s="33"/>
      <c r="H312" s="33"/>
      <c r="I312" s="33"/>
      <c r="J312" s="33"/>
      <c r="K312" s="33"/>
      <c r="L312" s="33"/>
      <c r="M312" s="33"/>
      <c r="N312" s="33"/>
      <c r="O312" s="33"/>
      <c r="P312" s="33"/>
      <c r="Q312" s="33"/>
      <c r="R312" s="33"/>
    </row>
    <row r="313">
      <c r="A313" s="33"/>
      <c r="B313" s="33"/>
      <c r="C313" s="33"/>
      <c r="D313" s="33"/>
      <c r="E313" s="33"/>
      <c r="F313" s="33"/>
      <c r="G313" s="33"/>
      <c r="H313" s="33"/>
      <c r="I313" s="33"/>
      <c r="J313" s="33"/>
      <c r="K313" s="33"/>
      <c r="L313" s="33"/>
      <c r="M313" s="33"/>
      <c r="N313" s="33"/>
      <c r="O313" s="33"/>
      <c r="P313" s="33"/>
      <c r="Q313" s="33"/>
      <c r="R313" s="33"/>
    </row>
    <row r="314">
      <c r="A314" s="33"/>
      <c r="B314" s="33"/>
      <c r="C314" s="33"/>
      <c r="D314" s="33"/>
      <c r="E314" s="33"/>
      <c r="F314" s="33"/>
      <c r="G314" s="33"/>
      <c r="H314" s="33"/>
      <c r="I314" s="33"/>
      <c r="J314" s="33"/>
      <c r="K314" s="33"/>
      <c r="L314" s="33"/>
      <c r="M314" s="33"/>
      <c r="N314" s="33"/>
      <c r="O314" s="33"/>
      <c r="P314" s="33"/>
      <c r="Q314" s="33"/>
      <c r="R314" s="33"/>
    </row>
    <row r="315">
      <c r="A315" s="33"/>
      <c r="B315" s="33"/>
      <c r="C315" s="33"/>
      <c r="D315" s="33"/>
      <c r="E315" s="33"/>
      <c r="F315" s="33"/>
      <c r="G315" s="33"/>
      <c r="H315" s="33"/>
      <c r="I315" s="33"/>
      <c r="J315" s="33"/>
      <c r="K315" s="33"/>
      <c r="L315" s="33"/>
      <c r="M315" s="33"/>
      <c r="N315" s="33"/>
      <c r="O315" s="33"/>
      <c r="P315" s="33"/>
      <c r="Q315" s="33"/>
      <c r="R315" s="33"/>
    </row>
    <row r="316">
      <c r="A316" s="33"/>
      <c r="B316" s="33"/>
      <c r="C316" s="33"/>
      <c r="D316" s="33"/>
      <c r="E316" s="33"/>
      <c r="F316" s="33"/>
      <c r="G316" s="33"/>
      <c r="H316" s="33"/>
      <c r="I316" s="33"/>
      <c r="J316" s="33"/>
      <c r="K316" s="33"/>
      <c r="L316" s="33"/>
      <c r="M316" s="33"/>
      <c r="N316" s="33"/>
      <c r="O316" s="33"/>
      <c r="P316" s="33"/>
      <c r="Q316" s="33"/>
      <c r="R316" s="33"/>
    </row>
    <row r="317">
      <c r="A317" s="33"/>
      <c r="B317" s="33"/>
      <c r="C317" s="33"/>
      <c r="D317" s="33"/>
      <c r="E317" s="33"/>
      <c r="F317" s="33"/>
      <c r="G317" s="33"/>
      <c r="H317" s="33"/>
      <c r="I317" s="33"/>
      <c r="J317" s="33"/>
      <c r="K317" s="33"/>
      <c r="L317" s="33"/>
      <c r="M317" s="33"/>
      <c r="N317" s="33"/>
      <c r="O317" s="33"/>
      <c r="P317" s="33"/>
      <c r="Q317" s="33"/>
      <c r="R317" s="33"/>
    </row>
    <row r="318">
      <c r="A318" s="33"/>
      <c r="B318" s="33"/>
      <c r="C318" s="33"/>
      <c r="D318" s="33"/>
      <c r="E318" s="33"/>
      <c r="F318" s="33"/>
      <c r="G318" s="33"/>
      <c r="H318" s="33"/>
      <c r="I318" s="33"/>
      <c r="J318" s="33"/>
      <c r="K318" s="33"/>
      <c r="L318" s="33"/>
      <c r="M318" s="33"/>
      <c r="N318" s="33"/>
      <c r="O318" s="33"/>
      <c r="P318" s="33"/>
      <c r="Q318" s="33"/>
      <c r="R318" s="33"/>
    </row>
    <row r="319">
      <c r="A319" s="33"/>
      <c r="B319" s="33"/>
      <c r="C319" s="33"/>
      <c r="D319" s="33"/>
      <c r="E319" s="33"/>
      <c r="F319" s="33"/>
      <c r="G319" s="33"/>
      <c r="H319" s="33"/>
      <c r="I319" s="33"/>
      <c r="J319" s="33"/>
      <c r="K319" s="33"/>
      <c r="L319" s="33"/>
      <c r="M319" s="33"/>
      <c r="N319" s="33"/>
      <c r="O319" s="33"/>
      <c r="P319" s="33"/>
      <c r="Q319" s="33"/>
      <c r="R319" s="33"/>
    </row>
    <row r="320">
      <c r="A320" s="33"/>
      <c r="B320" s="33"/>
      <c r="C320" s="33"/>
      <c r="D320" s="33"/>
      <c r="E320" s="33"/>
      <c r="F320" s="33"/>
      <c r="G320" s="33"/>
      <c r="H320" s="33"/>
      <c r="I320" s="33"/>
      <c r="J320" s="33"/>
      <c r="K320" s="33"/>
      <c r="L320" s="33"/>
      <c r="M320" s="33"/>
      <c r="N320" s="33"/>
      <c r="O320" s="33"/>
      <c r="P320" s="33"/>
      <c r="Q320" s="33"/>
      <c r="R320" s="33"/>
    </row>
    <row r="321">
      <c r="A321" s="33"/>
      <c r="B321" s="33"/>
      <c r="C321" s="33"/>
      <c r="D321" s="33"/>
      <c r="E321" s="33"/>
      <c r="F321" s="33"/>
      <c r="G321" s="33"/>
      <c r="H321" s="33"/>
      <c r="I321" s="33"/>
      <c r="J321" s="33"/>
      <c r="K321" s="33"/>
      <c r="L321" s="33"/>
      <c r="M321" s="33"/>
      <c r="N321" s="33"/>
      <c r="O321" s="33"/>
      <c r="P321" s="33"/>
      <c r="Q321" s="33"/>
      <c r="R321" s="33"/>
    </row>
    <row r="322">
      <c r="A322" s="33"/>
      <c r="B322" s="33"/>
      <c r="C322" s="33"/>
      <c r="D322" s="33"/>
      <c r="E322" s="33"/>
      <c r="F322" s="33"/>
      <c r="G322" s="33"/>
      <c r="H322" s="33"/>
      <c r="I322" s="33"/>
      <c r="J322" s="33"/>
      <c r="K322" s="33"/>
      <c r="L322" s="33"/>
      <c r="M322" s="33"/>
      <c r="N322" s="33"/>
      <c r="O322" s="33"/>
      <c r="P322" s="33"/>
      <c r="Q322" s="33"/>
      <c r="R322" s="33"/>
    </row>
    <row r="323">
      <c r="A323" s="33"/>
      <c r="B323" s="33"/>
      <c r="C323" s="33"/>
      <c r="D323" s="33"/>
      <c r="E323" s="33"/>
      <c r="F323" s="33"/>
      <c r="G323" s="33"/>
      <c r="H323" s="33"/>
      <c r="I323" s="33"/>
      <c r="J323" s="33"/>
      <c r="K323" s="33"/>
      <c r="L323" s="33"/>
      <c r="M323" s="33"/>
      <c r="N323" s="33"/>
      <c r="O323" s="33"/>
      <c r="P323" s="33"/>
      <c r="Q323" s="33"/>
      <c r="R323" s="33"/>
    </row>
    <row r="324">
      <c r="A324" s="33"/>
      <c r="B324" s="33"/>
      <c r="C324" s="33"/>
      <c r="D324" s="33"/>
      <c r="E324" s="33"/>
      <c r="F324" s="33"/>
      <c r="G324" s="33"/>
      <c r="H324" s="33"/>
      <c r="I324" s="33"/>
      <c r="J324" s="33"/>
      <c r="K324" s="33"/>
      <c r="L324" s="33"/>
      <c r="M324" s="33"/>
      <c r="N324" s="33"/>
      <c r="O324" s="33"/>
      <c r="P324" s="33"/>
      <c r="Q324" s="33"/>
      <c r="R324" s="33"/>
    </row>
    <row r="325">
      <c r="A325" s="33"/>
      <c r="B325" s="33"/>
      <c r="C325" s="33"/>
      <c r="D325" s="33"/>
      <c r="E325" s="33"/>
      <c r="F325" s="33"/>
      <c r="G325" s="33"/>
      <c r="H325" s="33"/>
      <c r="I325" s="33"/>
      <c r="J325" s="33"/>
      <c r="K325" s="33"/>
      <c r="L325" s="33"/>
      <c r="M325" s="33"/>
      <c r="N325" s="33"/>
      <c r="O325" s="33"/>
      <c r="P325" s="33"/>
      <c r="Q325" s="33"/>
      <c r="R325" s="33"/>
    </row>
    <row r="326">
      <c r="A326" s="33"/>
      <c r="B326" s="33"/>
      <c r="C326" s="33"/>
      <c r="D326" s="33"/>
      <c r="E326" s="33"/>
      <c r="F326" s="33"/>
      <c r="G326" s="33"/>
      <c r="H326" s="33"/>
      <c r="I326" s="33"/>
      <c r="J326" s="33"/>
      <c r="K326" s="33"/>
      <c r="L326" s="33"/>
      <c r="M326" s="33"/>
      <c r="N326" s="33"/>
      <c r="O326" s="33"/>
      <c r="P326" s="33"/>
      <c r="Q326" s="33"/>
      <c r="R326" s="33"/>
    </row>
    <row r="327">
      <c r="A327" s="33"/>
      <c r="B327" s="33"/>
      <c r="C327" s="33"/>
      <c r="D327" s="33"/>
      <c r="E327" s="33"/>
      <c r="F327" s="33"/>
      <c r="G327" s="33"/>
      <c r="H327" s="33"/>
      <c r="I327" s="33"/>
      <c r="J327" s="33"/>
      <c r="K327" s="33"/>
      <c r="L327" s="33"/>
      <c r="M327" s="33"/>
      <c r="N327" s="33"/>
      <c r="O327" s="33"/>
      <c r="P327" s="33"/>
      <c r="Q327" s="33"/>
      <c r="R327" s="33"/>
    </row>
    <row r="328">
      <c r="A328" s="33"/>
      <c r="B328" s="33"/>
      <c r="C328" s="33"/>
      <c r="D328" s="33"/>
      <c r="E328" s="33"/>
      <c r="F328" s="33"/>
      <c r="G328" s="33"/>
      <c r="H328" s="33"/>
      <c r="I328" s="33"/>
      <c r="J328" s="33"/>
      <c r="K328" s="33"/>
      <c r="L328" s="33"/>
      <c r="M328" s="33"/>
      <c r="N328" s="33"/>
      <c r="O328" s="33"/>
      <c r="P328" s="33"/>
      <c r="Q328" s="33"/>
      <c r="R328" s="33"/>
    </row>
    <row r="329">
      <c r="A329" s="33"/>
      <c r="B329" s="33"/>
      <c r="C329" s="33"/>
      <c r="D329" s="33"/>
      <c r="E329" s="33"/>
      <c r="F329" s="33"/>
      <c r="G329" s="33"/>
      <c r="H329" s="33"/>
      <c r="I329" s="33"/>
      <c r="J329" s="33"/>
      <c r="K329" s="33"/>
      <c r="L329" s="33"/>
      <c r="M329" s="33"/>
      <c r="N329" s="33"/>
      <c r="O329" s="33"/>
      <c r="P329" s="33"/>
      <c r="Q329" s="33"/>
      <c r="R329" s="33"/>
    </row>
    <row r="330">
      <c r="A330" s="33"/>
      <c r="B330" s="33"/>
      <c r="C330" s="33"/>
      <c r="D330" s="33"/>
      <c r="E330" s="33"/>
      <c r="F330" s="33"/>
      <c r="G330" s="33"/>
      <c r="H330" s="33"/>
      <c r="I330" s="33"/>
      <c r="J330" s="33"/>
      <c r="K330" s="33"/>
      <c r="L330" s="33"/>
      <c r="M330" s="33"/>
      <c r="N330" s="33"/>
      <c r="O330" s="33"/>
      <c r="P330" s="33"/>
      <c r="Q330" s="33"/>
      <c r="R330" s="33"/>
    </row>
    <row r="331">
      <c r="A331" s="33"/>
      <c r="B331" s="33"/>
      <c r="C331" s="33"/>
      <c r="D331" s="33"/>
      <c r="E331" s="33"/>
      <c r="F331" s="33"/>
      <c r="G331" s="33"/>
      <c r="H331" s="33"/>
      <c r="I331" s="33"/>
      <c r="J331" s="33"/>
      <c r="K331" s="33"/>
      <c r="L331" s="33"/>
      <c r="M331" s="33"/>
      <c r="N331" s="33"/>
      <c r="O331" s="33"/>
      <c r="P331" s="33"/>
      <c r="Q331" s="33"/>
      <c r="R331" s="33"/>
    </row>
    <row r="332">
      <c r="A332" s="33"/>
      <c r="B332" s="33"/>
      <c r="C332" s="33"/>
      <c r="D332" s="33"/>
      <c r="E332" s="33"/>
      <c r="F332" s="33"/>
      <c r="G332" s="33"/>
      <c r="H332" s="33"/>
      <c r="I332" s="33"/>
      <c r="J332" s="33"/>
      <c r="K332" s="33"/>
      <c r="L332" s="33"/>
      <c r="M332" s="33"/>
      <c r="N332" s="33"/>
      <c r="O332" s="33"/>
      <c r="P332" s="33"/>
      <c r="Q332" s="33"/>
      <c r="R332" s="33"/>
    </row>
    <row r="333">
      <c r="A333" s="33"/>
      <c r="B333" s="33"/>
      <c r="C333" s="33"/>
      <c r="D333" s="33"/>
      <c r="E333" s="33"/>
      <c r="F333" s="33"/>
      <c r="G333" s="33"/>
      <c r="H333" s="33"/>
      <c r="I333" s="33"/>
      <c r="J333" s="33"/>
      <c r="K333" s="33"/>
      <c r="L333" s="33"/>
      <c r="M333" s="33"/>
      <c r="N333" s="33"/>
      <c r="O333" s="33"/>
      <c r="P333" s="33"/>
      <c r="Q333" s="33"/>
      <c r="R333" s="33"/>
    </row>
    <row r="334">
      <c r="A334" s="33"/>
      <c r="B334" s="33"/>
      <c r="C334" s="33"/>
      <c r="D334" s="33"/>
      <c r="E334" s="33"/>
      <c r="F334" s="33"/>
      <c r="G334" s="33"/>
      <c r="H334" s="33"/>
      <c r="I334" s="33"/>
      <c r="J334" s="33"/>
      <c r="K334" s="33"/>
      <c r="L334" s="33"/>
      <c r="M334" s="33"/>
      <c r="N334" s="33"/>
      <c r="O334" s="33"/>
      <c r="P334" s="33"/>
      <c r="Q334" s="33"/>
      <c r="R334" s="33"/>
    </row>
    <row r="335">
      <c r="A335" s="33"/>
      <c r="B335" s="33"/>
      <c r="C335" s="33"/>
      <c r="D335" s="33"/>
      <c r="E335" s="33"/>
      <c r="F335" s="33"/>
      <c r="G335" s="33"/>
      <c r="H335" s="33"/>
      <c r="I335" s="33"/>
      <c r="J335" s="33"/>
      <c r="K335" s="33"/>
      <c r="L335" s="33"/>
      <c r="M335" s="33"/>
      <c r="N335" s="33"/>
      <c r="O335" s="33"/>
      <c r="P335" s="33"/>
      <c r="Q335" s="33"/>
      <c r="R335" s="33"/>
    </row>
    <row r="336">
      <c r="A336" s="33"/>
      <c r="B336" s="33"/>
      <c r="C336" s="33"/>
      <c r="D336" s="33"/>
      <c r="E336" s="33"/>
      <c r="F336" s="33"/>
      <c r="G336" s="33"/>
      <c r="H336" s="33"/>
      <c r="I336" s="33"/>
      <c r="J336" s="33"/>
      <c r="K336" s="33"/>
      <c r="L336" s="33"/>
      <c r="M336" s="33"/>
      <c r="N336" s="33"/>
      <c r="O336" s="33"/>
      <c r="P336" s="33"/>
      <c r="Q336" s="33"/>
      <c r="R336" s="33"/>
    </row>
    <row r="337">
      <c r="A337" s="33"/>
      <c r="B337" s="33"/>
      <c r="C337" s="33"/>
      <c r="D337" s="33"/>
      <c r="E337" s="33"/>
      <c r="F337" s="33"/>
      <c r="G337" s="33"/>
      <c r="H337" s="33"/>
      <c r="I337" s="33"/>
      <c r="J337" s="33"/>
      <c r="K337" s="33"/>
      <c r="L337" s="33"/>
      <c r="M337" s="33"/>
      <c r="N337" s="33"/>
      <c r="O337" s="33"/>
      <c r="P337" s="33"/>
      <c r="Q337" s="33"/>
      <c r="R337" s="33"/>
    </row>
    <row r="338">
      <c r="A338" s="33"/>
      <c r="B338" s="33"/>
      <c r="C338" s="33"/>
      <c r="D338" s="33"/>
      <c r="E338" s="33"/>
      <c r="F338" s="33"/>
      <c r="G338" s="33"/>
      <c r="H338" s="33"/>
      <c r="I338" s="33"/>
      <c r="J338" s="33"/>
      <c r="K338" s="33"/>
      <c r="L338" s="33"/>
      <c r="M338" s="33"/>
      <c r="N338" s="33"/>
      <c r="O338" s="33"/>
      <c r="P338" s="33"/>
      <c r="Q338" s="33"/>
      <c r="R338" s="33"/>
    </row>
    <row r="339">
      <c r="A339" s="33"/>
      <c r="B339" s="33"/>
      <c r="C339" s="33"/>
      <c r="D339" s="33"/>
      <c r="E339" s="33"/>
      <c r="F339" s="33"/>
      <c r="G339" s="33"/>
      <c r="H339" s="33"/>
      <c r="I339" s="33"/>
      <c r="J339" s="33"/>
      <c r="K339" s="33"/>
      <c r="L339" s="33"/>
      <c r="M339" s="33"/>
      <c r="N339" s="33"/>
      <c r="O339" s="33"/>
      <c r="P339" s="33"/>
      <c r="Q339" s="33"/>
      <c r="R339" s="33"/>
    </row>
    <row r="340">
      <c r="A340" s="33"/>
      <c r="B340" s="33"/>
      <c r="C340" s="33"/>
      <c r="D340" s="33"/>
      <c r="E340" s="33"/>
      <c r="F340" s="33"/>
      <c r="G340" s="33"/>
      <c r="H340" s="33"/>
      <c r="I340" s="33"/>
      <c r="J340" s="33"/>
      <c r="K340" s="33"/>
      <c r="L340" s="33"/>
      <c r="M340" s="33"/>
      <c r="N340" s="33"/>
      <c r="O340" s="33"/>
      <c r="P340" s="33"/>
      <c r="Q340" s="33"/>
      <c r="R340" s="33"/>
    </row>
    <row r="341">
      <c r="A341" s="33"/>
      <c r="B341" s="33"/>
      <c r="C341" s="33"/>
      <c r="D341" s="33"/>
      <c r="E341" s="33"/>
      <c r="F341" s="33"/>
      <c r="G341" s="33"/>
      <c r="H341" s="33"/>
      <c r="I341" s="33"/>
      <c r="J341" s="33"/>
      <c r="K341" s="33"/>
      <c r="L341" s="33"/>
      <c r="M341" s="33"/>
      <c r="N341" s="33"/>
      <c r="O341" s="33"/>
      <c r="P341" s="33"/>
      <c r="Q341" s="33"/>
      <c r="R341" s="33"/>
    </row>
    <row r="342">
      <c r="A342" s="33"/>
      <c r="B342" s="33"/>
      <c r="C342" s="33"/>
      <c r="D342" s="33"/>
      <c r="E342" s="33"/>
      <c r="F342" s="33"/>
      <c r="G342" s="33"/>
      <c r="H342" s="33"/>
      <c r="I342" s="33"/>
      <c r="J342" s="33"/>
      <c r="K342" s="33"/>
      <c r="L342" s="33"/>
      <c r="M342" s="33"/>
      <c r="N342" s="33"/>
      <c r="O342" s="33"/>
      <c r="P342" s="33"/>
      <c r="Q342" s="33"/>
      <c r="R342" s="33"/>
    </row>
    <row r="343">
      <c r="A343" s="33"/>
      <c r="B343" s="33"/>
      <c r="C343" s="33"/>
      <c r="D343" s="33"/>
      <c r="E343" s="33"/>
      <c r="F343" s="33"/>
      <c r="G343" s="33"/>
      <c r="H343" s="33"/>
      <c r="I343" s="33"/>
      <c r="J343" s="33"/>
      <c r="K343" s="33"/>
      <c r="L343" s="33"/>
      <c r="M343" s="33"/>
      <c r="N343" s="33"/>
      <c r="O343" s="33"/>
      <c r="P343" s="33"/>
      <c r="Q343" s="33"/>
      <c r="R343" s="33"/>
    </row>
    <row r="344">
      <c r="A344" s="33"/>
      <c r="B344" s="33"/>
      <c r="C344" s="33"/>
      <c r="D344" s="33"/>
      <c r="E344" s="33"/>
      <c r="F344" s="33"/>
      <c r="G344" s="33"/>
      <c r="H344" s="33"/>
      <c r="I344" s="33"/>
      <c r="J344" s="33"/>
      <c r="K344" s="33"/>
      <c r="L344" s="33"/>
      <c r="M344" s="33"/>
      <c r="N344" s="33"/>
      <c r="O344" s="33"/>
      <c r="P344" s="33"/>
      <c r="Q344" s="33"/>
      <c r="R344" s="33"/>
    </row>
    <row r="345">
      <c r="A345" s="33"/>
      <c r="B345" s="33"/>
      <c r="C345" s="33"/>
      <c r="D345" s="33"/>
      <c r="E345" s="33"/>
      <c r="F345" s="33"/>
      <c r="G345" s="33"/>
      <c r="H345" s="33"/>
      <c r="I345" s="33"/>
      <c r="J345" s="33"/>
      <c r="K345" s="33"/>
      <c r="L345" s="33"/>
      <c r="M345" s="33"/>
      <c r="N345" s="33"/>
      <c r="O345" s="33"/>
      <c r="P345" s="33"/>
      <c r="Q345" s="33"/>
      <c r="R345" s="33"/>
    </row>
    <row r="346">
      <c r="A346" s="33"/>
      <c r="B346" s="33"/>
      <c r="C346" s="33"/>
      <c r="D346" s="33"/>
      <c r="E346" s="33"/>
      <c r="F346" s="33"/>
      <c r="G346" s="33"/>
      <c r="H346" s="33"/>
      <c r="I346" s="33"/>
      <c r="J346" s="33"/>
      <c r="K346" s="33"/>
      <c r="L346" s="33"/>
      <c r="M346" s="33"/>
      <c r="N346" s="33"/>
      <c r="O346" s="33"/>
      <c r="P346" s="33"/>
      <c r="Q346" s="33"/>
      <c r="R346" s="33"/>
    </row>
    <row r="347">
      <c r="A347" s="33"/>
      <c r="B347" s="33"/>
      <c r="C347" s="33"/>
      <c r="D347" s="33"/>
      <c r="E347" s="33"/>
      <c r="F347" s="33"/>
      <c r="G347" s="33"/>
      <c r="H347" s="33"/>
      <c r="I347" s="33"/>
      <c r="J347" s="33"/>
      <c r="K347" s="33"/>
      <c r="L347" s="33"/>
      <c r="M347" s="33"/>
      <c r="N347" s="33"/>
      <c r="O347" s="33"/>
      <c r="P347" s="33"/>
      <c r="Q347" s="33"/>
      <c r="R347" s="33"/>
    </row>
    <row r="348">
      <c r="A348" s="33"/>
      <c r="B348" s="33"/>
      <c r="C348" s="33"/>
      <c r="D348" s="33"/>
      <c r="E348" s="33"/>
      <c r="F348" s="33"/>
      <c r="G348" s="33"/>
      <c r="H348" s="33"/>
      <c r="I348" s="33"/>
      <c r="J348" s="33"/>
      <c r="K348" s="33"/>
      <c r="L348" s="33"/>
      <c r="M348" s="33"/>
      <c r="N348" s="33"/>
      <c r="O348" s="33"/>
      <c r="P348" s="33"/>
      <c r="Q348" s="33"/>
      <c r="R348" s="33"/>
    </row>
    <row r="349">
      <c r="A349" s="33"/>
      <c r="B349" s="33"/>
      <c r="C349" s="33"/>
      <c r="D349" s="33"/>
      <c r="E349" s="33"/>
      <c r="F349" s="33"/>
      <c r="G349" s="33"/>
      <c r="H349" s="33"/>
      <c r="I349" s="33"/>
      <c r="J349" s="33"/>
      <c r="K349" s="33"/>
      <c r="L349" s="33"/>
      <c r="M349" s="33"/>
      <c r="N349" s="33"/>
      <c r="O349" s="33"/>
      <c r="P349" s="33"/>
      <c r="Q349" s="33"/>
      <c r="R349" s="33"/>
    </row>
    <row r="350">
      <c r="A350" s="33"/>
      <c r="B350" s="33"/>
      <c r="C350" s="33"/>
      <c r="D350" s="33"/>
      <c r="E350" s="33"/>
      <c r="F350" s="33"/>
      <c r="G350" s="33"/>
      <c r="H350" s="33"/>
      <c r="I350" s="33"/>
      <c r="J350" s="33"/>
      <c r="K350" s="33"/>
      <c r="L350" s="33"/>
      <c r="M350" s="33"/>
      <c r="N350" s="33"/>
      <c r="O350" s="33"/>
      <c r="P350" s="33"/>
      <c r="Q350" s="33"/>
      <c r="R350" s="33"/>
    </row>
    <row r="351">
      <c r="A351" s="33"/>
      <c r="B351" s="33"/>
      <c r="C351" s="33"/>
      <c r="D351" s="33"/>
      <c r="E351" s="33"/>
      <c r="F351" s="33"/>
      <c r="G351" s="33"/>
      <c r="H351" s="33"/>
      <c r="I351" s="33"/>
      <c r="J351" s="33"/>
      <c r="K351" s="33"/>
      <c r="L351" s="33"/>
      <c r="M351" s="33"/>
      <c r="N351" s="33"/>
      <c r="O351" s="33"/>
      <c r="P351" s="33"/>
      <c r="Q351" s="33"/>
      <c r="R351" s="33"/>
    </row>
    <row r="352">
      <c r="A352" s="33"/>
      <c r="B352" s="33"/>
      <c r="C352" s="33"/>
      <c r="D352" s="33"/>
      <c r="E352" s="33"/>
      <c r="F352" s="33"/>
      <c r="G352" s="33"/>
      <c r="H352" s="33"/>
      <c r="I352" s="33"/>
      <c r="J352" s="33"/>
      <c r="K352" s="33"/>
      <c r="L352" s="33"/>
      <c r="M352" s="33"/>
      <c r="N352" s="33"/>
      <c r="O352" s="33"/>
      <c r="P352" s="33"/>
      <c r="Q352" s="33"/>
      <c r="R352" s="33"/>
    </row>
    <row r="353">
      <c r="A353" s="33"/>
      <c r="B353" s="33"/>
      <c r="C353" s="33"/>
      <c r="D353" s="33"/>
      <c r="E353" s="33"/>
      <c r="F353" s="33"/>
      <c r="G353" s="33"/>
      <c r="H353" s="33"/>
      <c r="I353" s="33"/>
      <c r="J353" s="33"/>
      <c r="K353" s="33"/>
      <c r="L353" s="33"/>
      <c r="M353" s="33"/>
      <c r="N353" s="33"/>
      <c r="O353" s="33"/>
      <c r="P353" s="33"/>
      <c r="Q353" s="33"/>
      <c r="R353" s="33"/>
    </row>
    <row r="354">
      <c r="A354" s="33"/>
      <c r="B354" s="33"/>
      <c r="C354" s="33"/>
      <c r="D354" s="33"/>
      <c r="E354" s="33"/>
      <c r="F354" s="33"/>
      <c r="G354" s="33"/>
      <c r="H354" s="33"/>
      <c r="I354" s="33"/>
      <c r="J354" s="33"/>
      <c r="K354" s="33"/>
      <c r="L354" s="33"/>
      <c r="M354" s="33"/>
      <c r="N354" s="33"/>
      <c r="O354" s="33"/>
      <c r="P354" s="33"/>
      <c r="Q354" s="33"/>
      <c r="R354" s="33"/>
    </row>
    <row r="355">
      <c r="A355" s="33"/>
      <c r="B355" s="33"/>
      <c r="C355" s="33"/>
      <c r="D355" s="33"/>
      <c r="E355" s="33"/>
      <c r="F355" s="33"/>
      <c r="G355" s="33"/>
      <c r="H355" s="33"/>
      <c r="I355" s="33"/>
      <c r="J355" s="33"/>
      <c r="K355" s="33"/>
      <c r="L355" s="33"/>
      <c r="M355" s="33"/>
      <c r="N355" s="33"/>
      <c r="O355" s="33"/>
      <c r="P355" s="33"/>
      <c r="Q355" s="33"/>
      <c r="R355" s="33"/>
    </row>
    <row r="356">
      <c r="A356" s="33"/>
      <c r="B356" s="33"/>
      <c r="C356" s="33"/>
      <c r="D356" s="33"/>
      <c r="E356" s="33"/>
      <c r="F356" s="33"/>
      <c r="G356" s="33"/>
      <c r="H356" s="33"/>
      <c r="I356" s="33"/>
      <c r="J356" s="33"/>
      <c r="K356" s="33"/>
      <c r="L356" s="33"/>
      <c r="M356" s="33"/>
      <c r="N356" s="33"/>
      <c r="O356" s="33"/>
      <c r="P356" s="33"/>
      <c r="Q356" s="33"/>
      <c r="R356" s="33"/>
    </row>
    <row r="357">
      <c r="A357" s="33"/>
      <c r="B357" s="33"/>
      <c r="C357" s="33"/>
      <c r="D357" s="33"/>
      <c r="E357" s="33"/>
      <c r="F357" s="33"/>
      <c r="G357" s="33"/>
      <c r="H357" s="33"/>
      <c r="I357" s="33"/>
      <c r="J357" s="33"/>
      <c r="K357" s="33"/>
      <c r="L357" s="33"/>
      <c r="M357" s="33"/>
      <c r="N357" s="33"/>
      <c r="O357" s="33"/>
      <c r="P357" s="33"/>
      <c r="Q357" s="33"/>
      <c r="R357" s="33"/>
    </row>
    <row r="358">
      <c r="A358" s="33"/>
      <c r="B358" s="33"/>
      <c r="C358" s="33"/>
      <c r="D358" s="33"/>
      <c r="E358" s="33"/>
      <c r="F358" s="33"/>
      <c r="G358" s="33"/>
      <c r="H358" s="33"/>
      <c r="I358" s="33"/>
      <c r="J358" s="33"/>
      <c r="K358" s="33"/>
      <c r="L358" s="33"/>
      <c r="M358" s="33"/>
      <c r="N358" s="33"/>
      <c r="O358" s="33"/>
      <c r="P358" s="33"/>
      <c r="Q358" s="33"/>
      <c r="R358" s="33"/>
    </row>
    <row r="359">
      <c r="A359" s="33"/>
      <c r="B359" s="33"/>
      <c r="C359" s="33"/>
      <c r="D359" s="33"/>
      <c r="E359" s="33"/>
      <c r="F359" s="33"/>
      <c r="G359" s="33"/>
      <c r="H359" s="33"/>
      <c r="I359" s="33"/>
      <c r="J359" s="33"/>
      <c r="K359" s="33"/>
      <c r="L359" s="33"/>
      <c r="M359" s="33"/>
      <c r="N359" s="33"/>
      <c r="O359" s="33"/>
      <c r="P359" s="33"/>
      <c r="Q359" s="33"/>
      <c r="R359" s="33"/>
    </row>
    <row r="360">
      <c r="A360" s="33"/>
      <c r="B360" s="33"/>
      <c r="C360" s="33"/>
      <c r="D360" s="33"/>
      <c r="E360" s="33"/>
      <c r="F360" s="33"/>
      <c r="G360" s="33"/>
      <c r="H360" s="33"/>
      <c r="I360" s="33"/>
      <c r="J360" s="33"/>
      <c r="K360" s="33"/>
      <c r="L360" s="33"/>
      <c r="M360" s="33"/>
      <c r="N360" s="33"/>
      <c r="O360" s="33"/>
      <c r="P360" s="33"/>
      <c r="Q360" s="33"/>
      <c r="R360" s="33"/>
    </row>
    <row r="361">
      <c r="A361" s="33"/>
      <c r="B361" s="33"/>
      <c r="C361" s="33"/>
      <c r="D361" s="33"/>
      <c r="E361" s="33"/>
      <c r="F361" s="33"/>
      <c r="G361" s="33"/>
      <c r="H361" s="33"/>
      <c r="I361" s="33"/>
      <c r="J361" s="33"/>
      <c r="K361" s="33"/>
      <c r="L361" s="33"/>
      <c r="M361" s="33"/>
      <c r="N361" s="33"/>
      <c r="O361" s="33"/>
      <c r="P361" s="33"/>
      <c r="Q361" s="33"/>
      <c r="R361" s="33"/>
    </row>
    <row r="362">
      <c r="A362" s="33"/>
      <c r="B362" s="33"/>
      <c r="C362" s="33"/>
      <c r="D362" s="33"/>
      <c r="E362" s="33"/>
      <c r="F362" s="33"/>
      <c r="G362" s="33"/>
      <c r="H362" s="33"/>
      <c r="I362" s="33"/>
      <c r="J362" s="33"/>
      <c r="K362" s="33"/>
      <c r="L362" s="33"/>
      <c r="M362" s="33"/>
      <c r="N362" s="33"/>
      <c r="O362" s="33"/>
      <c r="P362" s="33"/>
      <c r="Q362" s="33"/>
      <c r="R362" s="33"/>
    </row>
    <row r="363">
      <c r="A363" s="33"/>
      <c r="B363" s="33"/>
      <c r="C363" s="33"/>
      <c r="D363" s="33"/>
      <c r="E363" s="33"/>
      <c r="F363" s="33"/>
      <c r="G363" s="33"/>
      <c r="H363" s="33"/>
      <c r="I363" s="33"/>
      <c r="J363" s="33"/>
      <c r="K363" s="33"/>
      <c r="L363" s="33"/>
      <c r="M363" s="33"/>
      <c r="N363" s="33"/>
      <c r="O363" s="33"/>
      <c r="P363" s="33"/>
      <c r="Q363" s="33"/>
      <c r="R363" s="33"/>
    </row>
    <row r="364">
      <c r="A364" s="33"/>
      <c r="B364" s="33"/>
      <c r="C364" s="33"/>
      <c r="D364" s="33"/>
      <c r="E364" s="33"/>
      <c r="F364" s="33"/>
      <c r="G364" s="33"/>
      <c r="H364" s="33"/>
      <c r="I364" s="33"/>
      <c r="J364" s="33"/>
      <c r="K364" s="33"/>
      <c r="L364" s="33"/>
      <c r="M364" s="33"/>
      <c r="N364" s="33"/>
      <c r="O364" s="33"/>
      <c r="P364" s="33"/>
      <c r="Q364" s="33"/>
      <c r="R364" s="33"/>
    </row>
    <row r="365">
      <c r="A365" s="33"/>
      <c r="B365" s="33"/>
      <c r="C365" s="33"/>
      <c r="D365" s="33"/>
      <c r="E365" s="33"/>
      <c r="F365" s="33"/>
      <c r="G365" s="33"/>
      <c r="H365" s="33"/>
      <c r="I365" s="33"/>
      <c r="J365" s="33"/>
      <c r="K365" s="33"/>
      <c r="L365" s="33"/>
      <c r="M365" s="33"/>
      <c r="N365" s="33"/>
      <c r="O365" s="33"/>
      <c r="P365" s="33"/>
      <c r="Q365" s="33"/>
      <c r="R365" s="33"/>
    </row>
    <row r="366">
      <c r="A366" s="33"/>
      <c r="B366" s="33"/>
      <c r="C366" s="33"/>
      <c r="D366" s="33"/>
      <c r="E366" s="33"/>
      <c r="F366" s="33"/>
      <c r="G366" s="33"/>
      <c r="H366" s="33"/>
      <c r="I366" s="33"/>
      <c r="J366" s="33"/>
      <c r="K366" s="33"/>
      <c r="L366" s="33"/>
      <c r="M366" s="33"/>
      <c r="N366" s="33"/>
      <c r="O366" s="33"/>
      <c r="P366" s="33"/>
      <c r="Q366" s="33"/>
      <c r="R366" s="33"/>
    </row>
    <row r="367">
      <c r="A367" s="33"/>
      <c r="B367" s="33"/>
      <c r="C367" s="33"/>
      <c r="D367" s="33"/>
      <c r="E367" s="33"/>
      <c r="F367" s="33"/>
      <c r="G367" s="33"/>
      <c r="H367" s="33"/>
      <c r="I367" s="33"/>
      <c r="J367" s="33"/>
      <c r="K367" s="33"/>
      <c r="L367" s="33"/>
      <c r="M367" s="33"/>
      <c r="N367" s="33"/>
      <c r="O367" s="33"/>
      <c r="P367" s="33"/>
      <c r="Q367" s="33"/>
      <c r="R367" s="33"/>
    </row>
    <row r="368">
      <c r="A368" s="33"/>
      <c r="B368" s="33"/>
      <c r="C368" s="33"/>
      <c r="D368" s="33"/>
      <c r="E368" s="33"/>
      <c r="F368" s="33"/>
      <c r="G368" s="33"/>
      <c r="H368" s="33"/>
      <c r="I368" s="33"/>
      <c r="J368" s="33"/>
      <c r="K368" s="33"/>
      <c r="L368" s="33"/>
      <c r="M368" s="33"/>
      <c r="N368" s="33"/>
      <c r="O368" s="33"/>
      <c r="P368" s="33"/>
      <c r="Q368" s="33"/>
      <c r="R368" s="33"/>
    </row>
    <row r="369">
      <c r="A369" s="33"/>
      <c r="B369" s="33"/>
      <c r="C369" s="33"/>
      <c r="D369" s="33"/>
      <c r="E369" s="33"/>
      <c r="F369" s="33"/>
      <c r="G369" s="33"/>
      <c r="H369" s="33"/>
      <c r="I369" s="33"/>
      <c r="J369" s="33"/>
      <c r="K369" s="33"/>
      <c r="L369" s="33"/>
      <c r="M369" s="33"/>
      <c r="N369" s="33"/>
      <c r="O369" s="33"/>
      <c r="P369" s="33"/>
      <c r="Q369" s="33"/>
      <c r="R369" s="33"/>
    </row>
    <row r="370">
      <c r="A370" s="33"/>
      <c r="B370" s="33"/>
      <c r="C370" s="33"/>
      <c r="D370" s="33"/>
      <c r="E370" s="33"/>
      <c r="F370" s="33"/>
      <c r="G370" s="33"/>
      <c r="H370" s="33"/>
      <c r="I370" s="33"/>
      <c r="J370" s="33"/>
      <c r="K370" s="33"/>
      <c r="L370" s="33"/>
      <c r="M370" s="33"/>
      <c r="N370" s="33"/>
      <c r="O370" s="33"/>
      <c r="P370" s="33"/>
      <c r="Q370" s="33"/>
      <c r="R370" s="33"/>
    </row>
    <row r="371">
      <c r="A371" s="33"/>
      <c r="B371" s="33"/>
      <c r="C371" s="33"/>
      <c r="D371" s="33"/>
      <c r="E371" s="33"/>
      <c r="F371" s="33"/>
      <c r="G371" s="33"/>
      <c r="H371" s="33"/>
      <c r="I371" s="33"/>
      <c r="J371" s="33"/>
      <c r="K371" s="33"/>
      <c r="L371" s="33"/>
      <c r="M371" s="33"/>
      <c r="N371" s="33"/>
      <c r="O371" s="33"/>
      <c r="P371" s="33"/>
      <c r="Q371" s="33"/>
      <c r="R371" s="33"/>
    </row>
    <row r="372">
      <c r="A372" s="33"/>
      <c r="B372" s="33"/>
      <c r="C372" s="33"/>
      <c r="D372" s="33"/>
      <c r="E372" s="33"/>
      <c r="F372" s="33"/>
      <c r="G372" s="33"/>
      <c r="H372" s="33"/>
      <c r="I372" s="33"/>
      <c r="J372" s="33"/>
      <c r="K372" s="33"/>
      <c r="L372" s="33"/>
      <c r="M372" s="33"/>
      <c r="N372" s="33"/>
      <c r="O372" s="33"/>
      <c r="P372" s="33"/>
      <c r="Q372" s="33"/>
      <c r="R372" s="33"/>
    </row>
    <row r="373">
      <c r="A373" s="33"/>
      <c r="B373" s="33"/>
      <c r="C373" s="33"/>
      <c r="D373" s="33"/>
      <c r="E373" s="33"/>
      <c r="F373" s="33"/>
      <c r="G373" s="33"/>
      <c r="H373" s="33"/>
      <c r="I373" s="33"/>
      <c r="J373" s="33"/>
      <c r="K373" s="33"/>
      <c r="L373" s="33"/>
      <c r="M373" s="33"/>
      <c r="N373" s="33"/>
      <c r="O373" s="33"/>
      <c r="P373" s="33"/>
      <c r="Q373" s="33"/>
      <c r="R373" s="33"/>
    </row>
    <row r="374">
      <c r="A374" s="33"/>
      <c r="B374" s="33"/>
      <c r="C374" s="33"/>
      <c r="D374" s="33"/>
      <c r="E374" s="33"/>
      <c r="F374" s="33"/>
      <c r="G374" s="33"/>
      <c r="H374" s="33"/>
      <c r="I374" s="33"/>
      <c r="J374" s="33"/>
      <c r="K374" s="33"/>
      <c r="L374" s="33"/>
      <c r="M374" s="33"/>
      <c r="N374" s="33"/>
      <c r="O374" s="33"/>
      <c r="P374" s="33"/>
      <c r="Q374" s="33"/>
      <c r="R374" s="33"/>
    </row>
    <row r="375">
      <c r="A375" s="33"/>
      <c r="B375" s="33"/>
      <c r="C375" s="33"/>
      <c r="D375" s="33"/>
      <c r="E375" s="33"/>
      <c r="F375" s="33"/>
      <c r="G375" s="33"/>
      <c r="H375" s="33"/>
      <c r="I375" s="33"/>
      <c r="J375" s="33"/>
      <c r="K375" s="33"/>
      <c r="L375" s="33"/>
      <c r="M375" s="33"/>
      <c r="N375" s="33"/>
      <c r="O375" s="33"/>
      <c r="P375" s="33"/>
      <c r="Q375" s="33"/>
      <c r="R375" s="33"/>
    </row>
    <row r="376">
      <c r="A376" s="33"/>
      <c r="B376" s="33"/>
      <c r="C376" s="33"/>
      <c r="D376" s="33"/>
      <c r="E376" s="33"/>
      <c r="F376" s="33"/>
      <c r="G376" s="33"/>
      <c r="H376" s="33"/>
      <c r="I376" s="33"/>
      <c r="J376" s="33"/>
      <c r="K376" s="33"/>
      <c r="L376" s="33"/>
      <c r="M376" s="33"/>
      <c r="N376" s="33"/>
      <c r="O376" s="33"/>
      <c r="P376" s="33"/>
      <c r="Q376" s="33"/>
      <c r="R376" s="33"/>
    </row>
    <row r="377">
      <c r="A377" s="33"/>
      <c r="B377" s="33"/>
      <c r="C377" s="33"/>
      <c r="D377" s="33"/>
      <c r="E377" s="33"/>
      <c r="F377" s="33"/>
      <c r="G377" s="33"/>
      <c r="H377" s="33"/>
      <c r="I377" s="33"/>
      <c r="J377" s="33"/>
      <c r="K377" s="33"/>
      <c r="L377" s="33"/>
      <c r="M377" s="33"/>
      <c r="N377" s="33"/>
      <c r="O377" s="33"/>
      <c r="P377" s="33"/>
      <c r="Q377" s="33"/>
      <c r="R377" s="33"/>
    </row>
    <row r="378">
      <c r="A378" s="33"/>
      <c r="B378" s="33"/>
      <c r="C378" s="33"/>
      <c r="D378" s="33"/>
      <c r="E378" s="33"/>
      <c r="F378" s="33"/>
      <c r="G378" s="33"/>
      <c r="H378" s="33"/>
      <c r="I378" s="33"/>
      <c r="J378" s="33"/>
      <c r="K378" s="33"/>
      <c r="L378" s="33"/>
      <c r="M378" s="33"/>
      <c r="N378" s="33"/>
      <c r="O378" s="33"/>
      <c r="P378" s="33"/>
      <c r="Q378" s="33"/>
      <c r="R378" s="33"/>
    </row>
    <row r="379">
      <c r="A379" s="33"/>
      <c r="B379" s="33"/>
      <c r="C379" s="33"/>
      <c r="D379" s="33"/>
      <c r="E379" s="33"/>
      <c r="F379" s="33"/>
      <c r="G379" s="33"/>
      <c r="H379" s="33"/>
      <c r="I379" s="33"/>
      <c r="J379" s="33"/>
      <c r="K379" s="33"/>
      <c r="L379" s="33"/>
      <c r="M379" s="33"/>
      <c r="N379" s="33"/>
      <c r="O379" s="33"/>
      <c r="P379" s="33"/>
      <c r="Q379" s="33"/>
      <c r="R379" s="33"/>
    </row>
    <row r="380">
      <c r="A380" s="33"/>
      <c r="B380" s="33"/>
      <c r="C380" s="33"/>
      <c r="D380" s="33"/>
      <c r="E380" s="33"/>
      <c r="F380" s="33"/>
      <c r="G380" s="33"/>
      <c r="H380" s="33"/>
      <c r="I380" s="33"/>
      <c r="J380" s="33"/>
      <c r="K380" s="33"/>
      <c r="L380" s="33"/>
      <c r="M380" s="33"/>
      <c r="N380" s="33"/>
      <c r="O380" s="33"/>
      <c r="P380" s="33"/>
      <c r="Q380" s="33"/>
      <c r="R380" s="33"/>
    </row>
    <row r="381">
      <c r="A381" s="33"/>
      <c r="B381" s="33"/>
      <c r="C381" s="33"/>
      <c r="D381" s="33"/>
      <c r="E381" s="33"/>
      <c r="F381" s="33"/>
      <c r="G381" s="33"/>
      <c r="H381" s="33"/>
      <c r="I381" s="33"/>
      <c r="J381" s="33"/>
      <c r="K381" s="33"/>
      <c r="L381" s="33"/>
      <c r="M381" s="33"/>
      <c r="N381" s="33"/>
      <c r="O381" s="33"/>
      <c r="P381" s="33"/>
      <c r="Q381" s="33"/>
      <c r="R381" s="33"/>
    </row>
    <row r="382">
      <c r="A382" s="33"/>
      <c r="B382" s="33"/>
      <c r="C382" s="33"/>
      <c r="D382" s="33"/>
      <c r="E382" s="33"/>
      <c r="F382" s="33"/>
      <c r="G382" s="33"/>
      <c r="H382" s="33"/>
      <c r="I382" s="33"/>
      <c r="J382" s="33"/>
      <c r="K382" s="33"/>
      <c r="L382" s="33"/>
      <c r="M382" s="33"/>
      <c r="N382" s="33"/>
      <c r="O382" s="33"/>
      <c r="P382" s="33"/>
      <c r="Q382" s="33"/>
      <c r="R382" s="33"/>
    </row>
    <row r="383">
      <c r="A383" s="33"/>
      <c r="B383" s="33"/>
      <c r="C383" s="33"/>
      <c r="D383" s="33"/>
      <c r="E383" s="33"/>
      <c r="F383" s="33"/>
      <c r="G383" s="33"/>
      <c r="H383" s="33"/>
      <c r="I383" s="33"/>
      <c r="J383" s="33"/>
      <c r="K383" s="33"/>
      <c r="L383" s="33"/>
      <c r="M383" s="33"/>
      <c r="N383" s="33"/>
      <c r="O383" s="33"/>
      <c r="P383" s="33"/>
      <c r="Q383" s="33"/>
      <c r="R383" s="33"/>
    </row>
    <row r="384">
      <c r="A384" s="33"/>
      <c r="B384" s="33"/>
      <c r="C384" s="33"/>
      <c r="D384" s="33"/>
      <c r="E384" s="33"/>
      <c r="F384" s="33"/>
      <c r="G384" s="33"/>
      <c r="H384" s="33"/>
      <c r="I384" s="33"/>
      <c r="J384" s="33"/>
      <c r="K384" s="33"/>
      <c r="L384" s="33"/>
      <c r="M384" s="33"/>
      <c r="N384" s="33"/>
      <c r="O384" s="33"/>
      <c r="P384" s="33"/>
      <c r="Q384" s="33"/>
      <c r="R384" s="33"/>
    </row>
    <row r="385">
      <c r="A385" s="33"/>
      <c r="B385" s="33"/>
      <c r="C385" s="33"/>
      <c r="D385" s="33"/>
      <c r="E385" s="33"/>
      <c r="F385" s="33"/>
      <c r="G385" s="33"/>
      <c r="H385" s="33"/>
      <c r="I385" s="33"/>
      <c r="J385" s="33"/>
      <c r="K385" s="33"/>
      <c r="L385" s="33"/>
      <c r="M385" s="33"/>
      <c r="N385" s="33"/>
      <c r="O385" s="33"/>
      <c r="P385" s="33"/>
      <c r="Q385" s="33"/>
      <c r="R385" s="33"/>
    </row>
    <row r="386">
      <c r="A386" s="33"/>
      <c r="B386" s="33"/>
      <c r="C386" s="33"/>
      <c r="D386" s="33"/>
      <c r="E386" s="33"/>
      <c r="F386" s="33"/>
      <c r="G386" s="33"/>
      <c r="H386" s="33"/>
      <c r="I386" s="33"/>
      <c r="J386" s="33"/>
      <c r="K386" s="33"/>
      <c r="L386" s="33"/>
      <c r="M386" s="33"/>
      <c r="N386" s="33"/>
      <c r="O386" s="33"/>
      <c r="P386" s="33"/>
      <c r="Q386" s="33"/>
      <c r="R386" s="33"/>
    </row>
    <row r="387">
      <c r="A387" s="33"/>
      <c r="B387" s="33"/>
      <c r="C387" s="33"/>
      <c r="D387" s="33"/>
      <c r="E387" s="33"/>
      <c r="F387" s="33"/>
      <c r="G387" s="33"/>
      <c r="H387" s="33"/>
      <c r="I387" s="33"/>
      <c r="J387" s="33"/>
      <c r="K387" s="33"/>
      <c r="L387" s="33"/>
      <c r="M387" s="33"/>
      <c r="N387" s="33"/>
      <c r="O387" s="33"/>
      <c r="P387" s="33"/>
      <c r="Q387" s="33"/>
      <c r="R387" s="33"/>
    </row>
    <row r="388">
      <c r="A388" s="33"/>
      <c r="B388" s="33"/>
      <c r="C388" s="33"/>
      <c r="D388" s="33"/>
      <c r="E388" s="33"/>
      <c r="F388" s="33"/>
      <c r="G388" s="33"/>
      <c r="H388" s="33"/>
      <c r="I388" s="33"/>
      <c r="J388" s="33"/>
      <c r="K388" s="33"/>
      <c r="L388" s="33"/>
      <c r="M388" s="33"/>
      <c r="N388" s="33"/>
      <c r="O388" s="33"/>
      <c r="P388" s="33"/>
      <c r="Q388" s="33"/>
      <c r="R388" s="33"/>
    </row>
    <row r="389">
      <c r="A389" s="33"/>
      <c r="B389" s="33"/>
      <c r="C389" s="33"/>
      <c r="D389" s="33"/>
      <c r="E389" s="33"/>
      <c r="F389" s="33"/>
      <c r="G389" s="33"/>
      <c r="H389" s="33"/>
      <c r="I389" s="33"/>
      <c r="J389" s="33"/>
      <c r="K389" s="33"/>
      <c r="L389" s="33"/>
      <c r="M389" s="33"/>
      <c r="N389" s="33"/>
      <c r="O389" s="33"/>
      <c r="P389" s="33"/>
      <c r="Q389" s="33"/>
      <c r="R389" s="33"/>
    </row>
    <row r="390">
      <c r="A390" s="33"/>
      <c r="B390" s="33"/>
      <c r="C390" s="33"/>
      <c r="D390" s="33"/>
      <c r="E390" s="33"/>
      <c r="F390" s="33"/>
      <c r="G390" s="33"/>
      <c r="H390" s="33"/>
      <c r="I390" s="33"/>
      <c r="J390" s="33"/>
      <c r="K390" s="33"/>
      <c r="L390" s="33"/>
      <c r="M390" s="33"/>
      <c r="N390" s="33"/>
      <c r="O390" s="33"/>
      <c r="P390" s="33"/>
      <c r="Q390" s="33"/>
      <c r="R390" s="33"/>
    </row>
    <row r="391">
      <c r="A391" s="33"/>
      <c r="B391" s="33"/>
      <c r="C391" s="33"/>
      <c r="D391" s="33"/>
      <c r="E391" s="33"/>
      <c r="F391" s="33"/>
      <c r="G391" s="33"/>
      <c r="H391" s="33"/>
      <c r="I391" s="33"/>
      <c r="J391" s="33"/>
      <c r="K391" s="33"/>
      <c r="L391" s="33"/>
      <c r="M391" s="33"/>
      <c r="N391" s="33"/>
      <c r="O391" s="33"/>
      <c r="P391" s="33"/>
      <c r="Q391" s="33"/>
      <c r="R391" s="33"/>
    </row>
    <row r="392">
      <c r="A392" s="33"/>
      <c r="B392" s="33"/>
      <c r="C392" s="33"/>
      <c r="D392" s="33"/>
      <c r="E392" s="33"/>
      <c r="F392" s="33"/>
      <c r="G392" s="33"/>
      <c r="H392" s="33"/>
      <c r="I392" s="33"/>
      <c r="J392" s="33"/>
      <c r="K392" s="33"/>
      <c r="L392" s="33"/>
      <c r="M392" s="33"/>
      <c r="N392" s="33"/>
      <c r="O392" s="33"/>
      <c r="P392" s="33"/>
      <c r="Q392" s="33"/>
      <c r="R392" s="33"/>
    </row>
    <row r="393">
      <c r="A393" s="33"/>
      <c r="B393" s="33"/>
      <c r="C393" s="33"/>
      <c r="D393" s="33"/>
      <c r="E393" s="33"/>
      <c r="F393" s="33"/>
      <c r="G393" s="33"/>
      <c r="H393" s="33"/>
      <c r="I393" s="33"/>
      <c r="J393" s="33"/>
      <c r="K393" s="33"/>
      <c r="L393" s="33"/>
      <c r="M393" s="33"/>
      <c r="N393" s="33"/>
      <c r="O393" s="33"/>
      <c r="P393" s="33"/>
      <c r="Q393" s="33"/>
      <c r="R393" s="33"/>
    </row>
    <row r="394">
      <c r="A394" s="33"/>
      <c r="B394" s="33"/>
      <c r="C394" s="33"/>
      <c r="D394" s="33"/>
      <c r="E394" s="33"/>
      <c r="F394" s="33"/>
      <c r="G394" s="33"/>
      <c r="H394" s="33"/>
      <c r="I394" s="33"/>
      <c r="J394" s="33"/>
      <c r="K394" s="33"/>
      <c r="L394" s="33"/>
      <c r="M394" s="33"/>
      <c r="N394" s="33"/>
      <c r="O394" s="33"/>
      <c r="P394" s="33"/>
      <c r="Q394" s="33"/>
      <c r="R394" s="33"/>
    </row>
    <row r="395">
      <c r="A395" s="33"/>
      <c r="B395" s="33"/>
      <c r="C395" s="33"/>
      <c r="D395" s="33"/>
      <c r="E395" s="33"/>
      <c r="F395" s="33"/>
      <c r="G395" s="33"/>
      <c r="H395" s="33"/>
      <c r="I395" s="33"/>
      <c r="J395" s="33"/>
      <c r="K395" s="33"/>
      <c r="L395" s="33"/>
      <c r="M395" s="33"/>
      <c r="N395" s="33"/>
      <c r="O395" s="33"/>
      <c r="P395" s="33"/>
      <c r="Q395" s="33"/>
      <c r="R395" s="33"/>
    </row>
    <row r="396">
      <c r="A396" s="33"/>
      <c r="B396" s="33"/>
      <c r="C396" s="33"/>
      <c r="D396" s="33"/>
      <c r="E396" s="33"/>
      <c r="F396" s="33"/>
      <c r="G396" s="33"/>
      <c r="H396" s="33"/>
      <c r="I396" s="33"/>
      <c r="J396" s="33"/>
      <c r="K396" s="33"/>
      <c r="L396" s="33"/>
      <c r="M396" s="33"/>
      <c r="N396" s="33"/>
      <c r="O396" s="33"/>
      <c r="P396" s="33"/>
      <c r="Q396" s="33"/>
      <c r="R396" s="33"/>
    </row>
    <row r="397">
      <c r="A397" s="33"/>
      <c r="B397" s="33"/>
      <c r="C397" s="33"/>
      <c r="D397" s="33"/>
      <c r="E397" s="33"/>
      <c r="F397" s="33"/>
      <c r="G397" s="33"/>
      <c r="H397" s="33"/>
      <c r="I397" s="33"/>
      <c r="J397" s="33"/>
      <c r="K397" s="33"/>
      <c r="L397" s="33"/>
      <c r="M397" s="33"/>
      <c r="N397" s="33"/>
      <c r="O397" s="33"/>
      <c r="P397" s="33"/>
      <c r="Q397" s="33"/>
      <c r="R397" s="33"/>
    </row>
    <row r="398">
      <c r="A398" s="33"/>
      <c r="B398" s="33"/>
      <c r="C398" s="33"/>
      <c r="D398" s="33"/>
      <c r="E398" s="33"/>
      <c r="F398" s="33"/>
      <c r="G398" s="33"/>
      <c r="H398" s="33"/>
      <c r="I398" s="33"/>
      <c r="J398" s="33"/>
      <c r="K398" s="33"/>
      <c r="L398" s="33"/>
      <c r="M398" s="33"/>
      <c r="N398" s="33"/>
      <c r="O398" s="33"/>
      <c r="P398" s="33"/>
      <c r="Q398" s="33"/>
      <c r="R398" s="33"/>
    </row>
    <row r="399">
      <c r="A399" s="33"/>
      <c r="B399" s="33"/>
      <c r="C399" s="33"/>
      <c r="D399" s="33"/>
      <c r="E399" s="33"/>
      <c r="F399" s="33"/>
      <c r="G399" s="33"/>
      <c r="H399" s="33"/>
      <c r="I399" s="33"/>
      <c r="J399" s="33"/>
      <c r="K399" s="33"/>
      <c r="L399" s="33"/>
      <c r="M399" s="33"/>
      <c r="N399" s="33"/>
      <c r="O399" s="33"/>
      <c r="P399" s="33"/>
      <c r="Q399" s="33"/>
      <c r="R399" s="33"/>
    </row>
    <row r="400">
      <c r="A400" s="33"/>
      <c r="B400" s="33"/>
      <c r="C400" s="33"/>
      <c r="D400" s="33"/>
      <c r="E400" s="33"/>
      <c r="F400" s="33"/>
      <c r="G400" s="33"/>
      <c r="H400" s="33"/>
      <c r="I400" s="33"/>
      <c r="J400" s="33"/>
      <c r="K400" s="33"/>
      <c r="L400" s="33"/>
      <c r="M400" s="33"/>
      <c r="N400" s="33"/>
      <c r="O400" s="33"/>
      <c r="P400" s="33"/>
      <c r="Q400" s="33"/>
      <c r="R400" s="33"/>
    </row>
    <row r="401">
      <c r="A401" s="33"/>
      <c r="B401" s="33"/>
      <c r="C401" s="33"/>
      <c r="D401" s="33"/>
      <c r="E401" s="33"/>
      <c r="F401" s="33"/>
      <c r="G401" s="33"/>
      <c r="H401" s="33"/>
      <c r="I401" s="33"/>
      <c r="J401" s="33"/>
      <c r="K401" s="33"/>
      <c r="L401" s="33"/>
      <c r="M401" s="33"/>
      <c r="N401" s="33"/>
      <c r="O401" s="33"/>
      <c r="P401" s="33"/>
      <c r="Q401" s="33"/>
      <c r="R401" s="33"/>
    </row>
    <row r="402">
      <c r="A402" s="33"/>
      <c r="B402" s="33"/>
      <c r="C402" s="33"/>
      <c r="D402" s="33"/>
      <c r="E402" s="33"/>
      <c r="F402" s="33"/>
      <c r="G402" s="33"/>
      <c r="H402" s="33"/>
      <c r="I402" s="33"/>
      <c r="J402" s="33"/>
      <c r="K402" s="33"/>
      <c r="L402" s="33"/>
      <c r="M402" s="33"/>
      <c r="N402" s="33"/>
      <c r="O402" s="33"/>
      <c r="P402" s="33"/>
      <c r="Q402" s="33"/>
      <c r="R402" s="33"/>
    </row>
    <row r="403">
      <c r="A403" s="33"/>
      <c r="B403" s="33"/>
      <c r="C403" s="33"/>
      <c r="D403" s="33"/>
      <c r="E403" s="33"/>
      <c r="F403" s="33"/>
      <c r="G403" s="33"/>
      <c r="H403" s="33"/>
      <c r="I403" s="33"/>
      <c r="J403" s="33"/>
      <c r="K403" s="33"/>
      <c r="L403" s="33"/>
      <c r="M403" s="33"/>
      <c r="N403" s="33"/>
      <c r="O403" s="33"/>
      <c r="P403" s="33"/>
      <c r="Q403" s="33"/>
      <c r="R403" s="33"/>
    </row>
    <row r="404">
      <c r="A404" s="33"/>
      <c r="B404" s="33"/>
      <c r="C404" s="33"/>
      <c r="D404" s="33"/>
      <c r="E404" s="33"/>
      <c r="F404" s="33"/>
      <c r="G404" s="33"/>
      <c r="H404" s="33"/>
      <c r="I404" s="33"/>
      <c r="J404" s="33"/>
      <c r="K404" s="33"/>
      <c r="L404" s="33"/>
      <c r="M404" s="33"/>
      <c r="N404" s="33"/>
      <c r="O404" s="33"/>
      <c r="P404" s="33"/>
      <c r="Q404" s="33"/>
      <c r="R404" s="33"/>
    </row>
    <row r="405">
      <c r="A405" s="33"/>
      <c r="B405" s="33"/>
      <c r="C405" s="33"/>
      <c r="D405" s="33"/>
      <c r="E405" s="33"/>
      <c r="F405" s="33"/>
      <c r="G405" s="33"/>
      <c r="H405" s="33"/>
      <c r="I405" s="33"/>
      <c r="J405" s="33"/>
      <c r="K405" s="33"/>
      <c r="L405" s="33"/>
      <c r="M405" s="33"/>
      <c r="N405" s="33"/>
      <c r="O405" s="33"/>
      <c r="P405" s="33"/>
      <c r="Q405" s="33"/>
      <c r="R405" s="33"/>
    </row>
    <row r="406">
      <c r="A406" s="33"/>
      <c r="B406" s="33"/>
      <c r="C406" s="33"/>
      <c r="D406" s="33"/>
      <c r="E406" s="33"/>
      <c r="F406" s="33"/>
      <c r="G406" s="33"/>
      <c r="H406" s="33"/>
      <c r="I406" s="33"/>
      <c r="J406" s="33"/>
      <c r="K406" s="33"/>
      <c r="L406" s="33"/>
      <c r="M406" s="33"/>
      <c r="N406" s="33"/>
      <c r="O406" s="33"/>
      <c r="P406" s="33"/>
      <c r="Q406" s="33"/>
      <c r="R406" s="33"/>
    </row>
    <row r="407">
      <c r="A407" s="33"/>
      <c r="B407" s="33"/>
      <c r="C407" s="33"/>
      <c r="D407" s="33"/>
      <c r="E407" s="33"/>
      <c r="F407" s="33"/>
      <c r="G407" s="33"/>
      <c r="H407" s="33"/>
      <c r="I407" s="33"/>
      <c r="J407" s="33"/>
      <c r="K407" s="33"/>
      <c r="L407" s="33"/>
      <c r="M407" s="33"/>
      <c r="N407" s="33"/>
      <c r="O407" s="33"/>
      <c r="P407" s="33"/>
      <c r="Q407" s="33"/>
      <c r="R407" s="33"/>
    </row>
    <row r="408">
      <c r="A408" s="33"/>
      <c r="B408" s="33"/>
      <c r="C408" s="33"/>
      <c r="D408" s="33"/>
      <c r="E408" s="33"/>
      <c r="F408" s="33"/>
      <c r="G408" s="33"/>
      <c r="H408" s="33"/>
      <c r="I408" s="33"/>
      <c r="J408" s="33"/>
      <c r="K408" s="33"/>
      <c r="L408" s="33"/>
      <c r="M408" s="33"/>
      <c r="N408" s="33"/>
      <c r="O408" s="33"/>
      <c r="P408" s="33"/>
      <c r="Q408" s="33"/>
      <c r="R408" s="33"/>
    </row>
    <row r="409">
      <c r="A409" s="33"/>
      <c r="B409" s="33"/>
      <c r="C409" s="33"/>
      <c r="D409" s="33"/>
      <c r="E409" s="33"/>
      <c r="F409" s="33"/>
      <c r="G409" s="33"/>
      <c r="H409" s="33"/>
      <c r="I409" s="33"/>
      <c r="J409" s="33"/>
      <c r="K409" s="33"/>
      <c r="L409" s="33"/>
      <c r="M409" s="33"/>
      <c r="N409" s="33"/>
      <c r="O409" s="33"/>
      <c r="P409" s="33"/>
      <c r="Q409" s="33"/>
      <c r="R409" s="33"/>
    </row>
    <row r="410">
      <c r="A410" s="33"/>
      <c r="B410" s="33"/>
      <c r="C410" s="33"/>
      <c r="D410" s="33"/>
      <c r="E410" s="33"/>
      <c r="F410" s="33"/>
      <c r="G410" s="33"/>
      <c r="H410" s="33"/>
      <c r="I410" s="33"/>
      <c r="J410" s="33"/>
      <c r="K410" s="33"/>
      <c r="L410" s="33"/>
      <c r="M410" s="33"/>
      <c r="N410" s="33"/>
      <c r="O410" s="33"/>
      <c r="P410" s="33"/>
      <c r="Q410" s="33"/>
      <c r="R410" s="33"/>
    </row>
    <row r="411">
      <c r="A411" s="33"/>
      <c r="B411" s="33"/>
      <c r="C411" s="33"/>
      <c r="D411" s="33"/>
      <c r="E411" s="33"/>
      <c r="F411" s="33"/>
      <c r="G411" s="33"/>
      <c r="H411" s="33"/>
      <c r="I411" s="33"/>
      <c r="J411" s="33"/>
      <c r="K411" s="33"/>
      <c r="L411" s="33"/>
      <c r="M411" s="33"/>
      <c r="N411" s="33"/>
      <c r="O411" s="33"/>
      <c r="P411" s="33"/>
      <c r="Q411" s="33"/>
      <c r="R411" s="33"/>
    </row>
    <row r="412">
      <c r="A412" s="33"/>
      <c r="B412" s="33"/>
      <c r="C412" s="33"/>
      <c r="D412" s="33"/>
      <c r="E412" s="33"/>
      <c r="F412" s="33"/>
      <c r="G412" s="33"/>
      <c r="H412" s="33"/>
      <c r="I412" s="33"/>
      <c r="J412" s="33"/>
      <c r="K412" s="33"/>
      <c r="L412" s="33"/>
      <c r="M412" s="33"/>
      <c r="N412" s="33"/>
      <c r="O412" s="33"/>
      <c r="P412" s="33"/>
      <c r="Q412" s="33"/>
      <c r="R412" s="33"/>
    </row>
    <row r="413">
      <c r="A413" s="33"/>
      <c r="B413" s="33"/>
      <c r="C413" s="33"/>
      <c r="D413" s="33"/>
      <c r="E413" s="33"/>
      <c r="F413" s="33"/>
      <c r="G413" s="33"/>
      <c r="H413" s="33"/>
      <c r="I413" s="33"/>
      <c r="J413" s="33"/>
      <c r="K413" s="33"/>
      <c r="L413" s="33"/>
      <c r="M413" s="33"/>
      <c r="N413" s="33"/>
      <c r="O413" s="33"/>
      <c r="P413" s="33"/>
      <c r="Q413" s="33"/>
      <c r="R413" s="33"/>
    </row>
    <row r="414">
      <c r="A414" s="33"/>
      <c r="B414" s="33"/>
      <c r="C414" s="33"/>
      <c r="D414" s="33"/>
      <c r="E414" s="33"/>
      <c r="F414" s="33"/>
      <c r="G414" s="33"/>
      <c r="H414" s="33"/>
      <c r="I414" s="33"/>
      <c r="J414" s="33"/>
      <c r="K414" s="33"/>
      <c r="L414" s="33"/>
      <c r="M414" s="33"/>
      <c r="N414" s="33"/>
      <c r="O414" s="33"/>
      <c r="P414" s="33"/>
      <c r="Q414" s="33"/>
      <c r="R414" s="33"/>
    </row>
    <row r="415">
      <c r="A415" s="33"/>
      <c r="B415" s="33"/>
      <c r="C415" s="33"/>
      <c r="D415" s="33"/>
      <c r="E415" s="33"/>
      <c r="F415" s="33"/>
      <c r="G415" s="33"/>
      <c r="H415" s="33"/>
      <c r="I415" s="33"/>
      <c r="J415" s="33"/>
      <c r="K415" s="33"/>
      <c r="L415" s="33"/>
      <c r="M415" s="33"/>
      <c r="N415" s="33"/>
      <c r="O415" s="33"/>
      <c r="P415" s="33"/>
      <c r="Q415" s="33"/>
      <c r="R415" s="33"/>
    </row>
    <row r="416">
      <c r="A416" s="33"/>
      <c r="B416" s="33"/>
      <c r="C416" s="33"/>
      <c r="D416" s="33"/>
      <c r="E416" s="33"/>
      <c r="F416" s="33"/>
      <c r="G416" s="33"/>
      <c r="H416" s="33"/>
      <c r="I416" s="33"/>
      <c r="J416" s="33"/>
      <c r="K416" s="33"/>
      <c r="L416" s="33"/>
      <c r="M416" s="33"/>
      <c r="N416" s="33"/>
      <c r="O416" s="33"/>
      <c r="P416" s="33"/>
      <c r="Q416" s="33"/>
      <c r="R416" s="33"/>
    </row>
    <row r="417">
      <c r="A417" s="33"/>
      <c r="B417" s="33"/>
      <c r="C417" s="33"/>
      <c r="D417" s="33"/>
      <c r="E417" s="33"/>
      <c r="F417" s="33"/>
      <c r="G417" s="33"/>
      <c r="H417" s="33"/>
      <c r="I417" s="33"/>
      <c r="J417" s="33"/>
      <c r="K417" s="33"/>
      <c r="L417" s="33"/>
      <c r="M417" s="33"/>
      <c r="N417" s="33"/>
      <c r="O417" s="33"/>
      <c r="P417" s="33"/>
      <c r="Q417" s="33"/>
      <c r="R417" s="33"/>
    </row>
    <row r="418">
      <c r="A418" s="33"/>
      <c r="B418" s="33"/>
      <c r="C418" s="33"/>
      <c r="D418" s="33"/>
      <c r="E418" s="33"/>
      <c r="F418" s="33"/>
      <c r="G418" s="33"/>
      <c r="H418" s="33"/>
      <c r="I418" s="33"/>
      <c r="J418" s="33"/>
      <c r="K418" s="33"/>
      <c r="L418" s="33"/>
      <c r="M418" s="33"/>
      <c r="N418" s="33"/>
      <c r="O418" s="33"/>
      <c r="P418" s="33"/>
      <c r="Q418" s="33"/>
      <c r="R418" s="33"/>
    </row>
    <row r="419">
      <c r="A419" s="33"/>
      <c r="B419" s="33"/>
      <c r="C419" s="33"/>
      <c r="D419" s="33"/>
      <c r="E419" s="33"/>
      <c r="F419" s="33"/>
      <c r="G419" s="33"/>
      <c r="H419" s="33"/>
      <c r="I419" s="33"/>
      <c r="J419" s="33"/>
      <c r="K419" s="33"/>
      <c r="L419" s="33"/>
      <c r="M419" s="33"/>
      <c r="N419" s="33"/>
      <c r="O419" s="33"/>
      <c r="P419" s="33"/>
      <c r="Q419" s="33"/>
      <c r="R419" s="33"/>
    </row>
    <row r="420">
      <c r="A420" s="33"/>
      <c r="B420" s="33"/>
      <c r="C420" s="33"/>
      <c r="D420" s="33"/>
      <c r="E420" s="33"/>
      <c r="F420" s="33"/>
      <c r="G420" s="33"/>
      <c r="H420" s="33"/>
      <c r="I420" s="33"/>
      <c r="J420" s="33"/>
      <c r="K420" s="33"/>
      <c r="L420" s="33"/>
      <c r="M420" s="33"/>
      <c r="N420" s="33"/>
      <c r="O420" s="33"/>
      <c r="P420" s="33"/>
      <c r="Q420" s="33"/>
      <c r="R420" s="33"/>
    </row>
    <row r="421">
      <c r="A421" s="33"/>
      <c r="B421" s="33"/>
      <c r="C421" s="33"/>
      <c r="D421" s="33"/>
      <c r="E421" s="33"/>
      <c r="F421" s="33"/>
      <c r="G421" s="33"/>
      <c r="H421" s="33"/>
      <c r="I421" s="33"/>
      <c r="J421" s="33"/>
      <c r="K421" s="33"/>
      <c r="L421" s="33"/>
      <c r="M421" s="33"/>
      <c r="N421" s="33"/>
      <c r="O421" s="33"/>
      <c r="P421" s="33"/>
      <c r="Q421" s="33"/>
      <c r="R421" s="33"/>
    </row>
    <row r="422">
      <c r="A422" s="33"/>
      <c r="B422" s="33"/>
      <c r="C422" s="33"/>
      <c r="D422" s="33"/>
      <c r="E422" s="33"/>
      <c r="F422" s="33"/>
      <c r="G422" s="33"/>
      <c r="H422" s="33"/>
      <c r="I422" s="33"/>
      <c r="J422" s="33"/>
      <c r="K422" s="33"/>
      <c r="L422" s="33"/>
      <c r="M422" s="33"/>
      <c r="N422" s="33"/>
      <c r="O422" s="33"/>
      <c r="P422" s="33"/>
      <c r="Q422" s="33"/>
      <c r="R422" s="33"/>
    </row>
    <row r="423">
      <c r="A423" s="33"/>
      <c r="B423" s="33"/>
      <c r="C423" s="33"/>
      <c r="D423" s="33"/>
      <c r="E423" s="33"/>
      <c r="F423" s="33"/>
      <c r="G423" s="33"/>
      <c r="H423" s="33"/>
      <c r="I423" s="33"/>
      <c r="J423" s="33"/>
      <c r="K423" s="33"/>
      <c r="L423" s="33"/>
      <c r="M423" s="33"/>
      <c r="N423" s="33"/>
      <c r="O423" s="33"/>
      <c r="P423" s="33"/>
      <c r="Q423" s="33"/>
      <c r="R423" s="33"/>
    </row>
    <row r="424">
      <c r="A424" s="33"/>
      <c r="B424" s="33"/>
      <c r="C424" s="33"/>
      <c r="D424" s="33"/>
      <c r="E424" s="33"/>
      <c r="F424" s="33"/>
      <c r="G424" s="33"/>
      <c r="H424" s="33"/>
      <c r="I424" s="33"/>
      <c r="J424" s="33"/>
      <c r="K424" s="33"/>
      <c r="L424" s="33"/>
      <c r="M424" s="33"/>
      <c r="N424" s="33"/>
      <c r="O424" s="33"/>
      <c r="P424" s="33"/>
      <c r="Q424" s="33"/>
      <c r="R424" s="33"/>
    </row>
    <row r="425">
      <c r="A425" s="33"/>
      <c r="B425" s="33"/>
      <c r="C425" s="33"/>
      <c r="D425" s="33"/>
      <c r="E425" s="33"/>
      <c r="F425" s="33"/>
      <c r="G425" s="33"/>
      <c r="H425" s="33"/>
      <c r="I425" s="33"/>
      <c r="J425" s="33"/>
      <c r="K425" s="33"/>
      <c r="L425" s="33"/>
      <c r="M425" s="33"/>
      <c r="N425" s="33"/>
      <c r="O425" s="33"/>
      <c r="P425" s="33"/>
      <c r="Q425" s="33"/>
      <c r="R425" s="33"/>
    </row>
    <row r="426">
      <c r="A426" s="33"/>
      <c r="B426" s="33"/>
      <c r="C426" s="33"/>
      <c r="D426" s="33"/>
      <c r="E426" s="33"/>
      <c r="F426" s="33"/>
      <c r="G426" s="33"/>
      <c r="H426" s="33"/>
      <c r="I426" s="33"/>
      <c r="J426" s="33"/>
      <c r="K426" s="33"/>
      <c r="L426" s="33"/>
      <c r="M426" s="33"/>
      <c r="N426" s="33"/>
      <c r="O426" s="33"/>
      <c r="P426" s="33"/>
      <c r="Q426" s="33"/>
      <c r="R426" s="33"/>
    </row>
    <row r="427">
      <c r="A427" s="33"/>
      <c r="B427" s="33"/>
      <c r="C427" s="33"/>
      <c r="D427" s="33"/>
      <c r="E427" s="33"/>
      <c r="F427" s="33"/>
      <c r="G427" s="33"/>
      <c r="H427" s="33"/>
      <c r="I427" s="33"/>
      <c r="J427" s="33"/>
      <c r="K427" s="33"/>
      <c r="L427" s="33"/>
      <c r="M427" s="33"/>
      <c r="N427" s="33"/>
      <c r="O427" s="33"/>
      <c r="P427" s="33"/>
      <c r="Q427" s="33"/>
      <c r="R427" s="33"/>
    </row>
    <row r="428">
      <c r="A428" s="33"/>
      <c r="B428" s="33"/>
      <c r="C428" s="33"/>
      <c r="D428" s="33"/>
      <c r="E428" s="33"/>
      <c r="F428" s="33"/>
      <c r="G428" s="33"/>
      <c r="H428" s="33"/>
      <c r="I428" s="33"/>
      <c r="J428" s="33"/>
      <c r="K428" s="33"/>
      <c r="L428" s="33"/>
      <c r="M428" s="33"/>
      <c r="N428" s="33"/>
      <c r="O428" s="33"/>
      <c r="P428" s="33"/>
      <c r="Q428" s="33"/>
      <c r="R428" s="33"/>
    </row>
    <row r="429">
      <c r="A429" s="33"/>
      <c r="B429" s="33"/>
      <c r="C429" s="33"/>
      <c r="D429" s="33"/>
      <c r="E429" s="33"/>
      <c r="F429" s="33"/>
      <c r="G429" s="33"/>
      <c r="H429" s="33"/>
      <c r="I429" s="33"/>
      <c r="J429" s="33"/>
      <c r="K429" s="33"/>
      <c r="L429" s="33"/>
      <c r="M429" s="33"/>
      <c r="N429" s="33"/>
      <c r="O429" s="33"/>
      <c r="P429" s="33"/>
      <c r="Q429" s="33"/>
      <c r="R429" s="33"/>
    </row>
    <row r="430">
      <c r="A430" s="33"/>
      <c r="B430" s="33"/>
      <c r="C430" s="33"/>
      <c r="D430" s="33"/>
      <c r="E430" s="33"/>
      <c r="F430" s="33"/>
      <c r="G430" s="33"/>
      <c r="H430" s="33"/>
      <c r="I430" s="33"/>
      <c r="J430" s="33"/>
      <c r="K430" s="33"/>
      <c r="L430" s="33"/>
      <c r="M430" s="33"/>
      <c r="N430" s="33"/>
      <c r="O430" s="33"/>
      <c r="P430" s="33"/>
      <c r="Q430" s="33"/>
      <c r="R430" s="33"/>
    </row>
    <row r="431">
      <c r="A431" s="33"/>
      <c r="B431" s="33"/>
      <c r="C431" s="33"/>
      <c r="D431" s="33"/>
      <c r="E431" s="33"/>
      <c r="F431" s="33"/>
      <c r="G431" s="33"/>
      <c r="H431" s="33"/>
      <c r="I431" s="33"/>
      <c r="J431" s="33"/>
      <c r="K431" s="33"/>
      <c r="L431" s="33"/>
      <c r="M431" s="33"/>
      <c r="N431" s="33"/>
      <c r="O431" s="33"/>
      <c r="P431" s="33"/>
      <c r="Q431" s="33"/>
      <c r="R431" s="33"/>
    </row>
    <row r="432">
      <c r="A432" s="33"/>
      <c r="B432" s="33"/>
      <c r="C432" s="33"/>
      <c r="D432" s="33"/>
      <c r="E432" s="33"/>
      <c r="F432" s="33"/>
      <c r="G432" s="33"/>
      <c r="H432" s="33"/>
      <c r="I432" s="33"/>
      <c r="J432" s="33"/>
      <c r="K432" s="33"/>
      <c r="L432" s="33"/>
      <c r="M432" s="33"/>
      <c r="N432" s="33"/>
      <c r="O432" s="33"/>
      <c r="P432" s="33"/>
      <c r="Q432" s="33"/>
      <c r="R432" s="33"/>
    </row>
    <row r="433">
      <c r="A433" s="33"/>
      <c r="B433" s="33"/>
      <c r="C433" s="33"/>
      <c r="D433" s="33"/>
      <c r="E433" s="33"/>
      <c r="F433" s="33"/>
      <c r="G433" s="33"/>
      <c r="H433" s="33"/>
      <c r="I433" s="33"/>
      <c r="J433" s="33"/>
      <c r="K433" s="33"/>
      <c r="L433" s="33"/>
      <c r="M433" s="33"/>
      <c r="N433" s="33"/>
      <c r="O433" s="33"/>
      <c r="P433" s="33"/>
      <c r="Q433" s="33"/>
      <c r="R433" s="33"/>
    </row>
    <row r="434">
      <c r="A434" s="33"/>
      <c r="B434" s="33"/>
      <c r="C434" s="33"/>
      <c r="D434" s="33"/>
      <c r="E434" s="33"/>
      <c r="F434" s="33"/>
      <c r="G434" s="33"/>
      <c r="H434" s="33"/>
      <c r="I434" s="33"/>
      <c r="J434" s="33"/>
      <c r="K434" s="33"/>
      <c r="L434" s="33"/>
      <c r="M434" s="33"/>
      <c r="N434" s="33"/>
      <c r="O434" s="33"/>
      <c r="P434" s="33"/>
      <c r="Q434" s="33"/>
      <c r="R434" s="33"/>
    </row>
    <row r="435">
      <c r="A435" s="33"/>
      <c r="B435" s="33"/>
      <c r="C435" s="33"/>
      <c r="D435" s="33"/>
      <c r="E435" s="33"/>
      <c r="F435" s="33"/>
      <c r="G435" s="33"/>
      <c r="H435" s="33"/>
      <c r="I435" s="33"/>
      <c r="J435" s="33"/>
      <c r="K435" s="33"/>
      <c r="L435" s="33"/>
      <c r="M435" s="33"/>
      <c r="N435" s="33"/>
      <c r="O435" s="33"/>
      <c r="P435" s="33"/>
      <c r="Q435" s="33"/>
      <c r="R435" s="33"/>
    </row>
    <row r="436">
      <c r="A436" s="33"/>
      <c r="B436" s="33"/>
      <c r="C436" s="33"/>
      <c r="D436" s="33"/>
      <c r="E436" s="33"/>
      <c r="F436" s="33"/>
      <c r="G436" s="33"/>
      <c r="H436" s="33"/>
      <c r="I436" s="33"/>
      <c r="J436" s="33"/>
      <c r="K436" s="33"/>
      <c r="L436" s="33"/>
      <c r="M436" s="33"/>
      <c r="N436" s="33"/>
      <c r="O436" s="33"/>
      <c r="P436" s="33"/>
      <c r="Q436" s="33"/>
      <c r="R436" s="33"/>
    </row>
    <row r="437">
      <c r="A437" s="33"/>
      <c r="B437" s="33"/>
      <c r="C437" s="33"/>
      <c r="D437" s="33"/>
      <c r="E437" s="33"/>
      <c r="F437" s="33"/>
      <c r="G437" s="33"/>
      <c r="H437" s="33"/>
      <c r="I437" s="33"/>
      <c r="J437" s="33"/>
      <c r="K437" s="33"/>
      <c r="L437" s="33"/>
      <c r="M437" s="33"/>
      <c r="N437" s="33"/>
      <c r="O437" s="33"/>
      <c r="P437" s="33"/>
      <c r="Q437" s="33"/>
      <c r="R437" s="33"/>
    </row>
    <row r="438">
      <c r="A438" s="33"/>
      <c r="B438" s="33"/>
      <c r="C438" s="33"/>
      <c r="D438" s="33"/>
      <c r="E438" s="33"/>
      <c r="F438" s="33"/>
      <c r="G438" s="33"/>
      <c r="H438" s="33"/>
      <c r="I438" s="33"/>
      <c r="J438" s="33"/>
      <c r="K438" s="33"/>
      <c r="L438" s="33"/>
      <c r="M438" s="33"/>
      <c r="N438" s="33"/>
      <c r="O438" s="33"/>
      <c r="P438" s="33"/>
      <c r="Q438" s="33"/>
      <c r="R438" s="33"/>
    </row>
    <row r="439">
      <c r="A439" s="33"/>
      <c r="B439" s="33"/>
      <c r="C439" s="33"/>
      <c r="D439" s="33"/>
      <c r="E439" s="33"/>
      <c r="F439" s="33"/>
      <c r="G439" s="33"/>
      <c r="H439" s="33"/>
      <c r="I439" s="33"/>
      <c r="J439" s="33"/>
      <c r="K439" s="33"/>
      <c r="L439" s="33"/>
      <c r="M439" s="33"/>
      <c r="N439" s="33"/>
      <c r="O439" s="33"/>
      <c r="P439" s="33"/>
      <c r="Q439" s="33"/>
      <c r="R439" s="33"/>
    </row>
    <row r="440">
      <c r="A440" s="33"/>
      <c r="B440" s="33"/>
      <c r="C440" s="33"/>
      <c r="D440" s="33"/>
      <c r="E440" s="33"/>
      <c r="F440" s="33"/>
      <c r="G440" s="33"/>
      <c r="H440" s="33"/>
      <c r="I440" s="33"/>
      <c r="J440" s="33"/>
      <c r="K440" s="33"/>
      <c r="L440" s="33"/>
      <c r="M440" s="33"/>
      <c r="N440" s="33"/>
      <c r="O440" s="33"/>
      <c r="P440" s="33"/>
      <c r="Q440" s="33"/>
      <c r="R440" s="33"/>
    </row>
    <row r="441">
      <c r="A441" s="33"/>
      <c r="B441" s="33"/>
      <c r="C441" s="33"/>
      <c r="D441" s="33"/>
      <c r="E441" s="33"/>
      <c r="F441" s="33"/>
      <c r="G441" s="33"/>
      <c r="H441" s="33"/>
      <c r="I441" s="33"/>
      <c r="J441" s="33"/>
      <c r="K441" s="33"/>
      <c r="L441" s="33"/>
      <c r="M441" s="33"/>
      <c r="N441" s="33"/>
      <c r="O441" s="33"/>
      <c r="P441" s="33"/>
      <c r="Q441" s="33"/>
      <c r="R441" s="33"/>
    </row>
    <row r="442">
      <c r="A442" s="33"/>
      <c r="B442" s="33"/>
      <c r="C442" s="33"/>
      <c r="D442" s="33"/>
      <c r="E442" s="33"/>
      <c r="F442" s="33"/>
      <c r="G442" s="33"/>
      <c r="H442" s="33"/>
      <c r="I442" s="33"/>
      <c r="J442" s="33"/>
      <c r="K442" s="33"/>
      <c r="L442" s="33"/>
      <c r="M442" s="33"/>
      <c r="N442" s="33"/>
      <c r="O442" s="33"/>
      <c r="P442" s="33"/>
      <c r="Q442" s="33"/>
      <c r="R442" s="33"/>
    </row>
    <row r="443">
      <c r="A443" s="33"/>
      <c r="B443" s="33"/>
      <c r="C443" s="33"/>
      <c r="D443" s="33"/>
      <c r="E443" s="33"/>
      <c r="F443" s="33"/>
      <c r="G443" s="33"/>
      <c r="H443" s="33"/>
      <c r="I443" s="33"/>
      <c r="J443" s="33"/>
      <c r="K443" s="33"/>
      <c r="L443" s="33"/>
      <c r="M443" s="33"/>
      <c r="N443" s="33"/>
      <c r="O443" s="33"/>
      <c r="P443" s="33"/>
      <c r="Q443" s="33"/>
      <c r="R443" s="33"/>
    </row>
    <row r="444">
      <c r="A444" s="33"/>
      <c r="B444" s="33"/>
      <c r="C444" s="33"/>
      <c r="D444" s="33"/>
      <c r="E444" s="33"/>
      <c r="F444" s="33"/>
      <c r="G444" s="33"/>
      <c r="H444" s="33"/>
      <c r="I444" s="33"/>
      <c r="J444" s="33"/>
      <c r="K444" s="33"/>
      <c r="L444" s="33"/>
      <c r="M444" s="33"/>
      <c r="N444" s="33"/>
      <c r="O444" s="33"/>
      <c r="P444" s="33"/>
      <c r="Q444" s="33"/>
      <c r="R444" s="33"/>
    </row>
    <row r="445">
      <c r="A445" s="33"/>
      <c r="B445" s="33"/>
      <c r="C445" s="33"/>
      <c r="D445" s="33"/>
      <c r="E445" s="33"/>
      <c r="F445" s="33"/>
      <c r="G445" s="33"/>
      <c r="H445" s="33"/>
      <c r="I445" s="33"/>
      <c r="J445" s="33"/>
      <c r="K445" s="33"/>
      <c r="L445" s="33"/>
      <c r="M445" s="33"/>
      <c r="N445" s="33"/>
      <c r="O445" s="33"/>
      <c r="P445" s="33"/>
      <c r="Q445" s="33"/>
      <c r="R445" s="33"/>
    </row>
    <row r="446">
      <c r="A446" s="33"/>
      <c r="B446" s="33"/>
      <c r="C446" s="33"/>
      <c r="D446" s="33"/>
      <c r="E446" s="33"/>
      <c r="F446" s="33"/>
      <c r="G446" s="33"/>
      <c r="H446" s="33"/>
      <c r="I446" s="33"/>
      <c r="J446" s="33"/>
      <c r="K446" s="33"/>
      <c r="L446" s="33"/>
      <c r="M446" s="33"/>
      <c r="N446" s="33"/>
      <c r="O446" s="33"/>
      <c r="P446" s="33"/>
      <c r="Q446" s="33"/>
      <c r="R446" s="33"/>
    </row>
    <row r="447">
      <c r="A447" s="33"/>
      <c r="B447" s="33"/>
      <c r="C447" s="33"/>
      <c r="D447" s="33"/>
      <c r="E447" s="33"/>
      <c r="F447" s="33"/>
      <c r="G447" s="33"/>
      <c r="H447" s="33"/>
      <c r="I447" s="33"/>
      <c r="J447" s="33"/>
      <c r="K447" s="33"/>
      <c r="L447" s="33"/>
      <c r="M447" s="33"/>
      <c r="N447" s="33"/>
      <c r="O447" s="33"/>
      <c r="P447" s="33"/>
      <c r="Q447" s="33"/>
      <c r="R447" s="33"/>
    </row>
    <row r="448">
      <c r="A448" s="33"/>
      <c r="B448" s="33"/>
      <c r="C448" s="33"/>
      <c r="D448" s="33"/>
      <c r="E448" s="33"/>
      <c r="F448" s="33"/>
      <c r="G448" s="33"/>
      <c r="H448" s="33"/>
      <c r="I448" s="33"/>
      <c r="J448" s="33"/>
      <c r="K448" s="33"/>
      <c r="L448" s="33"/>
      <c r="M448" s="33"/>
      <c r="N448" s="33"/>
      <c r="O448" s="33"/>
      <c r="P448" s="33"/>
      <c r="Q448" s="33"/>
      <c r="R448" s="33"/>
    </row>
    <row r="449">
      <c r="A449" s="33"/>
      <c r="B449" s="33"/>
      <c r="C449" s="33"/>
      <c r="D449" s="33"/>
      <c r="E449" s="33"/>
      <c r="F449" s="33"/>
      <c r="G449" s="33"/>
      <c r="H449" s="33"/>
      <c r="I449" s="33"/>
      <c r="J449" s="33"/>
      <c r="K449" s="33"/>
      <c r="L449" s="33"/>
      <c r="M449" s="33"/>
      <c r="N449" s="33"/>
      <c r="O449" s="33"/>
      <c r="P449" s="33"/>
      <c r="Q449" s="33"/>
      <c r="R449" s="33"/>
    </row>
    <row r="450">
      <c r="A450" s="33"/>
      <c r="B450" s="33"/>
      <c r="C450" s="33"/>
      <c r="D450" s="33"/>
      <c r="E450" s="33"/>
      <c r="F450" s="33"/>
      <c r="G450" s="33"/>
      <c r="H450" s="33"/>
      <c r="I450" s="33"/>
      <c r="J450" s="33"/>
      <c r="K450" s="33"/>
      <c r="L450" s="33"/>
      <c r="M450" s="33"/>
      <c r="N450" s="33"/>
      <c r="O450" s="33"/>
      <c r="P450" s="33"/>
      <c r="Q450" s="33"/>
      <c r="R450" s="33"/>
    </row>
    <row r="451">
      <c r="A451" s="33"/>
      <c r="B451" s="33"/>
      <c r="C451" s="33"/>
      <c r="D451" s="33"/>
      <c r="E451" s="33"/>
      <c r="F451" s="33"/>
      <c r="G451" s="33"/>
      <c r="H451" s="33"/>
      <c r="I451" s="33"/>
      <c r="J451" s="33"/>
      <c r="K451" s="33"/>
      <c r="L451" s="33"/>
      <c r="M451" s="33"/>
      <c r="N451" s="33"/>
      <c r="O451" s="33"/>
      <c r="P451" s="33"/>
      <c r="Q451" s="33"/>
      <c r="R451" s="33"/>
    </row>
    <row r="452">
      <c r="A452" s="33"/>
      <c r="B452" s="33"/>
      <c r="C452" s="33"/>
      <c r="D452" s="33"/>
      <c r="E452" s="33"/>
      <c r="F452" s="33"/>
      <c r="G452" s="33"/>
      <c r="H452" s="33"/>
      <c r="I452" s="33"/>
      <c r="J452" s="33"/>
      <c r="K452" s="33"/>
      <c r="L452" s="33"/>
      <c r="M452" s="33"/>
      <c r="N452" s="33"/>
      <c r="O452" s="33"/>
      <c r="P452" s="33"/>
      <c r="Q452" s="33"/>
      <c r="R452" s="33"/>
    </row>
    <row r="453">
      <c r="A453" s="33"/>
      <c r="B453" s="33"/>
      <c r="C453" s="33"/>
      <c r="D453" s="33"/>
      <c r="E453" s="33"/>
      <c r="F453" s="33"/>
      <c r="G453" s="33"/>
      <c r="H453" s="33"/>
      <c r="I453" s="33"/>
      <c r="J453" s="33"/>
      <c r="K453" s="33"/>
      <c r="L453" s="33"/>
      <c r="M453" s="33"/>
      <c r="N453" s="33"/>
      <c r="O453" s="33"/>
      <c r="P453" s="33"/>
      <c r="Q453" s="33"/>
      <c r="R453" s="33"/>
    </row>
    <row r="454">
      <c r="A454" s="33"/>
      <c r="B454" s="33"/>
      <c r="C454" s="33"/>
      <c r="D454" s="33"/>
      <c r="E454" s="33"/>
      <c r="F454" s="33"/>
      <c r="G454" s="33"/>
      <c r="H454" s="33"/>
      <c r="I454" s="33"/>
      <c r="J454" s="33"/>
      <c r="K454" s="33"/>
      <c r="L454" s="33"/>
      <c r="M454" s="33"/>
      <c r="N454" s="33"/>
      <c r="O454" s="33"/>
      <c r="P454" s="33"/>
      <c r="Q454" s="33"/>
      <c r="R454" s="33"/>
    </row>
    <row r="455">
      <c r="A455" s="33"/>
      <c r="B455" s="33"/>
      <c r="C455" s="33"/>
      <c r="D455" s="33"/>
      <c r="E455" s="33"/>
      <c r="F455" s="33"/>
      <c r="G455" s="33"/>
      <c r="H455" s="33"/>
      <c r="I455" s="33"/>
      <c r="J455" s="33"/>
      <c r="K455" s="33"/>
      <c r="L455" s="33"/>
      <c r="M455" s="33"/>
      <c r="N455" s="33"/>
      <c r="O455" s="33"/>
      <c r="P455" s="33"/>
      <c r="Q455" s="33"/>
      <c r="R455" s="33"/>
    </row>
    <row r="456">
      <c r="A456" s="33"/>
      <c r="B456" s="33"/>
      <c r="C456" s="33"/>
      <c r="D456" s="33"/>
      <c r="E456" s="33"/>
      <c r="F456" s="33"/>
      <c r="G456" s="33"/>
      <c r="H456" s="33"/>
      <c r="I456" s="33"/>
      <c r="J456" s="33"/>
      <c r="K456" s="33"/>
      <c r="L456" s="33"/>
      <c r="M456" s="33"/>
      <c r="N456" s="33"/>
      <c r="O456" s="33"/>
      <c r="P456" s="33"/>
      <c r="Q456" s="33"/>
      <c r="R456" s="33"/>
    </row>
    <row r="457">
      <c r="A457" s="33"/>
      <c r="B457" s="33"/>
      <c r="C457" s="33"/>
      <c r="D457" s="33"/>
      <c r="E457" s="33"/>
      <c r="F457" s="33"/>
      <c r="G457" s="33"/>
      <c r="H457" s="33"/>
      <c r="I457" s="33"/>
      <c r="J457" s="33"/>
      <c r="K457" s="33"/>
      <c r="L457" s="33"/>
      <c r="M457" s="33"/>
      <c r="N457" s="33"/>
      <c r="O457" s="33"/>
      <c r="P457" s="33"/>
      <c r="Q457" s="33"/>
      <c r="R457" s="33"/>
    </row>
    <row r="458">
      <c r="A458" s="33"/>
      <c r="B458" s="33"/>
      <c r="C458" s="33"/>
      <c r="D458" s="33"/>
      <c r="E458" s="33"/>
      <c r="F458" s="33"/>
      <c r="G458" s="33"/>
      <c r="H458" s="33"/>
      <c r="I458" s="33"/>
      <c r="J458" s="33"/>
      <c r="K458" s="33"/>
      <c r="L458" s="33"/>
      <c r="M458" s="33"/>
      <c r="N458" s="33"/>
      <c r="O458" s="33"/>
      <c r="P458" s="33"/>
      <c r="Q458" s="33"/>
      <c r="R458" s="33"/>
    </row>
    <row r="459">
      <c r="A459" s="33"/>
      <c r="B459" s="33"/>
      <c r="C459" s="33"/>
      <c r="D459" s="33"/>
      <c r="E459" s="33"/>
      <c r="F459" s="33"/>
      <c r="G459" s="33"/>
      <c r="H459" s="33"/>
      <c r="I459" s="33"/>
      <c r="J459" s="33"/>
      <c r="K459" s="33"/>
      <c r="L459" s="33"/>
      <c r="M459" s="33"/>
      <c r="N459" s="33"/>
      <c r="O459" s="33"/>
      <c r="P459" s="33"/>
      <c r="Q459" s="33"/>
      <c r="R459" s="33"/>
    </row>
    <row r="460">
      <c r="A460" s="33"/>
      <c r="B460" s="33"/>
      <c r="C460" s="33"/>
      <c r="D460" s="33"/>
      <c r="E460" s="33"/>
      <c r="F460" s="33"/>
      <c r="G460" s="33"/>
      <c r="H460" s="33"/>
      <c r="I460" s="33"/>
      <c r="J460" s="33"/>
      <c r="K460" s="33"/>
      <c r="L460" s="33"/>
      <c r="M460" s="33"/>
      <c r="N460" s="33"/>
      <c r="O460" s="33"/>
      <c r="P460" s="33"/>
      <c r="Q460" s="33"/>
      <c r="R460" s="33"/>
    </row>
    <row r="461">
      <c r="A461" s="33"/>
      <c r="B461" s="33"/>
      <c r="C461" s="33"/>
      <c r="D461" s="33"/>
      <c r="E461" s="33"/>
      <c r="F461" s="33"/>
      <c r="G461" s="33"/>
      <c r="H461" s="33"/>
      <c r="I461" s="33"/>
      <c r="J461" s="33"/>
      <c r="K461" s="33"/>
      <c r="L461" s="33"/>
      <c r="M461" s="33"/>
      <c r="N461" s="33"/>
      <c r="O461" s="33"/>
      <c r="P461" s="33"/>
      <c r="Q461" s="33"/>
      <c r="R461" s="33"/>
    </row>
    <row r="462">
      <c r="A462" s="33"/>
      <c r="B462" s="33"/>
      <c r="C462" s="33"/>
      <c r="D462" s="33"/>
      <c r="E462" s="33"/>
      <c r="F462" s="33"/>
      <c r="G462" s="33"/>
      <c r="H462" s="33"/>
      <c r="I462" s="33"/>
      <c r="J462" s="33"/>
      <c r="K462" s="33"/>
      <c r="L462" s="33"/>
      <c r="M462" s="33"/>
      <c r="N462" s="33"/>
      <c r="O462" s="33"/>
      <c r="P462" s="33"/>
      <c r="Q462" s="33"/>
      <c r="R462" s="33"/>
    </row>
    <row r="463">
      <c r="A463" s="33"/>
      <c r="B463" s="33"/>
      <c r="C463" s="33"/>
      <c r="D463" s="33"/>
      <c r="E463" s="33"/>
      <c r="F463" s="33"/>
      <c r="G463" s="33"/>
      <c r="H463" s="33"/>
      <c r="I463" s="33"/>
      <c r="J463" s="33"/>
      <c r="K463" s="33"/>
      <c r="L463" s="33"/>
      <c r="M463" s="33"/>
      <c r="N463" s="33"/>
      <c r="O463" s="33"/>
      <c r="P463" s="33"/>
      <c r="Q463" s="33"/>
      <c r="R463" s="33"/>
    </row>
    <row r="464">
      <c r="A464" s="33"/>
      <c r="B464" s="33"/>
      <c r="C464" s="33"/>
      <c r="D464" s="33"/>
      <c r="E464" s="33"/>
      <c r="F464" s="33"/>
      <c r="G464" s="33"/>
      <c r="H464" s="33"/>
      <c r="I464" s="33"/>
      <c r="J464" s="33"/>
      <c r="K464" s="33"/>
      <c r="L464" s="33"/>
      <c r="M464" s="33"/>
      <c r="N464" s="33"/>
      <c r="O464" s="33"/>
      <c r="P464" s="33"/>
      <c r="Q464" s="33"/>
      <c r="R464" s="33"/>
    </row>
    <row r="465">
      <c r="A465" s="33"/>
      <c r="B465" s="33"/>
      <c r="C465" s="33"/>
      <c r="D465" s="33"/>
      <c r="E465" s="33"/>
      <c r="F465" s="33"/>
      <c r="G465" s="33"/>
      <c r="H465" s="33"/>
      <c r="I465" s="33"/>
      <c r="J465" s="33"/>
      <c r="K465" s="33"/>
      <c r="L465" s="33"/>
      <c r="M465" s="33"/>
      <c r="N465" s="33"/>
      <c r="O465" s="33"/>
      <c r="P465" s="33"/>
      <c r="Q465" s="33"/>
      <c r="R465" s="33"/>
    </row>
    <row r="466">
      <c r="A466" s="33"/>
      <c r="B466" s="33"/>
      <c r="C466" s="33"/>
      <c r="D466" s="33"/>
      <c r="E466" s="33"/>
      <c r="F466" s="33"/>
      <c r="G466" s="33"/>
      <c r="H466" s="33"/>
      <c r="I466" s="33"/>
      <c r="J466" s="33"/>
      <c r="K466" s="33"/>
      <c r="L466" s="33"/>
      <c r="M466" s="33"/>
      <c r="N466" s="33"/>
      <c r="O466" s="33"/>
      <c r="P466" s="33"/>
      <c r="Q466" s="33"/>
      <c r="R466" s="33"/>
    </row>
    <row r="467">
      <c r="A467" s="33"/>
      <c r="B467" s="33"/>
      <c r="C467" s="33"/>
      <c r="D467" s="33"/>
      <c r="E467" s="33"/>
      <c r="F467" s="33"/>
      <c r="G467" s="33"/>
      <c r="H467" s="33"/>
      <c r="I467" s="33"/>
      <c r="J467" s="33"/>
      <c r="K467" s="33"/>
      <c r="L467" s="33"/>
      <c r="M467" s="33"/>
      <c r="N467" s="33"/>
      <c r="O467" s="33"/>
      <c r="P467" s="33"/>
      <c r="Q467" s="33"/>
      <c r="R467" s="33"/>
    </row>
    <row r="468">
      <c r="A468" s="33"/>
      <c r="B468" s="33"/>
      <c r="C468" s="33"/>
      <c r="D468" s="33"/>
      <c r="E468" s="33"/>
      <c r="F468" s="33"/>
      <c r="G468" s="33"/>
      <c r="H468" s="33"/>
      <c r="I468" s="33"/>
      <c r="J468" s="33"/>
      <c r="K468" s="33"/>
      <c r="L468" s="33"/>
      <c r="M468" s="33"/>
      <c r="N468" s="33"/>
      <c r="O468" s="33"/>
      <c r="P468" s="33"/>
      <c r="Q468" s="33"/>
      <c r="R468" s="33"/>
    </row>
    <row r="469">
      <c r="A469" s="33"/>
      <c r="B469" s="33"/>
      <c r="C469" s="33"/>
      <c r="D469" s="33"/>
      <c r="E469" s="33"/>
      <c r="F469" s="33"/>
      <c r="G469" s="33"/>
      <c r="H469" s="33"/>
      <c r="I469" s="33"/>
      <c r="J469" s="33"/>
      <c r="K469" s="33"/>
      <c r="L469" s="33"/>
      <c r="M469" s="33"/>
      <c r="N469" s="33"/>
      <c r="O469" s="33"/>
      <c r="P469" s="33"/>
      <c r="Q469" s="33"/>
      <c r="R469" s="33"/>
    </row>
    <row r="470">
      <c r="A470" s="33"/>
      <c r="B470" s="33"/>
      <c r="C470" s="33"/>
      <c r="D470" s="33"/>
      <c r="E470" s="33"/>
      <c r="F470" s="33"/>
      <c r="G470" s="33"/>
      <c r="H470" s="33"/>
      <c r="I470" s="33"/>
      <c r="J470" s="33"/>
      <c r="K470" s="33"/>
      <c r="L470" s="33"/>
      <c r="M470" s="33"/>
      <c r="N470" s="33"/>
      <c r="O470" s="33"/>
      <c r="P470" s="33"/>
      <c r="Q470" s="33"/>
      <c r="R470" s="33"/>
    </row>
    <row r="471">
      <c r="A471" s="33"/>
      <c r="B471" s="33"/>
      <c r="C471" s="33"/>
      <c r="D471" s="33"/>
      <c r="E471" s="33"/>
      <c r="F471" s="33"/>
      <c r="G471" s="33"/>
      <c r="H471" s="33"/>
      <c r="I471" s="33"/>
      <c r="J471" s="33"/>
      <c r="K471" s="33"/>
      <c r="L471" s="33"/>
      <c r="M471" s="33"/>
      <c r="N471" s="33"/>
      <c r="O471" s="33"/>
      <c r="P471" s="33"/>
      <c r="Q471" s="33"/>
      <c r="R471" s="33"/>
    </row>
    <row r="472">
      <c r="A472" s="33"/>
      <c r="B472" s="33"/>
      <c r="C472" s="33"/>
      <c r="D472" s="33"/>
      <c r="E472" s="33"/>
      <c r="F472" s="33"/>
      <c r="G472" s="33"/>
      <c r="H472" s="33"/>
      <c r="I472" s="33"/>
      <c r="J472" s="33"/>
      <c r="K472" s="33"/>
      <c r="L472" s="33"/>
      <c r="M472" s="33"/>
      <c r="N472" s="33"/>
      <c r="O472" s="33"/>
      <c r="P472" s="33"/>
      <c r="Q472" s="33"/>
      <c r="R472" s="33"/>
    </row>
    <row r="473">
      <c r="A473" s="33"/>
      <c r="B473" s="33"/>
      <c r="C473" s="33"/>
      <c r="D473" s="33"/>
      <c r="E473" s="33"/>
      <c r="F473" s="33"/>
      <c r="G473" s="33"/>
      <c r="H473" s="33"/>
      <c r="I473" s="33"/>
      <c r="J473" s="33"/>
      <c r="K473" s="33"/>
      <c r="L473" s="33"/>
      <c r="M473" s="33"/>
      <c r="N473" s="33"/>
      <c r="O473" s="33"/>
      <c r="P473" s="33"/>
      <c r="Q473" s="33"/>
      <c r="R473" s="33"/>
    </row>
    <row r="474">
      <c r="A474" s="33"/>
      <c r="B474" s="33"/>
      <c r="C474" s="33"/>
      <c r="D474" s="33"/>
      <c r="E474" s="33"/>
      <c r="F474" s="33"/>
      <c r="G474" s="33"/>
      <c r="H474" s="33"/>
      <c r="I474" s="33"/>
      <c r="J474" s="33"/>
      <c r="K474" s="33"/>
      <c r="L474" s="33"/>
      <c r="M474" s="33"/>
      <c r="N474" s="33"/>
      <c r="O474" s="33"/>
      <c r="P474" s="33"/>
      <c r="Q474" s="33"/>
      <c r="R474" s="33"/>
    </row>
    <row r="475">
      <c r="A475" s="33"/>
      <c r="B475" s="33"/>
      <c r="C475" s="33"/>
      <c r="D475" s="33"/>
      <c r="E475" s="33"/>
      <c r="F475" s="33"/>
      <c r="G475" s="33"/>
      <c r="H475" s="33"/>
      <c r="I475" s="33"/>
      <c r="J475" s="33"/>
      <c r="K475" s="33"/>
      <c r="L475" s="33"/>
      <c r="M475" s="33"/>
      <c r="N475" s="33"/>
      <c r="O475" s="33"/>
      <c r="P475" s="33"/>
      <c r="Q475" s="33"/>
      <c r="R475" s="33"/>
    </row>
    <row r="476">
      <c r="A476" s="33"/>
      <c r="B476" s="33"/>
      <c r="C476" s="33"/>
      <c r="D476" s="33"/>
      <c r="E476" s="33"/>
      <c r="F476" s="33"/>
      <c r="G476" s="33"/>
      <c r="H476" s="33"/>
      <c r="I476" s="33"/>
      <c r="J476" s="33"/>
      <c r="K476" s="33"/>
      <c r="L476" s="33"/>
      <c r="M476" s="33"/>
      <c r="N476" s="33"/>
      <c r="O476" s="33"/>
      <c r="P476" s="33"/>
      <c r="Q476" s="33"/>
      <c r="R476" s="33"/>
    </row>
    <row r="477">
      <c r="A477" s="33"/>
      <c r="B477" s="33"/>
      <c r="C477" s="33"/>
      <c r="D477" s="33"/>
      <c r="E477" s="33"/>
      <c r="F477" s="33"/>
      <c r="G477" s="33"/>
      <c r="H477" s="33"/>
      <c r="I477" s="33"/>
      <c r="J477" s="33"/>
      <c r="K477" s="33"/>
      <c r="L477" s="33"/>
      <c r="M477" s="33"/>
      <c r="N477" s="33"/>
      <c r="O477" s="33"/>
      <c r="P477" s="33"/>
      <c r="Q477" s="33"/>
      <c r="R477" s="33"/>
    </row>
    <row r="478">
      <c r="A478" s="33"/>
      <c r="B478" s="33"/>
      <c r="C478" s="33"/>
      <c r="D478" s="33"/>
      <c r="E478" s="33"/>
      <c r="F478" s="33"/>
      <c r="G478" s="33"/>
      <c r="H478" s="33"/>
      <c r="I478" s="33"/>
      <c r="J478" s="33"/>
      <c r="K478" s="33"/>
      <c r="L478" s="33"/>
      <c r="M478" s="33"/>
      <c r="N478" s="33"/>
      <c r="O478" s="33"/>
      <c r="P478" s="33"/>
      <c r="Q478" s="33"/>
      <c r="R478" s="33"/>
    </row>
    <row r="479">
      <c r="A479" s="33"/>
      <c r="B479" s="33"/>
      <c r="C479" s="33"/>
      <c r="D479" s="33"/>
      <c r="E479" s="33"/>
      <c r="F479" s="33"/>
      <c r="G479" s="33"/>
      <c r="H479" s="33"/>
      <c r="I479" s="33"/>
      <c r="J479" s="33"/>
      <c r="K479" s="33"/>
      <c r="L479" s="33"/>
      <c r="M479" s="33"/>
      <c r="N479" s="33"/>
      <c r="O479" s="33"/>
      <c r="P479" s="33"/>
      <c r="Q479" s="33"/>
      <c r="R479" s="33"/>
    </row>
    <row r="480">
      <c r="A480" s="33"/>
      <c r="B480" s="33"/>
      <c r="C480" s="33"/>
      <c r="D480" s="33"/>
      <c r="E480" s="33"/>
      <c r="F480" s="33"/>
      <c r="G480" s="33"/>
      <c r="H480" s="33"/>
      <c r="I480" s="33"/>
      <c r="J480" s="33"/>
      <c r="K480" s="33"/>
      <c r="L480" s="33"/>
      <c r="M480" s="33"/>
      <c r="N480" s="33"/>
      <c r="O480" s="33"/>
      <c r="P480" s="33"/>
      <c r="Q480" s="33"/>
      <c r="R480" s="33"/>
    </row>
    <row r="481">
      <c r="A481" s="33"/>
      <c r="B481" s="33"/>
      <c r="C481" s="33"/>
      <c r="D481" s="33"/>
      <c r="E481" s="33"/>
      <c r="F481" s="33"/>
      <c r="G481" s="33"/>
      <c r="H481" s="33"/>
      <c r="I481" s="33"/>
      <c r="J481" s="33"/>
      <c r="K481" s="33"/>
      <c r="L481" s="33"/>
      <c r="M481" s="33"/>
      <c r="N481" s="33"/>
      <c r="O481" s="33"/>
      <c r="P481" s="33"/>
      <c r="Q481" s="33"/>
      <c r="R481" s="33"/>
    </row>
    <row r="482">
      <c r="A482" s="33"/>
      <c r="B482" s="33"/>
      <c r="C482" s="33"/>
      <c r="D482" s="33"/>
      <c r="E482" s="33"/>
      <c r="F482" s="33"/>
      <c r="G482" s="33"/>
      <c r="H482" s="33"/>
      <c r="I482" s="33"/>
      <c r="J482" s="33"/>
      <c r="K482" s="33"/>
      <c r="L482" s="33"/>
      <c r="M482" s="33"/>
      <c r="N482" s="33"/>
      <c r="O482" s="33"/>
      <c r="P482" s="33"/>
      <c r="Q482" s="33"/>
      <c r="R482" s="33"/>
    </row>
    <row r="483">
      <c r="A483" s="33"/>
      <c r="B483" s="33"/>
      <c r="C483" s="33"/>
      <c r="D483" s="33"/>
      <c r="E483" s="33"/>
      <c r="F483" s="33"/>
      <c r="G483" s="33"/>
      <c r="H483" s="33"/>
      <c r="I483" s="33"/>
      <c r="J483" s="33"/>
      <c r="K483" s="33"/>
      <c r="L483" s="33"/>
      <c r="M483" s="33"/>
      <c r="N483" s="33"/>
      <c r="O483" s="33"/>
      <c r="P483" s="33"/>
      <c r="Q483" s="33"/>
      <c r="R483" s="33"/>
    </row>
    <row r="484">
      <c r="A484" s="33"/>
      <c r="B484" s="33"/>
      <c r="C484" s="33"/>
      <c r="D484" s="33"/>
      <c r="E484" s="33"/>
      <c r="F484" s="33"/>
      <c r="G484" s="33"/>
      <c r="H484" s="33"/>
      <c r="I484" s="33"/>
      <c r="J484" s="33"/>
      <c r="K484" s="33"/>
      <c r="L484" s="33"/>
      <c r="M484" s="33"/>
      <c r="N484" s="33"/>
      <c r="O484" s="33"/>
      <c r="P484" s="33"/>
      <c r="Q484" s="33"/>
      <c r="R484" s="33"/>
    </row>
    <row r="485">
      <c r="A485" s="33"/>
      <c r="B485" s="33"/>
      <c r="C485" s="33"/>
      <c r="D485" s="33"/>
      <c r="E485" s="33"/>
      <c r="F485" s="33"/>
      <c r="G485" s="33"/>
      <c r="H485" s="33"/>
      <c r="I485" s="33"/>
      <c r="J485" s="33"/>
      <c r="K485" s="33"/>
      <c r="L485" s="33"/>
      <c r="M485" s="33"/>
      <c r="N485" s="33"/>
      <c r="O485" s="33"/>
      <c r="P485" s="33"/>
      <c r="Q485" s="33"/>
      <c r="R485" s="33"/>
    </row>
    <row r="486">
      <c r="A486" s="33"/>
      <c r="B486" s="33"/>
      <c r="C486" s="33"/>
      <c r="D486" s="33"/>
      <c r="E486" s="33"/>
      <c r="F486" s="33"/>
      <c r="G486" s="33"/>
      <c r="H486" s="33"/>
      <c r="I486" s="33"/>
      <c r="J486" s="33"/>
      <c r="K486" s="33"/>
      <c r="L486" s="33"/>
      <c r="M486" s="33"/>
      <c r="N486" s="33"/>
      <c r="O486" s="33"/>
      <c r="P486" s="33"/>
      <c r="Q486" s="33"/>
      <c r="R486" s="33"/>
    </row>
    <row r="487">
      <c r="A487" s="33"/>
      <c r="B487" s="33"/>
      <c r="C487" s="33"/>
      <c r="D487" s="33"/>
      <c r="E487" s="33"/>
      <c r="F487" s="33"/>
      <c r="G487" s="33"/>
      <c r="H487" s="33"/>
      <c r="I487" s="33"/>
      <c r="J487" s="33"/>
      <c r="K487" s="33"/>
      <c r="L487" s="33"/>
      <c r="M487" s="33"/>
      <c r="N487" s="33"/>
      <c r="O487" s="33"/>
      <c r="P487" s="33"/>
      <c r="Q487" s="33"/>
      <c r="R487" s="33"/>
    </row>
    <row r="488">
      <c r="A488" s="33"/>
      <c r="B488" s="33"/>
      <c r="C488" s="33"/>
      <c r="D488" s="33"/>
      <c r="E488" s="33"/>
      <c r="F488" s="33"/>
      <c r="G488" s="33"/>
      <c r="H488" s="33"/>
      <c r="I488" s="33"/>
      <c r="J488" s="33"/>
      <c r="K488" s="33"/>
      <c r="L488" s="33"/>
      <c r="M488" s="33"/>
      <c r="N488" s="33"/>
      <c r="O488" s="33"/>
      <c r="P488" s="33"/>
      <c r="Q488" s="33"/>
      <c r="R488" s="33"/>
    </row>
    <row r="489">
      <c r="A489" s="33"/>
      <c r="B489" s="33"/>
      <c r="C489" s="33"/>
      <c r="D489" s="33"/>
      <c r="E489" s="33"/>
      <c r="F489" s="33"/>
      <c r="G489" s="33"/>
      <c r="H489" s="33"/>
      <c r="I489" s="33"/>
      <c r="J489" s="33"/>
      <c r="K489" s="33"/>
      <c r="L489" s="33"/>
      <c r="M489" s="33"/>
      <c r="N489" s="33"/>
      <c r="O489" s="33"/>
      <c r="P489" s="33"/>
      <c r="Q489" s="33"/>
      <c r="R489" s="33"/>
    </row>
    <row r="490">
      <c r="A490" s="33"/>
      <c r="B490" s="33"/>
      <c r="C490" s="33"/>
      <c r="D490" s="33"/>
      <c r="E490" s="33"/>
      <c r="F490" s="33"/>
      <c r="G490" s="33"/>
      <c r="H490" s="33"/>
      <c r="I490" s="33"/>
      <c r="J490" s="33"/>
      <c r="K490" s="33"/>
      <c r="L490" s="33"/>
      <c r="M490" s="33"/>
      <c r="N490" s="33"/>
      <c r="O490" s="33"/>
      <c r="P490" s="33"/>
      <c r="Q490" s="33"/>
      <c r="R490" s="33"/>
    </row>
    <row r="491">
      <c r="A491" s="33"/>
      <c r="B491" s="33"/>
      <c r="C491" s="33"/>
      <c r="D491" s="33"/>
      <c r="E491" s="33"/>
      <c r="F491" s="33"/>
      <c r="G491" s="33"/>
      <c r="H491" s="33"/>
      <c r="I491" s="33"/>
      <c r="J491" s="33"/>
      <c r="K491" s="33"/>
      <c r="L491" s="33"/>
      <c r="M491" s="33"/>
      <c r="N491" s="33"/>
      <c r="O491" s="33"/>
      <c r="P491" s="33"/>
      <c r="Q491" s="33"/>
      <c r="R491" s="33"/>
    </row>
    <row r="492">
      <c r="A492" s="33"/>
      <c r="B492" s="33"/>
      <c r="C492" s="33"/>
      <c r="D492" s="33"/>
      <c r="E492" s="33"/>
      <c r="F492" s="33"/>
      <c r="G492" s="33"/>
      <c r="H492" s="33"/>
      <c r="I492" s="33"/>
      <c r="J492" s="33"/>
      <c r="K492" s="33"/>
      <c r="L492" s="33"/>
      <c r="M492" s="33"/>
      <c r="N492" s="33"/>
      <c r="O492" s="33"/>
      <c r="P492" s="33"/>
      <c r="Q492" s="33"/>
      <c r="R492" s="33"/>
    </row>
    <row r="493">
      <c r="A493" s="33"/>
      <c r="B493" s="33"/>
      <c r="C493" s="33"/>
      <c r="D493" s="33"/>
      <c r="E493" s="33"/>
      <c r="F493" s="33"/>
      <c r="G493" s="33"/>
      <c r="H493" s="33"/>
      <c r="I493" s="33"/>
      <c r="J493" s="33"/>
      <c r="K493" s="33"/>
      <c r="L493" s="33"/>
      <c r="M493" s="33"/>
      <c r="N493" s="33"/>
      <c r="O493" s="33"/>
      <c r="P493" s="33"/>
      <c r="Q493" s="33"/>
      <c r="R493" s="33"/>
    </row>
    <row r="494">
      <c r="A494" s="33"/>
      <c r="B494" s="33"/>
      <c r="C494" s="33"/>
      <c r="D494" s="33"/>
      <c r="E494" s="33"/>
      <c r="F494" s="33"/>
      <c r="G494" s="33"/>
      <c r="H494" s="33"/>
      <c r="I494" s="33"/>
      <c r="J494" s="33"/>
      <c r="K494" s="33"/>
      <c r="L494" s="33"/>
      <c r="M494" s="33"/>
      <c r="N494" s="33"/>
      <c r="O494" s="33"/>
      <c r="P494" s="33"/>
      <c r="Q494" s="33"/>
      <c r="R494" s="33"/>
    </row>
    <row r="495">
      <c r="A495" s="33"/>
      <c r="B495" s="33"/>
      <c r="C495" s="33"/>
      <c r="D495" s="33"/>
      <c r="E495" s="33"/>
      <c r="F495" s="33"/>
      <c r="G495" s="33"/>
      <c r="H495" s="33"/>
      <c r="I495" s="33"/>
      <c r="J495" s="33"/>
      <c r="K495" s="33"/>
      <c r="L495" s="33"/>
      <c r="M495" s="33"/>
      <c r="N495" s="33"/>
      <c r="O495" s="33"/>
      <c r="P495" s="33"/>
      <c r="Q495" s="33"/>
      <c r="R495" s="33"/>
    </row>
    <row r="496">
      <c r="A496" s="33"/>
      <c r="B496" s="33"/>
      <c r="C496" s="33"/>
      <c r="D496" s="33"/>
      <c r="E496" s="33"/>
      <c r="F496" s="33"/>
      <c r="G496" s="33"/>
      <c r="H496" s="33"/>
      <c r="I496" s="33"/>
      <c r="J496" s="33"/>
      <c r="K496" s="33"/>
      <c r="L496" s="33"/>
      <c r="M496" s="33"/>
      <c r="N496" s="33"/>
      <c r="O496" s="33"/>
      <c r="P496" s="33"/>
      <c r="Q496" s="33"/>
      <c r="R496" s="33"/>
    </row>
    <row r="497">
      <c r="A497" s="33"/>
      <c r="B497" s="33"/>
      <c r="C497" s="33"/>
      <c r="D497" s="33"/>
      <c r="E497" s="33"/>
      <c r="F497" s="33"/>
      <c r="G497" s="33"/>
      <c r="H497" s="33"/>
      <c r="I497" s="33"/>
      <c r="J497" s="33"/>
      <c r="K497" s="33"/>
      <c r="L497" s="33"/>
      <c r="M497" s="33"/>
      <c r="N497" s="33"/>
      <c r="O497" s="33"/>
      <c r="P497" s="33"/>
      <c r="Q497" s="33"/>
      <c r="R497" s="33"/>
    </row>
    <row r="498">
      <c r="A498" s="33"/>
      <c r="B498" s="33"/>
      <c r="C498" s="33"/>
      <c r="D498" s="33"/>
      <c r="E498" s="33"/>
      <c r="F498" s="33"/>
      <c r="G498" s="33"/>
      <c r="H498" s="33"/>
      <c r="I498" s="33"/>
      <c r="J498" s="33"/>
      <c r="K498" s="33"/>
      <c r="L498" s="33"/>
      <c r="M498" s="33"/>
      <c r="N498" s="33"/>
      <c r="O498" s="33"/>
      <c r="P498" s="33"/>
      <c r="Q498" s="33"/>
      <c r="R498" s="33"/>
    </row>
    <row r="499">
      <c r="A499" s="33"/>
      <c r="B499" s="33"/>
      <c r="C499" s="33"/>
      <c r="D499" s="33"/>
      <c r="E499" s="33"/>
      <c r="F499" s="33"/>
      <c r="G499" s="33"/>
      <c r="H499" s="33"/>
      <c r="I499" s="33"/>
      <c r="J499" s="33"/>
      <c r="K499" s="33"/>
      <c r="L499" s="33"/>
      <c r="M499" s="33"/>
      <c r="N499" s="33"/>
      <c r="O499" s="33"/>
      <c r="P499" s="33"/>
      <c r="Q499" s="33"/>
      <c r="R499" s="33"/>
    </row>
    <row r="500">
      <c r="A500" s="33"/>
      <c r="B500" s="33"/>
      <c r="C500" s="33"/>
      <c r="D500" s="33"/>
      <c r="E500" s="33"/>
      <c r="F500" s="33"/>
      <c r="G500" s="33"/>
      <c r="H500" s="33"/>
      <c r="I500" s="33"/>
      <c r="J500" s="33"/>
      <c r="K500" s="33"/>
      <c r="L500" s="33"/>
      <c r="M500" s="33"/>
      <c r="N500" s="33"/>
      <c r="O500" s="33"/>
      <c r="P500" s="33"/>
      <c r="Q500" s="33"/>
      <c r="R500" s="33"/>
    </row>
    <row r="501">
      <c r="A501" s="33"/>
      <c r="B501" s="33"/>
      <c r="C501" s="33"/>
      <c r="D501" s="33"/>
      <c r="E501" s="33"/>
      <c r="F501" s="33"/>
      <c r="G501" s="33"/>
      <c r="H501" s="33"/>
      <c r="I501" s="33"/>
      <c r="J501" s="33"/>
      <c r="K501" s="33"/>
      <c r="L501" s="33"/>
      <c r="M501" s="33"/>
      <c r="N501" s="33"/>
      <c r="O501" s="33"/>
      <c r="P501" s="33"/>
      <c r="Q501" s="33"/>
      <c r="R501" s="33"/>
    </row>
    <row r="502">
      <c r="A502" s="33"/>
      <c r="B502" s="33"/>
      <c r="C502" s="33"/>
      <c r="D502" s="33"/>
      <c r="E502" s="33"/>
      <c r="F502" s="33"/>
      <c r="G502" s="33"/>
      <c r="H502" s="33"/>
      <c r="I502" s="33"/>
      <c r="J502" s="33"/>
      <c r="K502" s="33"/>
      <c r="L502" s="33"/>
      <c r="M502" s="33"/>
      <c r="N502" s="33"/>
      <c r="O502" s="33"/>
      <c r="P502" s="33"/>
      <c r="Q502" s="33"/>
      <c r="R502" s="33"/>
    </row>
    <row r="503">
      <c r="A503" s="33"/>
      <c r="B503" s="33"/>
      <c r="C503" s="33"/>
      <c r="D503" s="33"/>
      <c r="E503" s="33"/>
      <c r="F503" s="33"/>
      <c r="G503" s="33"/>
      <c r="H503" s="33"/>
      <c r="I503" s="33"/>
      <c r="J503" s="33"/>
      <c r="K503" s="33"/>
      <c r="L503" s="33"/>
      <c r="M503" s="33"/>
      <c r="N503" s="33"/>
      <c r="O503" s="33"/>
      <c r="P503" s="33"/>
      <c r="Q503" s="33"/>
      <c r="R503" s="33"/>
    </row>
    <row r="504">
      <c r="A504" s="33"/>
      <c r="B504" s="33"/>
      <c r="C504" s="33"/>
      <c r="D504" s="33"/>
      <c r="E504" s="33"/>
      <c r="F504" s="33"/>
      <c r="G504" s="33"/>
      <c r="H504" s="33"/>
      <c r="I504" s="33"/>
      <c r="J504" s="33"/>
      <c r="K504" s="33"/>
      <c r="L504" s="33"/>
      <c r="M504" s="33"/>
      <c r="N504" s="33"/>
      <c r="O504" s="33"/>
      <c r="P504" s="33"/>
      <c r="Q504" s="33"/>
      <c r="R504" s="33"/>
    </row>
    <row r="505">
      <c r="A505" s="33"/>
      <c r="B505" s="33"/>
      <c r="C505" s="33"/>
      <c r="D505" s="33"/>
      <c r="E505" s="33"/>
      <c r="F505" s="33"/>
      <c r="G505" s="33"/>
      <c r="H505" s="33"/>
      <c r="I505" s="33"/>
      <c r="J505" s="33"/>
      <c r="K505" s="33"/>
      <c r="L505" s="33"/>
      <c r="M505" s="33"/>
      <c r="N505" s="33"/>
      <c r="O505" s="33"/>
      <c r="P505" s="33"/>
      <c r="Q505" s="33"/>
      <c r="R505" s="33"/>
    </row>
    <row r="506">
      <c r="A506" s="33"/>
      <c r="B506" s="33"/>
      <c r="C506" s="33"/>
      <c r="D506" s="33"/>
      <c r="E506" s="33"/>
      <c r="F506" s="33"/>
      <c r="G506" s="33"/>
      <c r="H506" s="33"/>
      <c r="I506" s="33"/>
      <c r="J506" s="33"/>
      <c r="K506" s="33"/>
      <c r="L506" s="33"/>
      <c r="M506" s="33"/>
      <c r="N506" s="33"/>
      <c r="O506" s="33"/>
      <c r="P506" s="33"/>
      <c r="Q506" s="33"/>
      <c r="R506" s="33"/>
    </row>
    <row r="507">
      <c r="A507" s="33"/>
      <c r="B507" s="33"/>
      <c r="C507" s="33"/>
      <c r="D507" s="33"/>
      <c r="E507" s="33"/>
      <c r="F507" s="33"/>
      <c r="G507" s="33"/>
      <c r="H507" s="33"/>
      <c r="I507" s="33"/>
      <c r="J507" s="33"/>
      <c r="K507" s="33"/>
      <c r="L507" s="33"/>
      <c r="M507" s="33"/>
      <c r="N507" s="33"/>
      <c r="O507" s="33"/>
      <c r="P507" s="33"/>
      <c r="Q507" s="33"/>
      <c r="R507" s="33"/>
    </row>
    <row r="508">
      <c r="A508" s="33"/>
      <c r="B508" s="33"/>
      <c r="C508" s="33"/>
      <c r="D508" s="33"/>
      <c r="E508" s="33"/>
      <c r="F508" s="33"/>
      <c r="G508" s="33"/>
      <c r="H508" s="33"/>
      <c r="I508" s="33"/>
      <c r="J508" s="33"/>
      <c r="K508" s="33"/>
      <c r="L508" s="33"/>
      <c r="M508" s="33"/>
      <c r="N508" s="33"/>
      <c r="O508" s="33"/>
      <c r="P508" s="33"/>
      <c r="Q508" s="33"/>
      <c r="R508" s="33"/>
    </row>
    <row r="509">
      <c r="A509" s="33"/>
      <c r="B509" s="33"/>
      <c r="C509" s="33"/>
      <c r="D509" s="33"/>
      <c r="E509" s="33"/>
      <c r="F509" s="33"/>
      <c r="G509" s="33"/>
      <c r="H509" s="33"/>
      <c r="I509" s="33"/>
      <c r="J509" s="33"/>
      <c r="K509" s="33"/>
      <c r="L509" s="33"/>
      <c r="M509" s="33"/>
      <c r="N509" s="33"/>
      <c r="O509" s="33"/>
      <c r="P509" s="33"/>
      <c r="Q509" s="33"/>
      <c r="R509" s="33"/>
    </row>
    <row r="510">
      <c r="A510" s="33"/>
      <c r="B510" s="33"/>
      <c r="C510" s="33"/>
      <c r="D510" s="33"/>
      <c r="E510" s="33"/>
      <c r="F510" s="33"/>
      <c r="G510" s="33"/>
      <c r="H510" s="33"/>
      <c r="I510" s="33"/>
      <c r="J510" s="33"/>
      <c r="K510" s="33"/>
      <c r="L510" s="33"/>
      <c r="M510" s="33"/>
      <c r="N510" s="33"/>
      <c r="O510" s="33"/>
      <c r="P510" s="33"/>
      <c r="Q510" s="33"/>
      <c r="R510" s="33"/>
    </row>
    <row r="511">
      <c r="A511" s="33"/>
      <c r="B511" s="33"/>
      <c r="C511" s="33"/>
      <c r="D511" s="33"/>
      <c r="E511" s="33"/>
      <c r="F511" s="33"/>
      <c r="G511" s="33"/>
      <c r="H511" s="33"/>
      <c r="I511" s="33"/>
      <c r="J511" s="33"/>
      <c r="K511" s="33"/>
      <c r="L511" s="33"/>
      <c r="M511" s="33"/>
      <c r="N511" s="33"/>
      <c r="O511" s="33"/>
      <c r="P511" s="33"/>
      <c r="Q511" s="33"/>
      <c r="R511" s="33"/>
    </row>
    <row r="512">
      <c r="A512" s="33"/>
      <c r="B512" s="33"/>
      <c r="C512" s="33"/>
      <c r="D512" s="33"/>
      <c r="E512" s="33"/>
      <c r="F512" s="33"/>
      <c r="G512" s="33"/>
      <c r="H512" s="33"/>
      <c r="I512" s="33"/>
      <c r="J512" s="33"/>
      <c r="K512" s="33"/>
      <c r="L512" s="33"/>
      <c r="M512" s="33"/>
      <c r="N512" s="33"/>
      <c r="O512" s="33"/>
      <c r="P512" s="33"/>
      <c r="Q512" s="33"/>
      <c r="R512" s="33"/>
    </row>
    <row r="513">
      <c r="A513" s="33"/>
      <c r="B513" s="33"/>
      <c r="C513" s="33"/>
      <c r="D513" s="33"/>
      <c r="E513" s="33"/>
      <c r="F513" s="33"/>
      <c r="G513" s="33"/>
      <c r="H513" s="33"/>
      <c r="I513" s="33"/>
      <c r="J513" s="33"/>
      <c r="K513" s="33"/>
      <c r="L513" s="33"/>
      <c r="M513" s="33"/>
      <c r="N513" s="33"/>
      <c r="O513" s="33"/>
      <c r="P513" s="33"/>
      <c r="Q513" s="33"/>
      <c r="R513" s="33"/>
    </row>
    <row r="514">
      <c r="A514" s="33"/>
      <c r="B514" s="33"/>
      <c r="C514" s="33"/>
      <c r="D514" s="33"/>
      <c r="E514" s="33"/>
      <c r="F514" s="33"/>
      <c r="G514" s="33"/>
      <c r="H514" s="33"/>
      <c r="I514" s="33"/>
      <c r="J514" s="33"/>
      <c r="K514" s="33"/>
      <c r="L514" s="33"/>
      <c r="M514" s="33"/>
      <c r="N514" s="33"/>
      <c r="O514" s="33"/>
      <c r="P514" s="33"/>
      <c r="Q514" s="33"/>
      <c r="R514" s="33"/>
    </row>
    <row r="515">
      <c r="A515" s="33"/>
      <c r="B515" s="33"/>
      <c r="C515" s="33"/>
      <c r="D515" s="33"/>
      <c r="E515" s="33"/>
      <c r="F515" s="33"/>
      <c r="G515" s="33"/>
      <c r="H515" s="33"/>
      <c r="I515" s="33"/>
      <c r="J515" s="33"/>
      <c r="K515" s="33"/>
      <c r="L515" s="33"/>
      <c r="M515" s="33"/>
      <c r="N515" s="33"/>
      <c r="O515" s="33"/>
      <c r="P515" s="33"/>
      <c r="Q515" s="33"/>
      <c r="R515" s="33"/>
    </row>
    <row r="516">
      <c r="A516" s="33"/>
      <c r="B516" s="33"/>
      <c r="C516" s="33"/>
      <c r="D516" s="33"/>
      <c r="E516" s="33"/>
      <c r="F516" s="33"/>
      <c r="G516" s="33"/>
      <c r="H516" s="33"/>
      <c r="I516" s="33"/>
      <c r="J516" s="33"/>
      <c r="K516" s="33"/>
      <c r="L516" s="33"/>
      <c r="M516" s="33"/>
      <c r="N516" s="33"/>
      <c r="O516" s="33"/>
      <c r="P516" s="33"/>
      <c r="Q516" s="33"/>
      <c r="R516" s="33"/>
    </row>
    <row r="517">
      <c r="A517" s="33"/>
      <c r="B517" s="33"/>
      <c r="C517" s="33"/>
      <c r="D517" s="33"/>
      <c r="E517" s="33"/>
      <c r="F517" s="33"/>
      <c r="G517" s="33"/>
      <c r="H517" s="33"/>
      <c r="I517" s="33"/>
      <c r="J517" s="33"/>
      <c r="K517" s="33"/>
      <c r="L517" s="33"/>
      <c r="M517" s="33"/>
      <c r="N517" s="33"/>
      <c r="O517" s="33"/>
      <c r="P517" s="33"/>
      <c r="Q517" s="33"/>
      <c r="R517" s="33"/>
    </row>
    <row r="518">
      <c r="A518" s="33"/>
      <c r="B518" s="33"/>
      <c r="C518" s="33"/>
      <c r="D518" s="33"/>
      <c r="E518" s="33"/>
      <c r="F518" s="33"/>
      <c r="G518" s="33"/>
      <c r="H518" s="33"/>
      <c r="I518" s="33"/>
      <c r="J518" s="33"/>
      <c r="K518" s="33"/>
      <c r="L518" s="33"/>
      <c r="M518" s="33"/>
      <c r="N518" s="33"/>
      <c r="O518" s="33"/>
      <c r="P518" s="33"/>
      <c r="Q518" s="33"/>
      <c r="R518" s="33"/>
    </row>
    <row r="519">
      <c r="A519" s="33"/>
      <c r="B519" s="33"/>
      <c r="C519" s="33"/>
      <c r="D519" s="33"/>
      <c r="E519" s="33"/>
      <c r="F519" s="33"/>
      <c r="G519" s="33"/>
      <c r="H519" s="33"/>
      <c r="I519" s="33"/>
      <c r="J519" s="33"/>
      <c r="K519" s="33"/>
      <c r="L519" s="33"/>
      <c r="M519" s="33"/>
      <c r="N519" s="33"/>
      <c r="O519" s="33"/>
      <c r="P519" s="33"/>
      <c r="Q519" s="33"/>
      <c r="R519" s="33"/>
    </row>
    <row r="520">
      <c r="A520" s="33"/>
      <c r="B520" s="33"/>
      <c r="C520" s="33"/>
      <c r="D520" s="33"/>
      <c r="E520" s="33"/>
      <c r="F520" s="33"/>
      <c r="G520" s="33"/>
      <c r="H520" s="33"/>
      <c r="I520" s="33"/>
      <c r="J520" s="33"/>
      <c r="K520" s="33"/>
      <c r="L520" s="33"/>
      <c r="M520" s="33"/>
      <c r="N520" s="33"/>
      <c r="O520" s="33"/>
      <c r="P520" s="33"/>
      <c r="Q520" s="33"/>
      <c r="R520" s="33"/>
    </row>
    <row r="521">
      <c r="A521" s="33"/>
      <c r="B521" s="33"/>
      <c r="C521" s="33"/>
      <c r="D521" s="33"/>
      <c r="E521" s="33"/>
      <c r="F521" s="33"/>
      <c r="G521" s="33"/>
      <c r="H521" s="33"/>
      <c r="I521" s="33"/>
      <c r="J521" s="33"/>
      <c r="K521" s="33"/>
      <c r="L521" s="33"/>
      <c r="M521" s="33"/>
      <c r="N521" s="33"/>
      <c r="O521" s="33"/>
      <c r="P521" s="33"/>
      <c r="Q521" s="33"/>
      <c r="R521" s="33"/>
    </row>
    <row r="522">
      <c r="A522" s="33"/>
      <c r="B522" s="33"/>
      <c r="C522" s="33"/>
      <c r="D522" s="33"/>
      <c r="E522" s="33"/>
      <c r="F522" s="33"/>
      <c r="G522" s="33"/>
      <c r="H522" s="33"/>
      <c r="I522" s="33"/>
      <c r="J522" s="33"/>
      <c r="K522" s="33"/>
      <c r="L522" s="33"/>
      <c r="M522" s="33"/>
      <c r="N522" s="33"/>
      <c r="O522" s="33"/>
      <c r="P522" s="33"/>
      <c r="Q522" s="33"/>
      <c r="R522" s="33"/>
    </row>
    <row r="523">
      <c r="A523" s="33"/>
      <c r="B523" s="33"/>
      <c r="C523" s="33"/>
      <c r="D523" s="33"/>
      <c r="E523" s="33"/>
      <c r="F523" s="33"/>
      <c r="G523" s="33"/>
      <c r="H523" s="33"/>
      <c r="I523" s="33"/>
      <c r="J523" s="33"/>
      <c r="K523" s="33"/>
      <c r="L523" s="33"/>
      <c r="M523" s="33"/>
      <c r="N523" s="33"/>
      <c r="O523" s="33"/>
      <c r="P523" s="33"/>
      <c r="Q523" s="33"/>
      <c r="R523" s="33"/>
    </row>
    <row r="524">
      <c r="A524" s="33"/>
      <c r="B524" s="33"/>
      <c r="C524" s="33"/>
      <c r="D524" s="33"/>
      <c r="E524" s="33"/>
      <c r="F524" s="33"/>
      <c r="G524" s="33"/>
      <c r="H524" s="33"/>
      <c r="I524" s="33"/>
      <c r="J524" s="33"/>
      <c r="K524" s="33"/>
      <c r="L524" s="33"/>
      <c r="M524" s="33"/>
      <c r="N524" s="33"/>
      <c r="O524" s="33"/>
      <c r="P524" s="33"/>
      <c r="Q524" s="33"/>
      <c r="R524" s="33"/>
    </row>
    <row r="525">
      <c r="A525" s="33"/>
      <c r="B525" s="33"/>
      <c r="C525" s="33"/>
      <c r="D525" s="33"/>
      <c r="E525" s="33"/>
      <c r="F525" s="33"/>
      <c r="G525" s="33"/>
      <c r="H525" s="33"/>
      <c r="I525" s="33"/>
      <c r="J525" s="33"/>
      <c r="K525" s="33"/>
      <c r="L525" s="33"/>
      <c r="M525" s="33"/>
      <c r="N525" s="33"/>
      <c r="O525" s="33"/>
      <c r="P525" s="33"/>
      <c r="Q525" s="33"/>
      <c r="R525" s="33"/>
    </row>
    <row r="526">
      <c r="A526" s="33"/>
      <c r="B526" s="33"/>
      <c r="C526" s="33"/>
      <c r="D526" s="33"/>
      <c r="E526" s="33"/>
      <c r="F526" s="33"/>
      <c r="G526" s="33"/>
      <c r="H526" s="33"/>
      <c r="I526" s="33"/>
      <c r="J526" s="33"/>
      <c r="K526" s="33"/>
      <c r="L526" s="33"/>
      <c r="M526" s="33"/>
      <c r="N526" s="33"/>
      <c r="O526" s="33"/>
      <c r="P526" s="33"/>
      <c r="Q526" s="33"/>
      <c r="R526" s="33"/>
    </row>
    <row r="527">
      <c r="A527" s="33"/>
      <c r="B527" s="33"/>
      <c r="C527" s="33"/>
      <c r="D527" s="33"/>
      <c r="E527" s="33"/>
      <c r="F527" s="33"/>
      <c r="G527" s="33"/>
      <c r="H527" s="33"/>
      <c r="I527" s="33"/>
      <c r="J527" s="33"/>
      <c r="K527" s="33"/>
      <c r="L527" s="33"/>
      <c r="M527" s="33"/>
      <c r="N527" s="33"/>
      <c r="O527" s="33"/>
      <c r="P527" s="33"/>
      <c r="Q527" s="33"/>
      <c r="R527" s="33"/>
    </row>
    <row r="528">
      <c r="A528" s="33"/>
      <c r="B528" s="33"/>
      <c r="C528" s="33"/>
      <c r="D528" s="33"/>
      <c r="E528" s="33"/>
      <c r="F528" s="33"/>
      <c r="G528" s="33"/>
      <c r="H528" s="33"/>
      <c r="I528" s="33"/>
      <c r="J528" s="33"/>
      <c r="K528" s="33"/>
      <c r="L528" s="33"/>
      <c r="M528" s="33"/>
      <c r="N528" s="33"/>
      <c r="O528" s="33"/>
      <c r="P528" s="33"/>
      <c r="Q528" s="33"/>
      <c r="R528" s="33"/>
    </row>
    <row r="529">
      <c r="A529" s="33"/>
      <c r="B529" s="33"/>
      <c r="C529" s="33"/>
      <c r="D529" s="33"/>
      <c r="E529" s="33"/>
      <c r="F529" s="33"/>
      <c r="G529" s="33"/>
      <c r="H529" s="33"/>
      <c r="I529" s="33"/>
      <c r="J529" s="33"/>
      <c r="K529" s="33"/>
      <c r="L529" s="33"/>
      <c r="M529" s="33"/>
      <c r="N529" s="33"/>
      <c r="O529" s="33"/>
      <c r="P529" s="33"/>
      <c r="Q529" s="33"/>
      <c r="R529" s="33"/>
    </row>
    <row r="530">
      <c r="A530" s="33"/>
      <c r="B530" s="33"/>
      <c r="C530" s="33"/>
      <c r="D530" s="33"/>
      <c r="E530" s="33"/>
      <c r="F530" s="33"/>
      <c r="G530" s="33"/>
      <c r="H530" s="33"/>
      <c r="I530" s="33"/>
      <c r="J530" s="33"/>
      <c r="K530" s="33"/>
      <c r="L530" s="33"/>
      <c r="M530" s="33"/>
      <c r="N530" s="33"/>
      <c r="O530" s="33"/>
      <c r="P530" s="33"/>
      <c r="Q530" s="33"/>
      <c r="R530" s="33"/>
    </row>
    <row r="531">
      <c r="A531" s="33"/>
      <c r="B531" s="33"/>
      <c r="C531" s="33"/>
      <c r="D531" s="33"/>
      <c r="E531" s="33"/>
      <c r="F531" s="33"/>
      <c r="G531" s="33"/>
      <c r="H531" s="33"/>
      <c r="I531" s="33"/>
      <c r="J531" s="33"/>
      <c r="K531" s="33"/>
      <c r="L531" s="33"/>
      <c r="M531" s="33"/>
      <c r="N531" s="33"/>
      <c r="O531" s="33"/>
      <c r="P531" s="33"/>
      <c r="Q531" s="33"/>
      <c r="R531" s="33"/>
    </row>
    <row r="532">
      <c r="A532" s="33"/>
      <c r="B532" s="33"/>
      <c r="C532" s="33"/>
      <c r="D532" s="33"/>
      <c r="E532" s="33"/>
      <c r="F532" s="33"/>
      <c r="G532" s="33"/>
      <c r="H532" s="33"/>
      <c r="I532" s="33"/>
      <c r="J532" s="33"/>
      <c r="K532" s="33"/>
      <c r="L532" s="33"/>
      <c r="M532" s="33"/>
      <c r="N532" s="33"/>
      <c r="O532" s="33"/>
      <c r="P532" s="33"/>
      <c r="Q532" s="33"/>
      <c r="R532" s="33"/>
    </row>
    <row r="533">
      <c r="A533" s="33"/>
      <c r="B533" s="33"/>
      <c r="C533" s="33"/>
      <c r="D533" s="33"/>
      <c r="E533" s="33"/>
      <c r="F533" s="33"/>
      <c r="G533" s="33"/>
      <c r="H533" s="33"/>
      <c r="I533" s="33"/>
      <c r="J533" s="33"/>
      <c r="K533" s="33"/>
      <c r="L533" s="33"/>
      <c r="M533" s="33"/>
      <c r="N533" s="33"/>
      <c r="O533" s="33"/>
      <c r="P533" s="33"/>
      <c r="Q533" s="33"/>
      <c r="R533" s="33"/>
    </row>
    <row r="534">
      <c r="A534" s="33"/>
      <c r="B534" s="33"/>
      <c r="C534" s="33"/>
      <c r="D534" s="33"/>
      <c r="E534" s="33"/>
      <c r="F534" s="33"/>
      <c r="G534" s="33"/>
      <c r="H534" s="33"/>
      <c r="I534" s="33"/>
      <c r="J534" s="33"/>
      <c r="K534" s="33"/>
      <c r="L534" s="33"/>
      <c r="M534" s="33"/>
      <c r="N534" s="33"/>
      <c r="O534" s="33"/>
      <c r="P534" s="33"/>
      <c r="Q534" s="33"/>
      <c r="R534" s="33"/>
    </row>
    <row r="535">
      <c r="A535" s="33"/>
      <c r="B535" s="33"/>
      <c r="C535" s="33"/>
      <c r="D535" s="33"/>
      <c r="E535" s="33"/>
      <c r="F535" s="33"/>
      <c r="G535" s="33"/>
      <c r="H535" s="33"/>
      <c r="I535" s="33"/>
      <c r="J535" s="33"/>
      <c r="K535" s="33"/>
      <c r="L535" s="33"/>
      <c r="M535" s="33"/>
      <c r="N535" s="33"/>
      <c r="O535" s="33"/>
      <c r="P535" s="33"/>
      <c r="Q535" s="33"/>
      <c r="R535" s="33"/>
    </row>
    <row r="536">
      <c r="A536" s="33"/>
      <c r="B536" s="33"/>
      <c r="C536" s="33"/>
      <c r="D536" s="33"/>
      <c r="E536" s="33"/>
      <c r="F536" s="33"/>
      <c r="G536" s="33"/>
      <c r="H536" s="33"/>
      <c r="I536" s="33"/>
      <c r="J536" s="33"/>
      <c r="K536" s="33"/>
      <c r="L536" s="33"/>
      <c r="M536" s="33"/>
      <c r="N536" s="33"/>
      <c r="O536" s="33"/>
      <c r="P536" s="33"/>
      <c r="Q536" s="33"/>
      <c r="R536" s="33"/>
    </row>
    <row r="537">
      <c r="A537" s="33"/>
      <c r="B537" s="33"/>
      <c r="C537" s="33"/>
      <c r="D537" s="33"/>
      <c r="E537" s="33"/>
      <c r="F537" s="33"/>
      <c r="G537" s="33"/>
      <c r="H537" s="33"/>
      <c r="I537" s="33"/>
      <c r="J537" s="33"/>
      <c r="K537" s="33"/>
      <c r="L537" s="33"/>
      <c r="M537" s="33"/>
      <c r="N537" s="33"/>
      <c r="O537" s="33"/>
      <c r="P537" s="33"/>
      <c r="Q537" s="33"/>
      <c r="R537" s="33"/>
    </row>
    <row r="538">
      <c r="A538" s="33"/>
      <c r="B538" s="33"/>
      <c r="C538" s="33"/>
      <c r="D538" s="33"/>
      <c r="E538" s="33"/>
      <c r="F538" s="33"/>
      <c r="G538" s="33"/>
      <c r="H538" s="33"/>
      <c r="I538" s="33"/>
      <c r="J538" s="33"/>
      <c r="K538" s="33"/>
      <c r="L538" s="33"/>
      <c r="M538" s="33"/>
      <c r="N538" s="33"/>
      <c r="O538" s="33"/>
      <c r="P538" s="33"/>
      <c r="Q538" s="33"/>
      <c r="R538" s="33"/>
    </row>
    <row r="539">
      <c r="A539" s="33"/>
      <c r="B539" s="33"/>
      <c r="C539" s="33"/>
      <c r="D539" s="33"/>
      <c r="E539" s="33"/>
      <c r="F539" s="33"/>
      <c r="G539" s="33"/>
      <c r="H539" s="33"/>
      <c r="I539" s="33"/>
      <c r="J539" s="33"/>
      <c r="K539" s="33"/>
      <c r="L539" s="33"/>
      <c r="M539" s="33"/>
      <c r="N539" s="33"/>
      <c r="O539" s="33"/>
      <c r="P539" s="33"/>
      <c r="Q539" s="33"/>
      <c r="R539" s="33"/>
    </row>
    <row r="540">
      <c r="A540" s="33"/>
      <c r="B540" s="33"/>
      <c r="C540" s="33"/>
      <c r="D540" s="33"/>
      <c r="E540" s="33"/>
      <c r="F540" s="33"/>
      <c r="G540" s="33"/>
      <c r="H540" s="33"/>
      <c r="I540" s="33"/>
      <c r="J540" s="33"/>
      <c r="K540" s="33"/>
      <c r="L540" s="33"/>
      <c r="M540" s="33"/>
      <c r="N540" s="33"/>
      <c r="O540" s="33"/>
      <c r="P540" s="33"/>
      <c r="Q540" s="33"/>
      <c r="R540" s="33"/>
    </row>
    <row r="541">
      <c r="A541" s="33"/>
      <c r="B541" s="33"/>
      <c r="C541" s="33"/>
      <c r="D541" s="33"/>
      <c r="E541" s="33"/>
      <c r="F541" s="33"/>
      <c r="G541" s="33"/>
      <c r="H541" s="33"/>
      <c r="I541" s="33"/>
      <c r="J541" s="33"/>
      <c r="K541" s="33"/>
      <c r="L541" s="33"/>
      <c r="M541" s="33"/>
      <c r="N541" s="33"/>
      <c r="O541" s="33"/>
      <c r="P541" s="33"/>
      <c r="Q541" s="33"/>
      <c r="R541" s="33"/>
    </row>
    <row r="542">
      <c r="A542" s="33"/>
      <c r="B542" s="33"/>
      <c r="C542" s="33"/>
      <c r="D542" s="33"/>
      <c r="E542" s="33"/>
      <c r="F542" s="33"/>
      <c r="G542" s="33"/>
      <c r="H542" s="33"/>
      <c r="I542" s="33"/>
      <c r="J542" s="33"/>
      <c r="K542" s="33"/>
      <c r="L542" s="33"/>
      <c r="M542" s="33"/>
      <c r="N542" s="33"/>
      <c r="O542" s="33"/>
      <c r="P542" s="33"/>
      <c r="Q542" s="33"/>
      <c r="R542" s="33"/>
    </row>
    <row r="543">
      <c r="A543" s="33"/>
      <c r="B543" s="33"/>
      <c r="C543" s="33"/>
      <c r="D543" s="33"/>
      <c r="E543" s="33"/>
      <c r="F543" s="33"/>
      <c r="G543" s="33"/>
      <c r="H543" s="33"/>
      <c r="I543" s="33"/>
      <c r="J543" s="33"/>
      <c r="K543" s="33"/>
      <c r="L543" s="33"/>
      <c r="M543" s="33"/>
      <c r="N543" s="33"/>
      <c r="O543" s="33"/>
      <c r="P543" s="33"/>
      <c r="Q543" s="33"/>
      <c r="R543" s="33"/>
    </row>
    <row r="544">
      <c r="A544" s="33"/>
      <c r="B544" s="33"/>
      <c r="C544" s="33"/>
      <c r="D544" s="33"/>
      <c r="E544" s="33"/>
      <c r="F544" s="33"/>
      <c r="G544" s="33"/>
      <c r="H544" s="33"/>
      <c r="I544" s="33"/>
      <c r="J544" s="33"/>
      <c r="K544" s="33"/>
      <c r="L544" s="33"/>
      <c r="M544" s="33"/>
      <c r="N544" s="33"/>
      <c r="O544" s="33"/>
      <c r="P544" s="33"/>
      <c r="Q544" s="33"/>
      <c r="R544" s="33"/>
    </row>
    <row r="545">
      <c r="A545" s="33"/>
      <c r="B545" s="33"/>
      <c r="C545" s="33"/>
      <c r="D545" s="33"/>
      <c r="E545" s="33"/>
      <c r="F545" s="33"/>
      <c r="G545" s="33"/>
      <c r="H545" s="33"/>
      <c r="I545" s="33"/>
      <c r="J545" s="33"/>
      <c r="K545" s="33"/>
      <c r="L545" s="33"/>
      <c r="M545" s="33"/>
      <c r="N545" s="33"/>
      <c r="O545" s="33"/>
      <c r="P545" s="33"/>
      <c r="Q545" s="33"/>
      <c r="R545" s="33"/>
    </row>
    <row r="546">
      <c r="A546" s="33"/>
      <c r="B546" s="33"/>
      <c r="C546" s="33"/>
      <c r="D546" s="33"/>
      <c r="E546" s="33"/>
      <c r="F546" s="33"/>
      <c r="G546" s="33"/>
      <c r="H546" s="33"/>
      <c r="I546" s="33"/>
      <c r="J546" s="33"/>
      <c r="K546" s="33"/>
      <c r="L546" s="33"/>
      <c r="M546" s="33"/>
      <c r="N546" s="33"/>
      <c r="O546" s="33"/>
      <c r="P546" s="33"/>
      <c r="Q546" s="33"/>
      <c r="R546" s="33"/>
    </row>
    <row r="547">
      <c r="A547" s="33"/>
      <c r="B547" s="33"/>
      <c r="C547" s="33"/>
      <c r="D547" s="33"/>
      <c r="E547" s="33"/>
      <c r="F547" s="33"/>
      <c r="G547" s="33"/>
      <c r="H547" s="33"/>
      <c r="I547" s="33"/>
      <c r="J547" s="33"/>
      <c r="K547" s="33"/>
      <c r="L547" s="33"/>
      <c r="M547" s="33"/>
      <c r="N547" s="33"/>
      <c r="O547" s="33"/>
      <c r="P547" s="33"/>
      <c r="Q547" s="33"/>
      <c r="R547" s="33"/>
    </row>
    <row r="548">
      <c r="A548" s="33"/>
      <c r="B548" s="33"/>
      <c r="C548" s="33"/>
      <c r="D548" s="33"/>
      <c r="E548" s="33"/>
      <c r="F548" s="33"/>
      <c r="G548" s="33"/>
      <c r="H548" s="33"/>
      <c r="I548" s="33"/>
      <c r="J548" s="33"/>
      <c r="K548" s="33"/>
      <c r="L548" s="33"/>
      <c r="M548" s="33"/>
      <c r="N548" s="33"/>
      <c r="O548" s="33"/>
      <c r="P548" s="33"/>
      <c r="Q548" s="33"/>
      <c r="R548" s="33"/>
    </row>
    <row r="549">
      <c r="A549" s="33"/>
      <c r="B549" s="33"/>
      <c r="C549" s="33"/>
      <c r="D549" s="33"/>
      <c r="E549" s="33"/>
      <c r="F549" s="33"/>
      <c r="G549" s="33"/>
      <c r="H549" s="33"/>
      <c r="I549" s="33"/>
      <c r="J549" s="33"/>
      <c r="K549" s="33"/>
      <c r="L549" s="33"/>
      <c r="M549" s="33"/>
      <c r="N549" s="33"/>
      <c r="O549" s="33"/>
      <c r="P549" s="33"/>
      <c r="Q549" s="33"/>
      <c r="R549" s="33"/>
    </row>
    <row r="550">
      <c r="A550" s="33"/>
      <c r="B550" s="33"/>
      <c r="C550" s="33"/>
      <c r="D550" s="33"/>
      <c r="E550" s="33"/>
      <c r="F550" s="33"/>
      <c r="G550" s="33"/>
      <c r="H550" s="33"/>
      <c r="I550" s="33"/>
      <c r="J550" s="33"/>
      <c r="K550" s="33"/>
      <c r="L550" s="33"/>
      <c r="M550" s="33"/>
      <c r="N550" s="33"/>
      <c r="O550" s="33"/>
      <c r="P550" s="33"/>
      <c r="Q550" s="33"/>
      <c r="R550" s="33"/>
    </row>
    <row r="551">
      <c r="A551" s="33"/>
      <c r="B551" s="33"/>
      <c r="C551" s="33"/>
      <c r="D551" s="33"/>
      <c r="E551" s="33"/>
      <c r="F551" s="33"/>
      <c r="G551" s="33"/>
      <c r="H551" s="33"/>
      <c r="I551" s="33"/>
      <c r="J551" s="33"/>
      <c r="K551" s="33"/>
      <c r="L551" s="33"/>
      <c r="M551" s="33"/>
      <c r="N551" s="33"/>
      <c r="O551" s="33"/>
      <c r="P551" s="33"/>
      <c r="Q551" s="33"/>
      <c r="R551" s="33"/>
    </row>
    <row r="552">
      <c r="A552" s="33"/>
      <c r="B552" s="33"/>
      <c r="C552" s="33"/>
      <c r="D552" s="33"/>
      <c r="E552" s="33"/>
      <c r="F552" s="33"/>
      <c r="G552" s="33"/>
      <c r="H552" s="33"/>
      <c r="I552" s="33"/>
      <c r="J552" s="33"/>
      <c r="K552" s="33"/>
      <c r="L552" s="33"/>
      <c r="M552" s="33"/>
      <c r="N552" s="33"/>
      <c r="O552" s="33"/>
      <c r="P552" s="33"/>
      <c r="Q552" s="33"/>
      <c r="R552" s="33"/>
    </row>
    <row r="553">
      <c r="A553" s="33"/>
      <c r="B553" s="33"/>
      <c r="C553" s="33"/>
      <c r="D553" s="33"/>
      <c r="E553" s="33"/>
      <c r="F553" s="33"/>
      <c r="G553" s="33"/>
      <c r="H553" s="33"/>
      <c r="I553" s="33"/>
      <c r="J553" s="33"/>
      <c r="K553" s="33"/>
      <c r="L553" s="33"/>
      <c r="M553" s="33"/>
      <c r="N553" s="33"/>
      <c r="O553" s="33"/>
      <c r="P553" s="33"/>
      <c r="Q553" s="33"/>
      <c r="R553" s="33"/>
    </row>
    <row r="554">
      <c r="A554" s="33"/>
      <c r="B554" s="33"/>
      <c r="C554" s="33"/>
      <c r="D554" s="33"/>
      <c r="E554" s="33"/>
      <c r="F554" s="33"/>
      <c r="G554" s="33"/>
      <c r="H554" s="33"/>
      <c r="I554" s="33"/>
      <c r="J554" s="33"/>
      <c r="K554" s="33"/>
      <c r="L554" s="33"/>
      <c r="M554" s="33"/>
      <c r="N554" s="33"/>
      <c r="O554" s="33"/>
      <c r="P554" s="33"/>
      <c r="Q554" s="33"/>
      <c r="R554" s="33"/>
    </row>
    <row r="555">
      <c r="A555" s="33"/>
      <c r="B555" s="33"/>
      <c r="C555" s="33"/>
      <c r="D555" s="33"/>
      <c r="E555" s="33"/>
      <c r="F555" s="33"/>
      <c r="G555" s="33"/>
      <c r="H555" s="33"/>
      <c r="I555" s="33"/>
      <c r="J555" s="33"/>
      <c r="K555" s="33"/>
      <c r="L555" s="33"/>
      <c r="M555" s="33"/>
      <c r="N555" s="33"/>
      <c r="O555" s="33"/>
      <c r="P555" s="33"/>
      <c r="Q555" s="33"/>
      <c r="R555" s="33"/>
    </row>
    <row r="556">
      <c r="A556" s="33"/>
      <c r="B556" s="33"/>
      <c r="C556" s="33"/>
      <c r="D556" s="33"/>
      <c r="E556" s="33"/>
      <c r="F556" s="33"/>
      <c r="G556" s="33"/>
      <c r="H556" s="33"/>
      <c r="I556" s="33"/>
      <c r="J556" s="33"/>
      <c r="K556" s="33"/>
      <c r="L556" s="33"/>
      <c r="M556" s="33"/>
      <c r="N556" s="33"/>
      <c r="O556" s="33"/>
      <c r="P556" s="33"/>
      <c r="Q556" s="33"/>
      <c r="R556" s="33"/>
    </row>
    <row r="557">
      <c r="A557" s="33"/>
      <c r="B557" s="33"/>
      <c r="C557" s="33"/>
      <c r="D557" s="33"/>
      <c r="E557" s="33"/>
      <c r="F557" s="33"/>
      <c r="G557" s="33"/>
      <c r="H557" s="33"/>
      <c r="I557" s="33"/>
      <c r="J557" s="33"/>
      <c r="K557" s="33"/>
      <c r="L557" s="33"/>
      <c r="M557" s="33"/>
      <c r="N557" s="33"/>
      <c r="O557" s="33"/>
      <c r="P557" s="33"/>
      <c r="Q557" s="33"/>
      <c r="R557" s="33"/>
    </row>
    <row r="558">
      <c r="A558" s="33"/>
      <c r="B558" s="33"/>
      <c r="C558" s="33"/>
      <c r="D558" s="33"/>
      <c r="E558" s="33"/>
      <c r="F558" s="33"/>
      <c r="G558" s="33"/>
      <c r="H558" s="33"/>
      <c r="I558" s="33"/>
      <c r="J558" s="33"/>
      <c r="K558" s="33"/>
      <c r="L558" s="33"/>
      <c r="M558" s="33"/>
      <c r="N558" s="33"/>
      <c r="O558" s="33"/>
      <c r="P558" s="33"/>
      <c r="Q558" s="33"/>
      <c r="R558" s="33"/>
    </row>
    <row r="559">
      <c r="A559" s="33"/>
      <c r="B559" s="33"/>
      <c r="C559" s="33"/>
      <c r="D559" s="33"/>
      <c r="E559" s="33"/>
      <c r="F559" s="33"/>
      <c r="G559" s="33"/>
      <c r="H559" s="33"/>
      <c r="I559" s="33"/>
      <c r="J559" s="33"/>
      <c r="K559" s="33"/>
      <c r="L559" s="33"/>
      <c r="M559" s="33"/>
      <c r="N559" s="33"/>
      <c r="O559" s="33"/>
      <c r="P559" s="33"/>
      <c r="Q559" s="33"/>
      <c r="R559" s="33"/>
    </row>
    <row r="560">
      <c r="A560" s="33"/>
      <c r="B560" s="33"/>
      <c r="C560" s="33"/>
      <c r="D560" s="33"/>
      <c r="E560" s="33"/>
      <c r="F560" s="33"/>
      <c r="G560" s="33"/>
      <c r="H560" s="33"/>
      <c r="I560" s="33"/>
      <c r="J560" s="33"/>
      <c r="K560" s="33"/>
      <c r="L560" s="33"/>
      <c r="M560" s="33"/>
      <c r="N560" s="33"/>
      <c r="O560" s="33"/>
      <c r="P560" s="33"/>
      <c r="Q560" s="33"/>
      <c r="R560" s="33"/>
    </row>
    <row r="561">
      <c r="A561" s="33"/>
      <c r="B561" s="33"/>
      <c r="C561" s="33"/>
      <c r="D561" s="33"/>
      <c r="E561" s="33"/>
      <c r="F561" s="33"/>
      <c r="G561" s="33"/>
      <c r="H561" s="33"/>
      <c r="I561" s="33"/>
      <c r="J561" s="33"/>
      <c r="K561" s="33"/>
      <c r="L561" s="33"/>
      <c r="M561" s="33"/>
      <c r="N561" s="33"/>
      <c r="O561" s="33"/>
      <c r="P561" s="33"/>
      <c r="Q561" s="33"/>
      <c r="R561" s="33"/>
    </row>
    <row r="562">
      <c r="A562" s="33"/>
      <c r="B562" s="33"/>
      <c r="C562" s="33"/>
      <c r="D562" s="33"/>
      <c r="E562" s="33"/>
      <c r="F562" s="33"/>
      <c r="G562" s="33"/>
      <c r="H562" s="33"/>
      <c r="I562" s="33"/>
      <c r="J562" s="33"/>
      <c r="K562" s="33"/>
      <c r="L562" s="33"/>
      <c r="M562" s="33"/>
      <c r="N562" s="33"/>
      <c r="O562" s="33"/>
      <c r="P562" s="33"/>
      <c r="Q562" s="33"/>
      <c r="R562" s="33"/>
    </row>
    <row r="563">
      <c r="A563" s="33"/>
      <c r="B563" s="33"/>
      <c r="C563" s="33"/>
      <c r="D563" s="33"/>
      <c r="E563" s="33"/>
      <c r="F563" s="33"/>
      <c r="G563" s="33"/>
      <c r="H563" s="33"/>
      <c r="I563" s="33"/>
      <c r="J563" s="33"/>
      <c r="K563" s="33"/>
      <c r="L563" s="33"/>
      <c r="M563" s="33"/>
      <c r="N563" s="33"/>
      <c r="O563" s="33"/>
      <c r="P563" s="33"/>
      <c r="Q563" s="33"/>
      <c r="R563" s="33"/>
    </row>
    <row r="564">
      <c r="A564" s="33"/>
      <c r="B564" s="33"/>
      <c r="C564" s="33"/>
      <c r="D564" s="33"/>
      <c r="E564" s="33"/>
      <c r="F564" s="33"/>
      <c r="G564" s="33"/>
      <c r="H564" s="33"/>
      <c r="I564" s="33"/>
      <c r="J564" s="33"/>
      <c r="K564" s="33"/>
      <c r="L564" s="33"/>
      <c r="M564" s="33"/>
      <c r="N564" s="33"/>
      <c r="O564" s="33"/>
      <c r="P564" s="33"/>
      <c r="Q564" s="33"/>
      <c r="R564" s="33"/>
    </row>
    <row r="565">
      <c r="A565" s="33"/>
      <c r="B565" s="33"/>
      <c r="C565" s="33"/>
      <c r="D565" s="33"/>
      <c r="E565" s="33"/>
      <c r="F565" s="33"/>
      <c r="G565" s="33"/>
      <c r="H565" s="33"/>
      <c r="I565" s="33"/>
      <c r="J565" s="33"/>
      <c r="K565" s="33"/>
      <c r="L565" s="33"/>
      <c r="M565" s="33"/>
      <c r="N565" s="33"/>
      <c r="O565" s="33"/>
      <c r="P565" s="33"/>
      <c r="Q565" s="33"/>
      <c r="R565" s="33"/>
    </row>
    <row r="566">
      <c r="A566" s="33"/>
      <c r="B566" s="33"/>
      <c r="C566" s="33"/>
      <c r="D566" s="33"/>
      <c r="E566" s="33"/>
      <c r="F566" s="33"/>
      <c r="G566" s="33"/>
      <c r="H566" s="33"/>
      <c r="I566" s="33"/>
      <c r="J566" s="33"/>
      <c r="K566" s="33"/>
      <c r="L566" s="33"/>
      <c r="M566" s="33"/>
      <c r="N566" s="33"/>
      <c r="O566" s="33"/>
      <c r="P566" s="33"/>
      <c r="Q566" s="33"/>
      <c r="R566" s="33"/>
    </row>
    <row r="567">
      <c r="A567" s="33"/>
      <c r="B567" s="33"/>
      <c r="C567" s="33"/>
      <c r="D567" s="33"/>
      <c r="E567" s="33"/>
      <c r="F567" s="33"/>
      <c r="G567" s="33"/>
      <c r="H567" s="33"/>
      <c r="I567" s="33"/>
      <c r="J567" s="33"/>
      <c r="K567" s="33"/>
      <c r="L567" s="33"/>
      <c r="M567" s="33"/>
      <c r="N567" s="33"/>
      <c r="O567" s="33"/>
      <c r="P567" s="33"/>
      <c r="Q567" s="33"/>
      <c r="R567" s="33"/>
    </row>
    <row r="568">
      <c r="A568" s="33"/>
      <c r="B568" s="33"/>
      <c r="C568" s="33"/>
      <c r="D568" s="33"/>
      <c r="E568" s="33"/>
      <c r="F568" s="33"/>
      <c r="G568" s="33"/>
      <c r="H568" s="33"/>
      <c r="I568" s="33"/>
      <c r="J568" s="33"/>
      <c r="K568" s="33"/>
      <c r="L568" s="33"/>
      <c r="M568" s="33"/>
      <c r="N568" s="33"/>
      <c r="O568" s="33"/>
      <c r="P568" s="33"/>
      <c r="Q568" s="33"/>
      <c r="R568" s="33"/>
    </row>
    <row r="569">
      <c r="A569" s="33"/>
      <c r="B569" s="33"/>
      <c r="C569" s="33"/>
      <c r="D569" s="33"/>
      <c r="E569" s="33"/>
      <c r="F569" s="33"/>
      <c r="G569" s="33"/>
      <c r="H569" s="33"/>
      <c r="I569" s="33"/>
      <c r="J569" s="33"/>
      <c r="K569" s="33"/>
      <c r="L569" s="33"/>
      <c r="M569" s="33"/>
      <c r="N569" s="33"/>
      <c r="O569" s="33"/>
      <c r="P569" s="33"/>
      <c r="Q569" s="33"/>
      <c r="R569" s="33"/>
    </row>
    <row r="570">
      <c r="A570" s="33"/>
      <c r="B570" s="33"/>
      <c r="C570" s="33"/>
      <c r="D570" s="33"/>
      <c r="E570" s="33"/>
      <c r="F570" s="33"/>
      <c r="G570" s="33"/>
      <c r="H570" s="33"/>
      <c r="I570" s="33"/>
      <c r="J570" s="33"/>
      <c r="K570" s="33"/>
      <c r="L570" s="33"/>
      <c r="M570" s="33"/>
      <c r="N570" s="33"/>
      <c r="O570" s="33"/>
      <c r="P570" s="33"/>
      <c r="Q570" s="33"/>
      <c r="R570" s="33"/>
    </row>
    <row r="571">
      <c r="A571" s="33"/>
      <c r="B571" s="33"/>
      <c r="C571" s="33"/>
      <c r="D571" s="33"/>
      <c r="E571" s="33"/>
      <c r="F571" s="33"/>
      <c r="G571" s="33"/>
      <c r="H571" s="33"/>
      <c r="I571" s="33"/>
      <c r="J571" s="33"/>
      <c r="K571" s="33"/>
      <c r="L571" s="33"/>
      <c r="M571" s="33"/>
      <c r="N571" s="33"/>
      <c r="O571" s="33"/>
      <c r="P571" s="33"/>
      <c r="Q571" s="33"/>
      <c r="R571" s="33"/>
    </row>
    <row r="572">
      <c r="A572" s="33"/>
      <c r="B572" s="33"/>
      <c r="C572" s="33"/>
      <c r="D572" s="33"/>
      <c r="E572" s="33"/>
      <c r="F572" s="33"/>
      <c r="G572" s="33"/>
      <c r="H572" s="33"/>
      <c r="I572" s="33"/>
      <c r="J572" s="33"/>
      <c r="K572" s="33"/>
      <c r="L572" s="33"/>
      <c r="M572" s="33"/>
      <c r="N572" s="33"/>
      <c r="O572" s="33"/>
      <c r="P572" s="33"/>
      <c r="Q572" s="33"/>
      <c r="R572" s="33"/>
    </row>
    <row r="573">
      <c r="A573" s="33"/>
      <c r="B573" s="33"/>
      <c r="C573" s="33"/>
      <c r="D573" s="33"/>
      <c r="E573" s="33"/>
      <c r="F573" s="33"/>
      <c r="G573" s="33"/>
      <c r="H573" s="33"/>
      <c r="I573" s="33"/>
      <c r="J573" s="33"/>
      <c r="K573" s="33"/>
      <c r="L573" s="33"/>
      <c r="M573" s="33"/>
      <c r="N573" s="33"/>
      <c r="O573" s="33"/>
      <c r="P573" s="33"/>
      <c r="Q573" s="33"/>
      <c r="R573" s="33"/>
    </row>
    <row r="574">
      <c r="A574" s="33"/>
      <c r="B574" s="33"/>
      <c r="C574" s="33"/>
      <c r="D574" s="33"/>
      <c r="E574" s="33"/>
      <c r="F574" s="33"/>
      <c r="G574" s="33"/>
      <c r="H574" s="33"/>
      <c r="I574" s="33"/>
      <c r="J574" s="33"/>
      <c r="K574" s="33"/>
      <c r="L574" s="33"/>
      <c r="M574" s="33"/>
      <c r="N574" s="33"/>
      <c r="O574" s="33"/>
      <c r="P574" s="33"/>
      <c r="Q574" s="33"/>
      <c r="R574" s="33"/>
    </row>
    <row r="575">
      <c r="A575" s="33"/>
      <c r="B575" s="33"/>
      <c r="C575" s="33"/>
      <c r="D575" s="33"/>
      <c r="E575" s="33"/>
      <c r="F575" s="33"/>
      <c r="G575" s="33"/>
      <c r="H575" s="33"/>
      <c r="I575" s="33"/>
      <c r="J575" s="33"/>
      <c r="K575" s="33"/>
      <c r="L575" s="33"/>
      <c r="M575" s="33"/>
      <c r="N575" s="33"/>
      <c r="O575" s="33"/>
      <c r="P575" s="33"/>
      <c r="Q575" s="33"/>
      <c r="R575" s="33"/>
    </row>
    <row r="576">
      <c r="A576" s="33"/>
      <c r="B576" s="33"/>
      <c r="C576" s="33"/>
      <c r="D576" s="33"/>
      <c r="E576" s="33"/>
      <c r="F576" s="33"/>
      <c r="G576" s="33"/>
      <c r="H576" s="33"/>
      <c r="I576" s="33"/>
      <c r="J576" s="33"/>
      <c r="K576" s="33"/>
      <c r="L576" s="33"/>
      <c r="M576" s="33"/>
      <c r="N576" s="33"/>
      <c r="O576" s="33"/>
      <c r="P576" s="33"/>
      <c r="Q576" s="33"/>
      <c r="R576" s="33"/>
    </row>
    <row r="577">
      <c r="A577" s="33"/>
      <c r="B577" s="33"/>
      <c r="C577" s="33"/>
      <c r="D577" s="33"/>
      <c r="E577" s="33"/>
      <c r="F577" s="33"/>
      <c r="G577" s="33"/>
      <c r="H577" s="33"/>
      <c r="I577" s="33"/>
      <c r="J577" s="33"/>
      <c r="K577" s="33"/>
      <c r="L577" s="33"/>
      <c r="M577" s="33"/>
      <c r="N577" s="33"/>
      <c r="O577" s="33"/>
      <c r="P577" s="33"/>
      <c r="Q577" s="33"/>
      <c r="R577" s="33"/>
    </row>
    <row r="578">
      <c r="A578" s="33"/>
      <c r="B578" s="33"/>
      <c r="C578" s="33"/>
      <c r="D578" s="33"/>
      <c r="E578" s="33"/>
      <c r="F578" s="33"/>
      <c r="G578" s="33"/>
      <c r="H578" s="33"/>
      <c r="I578" s="33"/>
      <c r="J578" s="33"/>
      <c r="K578" s="33"/>
      <c r="L578" s="33"/>
      <c r="M578" s="33"/>
      <c r="N578" s="33"/>
      <c r="O578" s="33"/>
      <c r="P578" s="33"/>
      <c r="Q578" s="33"/>
      <c r="R578" s="33"/>
    </row>
    <row r="579">
      <c r="A579" s="33"/>
      <c r="B579" s="33"/>
      <c r="C579" s="33"/>
      <c r="D579" s="33"/>
      <c r="E579" s="33"/>
      <c r="F579" s="33"/>
      <c r="G579" s="33"/>
      <c r="H579" s="33"/>
      <c r="I579" s="33"/>
      <c r="J579" s="33"/>
      <c r="K579" s="33"/>
      <c r="L579" s="33"/>
      <c r="M579" s="33"/>
      <c r="N579" s="33"/>
      <c r="O579" s="33"/>
      <c r="P579" s="33"/>
      <c r="Q579" s="33"/>
      <c r="R579" s="33"/>
    </row>
    <row r="580">
      <c r="A580" s="33"/>
      <c r="B580" s="33"/>
      <c r="C580" s="33"/>
      <c r="D580" s="33"/>
      <c r="E580" s="33"/>
      <c r="F580" s="33"/>
      <c r="G580" s="33"/>
      <c r="H580" s="33"/>
      <c r="I580" s="33"/>
      <c r="J580" s="33"/>
      <c r="K580" s="33"/>
      <c r="L580" s="33"/>
      <c r="M580" s="33"/>
      <c r="N580" s="33"/>
      <c r="O580" s="33"/>
      <c r="P580" s="33"/>
      <c r="Q580" s="33"/>
      <c r="R580" s="33"/>
    </row>
    <row r="581">
      <c r="A581" s="33"/>
      <c r="B581" s="33"/>
      <c r="C581" s="33"/>
      <c r="D581" s="33"/>
      <c r="E581" s="33"/>
      <c r="F581" s="33"/>
      <c r="G581" s="33"/>
      <c r="H581" s="33"/>
      <c r="I581" s="33"/>
      <c r="J581" s="33"/>
      <c r="K581" s="33"/>
      <c r="L581" s="33"/>
      <c r="M581" s="33"/>
      <c r="N581" s="33"/>
      <c r="O581" s="33"/>
      <c r="P581" s="33"/>
      <c r="Q581" s="33"/>
      <c r="R581" s="33"/>
    </row>
    <row r="582">
      <c r="A582" s="33"/>
      <c r="B582" s="33"/>
      <c r="C582" s="33"/>
      <c r="D582" s="33"/>
      <c r="E582" s="33"/>
      <c r="F582" s="33"/>
      <c r="G582" s="33"/>
      <c r="H582" s="33"/>
      <c r="I582" s="33"/>
      <c r="J582" s="33"/>
      <c r="K582" s="33"/>
      <c r="L582" s="33"/>
      <c r="M582" s="33"/>
      <c r="N582" s="33"/>
      <c r="O582" s="33"/>
      <c r="P582" s="33"/>
      <c r="Q582" s="33"/>
      <c r="R582" s="33"/>
    </row>
    <row r="583">
      <c r="A583" s="33"/>
      <c r="B583" s="33"/>
      <c r="C583" s="33"/>
      <c r="D583" s="33"/>
      <c r="E583" s="33"/>
      <c r="F583" s="33"/>
      <c r="G583" s="33"/>
      <c r="H583" s="33"/>
      <c r="I583" s="33"/>
      <c r="J583" s="33"/>
      <c r="K583" s="33"/>
      <c r="L583" s="33"/>
      <c r="M583" s="33"/>
      <c r="N583" s="33"/>
      <c r="O583" s="33"/>
      <c r="P583" s="33"/>
      <c r="Q583" s="33"/>
      <c r="R583" s="33"/>
    </row>
    <row r="584">
      <c r="A584" s="33"/>
      <c r="B584" s="33"/>
      <c r="C584" s="33"/>
      <c r="D584" s="33"/>
      <c r="E584" s="33"/>
      <c r="F584" s="33"/>
      <c r="G584" s="33"/>
      <c r="H584" s="33"/>
      <c r="I584" s="33"/>
      <c r="J584" s="33"/>
      <c r="K584" s="33"/>
      <c r="L584" s="33"/>
      <c r="M584" s="33"/>
      <c r="N584" s="33"/>
      <c r="O584" s="33"/>
      <c r="P584" s="33"/>
      <c r="Q584" s="33"/>
      <c r="R584" s="33"/>
    </row>
    <row r="585">
      <c r="A585" s="33"/>
      <c r="B585" s="33"/>
      <c r="C585" s="33"/>
      <c r="D585" s="33"/>
      <c r="E585" s="33"/>
      <c r="F585" s="33"/>
      <c r="G585" s="33"/>
      <c r="H585" s="33"/>
      <c r="I585" s="33"/>
      <c r="J585" s="33"/>
      <c r="K585" s="33"/>
      <c r="L585" s="33"/>
      <c r="M585" s="33"/>
      <c r="N585" s="33"/>
      <c r="O585" s="33"/>
      <c r="P585" s="33"/>
      <c r="Q585" s="33"/>
      <c r="R585" s="33"/>
    </row>
    <row r="586">
      <c r="A586" s="33"/>
      <c r="B586" s="33"/>
      <c r="C586" s="33"/>
      <c r="D586" s="33"/>
      <c r="E586" s="33"/>
      <c r="F586" s="33"/>
      <c r="G586" s="33"/>
      <c r="H586" s="33"/>
      <c r="I586" s="33"/>
      <c r="J586" s="33"/>
      <c r="K586" s="33"/>
      <c r="L586" s="33"/>
      <c r="M586" s="33"/>
      <c r="N586" s="33"/>
      <c r="O586" s="33"/>
      <c r="P586" s="33"/>
      <c r="Q586" s="33"/>
      <c r="R586" s="33"/>
    </row>
    <row r="587">
      <c r="A587" s="33"/>
      <c r="B587" s="33"/>
      <c r="C587" s="33"/>
      <c r="D587" s="33"/>
      <c r="E587" s="33"/>
      <c r="F587" s="33"/>
      <c r="G587" s="33"/>
      <c r="H587" s="33"/>
      <c r="I587" s="33"/>
      <c r="J587" s="33"/>
      <c r="K587" s="33"/>
      <c r="L587" s="33"/>
      <c r="M587" s="33"/>
      <c r="N587" s="33"/>
      <c r="O587" s="33"/>
      <c r="P587" s="33"/>
      <c r="Q587" s="33"/>
      <c r="R587" s="33"/>
    </row>
    <row r="588">
      <c r="A588" s="33"/>
      <c r="B588" s="33"/>
      <c r="C588" s="33"/>
      <c r="D588" s="33"/>
      <c r="E588" s="33"/>
      <c r="F588" s="33"/>
      <c r="G588" s="33"/>
      <c r="H588" s="33"/>
      <c r="I588" s="33"/>
      <c r="J588" s="33"/>
      <c r="K588" s="33"/>
      <c r="L588" s="33"/>
      <c r="M588" s="33"/>
      <c r="N588" s="33"/>
      <c r="O588" s="33"/>
      <c r="P588" s="33"/>
      <c r="Q588" s="33"/>
      <c r="R588" s="33"/>
    </row>
    <row r="589">
      <c r="A589" s="33"/>
      <c r="B589" s="33"/>
      <c r="C589" s="33"/>
      <c r="D589" s="33"/>
      <c r="E589" s="33"/>
      <c r="F589" s="33"/>
      <c r="G589" s="33"/>
      <c r="H589" s="33"/>
      <c r="I589" s="33"/>
      <c r="J589" s="33"/>
      <c r="K589" s="33"/>
      <c r="L589" s="33"/>
      <c r="M589" s="33"/>
      <c r="N589" s="33"/>
      <c r="O589" s="33"/>
      <c r="P589" s="33"/>
      <c r="Q589" s="33"/>
      <c r="R589" s="33"/>
    </row>
    <row r="590">
      <c r="A590" s="33"/>
      <c r="B590" s="33"/>
      <c r="C590" s="33"/>
      <c r="D590" s="33"/>
      <c r="E590" s="33"/>
      <c r="F590" s="33"/>
      <c r="G590" s="33"/>
      <c r="H590" s="33"/>
      <c r="I590" s="33"/>
      <c r="J590" s="33"/>
      <c r="K590" s="33"/>
      <c r="L590" s="33"/>
      <c r="M590" s="33"/>
      <c r="N590" s="33"/>
      <c r="O590" s="33"/>
      <c r="P590" s="33"/>
      <c r="Q590" s="33"/>
      <c r="R590" s="33"/>
    </row>
    <row r="591">
      <c r="A591" s="33"/>
      <c r="B591" s="33"/>
      <c r="C591" s="33"/>
      <c r="D591" s="33"/>
      <c r="E591" s="33"/>
      <c r="F591" s="33"/>
      <c r="G591" s="33"/>
      <c r="H591" s="33"/>
      <c r="I591" s="33"/>
      <c r="J591" s="33"/>
      <c r="K591" s="33"/>
      <c r="L591" s="33"/>
      <c r="M591" s="33"/>
      <c r="N591" s="33"/>
      <c r="O591" s="33"/>
      <c r="P591" s="33"/>
      <c r="Q591" s="33"/>
      <c r="R591" s="33"/>
    </row>
    <row r="592">
      <c r="A592" s="33"/>
      <c r="B592" s="33"/>
      <c r="C592" s="33"/>
      <c r="D592" s="33"/>
      <c r="E592" s="33"/>
      <c r="F592" s="33"/>
      <c r="G592" s="33"/>
      <c r="H592" s="33"/>
      <c r="I592" s="33"/>
      <c r="J592" s="33"/>
      <c r="K592" s="33"/>
      <c r="L592" s="33"/>
      <c r="M592" s="33"/>
      <c r="N592" s="33"/>
      <c r="O592" s="33"/>
      <c r="P592" s="33"/>
      <c r="Q592" s="33"/>
      <c r="R592" s="33"/>
    </row>
    <row r="593">
      <c r="A593" s="33"/>
      <c r="B593" s="33"/>
      <c r="C593" s="33"/>
      <c r="D593" s="33"/>
      <c r="E593" s="33"/>
      <c r="F593" s="33"/>
      <c r="G593" s="33"/>
      <c r="H593" s="33"/>
      <c r="I593" s="33"/>
      <c r="J593" s="33"/>
      <c r="K593" s="33"/>
      <c r="L593" s="33"/>
      <c r="M593" s="33"/>
      <c r="N593" s="33"/>
      <c r="O593" s="33"/>
      <c r="P593" s="33"/>
      <c r="Q593" s="33"/>
      <c r="R593" s="33"/>
    </row>
    <row r="594">
      <c r="A594" s="33"/>
      <c r="B594" s="33"/>
      <c r="C594" s="33"/>
      <c r="D594" s="33"/>
      <c r="E594" s="33"/>
      <c r="F594" s="33"/>
      <c r="G594" s="33"/>
      <c r="H594" s="33"/>
      <c r="I594" s="33"/>
      <c r="J594" s="33"/>
      <c r="K594" s="33"/>
      <c r="L594" s="33"/>
      <c r="M594" s="33"/>
      <c r="N594" s="33"/>
      <c r="O594" s="33"/>
      <c r="P594" s="33"/>
      <c r="Q594" s="33"/>
      <c r="R594" s="33"/>
    </row>
    <row r="595">
      <c r="A595" s="33"/>
      <c r="B595" s="33"/>
      <c r="C595" s="33"/>
      <c r="D595" s="33"/>
      <c r="E595" s="33"/>
      <c r="F595" s="33"/>
      <c r="G595" s="33"/>
      <c r="H595" s="33"/>
      <c r="I595" s="33"/>
      <c r="J595" s="33"/>
      <c r="K595" s="33"/>
      <c r="L595" s="33"/>
      <c r="M595" s="33"/>
      <c r="N595" s="33"/>
      <c r="O595" s="33"/>
      <c r="P595" s="33"/>
      <c r="Q595" s="33"/>
      <c r="R595" s="33"/>
    </row>
    <row r="596">
      <c r="A596" s="33"/>
      <c r="B596" s="33"/>
      <c r="C596" s="33"/>
      <c r="D596" s="33"/>
      <c r="E596" s="33"/>
      <c r="F596" s="33"/>
      <c r="G596" s="33"/>
      <c r="H596" s="33"/>
      <c r="I596" s="33"/>
      <c r="J596" s="33"/>
      <c r="K596" s="33"/>
      <c r="L596" s="33"/>
      <c r="M596" s="33"/>
      <c r="N596" s="33"/>
      <c r="O596" s="33"/>
      <c r="P596" s="33"/>
      <c r="Q596" s="33"/>
      <c r="R596" s="33"/>
    </row>
    <row r="597">
      <c r="A597" s="33"/>
      <c r="B597" s="33"/>
      <c r="C597" s="33"/>
      <c r="D597" s="33"/>
      <c r="E597" s="33"/>
      <c r="F597" s="33"/>
      <c r="G597" s="33"/>
      <c r="H597" s="33"/>
      <c r="I597" s="33"/>
      <c r="J597" s="33"/>
      <c r="K597" s="33"/>
      <c r="L597" s="33"/>
      <c r="M597" s="33"/>
      <c r="N597" s="33"/>
      <c r="O597" s="33"/>
      <c r="P597" s="33"/>
      <c r="Q597" s="33"/>
      <c r="R597" s="33"/>
    </row>
    <row r="598">
      <c r="A598" s="33"/>
      <c r="B598" s="33"/>
      <c r="C598" s="33"/>
      <c r="D598" s="33"/>
      <c r="E598" s="33"/>
      <c r="F598" s="33"/>
      <c r="G598" s="33"/>
      <c r="H598" s="33"/>
      <c r="I598" s="33"/>
      <c r="J598" s="33"/>
      <c r="K598" s="33"/>
      <c r="L598" s="33"/>
      <c r="M598" s="33"/>
      <c r="N598" s="33"/>
      <c r="O598" s="33"/>
      <c r="P598" s="33"/>
      <c r="Q598" s="33"/>
      <c r="R598" s="33"/>
    </row>
    <row r="599">
      <c r="A599" s="33"/>
      <c r="B599" s="33"/>
      <c r="C599" s="33"/>
      <c r="D599" s="33"/>
      <c r="E599" s="33"/>
      <c r="F599" s="33"/>
      <c r="G599" s="33"/>
      <c r="H599" s="33"/>
      <c r="I599" s="33"/>
      <c r="J599" s="33"/>
      <c r="K599" s="33"/>
      <c r="L599" s="33"/>
      <c r="M599" s="33"/>
      <c r="N599" s="33"/>
      <c r="O599" s="33"/>
      <c r="P599" s="33"/>
      <c r="Q599" s="33"/>
      <c r="R599" s="33"/>
    </row>
    <row r="600">
      <c r="A600" s="33"/>
      <c r="B600" s="33"/>
      <c r="C600" s="33"/>
      <c r="D600" s="33"/>
      <c r="E600" s="33"/>
      <c r="F600" s="33"/>
      <c r="G600" s="33"/>
      <c r="H600" s="33"/>
      <c r="I600" s="33"/>
      <c r="J600" s="33"/>
      <c r="K600" s="33"/>
      <c r="L600" s="33"/>
      <c r="M600" s="33"/>
      <c r="N600" s="33"/>
      <c r="O600" s="33"/>
      <c r="P600" s="33"/>
      <c r="Q600" s="33"/>
      <c r="R600" s="33"/>
    </row>
    <row r="601">
      <c r="A601" s="33"/>
      <c r="B601" s="33"/>
      <c r="C601" s="33"/>
      <c r="D601" s="33"/>
      <c r="E601" s="33"/>
      <c r="F601" s="33"/>
      <c r="G601" s="33"/>
      <c r="H601" s="33"/>
      <c r="I601" s="33"/>
      <c r="J601" s="33"/>
      <c r="K601" s="33"/>
      <c r="L601" s="33"/>
      <c r="M601" s="33"/>
      <c r="N601" s="33"/>
      <c r="O601" s="33"/>
      <c r="P601" s="33"/>
      <c r="Q601" s="33"/>
      <c r="R601" s="33"/>
    </row>
    <row r="602">
      <c r="A602" s="33"/>
      <c r="B602" s="33"/>
      <c r="C602" s="33"/>
      <c r="D602" s="33"/>
      <c r="E602" s="33"/>
      <c r="F602" s="33"/>
      <c r="G602" s="33"/>
      <c r="H602" s="33"/>
      <c r="I602" s="33"/>
      <c r="J602" s="33"/>
      <c r="K602" s="33"/>
      <c r="L602" s="33"/>
      <c r="M602" s="33"/>
      <c r="N602" s="33"/>
      <c r="O602" s="33"/>
      <c r="P602" s="33"/>
      <c r="Q602" s="33"/>
      <c r="R602" s="33"/>
    </row>
    <row r="603">
      <c r="A603" s="33"/>
      <c r="B603" s="33"/>
      <c r="C603" s="33"/>
      <c r="D603" s="33"/>
      <c r="E603" s="33"/>
      <c r="F603" s="33"/>
      <c r="G603" s="33"/>
      <c r="H603" s="33"/>
      <c r="I603" s="33"/>
      <c r="J603" s="33"/>
      <c r="K603" s="33"/>
      <c r="L603" s="33"/>
      <c r="M603" s="33"/>
      <c r="N603" s="33"/>
      <c r="O603" s="33"/>
      <c r="P603" s="33"/>
      <c r="Q603" s="33"/>
      <c r="R603" s="33"/>
    </row>
    <row r="604">
      <c r="A604" s="33"/>
      <c r="B604" s="33"/>
      <c r="C604" s="33"/>
      <c r="D604" s="33"/>
      <c r="E604" s="33"/>
      <c r="F604" s="33"/>
      <c r="G604" s="33"/>
      <c r="H604" s="33"/>
      <c r="I604" s="33"/>
      <c r="J604" s="33"/>
      <c r="K604" s="33"/>
      <c r="L604" s="33"/>
      <c r="M604" s="33"/>
      <c r="N604" s="33"/>
      <c r="O604" s="33"/>
      <c r="P604" s="33"/>
      <c r="Q604" s="33"/>
      <c r="R604" s="33"/>
    </row>
    <row r="605">
      <c r="A605" s="33"/>
      <c r="B605" s="33"/>
      <c r="C605" s="33"/>
      <c r="D605" s="33"/>
      <c r="E605" s="33"/>
      <c r="F605" s="33"/>
      <c r="G605" s="33"/>
      <c r="H605" s="33"/>
      <c r="I605" s="33"/>
      <c r="J605" s="33"/>
      <c r="K605" s="33"/>
      <c r="L605" s="33"/>
      <c r="M605" s="33"/>
      <c r="N605" s="33"/>
      <c r="O605" s="33"/>
      <c r="P605" s="33"/>
      <c r="Q605" s="33"/>
      <c r="R605" s="33"/>
    </row>
    <row r="606">
      <c r="A606" s="33"/>
      <c r="B606" s="33"/>
      <c r="C606" s="33"/>
      <c r="D606" s="33"/>
      <c r="E606" s="33"/>
      <c r="F606" s="33"/>
      <c r="G606" s="33"/>
      <c r="H606" s="33"/>
      <c r="I606" s="33"/>
      <c r="J606" s="33"/>
      <c r="K606" s="33"/>
      <c r="L606" s="33"/>
      <c r="M606" s="33"/>
      <c r="N606" s="33"/>
      <c r="O606" s="33"/>
      <c r="P606" s="33"/>
      <c r="Q606" s="33"/>
      <c r="R606" s="33"/>
    </row>
    <row r="607">
      <c r="A607" s="33"/>
      <c r="B607" s="33"/>
      <c r="C607" s="33"/>
      <c r="D607" s="33"/>
      <c r="E607" s="33"/>
      <c r="F607" s="33"/>
      <c r="G607" s="33"/>
      <c r="H607" s="33"/>
      <c r="I607" s="33"/>
      <c r="J607" s="33"/>
      <c r="K607" s="33"/>
      <c r="L607" s="33"/>
      <c r="M607" s="33"/>
      <c r="N607" s="33"/>
      <c r="O607" s="33"/>
      <c r="P607" s="33"/>
      <c r="Q607" s="33"/>
      <c r="R607" s="33"/>
    </row>
    <row r="608">
      <c r="A608" s="33"/>
      <c r="B608" s="33"/>
      <c r="C608" s="33"/>
      <c r="D608" s="33"/>
      <c r="E608" s="33"/>
      <c r="F608" s="33"/>
      <c r="G608" s="33"/>
      <c r="H608" s="33"/>
      <c r="I608" s="33"/>
      <c r="J608" s="33"/>
      <c r="K608" s="33"/>
      <c r="L608" s="33"/>
      <c r="M608" s="33"/>
      <c r="N608" s="33"/>
      <c r="O608" s="33"/>
      <c r="P608" s="33"/>
      <c r="Q608" s="33"/>
      <c r="R608" s="33"/>
    </row>
    <row r="609">
      <c r="A609" s="33"/>
      <c r="B609" s="33"/>
      <c r="C609" s="33"/>
      <c r="D609" s="33"/>
      <c r="E609" s="33"/>
      <c r="F609" s="33"/>
      <c r="G609" s="33"/>
      <c r="H609" s="33"/>
      <c r="I609" s="33"/>
      <c r="J609" s="33"/>
      <c r="K609" s="33"/>
      <c r="L609" s="33"/>
      <c r="M609" s="33"/>
      <c r="N609" s="33"/>
      <c r="O609" s="33"/>
      <c r="P609" s="33"/>
      <c r="Q609" s="33"/>
      <c r="R609" s="33"/>
    </row>
    <row r="610">
      <c r="A610" s="33"/>
      <c r="B610" s="33"/>
      <c r="C610" s="33"/>
      <c r="D610" s="33"/>
      <c r="E610" s="33"/>
      <c r="F610" s="33"/>
      <c r="G610" s="33"/>
      <c r="H610" s="33"/>
      <c r="I610" s="33"/>
      <c r="J610" s="33"/>
      <c r="K610" s="33"/>
      <c r="L610" s="33"/>
      <c r="M610" s="33"/>
      <c r="N610" s="33"/>
      <c r="O610" s="33"/>
      <c r="P610" s="33"/>
      <c r="Q610" s="33"/>
      <c r="R610" s="33"/>
    </row>
    <row r="611">
      <c r="A611" s="33"/>
      <c r="B611" s="33"/>
      <c r="C611" s="33"/>
      <c r="D611" s="33"/>
      <c r="E611" s="33"/>
      <c r="F611" s="33"/>
      <c r="G611" s="33"/>
      <c r="H611" s="33"/>
      <c r="I611" s="33"/>
      <c r="J611" s="33"/>
      <c r="K611" s="33"/>
      <c r="L611" s="33"/>
      <c r="M611" s="33"/>
      <c r="N611" s="33"/>
      <c r="O611" s="33"/>
      <c r="P611" s="33"/>
      <c r="Q611" s="33"/>
      <c r="R611" s="33"/>
    </row>
    <row r="612">
      <c r="A612" s="33"/>
      <c r="B612" s="33"/>
      <c r="C612" s="33"/>
      <c r="D612" s="33"/>
      <c r="E612" s="33"/>
      <c r="F612" s="33"/>
      <c r="G612" s="33"/>
      <c r="H612" s="33"/>
      <c r="I612" s="33"/>
      <c r="J612" s="33"/>
      <c r="K612" s="33"/>
      <c r="L612" s="33"/>
      <c r="M612" s="33"/>
      <c r="N612" s="33"/>
      <c r="O612" s="33"/>
      <c r="P612" s="33"/>
      <c r="Q612" s="33"/>
      <c r="R612" s="33"/>
    </row>
    <row r="613">
      <c r="A613" s="33"/>
      <c r="B613" s="33"/>
      <c r="C613" s="33"/>
      <c r="D613" s="33"/>
      <c r="E613" s="33"/>
      <c r="F613" s="33"/>
      <c r="G613" s="33"/>
      <c r="H613" s="33"/>
      <c r="I613" s="33"/>
      <c r="J613" s="33"/>
      <c r="K613" s="33"/>
      <c r="L613" s="33"/>
      <c r="M613" s="33"/>
      <c r="N613" s="33"/>
      <c r="O613" s="33"/>
      <c r="P613" s="33"/>
      <c r="Q613" s="33"/>
      <c r="R613" s="33"/>
    </row>
    <row r="614">
      <c r="A614" s="33"/>
      <c r="B614" s="33"/>
      <c r="C614" s="33"/>
      <c r="D614" s="33"/>
      <c r="E614" s="33"/>
      <c r="F614" s="33"/>
      <c r="G614" s="33"/>
      <c r="H614" s="33"/>
      <c r="I614" s="33"/>
      <c r="J614" s="33"/>
      <c r="K614" s="33"/>
      <c r="L614" s="33"/>
      <c r="M614" s="33"/>
      <c r="N614" s="33"/>
      <c r="O614" s="33"/>
      <c r="P614" s="33"/>
      <c r="Q614" s="33"/>
      <c r="R614" s="33"/>
    </row>
    <row r="615">
      <c r="A615" s="33"/>
      <c r="B615" s="33"/>
      <c r="C615" s="33"/>
      <c r="D615" s="33"/>
      <c r="E615" s="33"/>
      <c r="F615" s="33"/>
      <c r="G615" s="33"/>
      <c r="H615" s="33"/>
      <c r="I615" s="33"/>
      <c r="J615" s="33"/>
      <c r="K615" s="33"/>
      <c r="L615" s="33"/>
      <c r="M615" s="33"/>
      <c r="N615" s="33"/>
      <c r="O615" s="33"/>
      <c r="P615" s="33"/>
      <c r="Q615" s="33"/>
      <c r="R615" s="33"/>
    </row>
    <row r="616">
      <c r="A616" s="33"/>
      <c r="B616" s="33"/>
      <c r="C616" s="33"/>
      <c r="D616" s="33"/>
      <c r="E616" s="33"/>
      <c r="F616" s="33"/>
      <c r="G616" s="33"/>
      <c r="H616" s="33"/>
      <c r="I616" s="33"/>
      <c r="J616" s="33"/>
      <c r="K616" s="33"/>
      <c r="L616" s="33"/>
      <c r="M616" s="33"/>
      <c r="N616" s="33"/>
      <c r="O616" s="33"/>
      <c r="P616" s="33"/>
      <c r="Q616" s="33"/>
      <c r="R616" s="33"/>
    </row>
    <row r="617">
      <c r="A617" s="33"/>
      <c r="B617" s="33"/>
      <c r="C617" s="33"/>
      <c r="D617" s="33"/>
      <c r="E617" s="33"/>
      <c r="F617" s="33"/>
      <c r="G617" s="33"/>
      <c r="H617" s="33"/>
      <c r="I617" s="33"/>
      <c r="J617" s="33"/>
      <c r="K617" s="33"/>
      <c r="L617" s="33"/>
      <c r="M617" s="33"/>
      <c r="N617" s="33"/>
      <c r="O617" s="33"/>
      <c r="P617" s="33"/>
      <c r="Q617" s="33"/>
      <c r="R617" s="33"/>
    </row>
    <row r="618">
      <c r="A618" s="33"/>
      <c r="B618" s="33"/>
      <c r="C618" s="33"/>
      <c r="D618" s="33"/>
      <c r="E618" s="33"/>
      <c r="F618" s="33"/>
      <c r="G618" s="33"/>
      <c r="H618" s="33"/>
      <c r="I618" s="33"/>
      <c r="J618" s="33"/>
      <c r="K618" s="33"/>
      <c r="L618" s="33"/>
      <c r="M618" s="33"/>
      <c r="N618" s="33"/>
      <c r="O618" s="33"/>
      <c r="P618" s="33"/>
      <c r="Q618" s="33"/>
      <c r="R618" s="33"/>
    </row>
    <row r="619">
      <c r="A619" s="33"/>
      <c r="B619" s="33"/>
      <c r="C619" s="33"/>
      <c r="D619" s="33"/>
      <c r="E619" s="33"/>
      <c r="F619" s="33"/>
      <c r="G619" s="33"/>
      <c r="H619" s="33"/>
      <c r="I619" s="33"/>
      <c r="J619" s="33"/>
      <c r="K619" s="33"/>
      <c r="L619" s="33"/>
      <c r="M619" s="33"/>
      <c r="N619" s="33"/>
      <c r="O619" s="33"/>
      <c r="P619" s="33"/>
      <c r="Q619" s="33"/>
      <c r="R619" s="33"/>
    </row>
    <row r="620">
      <c r="A620" s="33"/>
      <c r="B620" s="33"/>
      <c r="C620" s="33"/>
      <c r="D620" s="33"/>
      <c r="E620" s="33"/>
      <c r="F620" s="33"/>
      <c r="G620" s="33"/>
      <c r="H620" s="33"/>
      <c r="I620" s="33"/>
      <c r="J620" s="33"/>
      <c r="K620" s="33"/>
      <c r="L620" s="33"/>
      <c r="M620" s="33"/>
      <c r="N620" s="33"/>
      <c r="O620" s="33"/>
      <c r="P620" s="33"/>
      <c r="Q620" s="33"/>
      <c r="R620" s="33"/>
    </row>
    <row r="621">
      <c r="A621" s="33"/>
      <c r="B621" s="33"/>
      <c r="C621" s="33"/>
      <c r="D621" s="33"/>
      <c r="E621" s="33"/>
      <c r="F621" s="33"/>
      <c r="G621" s="33"/>
      <c r="H621" s="33"/>
      <c r="I621" s="33"/>
      <c r="J621" s="33"/>
      <c r="K621" s="33"/>
      <c r="L621" s="33"/>
      <c r="M621" s="33"/>
      <c r="N621" s="33"/>
      <c r="O621" s="33"/>
      <c r="P621" s="33"/>
      <c r="Q621" s="33"/>
      <c r="R621" s="33"/>
    </row>
    <row r="622">
      <c r="A622" s="33"/>
      <c r="B622" s="33"/>
      <c r="C622" s="33"/>
      <c r="D622" s="33"/>
      <c r="E622" s="33"/>
      <c r="F622" s="33"/>
      <c r="G622" s="33"/>
      <c r="H622" s="33"/>
      <c r="I622" s="33"/>
      <c r="J622" s="33"/>
      <c r="K622" s="33"/>
      <c r="L622" s="33"/>
      <c r="M622" s="33"/>
      <c r="N622" s="33"/>
      <c r="O622" s="33"/>
      <c r="P622" s="33"/>
      <c r="Q622" s="33"/>
      <c r="R622" s="33"/>
    </row>
    <row r="623">
      <c r="A623" s="33"/>
      <c r="B623" s="33"/>
      <c r="C623" s="33"/>
      <c r="D623" s="33"/>
      <c r="E623" s="33"/>
      <c r="F623" s="33"/>
      <c r="G623" s="33"/>
      <c r="H623" s="33"/>
      <c r="I623" s="33"/>
      <c r="J623" s="33"/>
      <c r="K623" s="33"/>
      <c r="L623" s="33"/>
      <c r="M623" s="33"/>
      <c r="N623" s="33"/>
      <c r="O623" s="33"/>
      <c r="P623" s="33"/>
      <c r="Q623" s="33"/>
      <c r="R623" s="33"/>
    </row>
    <row r="624">
      <c r="A624" s="33"/>
      <c r="B624" s="33"/>
      <c r="C624" s="33"/>
      <c r="D624" s="33"/>
      <c r="E624" s="33"/>
      <c r="F624" s="33"/>
      <c r="G624" s="33"/>
      <c r="H624" s="33"/>
      <c r="I624" s="33"/>
      <c r="J624" s="33"/>
      <c r="K624" s="33"/>
      <c r="L624" s="33"/>
      <c r="M624" s="33"/>
      <c r="N624" s="33"/>
      <c r="O624" s="33"/>
      <c r="P624" s="33"/>
      <c r="Q624" s="33"/>
      <c r="R624" s="33"/>
    </row>
    <row r="625">
      <c r="A625" s="33"/>
      <c r="B625" s="33"/>
      <c r="C625" s="33"/>
      <c r="D625" s="33"/>
      <c r="E625" s="33"/>
      <c r="F625" s="33"/>
      <c r="G625" s="33"/>
      <c r="H625" s="33"/>
      <c r="I625" s="33"/>
      <c r="J625" s="33"/>
      <c r="K625" s="33"/>
      <c r="L625" s="33"/>
      <c r="M625" s="33"/>
      <c r="N625" s="33"/>
      <c r="O625" s="33"/>
      <c r="P625" s="33"/>
      <c r="Q625" s="33"/>
      <c r="R625" s="33"/>
    </row>
    <row r="626">
      <c r="A626" s="33"/>
      <c r="B626" s="33"/>
      <c r="C626" s="33"/>
      <c r="D626" s="33"/>
      <c r="E626" s="33"/>
      <c r="F626" s="33"/>
      <c r="G626" s="33"/>
      <c r="H626" s="33"/>
      <c r="I626" s="33"/>
      <c r="J626" s="33"/>
      <c r="K626" s="33"/>
      <c r="L626" s="33"/>
      <c r="M626" s="33"/>
      <c r="N626" s="33"/>
      <c r="O626" s="33"/>
      <c r="P626" s="33"/>
      <c r="Q626" s="33"/>
      <c r="R626" s="33"/>
    </row>
    <row r="627">
      <c r="A627" s="33"/>
      <c r="B627" s="33"/>
      <c r="C627" s="33"/>
      <c r="D627" s="33"/>
      <c r="E627" s="33"/>
      <c r="F627" s="33"/>
      <c r="G627" s="33"/>
      <c r="H627" s="33"/>
      <c r="I627" s="33"/>
      <c r="J627" s="33"/>
      <c r="K627" s="33"/>
      <c r="L627" s="33"/>
      <c r="M627" s="33"/>
      <c r="N627" s="33"/>
      <c r="O627" s="33"/>
      <c r="P627" s="33"/>
      <c r="Q627" s="33"/>
      <c r="R627" s="33"/>
    </row>
    <row r="628">
      <c r="A628" s="33"/>
      <c r="B628" s="33"/>
      <c r="C628" s="33"/>
      <c r="D628" s="33"/>
      <c r="E628" s="33"/>
      <c r="F628" s="33"/>
      <c r="G628" s="33"/>
      <c r="H628" s="33"/>
      <c r="I628" s="33"/>
      <c r="J628" s="33"/>
      <c r="K628" s="33"/>
      <c r="L628" s="33"/>
      <c r="M628" s="33"/>
      <c r="N628" s="33"/>
      <c r="O628" s="33"/>
      <c r="P628" s="33"/>
      <c r="Q628" s="33"/>
      <c r="R628" s="33"/>
    </row>
    <row r="629">
      <c r="A629" s="33"/>
      <c r="B629" s="33"/>
      <c r="C629" s="33"/>
      <c r="D629" s="33"/>
      <c r="E629" s="33"/>
      <c r="F629" s="33"/>
      <c r="G629" s="33"/>
      <c r="H629" s="33"/>
      <c r="I629" s="33"/>
      <c r="J629" s="33"/>
      <c r="K629" s="33"/>
      <c r="L629" s="33"/>
      <c r="M629" s="33"/>
      <c r="N629" s="33"/>
      <c r="O629" s="33"/>
      <c r="P629" s="33"/>
      <c r="Q629" s="33"/>
      <c r="R629" s="33"/>
    </row>
    <row r="630">
      <c r="A630" s="33"/>
      <c r="B630" s="33"/>
      <c r="C630" s="33"/>
      <c r="D630" s="33"/>
      <c r="E630" s="33"/>
      <c r="F630" s="33"/>
      <c r="G630" s="33"/>
      <c r="H630" s="33"/>
      <c r="I630" s="33"/>
      <c r="J630" s="33"/>
      <c r="K630" s="33"/>
      <c r="L630" s="33"/>
      <c r="M630" s="33"/>
      <c r="N630" s="33"/>
      <c r="O630" s="33"/>
      <c r="P630" s="33"/>
      <c r="Q630" s="33"/>
      <c r="R630" s="33"/>
    </row>
    <row r="631">
      <c r="A631" s="33"/>
      <c r="B631" s="33"/>
      <c r="C631" s="33"/>
      <c r="D631" s="33"/>
      <c r="E631" s="33"/>
      <c r="F631" s="33"/>
      <c r="G631" s="33"/>
      <c r="H631" s="33"/>
      <c r="I631" s="33"/>
      <c r="J631" s="33"/>
      <c r="K631" s="33"/>
      <c r="L631" s="33"/>
      <c r="M631" s="33"/>
      <c r="N631" s="33"/>
      <c r="O631" s="33"/>
      <c r="P631" s="33"/>
      <c r="Q631" s="33"/>
      <c r="R631" s="33"/>
    </row>
    <row r="632">
      <c r="A632" s="33"/>
      <c r="B632" s="33"/>
      <c r="C632" s="33"/>
      <c r="D632" s="33"/>
      <c r="E632" s="33"/>
      <c r="F632" s="33"/>
      <c r="G632" s="33"/>
      <c r="H632" s="33"/>
      <c r="I632" s="33"/>
      <c r="J632" s="33"/>
      <c r="K632" s="33"/>
      <c r="L632" s="33"/>
      <c r="M632" s="33"/>
      <c r="N632" s="33"/>
      <c r="O632" s="33"/>
      <c r="P632" s="33"/>
      <c r="Q632" s="33"/>
      <c r="R632" s="33"/>
    </row>
    <row r="633">
      <c r="A633" s="33"/>
      <c r="B633" s="33"/>
      <c r="C633" s="33"/>
      <c r="D633" s="33"/>
      <c r="E633" s="33"/>
      <c r="F633" s="33"/>
      <c r="G633" s="33"/>
      <c r="H633" s="33"/>
      <c r="I633" s="33"/>
      <c r="J633" s="33"/>
      <c r="K633" s="33"/>
      <c r="L633" s="33"/>
      <c r="M633" s="33"/>
      <c r="N633" s="33"/>
      <c r="O633" s="33"/>
      <c r="P633" s="33"/>
      <c r="Q633" s="33"/>
      <c r="R633" s="33"/>
    </row>
    <row r="634">
      <c r="A634" s="33"/>
      <c r="B634" s="33"/>
      <c r="C634" s="33"/>
      <c r="D634" s="33"/>
      <c r="E634" s="33"/>
      <c r="F634" s="33"/>
      <c r="G634" s="33"/>
      <c r="H634" s="33"/>
      <c r="I634" s="33"/>
      <c r="J634" s="33"/>
      <c r="K634" s="33"/>
      <c r="L634" s="33"/>
      <c r="M634" s="33"/>
      <c r="N634" s="33"/>
      <c r="O634" s="33"/>
      <c r="P634" s="33"/>
      <c r="Q634" s="33"/>
      <c r="R634" s="33"/>
    </row>
    <row r="635">
      <c r="A635" s="33"/>
      <c r="B635" s="33"/>
      <c r="C635" s="33"/>
      <c r="D635" s="33"/>
      <c r="E635" s="33"/>
      <c r="F635" s="33"/>
      <c r="G635" s="33"/>
      <c r="H635" s="33"/>
      <c r="I635" s="33"/>
      <c r="J635" s="33"/>
      <c r="K635" s="33"/>
      <c r="L635" s="33"/>
      <c r="M635" s="33"/>
      <c r="N635" s="33"/>
      <c r="O635" s="33"/>
      <c r="P635" s="33"/>
      <c r="Q635" s="33"/>
      <c r="R635" s="33"/>
    </row>
    <row r="636">
      <c r="A636" s="33"/>
      <c r="B636" s="33"/>
      <c r="C636" s="33"/>
      <c r="D636" s="33"/>
      <c r="E636" s="33"/>
      <c r="F636" s="33"/>
      <c r="G636" s="33"/>
      <c r="H636" s="33"/>
      <c r="I636" s="33"/>
      <c r="J636" s="33"/>
      <c r="K636" s="33"/>
      <c r="L636" s="33"/>
      <c r="M636" s="33"/>
      <c r="N636" s="33"/>
      <c r="O636" s="33"/>
      <c r="P636" s="33"/>
      <c r="Q636" s="33"/>
      <c r="R636" s="33"/>
    </row>
    <row r="637">
      <c r="A637" s="33"/>
      <c r="B637" s="33"/>
      <c r="C637" s="33"/>
      <c r="D637" s="33"/>
      <c r="E637" s="33"/>
      <c r="F637" s="33"/>
      <c r="G637" s="33"/>
      <c r="H637" s="33"/>
      <c r="I637" s="33"/>
      <c r="J637" s="33"/>
      <c r="K637" s="33"/>
      <c r="L637" s="33"/>
      <c r="M637" s="33"/>
      <c r="N637" s="33"/>
      <c r="O637" s="33"/>
      <c r="P637" s="33"/>
      <c r="Q637" s="33"/>
      <c r="R637" s="33"/>
    </row>
    <row r="638">
      <c r="A638" s="33"/>
      <c r="B638" s="33"/>
      <c r="C638" s="33"/>
      <c r="D638" s="33"/>
      <c r="E638" s="33"/>
      <c r="F638" s="33"/>
      <c r="G638" s="33"/>
      <c r="H638" s="33"/>
      <c r="I638" s="33"/>
      <c r="J638" s="33"/>
      <c r="K638" s="33"/>
      <c r="L638" s="33"/>
      <c r="M638" s="33"/>
      <c r="N638" s="33"/>
      <c r="O638" s="33"/>
      <c r="P638" s="33"/>
      <c r="Q638" s="33"/>
      <c r="R638" s="33"/>
    </row>
    <row r="639">
      <c r="A639" s="33"/>
      <c r="B639" s="33"/>
      <c r="C639" s="33"/>
      <c r="D639" s="33"/>
      <c r="E639" s="33"/>
      <c r="F639" s="33"/>
      <c r="G639" s="33"/>
      <c r="H639" s="33"/>
      <c r="I639" s="33"/>
      <c r="J639" s="33"/>
      <c r="K639" s="33"/>
      <c r="L639" s="33"/>
      <c r="M639" s="33"/>
      <c r="N639" s="33"/>
      <c r="O639" s="33"/>
      <c r="P639" s="33"/>
      <c r="Q639" s="33"/>
      <c r="R639" s="33"/>
    </row>
    <row r="640">
      <c r="A640" s="33"/>
      <c r="B640" s="33"/>
      <c r="C640" s="33"/>
      <c r="D640" s="33"/>
      <c r="E640" s="33"/>
      <c r="F640" s="33"/>
      <c r="G640" s="33"/>
      <c r="H640" s="33"/>
      <c r="I640" s="33"/>
      <c r="J640" s="33"/>
      <c r="K640" s="33"/>
      <c r="L640" s="33"/>
      <c r="M640" s="33"/>
      <c r="N640" s="33"/>
      <c r="O640" s="33"/>
      <c r="P640" s="33"/>
      <c r="Q640" s="33"/>
      <c r="R640" s="33"/>
    </row>
    <row r="641">
      <c r="A641" s="33"/>
      <c r="B641" s="33"/>
      <c r="C641" s="33"/>
      <c r="D641" s="33"/>
      <c r="E641" s="33"/>
      <c r="F641" s="33"/>
      <c r="G641" s="33"/>
      <c r="H641" s="33"/>
      <c r="I641" s="33"/>
      <c r="J641" s="33"/>
      <c r="K641" s="33"/>
      <c r="L641" s="33"/>
      <c r="M641" s="33"/>
      <c r="N641" s="33"/>
      <c r="O641" s="33"/>
      <c r="P641" s="33"/>
      <c r="Q641" s="33"/>
      <c r="R641" s="33"/>
    </row>
    <row r="642">
      <c r="A642" s="33"/>
      <c r="B642" s="33"/>
      <c r="C642" s="33"/>
      <c r="D642" s="33"/>
      <c r="E642" s="33"/>
      <c r="F642" s="33"/>
      <c r="G642" s="33"/>
      <c r="H642" s="33"/>
      <c r="I642" s="33"/>
      <c r="J642" s="33"/>
      <c r="K642" s="33"/>
      <c r="L642" s="33"/>
      <c r="M642" s="33"/>
      <c r="N642" s="33"/>
      <c r="O642" s="33"/>
      <c r="P642" s="33"/>
      <c r="Q642" s="33"/>
      <c r="R642" s="33"/>
    </row>
    <row r="643">
      <c r="A643" s="33"/>
      <c r="B643" s="33"/>
      <c r="C643" s="33"/>
      <c r="D643" s="33"/>
      <c r="E643" s="33"/>
      <c r="F643" s="33"/>
      <c r="G643" s="33"/>
      <c r="H643" s="33"/>
      <c r="I643" s="33"/>
      <c r="J643" s="33"/>
      <c r="K643" s="33"/>
      <c r="L643" s="33"/>
      <c r="M643" s="33"/>
      <c r="N643" s="33"/>
      <c r="O643" s="33"/>
      <c r="P643" s="33"/>
      <c r="Q643" s="33"/>
      <c r="R643" s="33"/>
    </row>
    <row r="644">
      <c r="A644" s="33"/>
      <c r="B644" s="33"/>
      <c r="C644" s="33"/>
      <c r="D644" s="33"/>
      <c r="E644" s="33"/>
      <c r="F644" s="33"/>
      <c r="G644" s="33"/>
      <c r="H644" s="33"/>
      <c r="I644" s="33"/>
      <c r="J644" s="33"/>
      <c r="K644" s="33"/>
      <c r="L644" s="33"/>
      <c r="M644" s="33"/>
      <c r="N644" s="33"/>
      <c r="O644" s="33"/>
      <c r="P644" s="33"/>
      <c r="Q644" s="33"/>
      <c r="R644" s="33"/>
    </row>
    <row r="645">
      <c r="A645" s="33"/>
      <c r="B645" s="33"/>
      <c r="C645" s="33"/>
      <c r="D645" s="33"/>
      <c r="E645" s="33"/>
      <c r="F645" s="33"/>
      <c r="G645" s="33"/>
      <c r="H645" s="33"/>
      <c r="I645" s="33"/>
      <c r="J645" s="33"/>
      <c r="K645" s="33"/>
      <c r="L645" s="33"/>
      <c r="M645" s="33"/>
      <c r="N645" s="33"/>
      <c r="O645" s="33"/>
      <c r="P645" s="33"/>
      <c r="Q645" s="33"/>
      <c r="R645" s="33"/>
    </row>
    <row r="646">
      <c r="A646" s="33"/>
      <c r="B646" s="33"/>
      <c r="C646" s="33"/>
      <c r="D646" s="33"/>
      <c r="E646" s="33"/>
      <c r="F646" s="33"/>
      <c r="G646" s="33"/>
      <c r="H646" s="33"/>
      <c r="I646" s="33"/>
      <c r="J646" s="33"/>
      <c r="K646" s="33"/>
      <c r="L646" s="33"/>
      <c r="M646" s="33"/>
      <c r="N646" s="33"/>
      <c r="O646" s="33"/>
      <c r="P646" s="33"/>
      <c r="Q646" s="33"/>
      <c r="R646" s="33"/>
    </row>
    <row r="647">
      <c r="A647" s="33"/>
      <c r="B647" s="33"/>
      <c r="C647" s="33"/>
      <c r="D647" s="33"/>
      <c r="E647" s="33"/>
      <c r="F647" s="33"/>
      <c r="G647" s="33"/>
      <c r="H647" s="33"/>
      <c r="I647" s="33"/>
      <c r="J647" s="33"/>
      <c r="K647" s="33"/>
      <c r="L647" s="33"/>
      <c r="M647" s="33"/>
      <c r="N647" s="33"/>
      <c r="O647" s="33"/>
      <c r="P647" s="33"/>
      <c r="Q647" s="33"/>
      <c r="R647" s="33"/>
    </row>
    <row r="648">
      <c r="A648" s="33"/>
      <c r="B648" s="33"/>
      <c r="C648" s="33"/>
      <c r="D648" s="33"/>
      <c r="E648" s="33"/>
      <c r="F648" s="33"/>
      <c r="G648" s="33"/>
      <c r="H648" s="33"/>
      <c r="I648" s="33"/>
      <c r="J648" s="33"/>
      <c r="K648" s="33"/>
      <c r="L648" s="33"/>
      <c r="M648" s="33"/>
      <c r="N648" s="33"/>
      <c r="O648" s="33"/>
      <c r="P648" s="33"/>
      <c r="Q648" s="33"/>
      <c r="R648" s="33"/>
    </row>
    <row r="649">
      <c r="A649" s="33"/>
      <c r="B649" s="33"/>
      <c r="C649" s="33"/>
      <c r="D649" s="33"/>
      <c r="E649" s="33"/>
      <c r="F649" s="33"/>
      <c r="G649" s="33"/>
      <c r="H649" s="33"/>
      <c r="I649" s="33"/>
      <c r="J649" s="33"/>
      <c r="K649" s="33"/>
      <c r="L649" s="33"/>
      <c r="M649" s="33"/>
      <c r="N649" s="33"/>
      <c r="O649" s="33"/>
      <c r="P649" s="33"/>
      <c r="Q649" s="33"/>
      <c r="R649" s="33"/>
    </row>
    <row r="650">
      <c r="A650" s="33"/>
      <c r="B650" s="33"/>
      <c r="C650" s="33"/>
      <c r="D650" s="33"/>
      <c r="E650" s="33"/>
      <c r="F650" s="33"/>
      <c r="G650" s="33"/>
      <c r="H650" s="33"/>
      <c r="I650" s="33"/>
      <c r="J650" s="33"/>
      <c r="K650" s="33"/>
      <c r="L650" s="33"/>
      <c r="M650" s="33"/>
      <c r="N650" s="33"/>
      <c r="O650" s="33"/>
      <c r="P650" s="33"/>
      <c r="Q650" s="33"/>
      <c r="R650" s="33"/>
    </row>
    <row r="651">
      <c r="A651" s="33"/>
      <c r="B651" s="33"/>
      <c r="C651" s="33"/>
      <c r="D651" s="33"/>
      <c r="E651" s="33"/>
      <c r="F651" s="33"/>
      <c r="G651" s="33"/>
      <c r="H651" s="33"/>
      <c r="I651" s="33"/>
      <c r="J651" s="33"/>
      <c r="K651" s="33"/>
      <c r="L651" s="33"/>
      <c r="M651" s="33"/>
      <c r="N651" s="33"/>
      <c r="O651" s="33"/>
      <c r="P651" s="33"/>
      <c r="Q651" s="33"/>
      <c r="R651" s="33"/>
    </row>
    <row r="652">
      <c r="A652" s="33"/>
      <c r="B652" s="33"/>
      <c r="C652" s="33"/>
      <c r="D652" s="33"/>
      <c r="E652" s="33"/>
      <c r="F652" s="33"/>
      <c r="G652" s="33"/>
      <c r="H652" s="33"/>
      <c r="I652" s="33"/>
      <c r="J652" s="33"/>
      <c r="K652" s="33"/>
      <c r="L652" s="33"/>
      <c r="M652" s="33"/>
      <c r="N652" s="33"/>
      <c r="O652" s="33"/>
      <c r="P652" s="33"/>
      <c r="Q652" s="33"/>
      <c r="R652" s="33"/>
    </row>
    <row r="653">
      <c r="A653" s="33"/>
      <c r="B653" s="33"/>
      <c r="C653" s="33"/>
      <c r="D653" s="33"/>
      <c r="E653" s="33"/>
      <c r="F653" s="33"/>
      <c r="G653" s="33"/>
      <c r="H653" s="33"/>
      <c r="I653" s="33"/>
      <c r="J653" s="33"/>
      <c r="K653" s="33"/>
      <c r="L653" s="33"/>
      <c r="M653" s="33"/>
      <c r="N653" s="33"/>
      <c r="O653" s="33"/>
      <c r="P653" s="33"/>
      <c r="Q653" s="33"/>
      <c r="R653" s="33"/>
    </row>
    <row r="654">
      <c r="A654" s="33"/>
      <c r="B654" s="33"/>
      <c r="C654" s="33"/>
      <c r="D654" s="33"/>
      <c r="E654" s="33"/>
      <c r="F654" s="33"/>
      <c r="G654" s="33"/>
      <c r="H654" s="33"/>
      <c r="I654" s="33"/>
      <c r="J654" s="33"/>
      <c r="K654" s="33"/>
      <c r="L654" s="33"/>
      <c r="M654" s="33"/>
      <c r="N654" s="33"/>
      <c r="O654" s="33"/>
      <c r="P654" s="33"/>
      <c r="Q654" s="33"/>
      <c r="R654" s="33"/>
    </row>
    <row r="655">
      <c r="A655" s="33"/>
      <c r="B655" s="33"/>
      <c r="C655" s="33"/>
      <c r="D655" s="33"/>
      <c r="E655" s="33"/>
      <c r="F655" s="33"/>
      <c r="G655" s="33"/>
      <c r="H655" s="33"/>
      <c r="I655" s="33"/>
      <c r="J655" s="33"/>
      <c r="K655" s="33"/>
      <c r="L655" s="33"/>
      <c r="M655" s="33"/>
      <c r="N655" s="33"/>
      <c r="O655" s="33"/>
      <c r="P655" s="33"/>
      <c r="Q655" s="33"/>
      <c r="R655" s="33"/>
    </row>
    <row r="656">
      <c r="A656" s="33"/>
      <c r="B656" s="33"/>
      <c r="C656" s="33"/>
      <c r="D656" s="33"/>
      <c r="E656" s="33"/>
      <c r="F656" s="33"/>
      <c r="G656" s="33"/>
      <c r="H656" s="33"/>
      <c r="I656" s="33"/>
      <c r="J656" s="33"/>
      <c r="K656" s="33"/>
      <c r="L656" s="33"/>
      <c r="M656" s="33"/>
      <c r="N656" s="33"/>
      <c r="O656" s="33"/>
      <c r="P656" s="33"/>
      <c r="Q656" s="33"/>
      <c r="R656" s="33"/>
    </row>
    <row r="657">
      <c r="A657" s="33"/>
      <c r="B657" s="33"/>
      <c r="C657" s="33"/>
      <c r="D657" s="33"/>
      <c r="E657" s="33"/>
      <c r="F657" s="33"/>
      <c r="G657" s="33"/>
      <c r="H657" s="33"/>
      <c r="I657" s="33"/>
      <c r="J657" s="33"/>
      <c r="K657" s="33"/>
      <c r="L657" s="33"/>
      <c r="M657" s="33"/>
      <c r="N657" s="33"/>
      <c r="O657" s="33"/>
      <c r="P657" s="33"/>
      <c r="Q657" s="33"/>
      <c r="R657" s="33"/>
    </row>
    <row r="658">
      <c r="A658" s="33"/>
      <c r="B658" s="33"/>
      <c r="C658" s="33"/>
      <c r="D658" s="33"/>
      <c r="E658" s="33"/>
      <c r="F658" s="33"/>
      <c r="G658" s="33"/>
      <c r="H658" s="33"/>
      <c r="I658" s="33"/>
      <c r="J658" s="33"/>
      <c r="K658" s="33"/>
      <c r="L658" s="33"/>
      <c r="M658" s="33"/>
      <c r="N658" s="33"/>
      <c r="O658" s="33"/>
      <c r="P658" s="33"/>
      <c r="Q658" s="33"/>
      <c r="R658" s="33"/>
    </row>
    <row r="659">
      <c r="A659" s="33"/>
      <c r="B659" s="33"/>
      <c r="C659" s="33"/>
      <c r="D659" s="33"/>
      <c r="E659" s="33"/>
      <c r="F659" s="33"/>
      <c r="G659" s="33"/>
      <c r="H659" s="33"/>
      <c r="I659" s="33"/>
      <c r="J659" s="33"/>
      <c r="K659" s="33"/>
      <c r="L659" s="33"/>
      <c r="M659" s="33"/>
      <c r="N659" s="33"/>
      <c r="O659" s="33"/>
      <c r="P659" s="33"/>
      <c r="Q659" s="33"/>
      <c r="R659" s="33"/>
    </row>
    <row r="660">
      <c r="A660" s="33"/>
      <c r="B660" s="33"/>
      <c r="C660" s="33"/>
      <c r="D660" s="33"/>
      <c r="E660" s="33"/>
      <c r="F660" s="33"/>
      <c r="G660" s="33"/>
      <c r="H660" s="33"/>
      <c r="I660" s="33"/>
      <c r="J660" s="33"/>
      <c r="K660" s="33"/>
      <c r="L660" s="33"/>
      <c r="M660" s="33"/>
      <c r="N660" s="33"/>
      <c r="O660" s="33"/>
      <c r="P660" s="33"/>
      <c r="Q660" s="33"/>
      <c r="R660" s="33"/>
    </row>
    <row r="661">
      <c r="A661" s="33"/>
      <c r="B661" s="33"/>
      <c r="C661" s="33"/>
      <c r="D661" s="33"/>
      <c r="E661" s="33"/>
      <c r="F661" s="33"/>
      <c r="G661" s="33"/>
      <c r="H661" s="33"/>
      <c r="I661" s="33"/>
      <c r="J661" s="33"/>
      <c r="K661" s="33"/>
      <c r="L661" s="33"/>
      <c r="M661" s="33"/>
      <c r="N661" s="33"/>
      <c r="O661" s="33"/>
      <c r="P661" s="33"/>
      <c r="Q661" s="33"/>
      <c r="R661" s="33"/>
    </row>
    <row r="662">
      <c r="A662" s="33"/>
      <c r="B662" s="33"/>
      <c r="C662" s="33"/>
      <c r="D662" s="33"/>
      <c r="E662" s="33"/>
      <c r="F662" s="33"/>
      <c r="G662" s="33"/>
      <c r="H662" s="33"/>
      <c r="I662" s="33"/>
      <c r="J662" s="33"/>
      <c r="K662" s="33"/>
      <c r="L662" s="33"/>
      <c r="M662" s="33"/>
      <c r="N662" s="33"/>
      <c r="O662" s="33"/>
      <c r="P662" s="33"/>
      <c r="Q662" s="33"/>
      <c r="R662" s="33"/>
    </row>
    <row r="663">
      <c r="A663" s="33"/>
      <c r="B663" s="33"/>
      <c r="C663" s="33"/>
      <c r="D663" s="33"/>
      <c r="E663" s="33"/>
      <c r="F663" s="33"/>
      <c r="G663" s="33"/>
      <c r="H663" s="33"/>
      <c r="I663" s="33"/>
      <c r="J663" s="33"/>
      <c r="K663" s="33"/>
      <c r="L663" s="33"/>
      <c r="M663" s="33"/>
      <c r="N663" s="33"/>
      <c r="O663" s="33"/>
      <c r="P663" s="33"/>
      <c r="Q663" s="33"/>
      <c r="R663" s="33"/>
    </row>
    <row r="664">
      <c r="A664" s="33"/>
      <c r="B664" s="33"/>
      <c r="C664" s="33"/>
      <c r="D664" s="33"/>
      <c r="E664" s="33"/>
      <c r="F664" s="33"/>
      <c r="G664" s="33"/>
      <c r="H664" s="33"/>
      <c r="I664" s="33"/>
      <c r="J664" s="33"/>
      <c r="K664" s="33"/>
      <c r="L664" s="33"/>
      <c r="M664" s="33"/>
      <c r="N664" s="33"/>
      <c r="O664" s="33"/>
      <c r="P664" s="33"/>
      <c r="Q664" s="33"/>
      <c r="R664" s="33"/>
    </row>
    <row r="665">
      <c r="A665" s="33"/>
      <c r="B665" s="33"/>
      <c r="C665" s="33"/>
      <c r="D665" s="33"/>
      <c r="E665" s="33"/>
      <c r="F665" s="33"/>
      <c r="G665" s="33"/>
      <c r="H665" s="33"/>
      <c r="I665" s="33"/>
      <c r="J665" s="33"/>
      <c r="K665" s="33"/>
      <c r="L665" s="33"/>
      <c r="M665" s="33"/>
      <c r="N665" s="33"/>
      <c r="O665" s="33"/>
      <c r="P665" s="33"/>
      <c r="Q665" s="33"/>
      <c r="R665" s="33"/>
    </row>
    <row r="666">
      <c r="A666" s="33"/>
      <c r="B666" s="33"/>
      <c r="C666" s="33"/>
      <c r="D666" s="33"/>
      <c r="E666" s="33"/>
      <c r="F666" s="33"/>
      <c r="G666" s="33"/>
      <c r="H666" s="33"/>
      <c r="I666" s="33"/>
      <c r="J666" s="33"/>
      <c r="K666" s="33"/>
      <c r="L666" s="33"/>
      <c r="M666" s="33"/>
      <c r="N666" s="33"/>
      <c r="O666" s="33"/>
      <c r="P666" s="33"/>
      <c r="Q666" s="33"/>
      <c r="R666" s="33"/>
    </row>
    <row r="667">
      <c r="A667" s="33"/>
      <c r="B667" s="33"/>
      <c r="C667" s="33"/>
      <c r="D667" s="33"/>
      <c r="E667" s="33"/>
      <c r="F667" s="33"/>
      <c r="G667" s="33"/>
      <c r="H667" s="33"/>
      <c r="I667" s="33"/>
      <c r="J667" s="33"/>
      <c r="K667" s="33"/>
      <c r="L667" s="33"/>
      <c r="M667" s="33"/>
      <c r="N667" s="33"/>
      <c r="O667" s="33"/>
      <c r="P667" s="33"/>
      <c r="Q667" s="33"/>
      <c r="R667" s="33"/>
    </row>
    <row r="668">
      <c r="A668" s="33"/>
      <c r="B668" s="33"/>
      <c r="C668" s="33"/>
      <c r="D668" s="33"/>
      <c r="E668" s="33"/>
      <c r="F668" s="33"/>
      <c r="G668" s="33"/>
      <c r="H668" s="33"/>
      <c r="I668" s="33"/>
      <c r="J668" s="33"/>
      <c r="K668" s="33"/>
      <c r="L668" s="33"/>
      <c r="M668" s="33"/>
      <c r="N668" s="33"/>
      <c r="O668" s="33"/>
      <c r="P668" s="33"/>
      <c r="Q668" s="33"/>
      <c r="R668" s="33"/>
    </row>
    <row r="669">
      <c r="A669" s="33"/>
      <c r="B669" s="33"/>
      <c r="C669" s="33"/>
      <c r="D669" s="33"/>
      <c r="E669" s="33"/>
      <c r="F669" s="33"/>
      <c r="G669" s="33"/>
      <c r="H669" s="33"/>
      <c r="I669" s="33"/>
      <c r="J669" s="33"/>
      <c r="K669" s="33"/>
      <c r="L669" s="33"/>
      <c r="M669" s="33"/>
      <c r="N669" s="33"/>
      <c r="O669" s="33"/>
      <c r="P669" s="33"/>
      <c r="Q669" s="33"/>
      <c r="R669" s="33"/>
    </row>
    <row r="670">
      <c r="A670" s="33"/>
      <c r="B670" s="33"/>
      <c r="C670" s="33"/>
      <c r="D670" s="33"/>
      <c r="E670" s="33"/>
      <c r="F670" s="33"/>
      <c r="G670" s="33"/>
      <c r="H670" s="33"/>
      <c r="I670" s="33"/>
      <c r="J670" s="33"/>
      <c r="K670" s="33"/>
      <c r="L670" s="33"/>
      <c r="M670" s="33"/>
      <c r="N670" s="33"/>
      <c r="O670" s="33"/>
      <c r="P670" s="33"/>
      <c r="Q670" s="33"/>
      <c r="R670" s="33"/>
    </row>
    <row r="671">
      <c r="A671" s="33"/>
      <c r="B671" s="33"/>
      <c r="C671" s="33"/>
      <c r="D671" s="33"/>
      <c r="E671" s="33"/>
      <c r="F671" s="33"/>
      <c r="G671" s="33"/>
      <c r="H671" s="33"/>
      <c r="I671" s="33"/>
      <c r="J671" s="33"/>
      <c r="K671" s="33"/>
      <c r="L671" s="33"/>
      <c r="M671" s="33"/>
      <c r="N671" s="33"/>
      <c r="O671" s="33"/>
      <c r="P671" s="33"/>
      <c r="Q671" s="33"/>
      <c r="R671" s="33"/>
    </row>
    <row r="672">
      <c r="A672" s="33"/>
      <c r="B672" s="33"/>
      <c r="C672" s="33"/>
      <c r="D672" s="33"/>
      <c r="E672" s="33"/>
      <c r="F672" s="33"/>
      <c r="G672" s="33"/>
      <c r="H672" s="33"/>
      <c r="I672" s="33"/>
      <c r="J672" s="33"/>
      <c r="K672" s="33"/>
      <c r="L672" s="33"/>
      <c r="M672" s="33"/>
      <c r="N672" s="33"/>
      <c r="O672" s="33"/>
      <c r="P672" s="33"/>
      <c r="Q672" s="33"/>
      <c r="R672" s="33"/>
    </row>
    <row r="673">
      <c r="A673" s="33"/>
      <c r="B673" s="33"/>
      <c r="C673" s="33"/>
      <c r="D673" s="33"/>
      <c r="E673" s="33"/>
      <c r="F673" s="33"/>
      <c r="G673" s="33"/>
      <c r="H673" s="33"/>
      <c r="I673" s="33"/>
      <c r="J673" s="33"/>
      <c r="K673" s="33"/>
      <c r="L673" s="33"/>
      <c r="M673" s="33"/>
      <c r="N673" s="33"/>
      <c r="O673" s="33"/>
      <c r="P673" s="33"/>
      <c r="Q673" s="33"/>
      <c r="R673" s="33"/>
    </row>
    <row r="674">
      <c r="A674" s="33"/>
      <c r="B674" s="33"/>
      <c r="C674" s="33"/>
      <c r="D674" s="33"/>
      <c r="E674" s="33"/>
      <c r="F674" s="33"/>
      <c r="G674" s="33"/>
      <c r="H674" s="33"/>
      <c r="I674" s="33"/>
      <c r="J674" s="33"/>
      <c r="K674" s="33"/>
      <c r="L674" s="33"/>
      <c r="M674" s="33"/>
      <c r="N674" s="33"/>
      <c r="O674" s="33"/>
      <c r="P674" s="33"/>
      <c r="Q674" s="33"/>
      <c r="R674" s="33"/>
    </row>
    <row r="675">
      <c r="A675" s="33"/>
      <c r="B675" s="33"/>
      <c r="C675" s="33"/>
      <c r="D675" s="33"/>
      <c r="E675" s="33"/>
      <c r="F675" s="33"/>
      <c r="G675" s="33"/>
      <c r="H675" s="33"/>
      <c r="I675" s="33"/>
      <c r="J675" s="33"/>
      <c r="K675" s="33"/>
      <c r="L675" s="33"/>
      <c r="M675" s="33"/>
      <c r="N675" s="33"/>
      <c r="O675" s="33"/>
      <c r="P675" s="33"/>
      <c r="Q675" s="33"/>
      <c r="R675" s="33"/>
    </row>
    <row r="676">
      <c r="A676" s="33"/>
      <c r="B676" s="33"/>
      <c r="C676" s="33"/>
      <c r="D676" s="33"/>
      <c r="E676" s="33"/>
      <c r="F676" s="33"/>
      <c r="G676" s="33"/>
      <c r="H676" s="33"/>
      <c r="I676" s="33"/>
      <c r="J676" s="33"/>
      <c r="K676" s="33"/>
      <c r="L676" s="33"/>
      <c r="M676" s="33"/>
      <c r="N676" s="33"/>
      <c r="O676" s="33"/>
      <c r="P676" s="33"/>
      <c r="Q676" s="33"/>
      <c r="R676" s="33"/>
    </row>
    <row r="677">
      <c r="A677" s="33"/>
      <c r="B677" s="33"/>
      <c r="C677" s="33"/>
      <c r="D677" s="33"/>
      <c r="E677" s="33"/>
      <c r="F677" s="33"/>
      <c r="G677" s="33"/>
      <c r="H677" s="33"/>
      <c r="I677" s="33"/>
      <c r="J677" s="33"/>
      <c r="K677" s="33"/>
      <c r="L677" s="33"/>
      <c r="M677" s="33"/>
      <c r="N677" s="33"/>
      <c r="O677" s="33"/>
      <c r="P677" s="33"/>
      <c r="Q677" s="33"/>
      <c r="R677" s="33"/>
    </row>
    <row r="678">
      <c r="A678" s="33"/>
      <c r="B678" s="33"/>
      <c r="C678" s="33"/>
      <c r="D678" s="33"/>
      <c r="E678" s="33"/>
      <c r="F678" s="33"/>
      <c r="G678" s="33"/>
      <c r="H678" s="33"/>
      <c r="I678" s="33"/>
      <c r="J678" s="33"/>
      <c r="K678" s="33"/>
      <c r="L678" s="33"/>
      <c r="M678" s="33"/>
      <c r="N678" s="33"/>
      <c r="O678" s="33"/>
      <c r="P678" s="33"/>
      <c r="Q678" s="33"/>
      <c r="R678" s="33"/>
    </row>
    <row r="679">
      <c r="A679" s="33"/>
      <c r="B679" s="33"/>
      <c r="C679" s="33"/>
      <c r="D679" s="33"/>
      <c r="E679" s="33"/>
      <c r="F679" s="33"/>
      <c r="G679" s="33"/>
      <c r="H679" s="33"/>
      <c r="I679" s="33"/>
      <c r="J679" s="33"/>
      <c r="K679" s="33"/>
      <c r="L679" s="33"/>
      <c r="M679" s="33"/>
      <c r="N679" s="33"/>
      <c r="O679" s="33"/>
      <c r="P679" s="33"/>
      <c r="Q679" s="33"/>
      <c r="R679" s="33"/>
    </row>
    <row r="680">
      <c r="A680" s="33"/>
      <c r="B680" s="33"/>
      <c r="C680" s="33"/>
      <c r="D680" s="33"/>
      <c r="E680" s="33"/>
      <c r="F680" s="33"/>
      <c r="G680" s="33"/>
      <c r="H680" s="33"/>
      <c r="I680" s="33"/>
      <c r="J680" s="33"/>
      <c r="K680" s="33"/>
      <c r="L680" s="33"/>
      <c r="M680" s="33"/>
      <c r="N680" s="33"/>
      <c r="O680" s="33"/>
      <c r="P680" s="33"/>
      <c r="Q680" s="33"/>
      <c r="R680" s="33"/>
    </row>
    <row r="681">
      <c r="A681" s="33"/>
      <c r="B681" s="33"/>
      <c r="C681" s="33"/>
      <c r="D681" s="33"/>
      <c r="E681" s="33"/>
      <c r="F681" s="33"/>
      <c r="G681" s="33"/>
      <c r="H681" s="33"/>
      <c r="I681" s="33"/>
      <c r="J681" s="33"/>
      <c r="K681" s="33"/>
      <c r="L681" s="33"/>
      <c r="M681" s="33"/>
      <c r="N681" s="33"/>
      <c r="O681" s="33"/>
      <c r="P681" s="33"/>
      <c r="Q681" s="33"/>
      <c r="R681" s="33"/>
    </row>
    <row r="682">
      <c r="A682" s="33"/>
      <c r="B682" s="33"/>
      <c r="C682" s="33"/>
      <c r="D682" s="33"/>
      <c r="E682" s="33"/>
      <c r="F682" s="33"/>
      <c r="G682" s="33"/>
      <c r="H682" s="33"/>
      <c r="I682" s="33"/>
      <c r="J682" s="33"/>
      <c r="K682" s="33"/>
      <c r="L682" s="33"/>
      <c r="M682" s="33"/>
      <c r="N682" s="33"/>
      <c r="O682" s="33"/>
      <c r="P682" s="33"/>
      <c r="Q682" s="33"/>
      <c r="R682" s="33"/>
    </row>
    <row r="683">
      <c r="A683" s="33"/>
      <c r="B683" s="33"/>
      <c r="C683" s="33"/>
      <c r="D683" s="33"/>
      <c r="E683" s="33"/>
      <c r="F683" s="33"/>
      <c r="G683" s="33"/>
      <c r="H683" s="33"/>
      <c r="I683" s="33"/>
      <c r="J683" s="33"/>
      <c r="K683" s="33"/>
      <c r="L683" s="33"/>
      <c r="M683" s="33"/>
      <c r="N683" s="33"/>
      <c r="O683" s="33"/>
      <c r="P683" s="33"/>
      <c r="Q683" s="33"/>
      <c r="R683" s="33"/>
    </row>
    <row r="684">
      <c r="A684" s="33"/>
      <c r="B684" s="33"/>
      <c r="C684" s="33"/>
      <c r="D684" s="33"/>
      <c r="E684" s="33"/>
      <c r="F684" s="33"/>
      <c r="G684" s="33"/>
      <c r="H684" s="33"/>
      <c r="I684" s="33"/>
      <c r="J684" s="33"/>
      <c r="K684" s="33"/>
      <c r="L684" s="33"/>
      <c r="M684" s="33"/>
      <c r="N684" s="33"/>
      <c r="O684" s="33"/>
      <c r="P684" s="33"/>
      <c r="Q684" s="33"/>
      <c r="R684" s="33"/>
    </row>
    <row r="685">
      <c r="A685" s="33"/>
      <c r="B685" s="33"/>
      <c r="C685" s="33"/>
      <c r="D685" s="33"/>
      <c r="E685" s="33"/>
      <c r="F685" s="33"/>
      <c r="G685" s="33"/>
      <c r="H685" s="33"/>
      <c r="I685" s="33"/>
      <c r="J685" s="33"/>
      <c r="K685" s="33"/>
      <c r="L685" s="33"/>
      <c r="M685" s="33"/>
      <c r="N685" s="33"/>
      <c r="O685" s="33"/>
      <c r="P685" s="33"/>
      <c r="Q685" s="33"/>
      <c r="R685" s="33"/>
    </row>
    <row r="686">
      <c r="A686" s="33"/>
      <c r="B686" s="33"/>
      <c r="C686" s="33"/>
      <c r="D686" s="33"/>
      <c r="E686" s="33"/>
      <c r="F686" s="33"/>
      <c r="G686" s="33"/>
      <c r="H686" s="33"/>
      <c r="I686" s="33"/>
      <c r="J686" s="33"/>
      <c r="K686" s="33"/>
      <c r="L686" s="33"/>
      <c r="M686" s="33"/>
      <c r="N686" s="33"/>
      <c r="O686" s="33"/>
      <c r="P686" s="33"/>
      <c r="Q686" s="33"/>
      <c r="R686" s="33"/>
    </row>
    <row r="687">
      <c r="A687" s="33"/>
      <c r="B687" s="33"/>
      <c r="C687" s="33"/>
      <c r="D687" s="33"/>
      <c r="E687" s="33"/>
      <c r="F687" s="33"/>
      <c r="G687" s="33"/>
      <c r="H687" s="33"/>
      <c r="I687" s="33"/>
      <c r="J687" s="33"/>
      <c r="K687" s="33"/>
      <c r="L687" s="33"/>
      <c r="M687" s="33"/>
      <c r="N687" s="33"/>
      <c r="O687" s="33"/>
      <c r="P687" s="33"/>
      <c r="Q687" s="33"/>
      <c r="R687" s="33"/>
    </row>
    <row r="688">
      <c r="A688" s="33"/>
      <c r="B688" s="33"/>
      <c r="C688" s="33"/>
      <c r="D688" s="33"/>
      <c r="E688" s="33"/>
      <c r="F688" s="33"/>
      <c r="G688" s="33"/>
      <c r="H688" s="33"/>
      <c r="I688" s="33"/>
      <c r="J688" s="33"/>
      <c r="K688" s="33"/>
      <c r="L688" s="33"/>
      <c r="M688" s="33"/>
      <c r="N688" s="33"/>
      <c r="O688" s="33"/>
      <c r="P688" s="33"/>
      <c r="Q688" s="33"/>
      <c r="R688" s="33"/>
    </row>
    <row r="689">
      <c r="A689" s="33"/>
      <c r="B689" s="33"/>
      <c r="C689" s="33"/>
      <c r="D689" s="33"/>
      <c r="E689" s="33"/>
      <c r="F689" s="33"/>
      <c r="G689" s="33"/>
      <c r="H689" s="33"/>
      <c r="I689" s="33"/>
      <c r="J689" s="33"/>
      <c r="K689" s="33"/>
      <c r="L689" s="33"/>
      <c r="M689" s="33"/>
      <c r="N689" s="33"/>
      <c r="O689" s="33"/>
      <c r="P689" s="33"/>
      <c r="Q689" s="33"/>
      <c r="R689" s="33"/>
    </row>
    <row r="690">
      <c r="A690" s="33"/>
      <c r="B690" s="33"/>
      <c r="C690" s="33"/>
      <c r="D690" s="33"/>
      <c r="E690" s="33"/>
      <c r="F690" s="33"/>
      <c r="G690" s="33"/>
      <c r="H690" s="33"/>
      <c r="I690" s="33"/>
      <c r="J690" s="33"/>
      <c r="K690" s="33"/>
      <c r="L690" s="33"/>
      <c r="M690" s="33"/>
      <c r="N690" s="33"/>
      <c r="O690" s="33"/>
      <c r="P690" s="33"/>
      <c r="Q690" s="33"/>
      <c r="R690" s="33"/>
    </row>
    <row r="691">
      <c r="A691" s="33"/>
      <c r="B691" s="33"/>
      <c r="C691" s="33"/>
      <c r="D691" s="33"/>
      <c r="E691" s="33"/>
      <c r="F691" s="33"/>
      <c r="G691" s="33"/>
      <c r="H691" s="33"/>
      <c r="I691" s="33"/>
      <c r="J691" s="33"/>
      <c r="K691" s="33"/>
      <c r="L691" s="33"/>
      <c r="M691" s="33"/>
      <c r="N691" s="33"/>
      <c r="O691" s="33"/>
      <c r="P691" s="33"/>
      <c r="Q691" s="33"/>
      <c r="R691" s="33"/>
    </row>
    <row r="692">
      <c r="A692" s="33"/>
      <c r="B692" s="33"/>
      <c r="C692" s="33"/>
      <c r="D692" s="33"/>
      <c r="E692" s="33"/>
      <c r="F692" s="33"/>
      <c r="G692" s="33"/>
      <c r="H692" s="33"/>
      <c r="I692" s="33"/>
      <c r="J692" s="33"/>
      <c r="K692" s="33"/>
      <c r="L692" s="33"/>
      <c r="M692" s="33"/>
      <c r="N692" s="33"/>
      <c r="O692" s="33"/>
      <c r="P692" s="33"/>
      <c r="Q692" s="33"/>
      <c r="R692" s="33"/>
    </row>
    <row r="693">
      <c r="A693" s="33"/>
      <c r="B693" s="33"/>
      <c r="C693" s="33"/>
      <c r="D693" s="33"/>
      <c r="E693" s="33"/>
      <c r="F693" s="33"/>
      <c r="G693" s="33"/>
      <c r="H693" s="33"/>
      <c r="I693" s="33"/>
      <c r="J693" s="33"/>
      <c r="K693" s="33"/>
      <c r="L693" s="33"/>
      <c r="M693" s="33"/>
      <c r="N693" s="33"/>
      <c r="O693" s="33"/>
      <c r="P693" s="33"/>
      <c r="Q693" s="33"/>
      <c r="R693" s="33"/>
    </row>
    <row r="694">
      <c r="A694" s="33"/>
      <c r="B694" s="33"/>
      <c r="C694" s="33"/>
      <c r="D694" s="33"/>
      <c r="E694" s="33"/>
      <c r="F694" s="33"/>
      <c r="G694" s="33"/>
      <c r="H694" s="33"/>
      <c r="I694" s="33"/>
      <c r="J694" s="33"/>
      <c r="K694" s="33"/>
      <c r="L694" s="33"/>
      <c r="M694" s="33"/>
      <c r="N694" s="33"/>
      <c r="O694" s="33"/>
      <c r="P694" s="33"/>
      <c r="Q694" s="33"/>
      <c r="R694" s="33"/>
    </row>
    <row r="695">
      <c r="A695" s="33"/>
      <c r="B695" s="33"/>
      <c r="C695" s="33"/>
      <c r="D695" s="33"/>
      <c r="E695" s="33"/>
      <c r="F695" s="33"/>
      <c r="G695" s="33"/>
      <c r="H695" s="33"/>
      <c r="I695" s="33"/>
      <c r="J695" s="33"/>
      <c r="K695" s="33"/>
      <c r="L695" s="33"/>
      <c r="M695" s="33"/>
      <c r="N695" s="33"/>
      <c r="O695" s="33"/>
      <c r="P695" s="33"/>
      <c r="Q695" s="33"/>
      <c r="R695" s="33"/>
    </row>
    <row r="696">
      <c r="A696" s="33"/>
      <c r="B696" s="33"/>
      <c r="C696" s="33"/>
      <c r="D696" s="33"/>
      <c r="E696" s="33"/>
      <c r="F696" s="33"/>
      <c r="G696" s="33"/>
      <c r="H696" s="33"/>
      <c r="I696" s="33"/>
      <c r="J696" s="33"/>
      <c r="K696" s="33"/>
      <c r="L696" s="33"/>
      <c r="M696" s="33"/>
      <c r="N696" s="33"/>
      <c r="O696" s="33"/>
      <c r="P696" s="33"/>
      <c r="Q696" s="33"/>
      <c r="R696" s="33"/>
    </row>
    <row r="697">
      <c r="A697" s="33"/>
      <c r="B697" s="33"/>
      <c r="C697" s="33"/>
      <c r="D697" s="33"/>
      <c r="E697" s="33"/>
      <c r="F697" s="33"/>
      <c r="G697" s="33"/>
      <c r="H697" s="33"/>
      <c r="I697" s="33"/>
      <c r="J697" s="33"/>
      <c r="K697" s="33"/>
      <c r="L697" s="33"/>
      <c r="M697" s="33"/>
      <c r="N697" s="33"/>
      <c r="O697" s="33"/>
      <c r="P697" s="33"/>
      <c r="Q697" s="33"/>
      <c r="R697" s="33"/>
    </row>
    <row r="698">
      <c r="A698" s="33"/>
      <c r="B698" s="33"/>
      <c r="C698" s="33"/>
      <c r="D698" s="33"/>
      <c r="E698" s="33"/>
      <c r="F698" s="33"/>
      <c r="G698" s="33"/>
      <c r="H698" s="33"/>
      <c r="I698" s="33"/>
      <c r="J698" s="33"/>
      <c r="K698" s="33"/>
      <c r="L698" s="33"/>
      <c r="M698" s="33"/>
      <c r="N698" s="33"/>
      <c r="O698" s="33"/>
      <c r="P698" s="33"/>
      <c r="Q698" s="33"/>
      <c r="R698" s="33"/>
    </row>
    <row r="699">
      <c r="A699" s="33"/>
      <c r="B699" s="33"/>
      <c r="C699" s="33"/>
      <c r="D699" s="33"/>
      <c r="E699" s="33"/>
      <c r="F699" s="33"/>
      <c r="G699" s="33"/>
      <c r="H699" s="33"/>
      <c r="I699" s="33"/>
      <c r="J699" s="33"/>
      <c r="K699" s="33"/>
      <c r="L699" s="33"/>
      <c r="M699" s="33"/>
      <c r="N699" s="33"/>
      <c r="O699" s="33"/>
      <c r="P699" s="33"/>
      <c r="Q699" s="33"/>
      <c r="R699" s="33"/>
    </row>
    <row r="700">
      <c r="A700" s="33"/>
      <c r="B700" s="33"/>
      <c r="C700" s="33"/>
      <c r="D700" s="33"/>
      <c r="E700" s="33"/>
      <c r="F700" s="33"/>
      <c r="G700" s="33"/>
      <c r="H700" s="33"/>
      <c r="I700" s="33"/>
      <c r="J700" s="33"/>
      <c r="K700" s="33"/>
      <c r="L700" s="33"/>
      <c r="M700" s="33"/>
      <c r="N700" s="33"/>
      <c r="O700" s="33"/>
      <c r="P700" s="33"/>
      <c r="Q700" s="33"/>
      <c r="R700" s="33"/>
    </row>
    <row r="701">
      <c r="A701" s="33"/>
      <c r="B701" s="33"/>
      <c r="C701" s="33"/>
      <c r="D701" s="33"/>
      <c r="E701" s="33"/>
      <c r="F701" s="33"/>
      <c r="G701" s="33"/>
      <c r="H701" s="33"/>
      <c r="I701" s="33"/>
      <c r="J701" s="33"/>
      <c r="K701" s="33"/>
      <c r="L701" s="33"/>
      <c r="M701" s="33"/>
      <c r="N701" s="33"/>
      <c r="O701" s="33"/>
      <c r="P701" s="33"/>
      <c r="Q701" s="33"/>
      <c r="R701" s="33"/>
    </row>
    <row r="702">
      <c r="A702" s="33"/>
      <c r="B702" s="33"/>
      <c r="C702" s="33"/>
      <c r="D702" s="33"/>
      <c r="E702" s="33"/>
      <c r="F702" s="33"/>
      <c r="G702" s="33"/>
      <c r="H702" s="33"/>
      <c r="I702" s="33"/>
      <c r="J702" s="33"/>
      <c r="K702" s="33"/>
      <c r="L702" s="33"/>
      <c r="M702" s="33"/>
      <c r="N702" s="33"/>
      <c r="O702" s="33"/>
      <c r="P702" s="33"/>
      <c r="Q702" s="33"/>
      <c r="R702" s="33"/>
    </row>
    <row r="703">
      <c r="A703" s="33"/>
      <c r="B703" s="33"/>
      <c r="C703" s="33"/>
      <c r="D703" s="33"/>
      <c r="E703" s="33"/>
      <c r="F703" s="33"/>
      <c r="G703" s="33"/>
      <c r="H703" s="33"/>
      <c r="I703" s="33"/>
      <c r="J703" s="33"/>
      <c r="K703" s="33"/>
      <c r="L703" s="33"/>
      <c r="M703" s="33"/>
      <c r="N703" s="33"/>
      <c r="O703" s="33"/>
      <c r="P703" s="33"/>
      <c r="Q703" s="33"/>
      <c r="R703" s="33"/>
    </row>
    <row r="704">
      <c r="A704" s="33"/>
      <c r="B704" s="33"/>
      <c r="C704" s="33"/>
      <c r="D704" s="33"/>
      <c r="E704" s="33"/>
      <c r="F704" s="33"/>
      <c r="G704" s="33"/>
      <c r="H704" s="33"/>
      <c r="I704" s="33"/>
      <c r="J704" s="33"/>
      <c r="K704" s="33"/>
      <c r="L704" s="33"/>
      <c r="M704" s="33"/>
      <c r="N704" s="33"/>
      <c r="O704" s="33"/>
      <c r="P704" s="33"/>
      <c r="Q704" s="33"/>
      <c r="R704" s="33"/>
    </row>
    <row r="705">
      <c r="A705" s="33"/>
      <c r="B705" s="33"/>
      <c r="C705" s="33"/>
      <c r="D705" s="33"/>
      <c r="E705" s="33"/>
      <c r="F705" s="33"/>
      <c r="G705" s="33"/>
      <c r="H705" s="33"/>
      <c r="I705" s="33"/>
      <c r="J705" s="33"/>
      <c r="K705" s="33"/>
      <c r="L705" s="33"/>
      <c r="M705" s="33"/>
      <c r="N705" s="33"/>
      <c r="O705" s="33"/>
      <c r="P705" s="33"/>
      <c r="Q705" s="33"/>
      <c r="R705" s="33"/>
    </row>
    <row r="706">
      <c r="A706" s="33"/>
      <c r="B706" s="33"/>
      <c r="C706" s="33"/>
      <c r="D706" s="33"/>
      <c r="E706" s="33"/>
      <c r="F706" s="33"/>
      <c r="G706" s="33"/>
      <c r="H706" s="33"/>
      <c r="I706" s="33"/>
      <c r="J706" s="33"/>
      <c r="K706" s="33"/>
      <c r="L706" s="33"/>
      <c r="M706" s="33"/>
      <c r="N706" s="33"/>
      <c r="O706" s="33"/>
      <c r="P706" s="33"/>
      <c r="Q706" s="33"/>
      <c r="R706" s="33"/>
    </row>
    <row r="707">
      <c r="A707" s="33"/>
      <c r="B707" s="33"/>
      <c r="C707" s="33"/>
      <c r="D707" s="33"/>
      <c r="E707" s="33"/>
      <c r="F707" s="33"/>
      <c r="G707" s="33"/>
      <c r="H707" s="33"/>
      <c r="I707" s="33"/>
      <c r="J707" s="33"/>
      <c r="K707" s="33"/>
      <c r="L707" s="33"/>
      <c r="M707" s="33"/>
      <c r="N707" s="33"/>
      <c r="O707" s="33"/>
      <c r="P707" s="33"/>
      <c r="Q707" s="33"/>
      <c r="R707" s="33"/>
    </row>
    <row r="708">
      <c r="A708" s="33"/>
      <c r="B708" s="33"/>
      <c r="C708" s="33"/>
      <c r="D708" s="33"/>
      <c r="E708" s="33"/>
      <c r="F708" s="33"/>
      <c r="G708" s="33"/>
      <c r="H708" s="33"/>
      <c r="I708" s="33"/>
      <c r="J708" s="33"/>
      <c r="K708" s="33"/>
      <c r="L708" s="33"/>
      <c r="M708" s="33"/>
      <c r="N708" s="33"/>
      <c r="O708" s="33"/>
      <c r="P708" s="33"/>
      <c r="Q708" s="33"/>
      <c r="R708" s="33"/>
    </row>
    <row r="709">
      <c r="A709" s="33"/>
      <c r="B709" s="33"/>
      <c r="C709" s="33"/>
      <c r="D709" s="33"/>
      <c r="E709" s="33"/>
      <c r="F709" s="33"/>
      <c r="G709" s="33"/>
      <c r="H709" s="33"/>
      <c r="I709" s="33"/>
      <c r="J709" s="33"/>
      <c r="K709" s="33"/>
      <c r="L709" s="33"/>
      <c r="M709" s="33"/>
      <c r="N709" s="33"/>
      <c r="O709" s="33"/>
      <c r="P709" s="33"/>
      <c r="Q709" s="33"/>
      <c r="R709" s="33"/>
    </row>
    <row r="710">
      <c r="A710" s="33"/>
      <c r="B710" s="33"/>
      <c r="C710" s="33"/>
      <c r="D710" s="33"/>
      <c r="E710" s="33"/>
      <c r="F710" s="33"/>
      <c r="G710" s="33"/>
      <c r="H710" s="33"/>
      <c r="I710" s="33"/>
      <c r="J710" s="33"/>
      <c r="K710" s="33"/>
      <c r="L710" s="33"/>
      <c r="M710" s="33"/>
      <c r="N710" s="33"/>
      <c r="O710" s="33"/>
      <c r="P710" s="33"/>
      <c r="Q710" s="33"/>
      <c r="R710" s="33"/>
    </row>
    <row r="711">
      <c r="A711" s="33"/>
      <c r="B711" s="33"/>
      <c r="C711" s="33"/>
      <c r="D711" s="33"/>
      <c r="E711" s="33"/>
      <c r="F711" s="33"/>
      <c r="G711" s="33"/>
      <c r="H711" s="33"/>
      <c r="I711" s="33"/>
      <c r="J711" s="33"/>
      <c r="K711" s="33"/>
      <c r="L711" s="33"/>
      <c r="M711" s="33"/>
      <c r="N711" s="33"/>
      <c r="O711" s="33"/>
      <c r="P711" s="33"/>
      <c r="Q711" s="33"/>
      <c r="R711" s="33"/>
    </row>
    <row r="712">
      <c r="A712" s="33"/>
      <c r="B712" s="33"/>
      <c r="C712" s="33"/>
      <c r="D712" s="33"/>
      <c r="E712" s="33"/>
      <c r="F712" s="33"/>
      <c r="G712" s="33"/>
      <c r="H712" s="33"/>
      <c r="I712" s="33"/>
      <c r="J712" s="33"/>
      <c r="K712" s="33"/>
      <c r="L712" s="33"/>
      <c r="M712" s="33"/>
      <c r="N712" s="33"/>
      <c r="O712" s="33"/>
      <c r="P712" s="33"/>
      <c r="Q712" s="33"/>
      <c r="R712" s="33"/>
    </row>
    <row r="713">
      <c r="A713" s="33"/>
      <c r="B713" s="33"/>
      <c r="C713" s="33"/>
      <c r="D713" s="33"/>
      <c r="E713" s="33"/>
      <c r="F713" s="33"/>
      <c r="G713" s="33"/>
      <c r="H713" s="33"/>
      <c r="I713" s="33"/>
      <c r="J713" s="33"/>
      <c r="K713" s="33"/>
      <c r="L713" s="33"/>
      <c r="M713" s="33"/>
      <c r="N713" s="33"/>
      <c r="O713" s="33"/>
      <c r="P713" s="33"/>
      <c r="Q713" s="33"/>
      <c r="R713" s="33"/>
    </row>
    <row r="714">
      <c r="A714" s="33"/>
      <c r="B714" s="33"/>
      <c r="C714" s="33"/>
      <c r="D714" s="33"/>
      <c r="E714" s="33"/>
      <c r="F714" s="33"/>
      <c r="G714" s="33"/>
      <c r="H714" s="33"/>
      <c r="I714" s="33"/>
      <c r="J714" s="33"/>
      <c r="K714" s="33"/>
      <c r="L714" s="33"/>
      <c r="M714" s="33"/>
      <c r="N714" s="33"/>
      <c r="O714" s="33"/>
      <c r="P714" s="33"/>
      <c r="Q714" s="33"/>
      <c r="R714" s="33"/>
    </row>
    <row r="715">
      <c r="A715" s="33"/>
      <c r="B715" s="33"/>
      <c r="C715" s="33"/>
      <c r="D715" s="33"/>
      <c r="E715" s="33"/>
      <c r="F715" s="33"/>
      <c r="G715" s="33"/>
      <c r="H715" s="33"/>
      <c r="I715" s="33"/>
      <c r="J715" s="33"/>
      <c r="K715" s="33"/>
      <c r="L715" s="33"/>
      <c r="M715" s="33"/>
      <c r="N715" s="33"/>
      <c r="O715" s="33"/>
      <c r="P715" s="33"/>
      <c r="Q715" s="33"/>
      <c r="R715" s="33"/>
    </row>
    <row r="716">
      <c r="A716" s="33"/>
      <c r="B716" s="33"/>
      <c r="C716" s="33"/>
      <c r="D716" s="33"/>
      <c r="E716" s="33"/>
      <c r="F716" s="33"/>
      <c r="G716" s="33"/>
      <c r="H716" s="33"/>
      <c r="I716" s="33"/>
      <c r="J716" s="33"/>
      <c r="K716" s="33"/>
      <c r="L716" s="33"/>
      <c r="M716" s="33"/>
      <c r="N716" s="33"/>
      <c r="O716" s="33"/>
      <c r="P716" s="33"/>
      <c r="Q716" s="33"/>
      <c r="R716" s="33"/>
    </row>
    <row r="717">
      <c r="A717" s="33"/>
      <c r="B717" s="33"/>
      <c r="C717" s="33"/>
      <c r="D717" s="33"/>
      <c r="E717" s="33"/>
      <c r="F717" s="33"/>
      <c r="G717" s="33"/>
      <c r="H717" s="33"/>
      <c r="I717" s="33"/>
      <c r="J717" s="33"/>
      <c r="K717" s="33"/>
      <c r="L717" s="33"/>
      <c r="M717" s="33"/>
      <c r="N717" s="33"/>
      <c r="O717" s="33"/>
      <c r="P717" s="33"/>
      <c r="Q717" s="33"/>
      <c r="R717" s="33"/>
    </row>
    <row r="718">
      <c r="A718" s="33"/>
      <c r="B718" s="33"/>
      <c r="C718" s="33"/>
      <c r="D718" s="33"/>
      <c r="E718" s="33"/>
      <c r="F718" s="33"/>
      <c r="G718" s="33"/>
      <c r="H718" s="33"/>
      <c r="I718" s="33"/>
      <c r="J718" s="33"/>
      <c r="K718" s="33"/>
      <c r="L718" s="33"/>
      <c r="M718" s="33"/>
      <c r="N718" s="33"/>
      <c r="O718" s="33"/>
      <c r="P718" s="33"/>
      <c r="Q718" s="33"/>
      <c r="R718" s="33"/>
    </row>
    <row r="719">
      <c r="A719" s="33"/>
      <c r="B719" s="33"/>
      <c r="C719" s="33"/>
      <c r="D719" s="33"/>
      <c r="E719" s="33"/>
      <c r="F719" s="33"/>
      <c r="G719" s="33"/>
      <c r="H719" s="33"/>
      <c r="I719" s="33"/>
      <c r="J719" s="33"/>
      <c r="K719" s="33"/>
      <c r="L719" s="33"/>
      <c r="M719" s="33"/>
      <c r="N719" s="33"/>
      <c r="O719" s="33"/>
      <c r="P719" s="33"/>
      <c r="Q719" s="33"/>
      <c r="R719" s="33"/>
    </row>
    <row r="720">
      <c r="A720" s="33"/>
      <c r="B720" s="33"/>
      <c r="C720" s="33"/>
      <c r="D720" s="33"/>
      <c r="E720" s="33"/>
      <c r="F720" s="33"/>
      <c r="G720" s="33"/>
      <c r="H720" s="33"/>
      <c r="I720" s="33"/>
      <c r="J720" s="33"/>
      <c r="K720" s="33"/>
      <c r="L720" s="33"/>
      <c r="M720" s="33"/>
      <c r="N720" s="33"/>
      <c r="O720" s="33"/>
      <c r="P720" s="33"/>
      <c r="Q720" s="33"/>
      <c r="R720" s="33"/>
    </row>
    <row r="721">
      <c r="A721" s="33"/>
      <c r="B721" s="33"/>
      <c r="C721" s="33"/>
      <c r="D721" s="33"/>
      <c r="E721" s="33"/>
      <c r="F721" s="33"/>
      <c r="G721" s="33"/>
      <c r="H721" s="33"/>
      <c r="I721" s="33"/>
      <c r="J721" s="33"/>
      <c r="K721" s="33"/>
      <c r="L721" s="33"/>
      <c r="M721" s="33"/>
      <c r="N721" s="33"/>
      <c r="O721" s="33"/>
      <c r="P721" s="33"/>
      <c r="Q721" s="33"/>
      <c r="R721" s="33"/>
    </row>
    <row r="722">
      <c r="A722" s="33"/>
      <c r="B722" s="33"/>
      <c r="C722" s="33"/>
      <c r="D722" s="33"/>
      <c r="E722" s="33"/>
      <c r="F722" s="33"/>
      <c r="G722" s="33"/>
      <c r="H722" s="33"/>
      <c r="I722" s="33"/>
      <c r="J722" s="33"/>
      <c r="K722" s="33"/>
      <c r="L722" s="33"/>
      <c r="M722" s="33"/>
      <c r="N722" s="33"/>
      <c r="O722" s="33"/>
      <c r="P722" s="33"/>
      <c r="Q722" s="33"/>
      <c r="R722" s="33"/>
    </row>
    <row r="723">
      <c r="A723" s="33"/>
      <c r="B723" s="33"/>
      <c r="C723" s="33"/>
      <c r="D723" s="33"/>
      <c r="E723" s="33"/>
      <c r="F723" s="33"/>
      <c r="G723" s="33"/>
      <c r="H723" s="33"/>
      <c r="I723" s="33"/>
      <c r="J723" s="33"/>
      <c r="K723" s="33"/>
      <c r="L723" s="33"/>
      <c r="M723" s="33"/>
      <c r="N723" s="33"/>
      <c r="O723" s="33"/>
      <c r="P723" s="33"/>
      <c r="Q723" s="33"/>
      <c r="R723" s="33"/>
    </row>
    <row r="724">
      <c r="A724" s="33"/>
      <c r="B724" s="33"/>
      <c r="C724" s="33"/>
      <c r="D724" s="33"/>
      <c r="E724" s="33"/>
      <c r="F724" s="33"/>
      <c r="G724" s="33"/>
      <c r="H724" s="33"/>
      <c r="I724" s="33"/>
      <c r="J724" s="33"/>
      <c r="K724" s="33"/>
      <c r="L724" s="33"/>
      <c r="M724" s="33"/>
      <c r="N724" s="33"/>
      <c r="O724" s="33"/>
      <c r="P724" s="33"/>
      <c r="Q724" s="33"/>
      <c r="R724" s="33"/>
    </row>
    <row r="725">
      <c r="A725" s="33"/>
      <c r="B725" s="33"/>
      <c r="C725" s="33"/>
      <c r="D725" s="33"/>
      <c r="E725" s="33"/>
      <c r="F725" s="33"/>
      <c r="G725" s="33"/>
      <c r="H725" s="33"/>
      <c r="I725" s="33"/>
      <c r="J725" s="33"/>
      <c r="K725" s="33"/>
      <c r="L725" s="33"/>
      <c r="M725" s="33"/>
      <c r="N725" s="33"/>
      <c r="O725" s="33"/>
      <c r="P725" s="33"/>
      <c r="Q725" s="33"/>
      <c r="R725" s="33"/>
    </row>
    <row r="726">
      <c r="A726" s="33"/>
      <c r="B726" s="33"/>
      <c r="C726" s="33"/>
      <c r="D726" s="33"/>
      <c r="E726" s="33"/>
      <c r="F726" s="33"/>
      <c r="G726" s="33"/>
      <c r="H726" s="33"/>
      <c r="I726" s="33"/>
      <c r="J726" s="33"/>
      <c r="K726" s="33"/>
      <c r="L726" s="33"/>
      <c r="M726" s="33"/>
      <c r="N726" s="33"/>
      <c r="O726" s="33"/>
      <c r="P726" s="33"/>
      <c r="Q726" s="33"/>
      <c r="R726" s="33"/>
    </row>
    <row r="727">
      <c r="A727" s="33"/>
      <c r="B727" s="33"/>
      <c r="C727" s="33"/>
      <c r="D727" s="33"/>
      <c r="E727" s="33"/>
      <c r="F727" s="33"/>
      <c r="G727" s="33"/>
      <c r="H727" s="33"/>
      <c r="I727" s="33"/>
      <c r="J727" s="33"/>
      <c r="K727" s="33"/>
      <c r="L727" s="33"/>
      <c r="M727" s="33"/>
      <c r="N727" s="33"/>
      <c r="O727" s="33"/>
      <c r="P727" s="33"/>
      <c r="Q727" s="33"/>
      <c r="R727" s="33"/>
    </row>
    <row r="728">
      <c r="A728" s="33"/>
      <c r="B728" s="33"/>
      <c r="C728" s="33"/>
      <c r="D728" s="33"/>
      <c r="E728" s="33"/>
      <c r="F728" s="33"/>
      <c r="G728" s="33"/>
      <c r="H728" s="33"/>
      <c r="I728" s="33"/>
      <c r="J728" s="33"/>
      <c r="K728" s="33"/>
      <c r="L728" s="33"/>
      <c r="M728" s="33"/>
      <c r="N728" s="33"/>
      <c r="O728" s="33"/>
      <c r="P728" s="33"/>
      <c r="Q728" s="33"/>
      <c r="R728" s="33"/>
    </row>
    <row r="729">
      <c r="A729" s="33"/>
      <c r="B729" s="33"/>
      <c r="C729" s="33"/>
      <c r="D729" s="33"/>
      <c r="E729" s="33"/>
      <c r="F729" s="33"/>
      <c r="G729" s="33"/>
      <c r="H729" s="33"/>
      <c r="I729" s="33"/>
      <c r="J729" s="33"/>
      <c r="K729" s="33"/>
      <c r="L729" s="33"/>
      <c r="M729" s="33"/>
      <c r="N729" s="33"/>
      <c r="O729" s="33"/>
      <c r="P729" s="33"/>
      <c r="Q729" s="33"/>
      <c r="R729" s="33"/>
    </row>
    <row r="730">
      <c r="A730" s="33"/>
      <c r="B730" s="33"/>
      <c r="C730" s="33"/>
      <c r="D730" s="33"/>
      <c r="E730" s="33"/>
      <c r="F730" s="33"/>
      <c r="G730" s="33"/>
      <c r="H730" s="33"/>
      <c r="I730" s="33"/>
      <c r="J730" s="33"/>
      <c r="K730" s="33"/>
      <c r="L730" s="33"/>
      <c r="M730" s="33"/>
      <c r="N730" s="33"/>
      <c r="O730" s="33"/>
      <c r="P730" s="33"/>
      <c r="Q730" s="33"/>
      <c r="R730" s="33"/>
    </row>
    <row r="731">
      <c r="A731" s="33"/>
      <c r="B731" s="33"/>
      <c r="C731" s="33"/>
      <c r="D731" s="33"/>
      <c r="E731" s="33"/>
      <c r="F731" s="33"/>
      <c r="G731" s="33"/>
      <c r="H731" s="33"/>
      <c r="I731" s="33"/>
      <c r="J731" s="33"/>
      <c r="K731" s="33"/>
      <c r="L731" s="33"/>
      <c r="M731" s="33"/>
      <c r="N731" s="33"/>
      <c r="O731" s="33"/>
      <c r="P731" s="33"/>
      <c r="Q731" s="33"/>
      <c r="R731" s="33"/>
    </row>
    <row r="732">
      <c r="A732" s="33"/>
      <c r="B732" s="33"/>
      <c r="C732" s="33"/>
      <c r="D732" s="33"/>
      <c r="E732" s="33"/>
      <c r="F732" s="33"/>
      <c r="G732" s="33"/>
      <c r="H732" s="33"/>
      <c r="I732" s="33"/>
      <c r="J732" s="33"/>
      <c r="K732" s="33"/>
      <c r="L732" s="33"/>
      <c r="M732" s="33"/>
      <c r="N732" s="33"/>
      <c r="O732" s="33"/>
      <c r="P732" s="33"/>
      <c r="Q732" s="33"/>
      <c r="R732" s="33"/>
    </row>
    <row r="733">
      <c r="A733" s="33"/>
      <c r="B733" s="33"/>
      <c r="C733" s="33"/>
      <c r="D733" s="33"/>
      <c r="E733" s="33"/>
      <c r="F733" s="33"/>
      <c r="G733" s="33"/>
      <c r="H733" s="33"/>
      <c r="I733" s="33"/>
      <c r="J733" s="33"/>
      <c r="K733" s="33"/>
      <c r="L733" s="33"/>
      <c r="M733" s="33"/>
      <c r="N733" s="33"/>
      <c r="O733" s="33"/>
      <c r="P733" s="33"/>
      <c r="Q733" s="33"/>
      <c r="R733" s="33"/>
    </row>
    <row r="734">
      <c r="A734" s="33"/>
      <c r="B734" s="33"/>
      <c r="C734" s="33"/>
      <c r="D734" s="33"/>
      <c r="E734" s="33"/>
      <c r="F734" s="33"/>
      <c r="G734" s="33"/>
      <c r="H734" s="33"/>
      <c r="I734" s="33"/>
      <c r="J734" s="33"/>
      <c r="K734" s="33"/>
      <c r="L734" s="33"/>
      <c r="M734" s="33"/>
      <c r="N734" s="33"/>
      <c r="O734" s="33"/>
      <c r="P734" s="33"/>
      <c r="Q734" s="33"/>
      <c r="R734" s="33"/>
    </row>
    <row r="735">
      <c r="A735" s="33"/>
      <c r="B735" s="33"/>
      <c r="C735" s="33"/>
      <c r="D735" s="33"/>
      <c r="E735" s="33"/>
      <c r="F735" s="33"/>
      <c r="G735" s="33"/>
      <c r="H735" s="33"/>
      <c r="I735" s="33"/>
      <c r="J735" s="33"/>
      <c r="K735" s="33"/>
      <c r="L735" s="33"/>
      <c r="M735" s="33"/>
      <c r="N735" s="33"/>
      <c r="O735" s="33"/>
      <c r="P735" s="33"/>
      <c r="Q735" s="33"/>
      <c r="R735" s="33"/>
    </row>
    <row r="736">
      <c r="A736" s="33"/>
      <c r="B736" s="33"/>
      <c r="C736" s="33"/>
      <c r="D736" s="33"/>
      <c r="E736" s="33"/>
      <c r="F736" s="33"/>
      <c r="G736" s="33"/>
      <c r="H736" s="33"/>
      <c r="I736" s="33"/>
      <c r="J736" s="33"/>
      <c r="K736" s="33"/>
      <c r="L736" s="33"/>
      <c r="M736" s="33"/>
      <c r="N736" s="33"/>
      <c r="O736" s="33"/>
      <c r="P736" s="33"/>
      <c r="Q736" s="33"/>
      <c r="R736" s="33"/>
    </row>
    <row r="737">
      <c r="A737" s="33"/>
      <c r="B737" s="33"/>
      <c r="C737" s="33"/>
      <c r="D737" s="33"/>
      <c r="E737" s="33"/>
      <c r="F737" s="33"/>
      <c r="G737" s="33"/>
      <c r="H737" s="33"/>
      <c r="I737" s="33"/>
      <c r="J737" s="33"/>
      <c r="K737" s="33"/>
      <c r="L737" s="33"/>
      <c r="M737" s="33"/>
      <c r="N737" s="33"/>
      <c r="O737" s="33"/>
      <c r="P737" s="33"/>
      <c r="Q737" s="33"/>
      <c r="R737" s="33"/>
    </row>
    <row r="738">
      <c r="A738" s="33"/>
      <c r="B738" s="33"/>
      <c r="C738" s="33"/>
      <c r="D738" s="33"/>
      <c r="E738" s="33"/>
      <c r="F738" s="33"/>
      <c r="G738" s="33"/>
      <c r="H738" s="33"/>
      <c r="I738" s="33"/>
      <c r="J738" s="33"/>
      <c r="K738" s="33"/>
      <c r="L738" s="33"/>
      <c r="M738" s="33"/>
      <c r="N738" s="33"/>
      <c r="O738" s="33"/>
      <c r="P738" s="33"/>
      <c r="Q738" s="33"/>
      <c r="R738" s="33"/>
    </row>
    <row r="739">
      <c r="A739" s="33"/>
      <c r="B739" s="33"/>
      <c r="C739" s="33"/>
      <c r="D739" s="33"/>
      <c r="E739" s="33"/>
      <c r="F739" s="33"/>
      <c r="G739" s="33"/>
      <c r="H739" s="33"/>
      <c r="I739" s="33"/>
      <c r="J739" s="33"/>
      <c r="K739" s="33"/>
      <c r="L739" s="33"/>
      <c r="M739" s="33"/>
      <c r="N739" s="33"/>
      <c r="O739" s="33"/>
      <c r="P739" s="33"/>
      <c r="Q739" s="33"/>
      <c r="R739" s="33"/>
    </row>
    <row r="740">
      <c r="A740" s="33"/>
      <c r="B740" s="33"/>
      <c r="C740" s="33"/>
      <c r="D740" s="33"/>
      <c r="E740" s="33"/>
      <c r="F740" s="33"/>
      <c r="G740" s="33"/>
      <c r="H740" s="33"/>
      <c r="I740" s="33"/>
      <c r="J740" s="33"/>
      <c r="K740" s="33"/>
      <c r="L740" s="33"/>
      <c r="M740" s="33"/>
      <c r="N740" s="33"/>
      <c r="O740" s="33"/>
      <c r="P740" s="33"/>
      <c r="Q740" s="33"/>
      <c r="R740" s="33"/>
    </row>
    <row r="741">
      <c r="A741" s="33"/>
      <c r="B741" s="33"/>
      <c r="C741" s="33"/>
      <c r="D741" s="33"/>
      <c r="E741" s="33"/>
      <c r="F741" s="33"/>
      <c r="G741" s="33"/>
      <c r="H741" s="33"/>
      <c r="I741" s="33"/>
      <c r="J741" s="33"/>
      <c r="K741" s="33"/>
      <c r="L741" s="33"/>
      <c r="M741" s="33"/>
      <c r="N741" s="33"/>
      <c r="O741" s="33"/>
      <c r="P741" s="33"/>
      <c r="Q741" s="33"/>
      <c r="R741" s="33"/>
    </row>
    <row r="742">
      <c r="A742" s="33"/>
      <c r="B742" s="33"/>
      <c r="C742" s="33"/>
      <c r="D742" s="33"/>
      <c r="E742" s="33"/>
      <c r="F742" s="33"/>
      <c r="G742" s="33"/>
      <c r="H742" s="33"/>
      <c r="I742" s="33"/>
      <c r="J742" s="33"/>
      <c r="K742" s="33"/>
      <c r="L742" s="33"/>
      <c r="M742" s="33"/>
      <c r="N742" s="33"/>
      <c r="O742" s="33"/>
      <c r="P742" s="33"/>
      <c r="Q742" s="33"/>
      <c r="R742" s="33"/>
    </row>
    <row r="743">
      <c r="A743" s="33"/>
      <c r="B743" s="33"/>
      <c r="C743" s="33"/>
      <c r="D743" s="33"/>
      <c r="E743" s="33"/>
      <c r="F743" s="33"/>
      <c r="G743" s="33"/>
      <c r="H743" s="33"/>
      <c r="I743" s="33"/>
      <c r="J743" s="33"/>
      <c r="K743" s="33"/>
      <c r="L743" s="33"/>
      <c r="M743" s="33"/>
      <c r="N743" s="33"/>
      <c r="O743" s="33"/>
      <c r="P743" s="33"/>
      <c r="Q743" s="33"/>
      <c r="R743" s="33"/>
    </row>
    <row r="744">
      <c r="A744" s="33"/>
      <c r="B744" s="33"/>
      <c r="C744" s="33"/>
      <c r="D744" s="33"/>
      <c r="E744" s="33"/>
      <c r="F744" s="33"/>
      <c r="G744" s="33"/>
      <c r="H744" s="33"/>
      <c r="I744" s="33"/>
      <c r="J744" s="33"/>
      <c r="K744" s="33"/>
      <c r="L744" s="33"/>
      <c r="M744" s="33"/>
      <c r="N744" s="33"/>
      <c r="O744" s="33"/>
      <c r="P744" s="33"/>
      <c r="Q744" s="33"/>
      <c r="R744" s="33"/>
    </row>
    <row r="745">
      <c r="A745" s="33"/>
      <c r="B745" s="33"/>
      <c r="C745" s="33"/>
      <c r="D745" s="33"/>
      <c r="E745" s="33"/>
      <c r="F745" s="33"/>
      <c r="G745" s="33"/>
      <c r="H745" s="33"/>
      <c r="I745" s="33"/>
      <c r="J745" s="33"/>
      <c r="K745" s="33"/>
      <c r="L745" s="33"/>
      <c r="M745" s="33"/>
      <c r="N745" s="33"/>
      <c r="O745" s="33"/>
      <c r="P745" s="33"/>
      <c r="Q745" s="33"/>
      <c r="R745" s="33"/>
    </row>
    <row r="746">
      <c r="A746" s="33"/>
      <c r="B746" s="33"/>
      <c r="C746" s="33"/>
      <c r="D746" s="33"/>
      <c r="E746" s="33"/>
      <c r="F746" s="33"/>
      <c r="G746" s="33"/>
      <c r="H746" s="33"/>
      <c r="I746" s="33"/>
      <c r="J746" s="33"/>
      <c r="K746" s="33"/>
      <c r="L746" s="33"/>
      <c r="M746" s="33"/>
      <c r="N746" s="33"/>
      <c r="O746" s="33"/>
      <c r="P746" s="33"/>
      <c r="Q746" s="33"/>
      <c r="R746" s="33"/>
    </row>
    <row r="747">
      <c r="A747" s="33"/>
      <c r="B747" s="33"/>
      <c r="C747" s="33"/>
      <c r="D747" s="33"/>
      <c r="E747" s="33"/>
      <c r="F747" s="33"/>
      <c r="G747" s="33"/>
      <c r="H747" s="33"/>
      <c r="I747" s="33"/>
      <c r="J747" s="33"/>
      <c r="K747" s="33"/>
      <c r="L747" s="33"/>
      <c r="M747" s="33"/>
      <c r="N747" s="33"/>
      <c r="O747" s="33"/>
      <c r="P747" s="33"/>
      <c r="Q747" s="33"/>
      <c r="R747" s="33"/>
    </row>
    <row r="748">
      <c r="A748" s="33"/>
      <c r="B748" s="33"/>
      <c r="C748" s="33"/>
      <c r="D748" s="33"/>
      <c r="E748" s="33"/>
      <c r="F748" s="33"/>
      <c r="G748" s="33"/>
      <c r="H748" s="33"/>
      <c r="I748" s="33"/>
      <c r="J748" s="33"/>
      <c r="K748" s="33"/>
      <c r="L748" s="33"/>
      <c r="M748" s="33"/>
      <c r="N748" s="33"/>
      <c r="O748" s="33"/>
      <c r="P748" s="33"/>
      <c r="Q748" s="33"/>
      <c r="R748" s="33"/>
    </row>
    <row r="749">
      <c r="A749" s="33"/>
      <c r="B749" s="33"/>
      <c r="C749" s="33"/>
      <c r="D749" s="33"/>
      <c r="E749" s="33"/>
      <c r="F749" s="33"/>
      <c r="G749" s="33"/>
      <c r="H749" s="33"/>
      <c r="I749" s="33"/>
      <c r="J749" s="33"/>
      <c r="K749" s="33"/>
      <c r="L749" s="33"/>
      <c r="M749" s="33"/>
      <c r="N749" s="33"/>
      <c r="O749" s="33"/>
      <c r="P749" s="33"/>
      <c r="Q749" s="33"/>
      <c r="R749" s="33"/>
    </row>
    <row r="750">
      <c r="A750" s="33"/>
      <c r="B750" s="33"/>
      <c r="C750" s="33"/>
      <c r="D750" s="33"/>
      <c r="E750" s="33"/>
      <c r="F750" s="33"/>
      <c r="G750" s="33"/>
      <c r="H750" s="33"/>
      <c r="I750" s="33"/>
      <c r="J750" s="33"/>
      <c r="K750" s="33"/>
      <c r="L750" s="33"/>
      <c r="M750" s="33"/>
      <c r="N750" s="33"/>
      <c r="O750" s="33"/>
      <c r="P750" s="33"/>
      <c r="Q750" s="33"/>
      <c r="R750" s="33"/>
    </row>
    <row r="751">
      <c r="A751" s="33"/>
      <c r="B751" s="33"/>
      <c r="C751" s="33"/>
      <c r="D751" s="33"/>
      <c r="E751" s="33"/>
      <c r="F751" s="33"/>
      <c r="G751" s="33"/>
      <c r="H751" s="33"/>
      <c r="I751" s="33"/>
      <c r="J751" s="33"/>
      <c r="K751" s="33"/>
      <c r="L751" s="33"/>
      <c r="M751" s="33"/>
      <c r="N751" s="33"/>
      <c r="O751" s="33"/>
      <c r="P751" s="33"/>
      <c r="Q751" s="33"/>
      <c r="R751" s="33"/>
    </row>
    <row r="752">
      <c r="A752" s="33"/>
      <c r="B752" s="33"/>
      <c r="C752" s="33"/>
      <c r="D752" s="33"/>
      <c r="E752" s="33"/>
      <c r="F752" s="33"/>
      <c r="G752" s="33"/>
      <c r="H752" s="33"/>
      <c r="I752" s="33"/>
      <c r="J752" s="33"/>
      <c r="K752" s="33"/>
      <c r="L752" s="33"/>
      <c r="M752" s="33"/>
      <c r="N752" s="33"/>
      <c r="O752" s="33"/>
      <c r="P752" s="33"/>
      <c r="Q752" s="33"/>
      <c r="R752" s="33"/>
    </row>
    <row r="753">
      <c r="A753" s="33"/>
      <c r="B753" s="33"/>
      <c r="C753" s="33"/>
      <c r="D753" s="33"/>
      <c r="E753" s="33"/>
      <c r="F753" s="33"/>
      <c r="G753" s="33"/>
      <c r="H753" s="33"/>
      <c r="I753" s="33"/>
      <c r="J753" s="33"/>
      <c r="K753" s="33"/>
      <c r="L753" s="33"/>
      <c r="M753" s="33"/>
      <c r="N753" s="33"/>
      <c r="O753" s="33"/>
      <c r="P753" s="33"/>
      <c r="Q753" s="33"/>
      <c r="R753" s="33"/>
    </row>
    <row r="754">
      <c r="A754" s="33"/>
      <c r="B754" s="33"/>
      <c r="C754" s="33"/>
      <c r="D754" s="33"/>
      <c r="E754" s="33"/>
      <c r="F754" s="33"/>
      <c r="G754" s="33"/>
      <c r="H754" s="33"/>
      <c r="I754" s="33"/>
      <c r="J754" s="33"/>
      <c r="K754" s="33"/>
      <c r="L754" s="33"/>
      <c r="M754" s="33"/>
      <c r="N754" s="33"/>
      <c r="O754" s="33"/>
      <c r="P754" s="33"/>
      <c r="Q754" s="33"/>
      <c r="R754" s="33"/>
    </row>
    <row r="755">
      <c r="A755" s="33"/>
      <c r="B755" s="33"/>
      <c r="C755" s="33"/>
      <c r="D755" s="33"/>
      <c r="E755" s="33"/>
      <c r="F755" s="33"/>
      <c r="G755" s="33"/>
      <c r="H755" s="33"/>
      <c r="I755" s="33"/>
      <c r="J755" s="33"/>
      <c r="K755" s="33"/>
      <c r="L755" s="33"/>
      <c r="M755" s="33"/>
      <c r="N755" s="33"/>
      <c r="O755" s="33"/>
      <c r="P755" s="33"/>
      <c r="Q755" s="33"/>
      <c r="R755" s="33"/>
    </row>
    <row r="756">
      <c r="A756" s="33"/>
      <c r="B756" s="33"/>
      <c r="C756" s="33"/>
      <c r="D756" s="33"/>
      <c r="E756" s="33"/>
      <c r="F756" s="33"/>
      <c r="G756" s="33"/>
      <c r="H756" s="33"/>
      <c r="I756" s="33"/>
      <c r="J756" s="33"/>
      <c r="K756" s="33"/>
      <c r="L756" s="33"/>
      <c r="M756" s="33"/>
      <c r="N756" s="33"/>
      <c r="O756" s="33"/>
      <c r="P756" s="33"/>
      <c r="Q756" s="33"/>
      <c r="R756" s="33"/>
    </row>
    <row r="757">
      <c r="A757" s="33"/>
      <c r="B757" s="33"/>
      <c r="C757" s="33"/>
      <c r="D757" s="33"/>
      <c r="E757" s="33"/>
      <c r="F757" s="33"/>
      <c r="G757" s="33"/>
      <c r="H757" s="33"/>
      <c r="I757" s="33"/>
      <c r="J757" s="33"/>
      <c r="K757" s="33"/>
      <c r="L757" s="33"/>
      <c r="M757" s="33"/>
      <c r="N757" s="33"/>
      <c r="O757" s="33"/>
      <c r="P757" s="33"/>
      <c r="Q757" s="33"/>
      <c r="R757" s="33"/>
    </row>
    <row r="758">
      <c r="A758" s="33"/>
      <c r="B758" s="33"/>
      <c r="C758" s="33"/>
      <c r="D758" s="33"/>
      <c r="E758" s="33"/>
      <c r="F758" s="33"/>
      <c r="G758" s="33"/>
      <c r="H758" s="33"/>
      <c r="I758" s="33"/>
      <c r="J758" s="33"/>
      <c r="K758" s="33"/>
      <c r="L758" s="33"/>
      <c r="M758" s="33"/>
      <c r="N758" s="33"/>
      <c r="O758" s="33"/>
      <c r="P758" s="33"/>
      <c r="Q758" s="33"/>
      <c r="R758" s="33"/>
    </row>
    <row r="759">
      <c r="A759" s="33"/>
      <c r="B759" s="33"/>
      <c r="C759" s="33"/>
      <c r="D759" s="33"/>
      <c r="E759" s="33"/>
      <c r="F759" s="33"/>
      <c r="G759" s="33"/>
      <c r="H759" s="33"/>
      <c r="I759" s="33"/>
      <c r="J759" s="33"/>
      <c r="K759" s="33"/>
      <c r="L759" s="33"/>
      <c r="M759" s="33"/>
      <c r="N759" s="33"/>
      <c r="O759" s="33"/>
      <c r="P759" s="33"/>
      <c r="Q759" s="33"/>
      <c r="R759" s="33"/>
    </row>
    <row r="760">
      <c r="A760" s="33"/>
      <c r="B760" s="33"/>
      <c r="C760" s="33"/>
      <c r="D760" s="33"/>
      <c r="E760" s="33"/>
      <c r="F760" s="33"/>
      <c r="G760" s="33"/>
      <c r="H760" s="33"/>
      <c r="I760" s="33"/>
      <c r="J760" s="33"/>
      <c r="K760" s="33"/>
      <c r="L760" s="33"/>
      <c r="M760" s="33"/>
      <c r="N760" s="33"/>
      <c r="O760" s="33"/>
      <c r="P760" s="33"/>
      <c r="Q760" s="33"/>
      <c r="R760" s="33"/>
    </row>
    <row r="761">
      <c r="A761" s="33"/>
      <c r="B761" s="33"/>
      <c r="C761" s="33"/>
      <c r="D761" s="33"/>
      <c r="E761" s="33"/>
      <c r="F761" s="33"/>
      <c r="G761" s="33"/>
      <c r="H761" s="33"/>
      <c r="I761" s="33"/>
      <c r="J761" s="33"/>
      <c r="K761" s="33"/>
      <c r="L761" s="33"/>
      <c r="M761" s="33"/>
      <c r="N761" s="33"/>
      <c r="O761" s="33"/>
      <c r="P761" s="33"/>
      <c r="Q761" s="33"/>
      <c r="R761" s="33"/>
    </row>
    <row r="762">
      <c r="A762" s="33"/>
      <c r="B762" s="33"/>
      <c r="C762" s="33"/>
      <c r="D762" s="33"/>
      <c r="E762" s="33"/>
      <c r="F762" s="33"/>
      <c r="G762" s="33"/>
      <c r="H762" s="33"/>
      <c r="I762" s="33"/>
      <c r="J762" s="33"/>
      <c r="K762" s="33"/>
      <c r="L762" s="33"/>
      <c r="M762" s="33"/>
      <c r="N762" s="33"/>
      <c r="O762" s="33"/>
      <c r="P762" s="33"/>
      <c r="Q762" s="33"/>
      <c r="R762" s="33"/>
    </row>
    <row r="763">
      <c r="A763" s="33"/>
      <c r="B763" s="33"/>
      <c r="C763" s="33"/>
      <c r="D763" s="33"/>
      <c r="E763" s="33"/>
      <c r="F763" s="33"/>
      <c r="G763" s="33"/>
      <c r="H763" s="33"/>
      <c r="I763" s="33"/>
      <c r="J763" s="33"/>
      <c r="K763" s="33"/>
      <c r="L763" s="33"/>
      <c r="M763" s="33"/>
      <c r="N763" s="33"/>
      <c r="O763" s="33"/>
      <c r="P763" s="33"/>
      <c r="Q763" s="33"/>
      <c r="R763" s="33"/>
    </row>
    <row r="764">
      <c r="A764" s="33"/>
      <c r="B764" s="33"/>
      <c r="C764" s="33"/>
      <c r="D764" s="33"/>
      <c r="E764" s="33"/>
      <c r="F764" s="33"/>
      <c r="G764" s="33"/>
      <c r="H764" s="33"/>
      <c r="I764" s="33"/>
      <c r="J764" s="33"/>
      <c r="K764" s="33"/>
      <c r="L764" s="33"/>
      <c r="M764" s="33"/>
      <c r="N764" s="33"/>
      <c r="O764" s="33"/>
      <c r="P764" s="33"/>
      <c r="Q764" s="33"/>
      <c r="R764" s="33"/>
    </row>
    <row r="765">
      <c r="A765" s="33"/>
      <c r="B765" s="33"/>
      <c r="C765" s="33"/>
      <c r="D765" s="33"/>
      <c r="E765" s="33"/>
      <c r="F765" s="33"/>
      <c r="G765" s="33"/>
      <c r="H765" s="33"/>
      <c r="I765" s="33"/>
      <c r="J765" s="33"/>
      <c r="K765" s="33"/>
      <c r="L765" s="33"/>
      <c r="M765" s="33"/>
      <c r="N765" s="33"/>
      <c r="O765" s="33"/>
      <c r="P765" s="33"/>
      <c r="Q765" s="33"/>
      <c r="R765" s="33"/>
    </row>
    <row r="766">
      <c r="A766" s="33"/>
      <c r="B766" s="33"/>
      <c r="C766" s="33"/>
      <c r="D766" s="33"/>
      <c r="E766" s="33"/>
      <c r="F766" s="33"/>
      <c r="G766" s="33"/>
      <c r="H766" s="33"/>
      <c r="I766" s="33"/>
      <c r="J766" s="33"/>
      <c r="K766" s="33"/>
      <c r="L766" s="33"/>
      <c r="M766" s="33"/>
      <c r="N766" s="33"/>
      <c r="O766" s="33"/>
      <c r="P766" s="33"/>
      <c r="Q766" s="33"/>
      <c r="R766" s="33"/>
    </row>
    <row r="767">
      <c r="A767" s="33"/>
      <c r="B767" s="33"/>
      <c r="C767" s="33"/>
      <c r="D767" s="33"/>
      <c r="E767" s="33"/>
      <c r="F767" s="33"/>
      <c r="G767" s="33"/>
      <c r="H767" s="33"/>
      <c r="I767" s="33"/>
      <c r="J767" s="33"/>
      <c r="K767" s="33"/>
      <c r="L767" s="33"/>
      <c r="M767" s="33"/>
      <c r="N767" s="33"/>
      <c r="O767" s="33"/>
      <c r="P767" s="33"/>
      <c r="Q767" s="33"/>
      <c r="R767" s="33"/>
    </row>
    <row r="768">
      <c r="A768" s="33"/>
      <c r="B768" s="33"/>
      <c r="C768" s="33"/>
      <c r="D768" s="33"/>
      <c r="E768" s="33"/>
      <c r="F768" s="33"/>
      <c r="G768" s="33"/>
      <c r="H768" s="33"/>
      <c r="I768" s="33"/>
      <c r="J768" s="33"/>
      <c r="K768" s="33"/>
      <c r="L768" s="33"/>
      <c r="M768" s="33"/>
      <c r="N768" s="33"/>
      <c r="O768" s="33"/>
      <c r="P768" s="33"/>
      <c r="Q768" s="33"/>
      <c r="R768" s="33"/>
    </row>
    <row r="769">
      <c r="A769" s="33"/>
      <c r="B769" s="33"/>
      <c r="C769" s="33"/>
      <c r="D769" s="33"/>
      <c r="E769" s="33"/>
      <c r="F769" s="33"/>
      <c r="G769" s="33"/>
      <c r="H769" s="33"/>
      <c r="I769" s="33"/>
      <c r="J769" s="33"/>
      <c r="K769" s="33"/>
      <c r="L769" s="33"/>
      <c r="M769" s="33"/>
      <c r="N769" s="33"/>
      <c r="O769" s="33"/>
      <c r="P769" s="33"/>
      <c r="Q769" s="33"/>
      <c r="R769" s="33"/>
    </row>
    <row r="770">
      <c r="A770" s="33"/>
      <c r="B770" s="33"/>
      <c r="C770" s="33"/>
      <c r="D770" s="33"/>
      <c r="E770" s="33"/>
      <c r="F770" s="33"/>
      <c r="G770" s="33"/>
      <c r="H770" s="33"/>
      <c r="I770" s="33"/>
      <c r="J770" s="33"/>
      <c r="K770" s="33"/>
      <c r="L770" s="33"/>
      <c r="M770" s="33"/>
      <c r="N770" s="33"/>
      <c r="O770" s="33"/>
      <c r="P770" s="33"/>
      <c r="Q770" s="33"/>
      <c r="R770" s="33"/>
    </row>
    <row r="771">
      <c r="A771" s="33"/>
      <c r="B771" s="33"/>
      <c r="C771" s="33"/>
      <c r="D771" s="33"/>
      <c r="E771" s="33"/>
      <c r="F771" s="33"/>
      <c r="G771" s="33"/>
      <c r="H771" s="33"/>
      <c r="I771" s="33"/>
      <c r="J771" s="33"/>
      <c r="K771" s="33"/>
      <c r="L771" s="33"/>
      <c r="M771" s="33"/>
      <c r="N771" s="33"/>
      <c r="O771" s="33"/>
      <c r="P771" s="33"/>
      <c r="Q771" s="33"/>
      <c r="R771" s="33"/>
    </row>
    <row r="772">
      <c r="A772" s="33"/>
      <c r="B772" s="33"/>
      <c r="C772" s="33"/>
      <c r="D772" s="33"/>
      <c r="E772" s="33"/>
      <c r="F772" s="33"/>
      <c r="G772" s="33"/>
      <c r="H772" s="33"/>
      <c r="I772" s="33"/>
      <c r="J772" s="33"/>
      <c r="K772" s="33"/>
      <c r="L772" s="33"/>
      <c r="M772" s="33"/>
      <c r="N772" s="33"/>
      <c r="O772" s="33"/>
      <c r="P772" s="33"/>
      <c r="Q772" s="33"/>
      <c r="R772" s="33"/>
    </row>
    <row r="773">
      <c r="A773" s="33"/>
      <c r="B773" s="33"/>
      <c r="C773" s="33"/>
      <c r="D773" s="33"/>
      <c r="E773" s="33"/>
      <c r="F773" s="33"/>
      <c r="G773" s="33"/>
      <c r="H773" s="33"/>
      <c r="I773" s="33"/>
      <c r="J773" s="33"/>
      <c r="K773" s="33"/>
      <c r="L773" s="33"/>
      <c r="M773" s="33"/>
      <c r="N773" s="33"/>
      <c r="O773" s="33"/>
      <c r="P773" s="33"/>
      <c r="Q773" s="33"/>
      <c r="R773" s="33"/>
    </row>
    <row r="774">
      <c r="A774" s="33"/>
      <c r="B774" s="33"/>
      <c r="C774" s="33"/>
      <c r="D774" s="33"/>
      <c r="E774" s="33"/>
      <c r="F774" s="33"/>
      <c r="G774" s="33"/>
      <c r="H774" s="33"/>
      <c r="I774" s="33"/>
      <c r="J774" s="33"/>
      <c r="K774" s="33"/>
      <c r="L774" s="33"/>
      <c r="M774" s="33"/>
      <c r="N774" s="33"/>
      <c r="O774" s="33"/>
      <c r="P774" s="33"/>
      <c r="Q774" s="33"/>
      <c r="R774" s="33"/>
    </row>
    <row r="775">
      <c r="A775" s="33"/>
      <c r="B775" s="33"/>
      <c r="C775" s="33"/>
      <c r="D775" s="33"/>
      <c r="E775" s="33"/>
      <c r="F775" s="33"/>
      <c r="G775" s="33"/>
      <c r="H775" s="33"/>
      <c r="I775" s="33"/>
      <c r="J775" s="33"/>
      <c r="K775" s="33"/>
      <c r="L775" s="33"/>
      <c r="M775" s="33"/>
      <c r="N775" s="33"/>
      <c r="O775" s="33"/>
      <c r="P775" s="33"/>
      <c r="Q775" s="33"/>
      <c r="R775" s="33"/>
    </row>
    <row r="776">
      <c r="A776" s="33"/>
      <c r="B776" s="33"/>
      <c r="C776" s="33"/>
      <c r="D776" s="33"/>
      <c r="E776" s="33"/>
      <c r="F776" s="33"/>
      <c r="G776" s="33"/>
      <c r="H776" s="33"/>
      <c r="I776" s="33"/>
      <c r="J776" s="33"/>
      <c r="K776" s="33"/>
      <c r="L776" s="33"/>
      <c r="M776" s="33"/>
      <c r="N776" s="33"/>
      <c r="O776" s="33"/>
      <c r="P776" s="33"/>
      <c r="Q776" s="33"/>
      <c r="R776" s="33"/>
    </row>
    <row r="777">
      <c r="A777" s="33"/>
      <c r="B777" s="33"/>
      <c r="C777" s="33"/>
      <c r="D777" s="33"/>
      <c r="E777" s="33"/>
      <c r="F777" s="33"/>
      <c r="G777" s="33"/>
      <c r="H777" s="33"/>
      <c r="I777" s="33"/>
      <c r="J777" s="33"/>
      <c r="K777" s="33"/>
      <c r="L777" s="33"/>
      <c r="M777" s="33"/>
      <c r="N777" s="33"/>
      <c r="O777" s="33"/>
      <c r="P777" s="33"/>
      <c r="Q777" s="33"/>
      <c r="R777" s="33"/>
    </row>
    <row r="778">
      <c r="A778" s="33"/>
      <c r="B778" s="33"/>
      <c r="C778" s="33"/>
      <c r="D778" s="33"/>
      <c r="E778" s="33"/>
      <c r="F778" s="33"/>
      <c r="G778" s="33"/>
      <c r="H778" s="33"/>
      <c r="I778" s="33"/>
      <c r="J778" s="33"/>
      <c r="K778" s="33"/>
      <c r="L778" s="33"/>
      <c r="M778" s="33"/>
      <c r="N778" s="33"/>
      <c r="O778" s="33"/>
      <c r="P778" s="33"/>
      <c r="Q778" s="33"/>
      <c r="R778" s="33"/>
    </row>
    <row r="779">
      <c r="A779" s="33"/>
      <c r="B779" s="33"/>
      <c r="C779" s="33"/>
      <c r="D779" s="33"/>
      <c r="E779" s="33"/>
      <c r="F779" s="33"/>
      <c r="G779" s="33"/>
      <c r="H779" s="33"/>
      <c r="I779" s="33"/>
      <c r="J779" s="33"/>
      <c r="K779" s="33"/>
      <c r="L779" s="33"/>
      <c r="M779" s="33"/>
      <c r="N779" s="33"/>
      <c r="O779" s="33"/>
      <c r="P779" s="33"/>
      <c r="Q779" s="33"/>
      <c r="R779" s="33"/>
    </row>
    <row r="780">
      <c r="A780" s="33"/>
      <c r="B780" s="33"/>
      <c r="C780" s="33"/>
      <c r="D780" s="33"/>
      <c r="E780" s="33"/>
      <c r="F780" s="33"/>
      <c r="G780" s="33"/>
      <c r="H780" s="33"/>
      <c r="I780" s="33"/>
      <c r="J780" s="33"/>
      <c r="K780" s="33"/>
      <c r="L780" s="33"/>
      <c r="M780" s="33"/>
      <c r="N780" s="33"/>
      <c r="O780" s="33"/>
      <c r="P780" s="33"/>
      <c r="Q780" s="33"/>
      <c r="R780" s="33"/>
    </row>
    <row r="781">
      <c r="A781" s="33"/>
      <c r="B781" s="33"/>
      <c r="C781" s="33"/>
      <c r="D781" s="33"/>
      <c r="E781" s="33"/>
      <c r="F781" s="33"/>
      <c r="G781" s="33"/>
      <c r="H781" s="33"/>
      <c r="I781" s="33"/>
      <c r="J781" s="33"/>
      <c r="K781" s="33"/>
      <c r="L781" s="33"/>
      <c r="M781" s="33"/>
      <c r="N781" s="33"/>
      <c r="O781" s="33"/>
      <c r="P781" s="33"/>
      <c r="Q781" s="33"/>
      <c r="R781" s="33"/>
    </row>
    <row r="782">
      <c r="A782" s="33"/>
      <c r="B782" s="33"/>
      <c r="C782" s="33"/>
      <c r="D782" s="33"/>
      <c r="E782" s="33"/>
      <c r="F782" s="33"/>
      <c r="G782" s="33"/>
      <c r="H782" s="33"/>
      <c r="I782" s="33"/>
      <c r="J782" s="33"/>
      <c r="K782" s="33"/>
      <c r="L782" s="33"/>
      <c r="M782" s="33"/>
      <c r="N782" s="33"/>
      <c r="O782" s="33"/>
      <c r="P782" s="33"/>
      <c r="Q782" s="33"/>
      <c r="R782" s="33"/>
    </row>
    <row r="783">
      <c r="A783" s="33"/>
      <c r="B783" s="33"/>
      <c r="C783" s="33"/>
      <c r="D783" s="33"/>
      <c r="E783" s="33"/>
      <c r="F783" s="33"/>
      <c r="G783" s="33"/>
      <c r="H783" s="33"/>
      <c r="I783" s="33"/>
      <c r="J783" s="33"/>
      <c r="K783" s="33"/>
      <c r="L783" s="33"/>
      <c r="M783" s="33"/>
      <c r="N783" s="33"/>
      <c r="O783" s="33"/>
      <c r="P783" s="33"/>
      <c r="Q783" s="33"/>
      <c r="R783" s="33"/>
    </row>
    <row r="784">
      <c r="A784" s="33"/>
      <c r="B784" s="33"/>
      <c r="C784" s="33"/>
      <c r="D784" s="33"/>
      <c r="E784" s="33"/>
      <c r="F784" s="33"/>
      <c r="G784" s="33"/>
      <c r="H784" s="33"/>
      <c r="I784" s="33"/>
      <c r="J784" s="33"/>
      <c r="K784" s="33"/>
      <c r="L784" s="33"/>
      <c r="M784" s="33"/>
      <c r="N784" s="33"/>
      <c r="O784" s="33"/>
      <c r="P784" s="33"/>
      <c r="Q784" s="33"/>
      <c r="R784" s="33"/>
    </row>
    <row r="785">
      <c r="A785" s="33"/>
      <c r="B785" s="33"/>
      <c r="C785" s="33"/>
      <c r="D785" s="33"/>
      <c r="E785" s="33"/>
      <c r="F785" s="33"/>
      <c r="G785" s="33"/>
      <c r="H785" s="33"/>
      <c r="I785" s="33"/>
      <c r="J785" s="33"/>
      <c r="K785" s="33"/>
      <c r="L785" s="33"/>
      <c r="M785" s="33"/>
      <c r="N785" s="33"/>
      <c r="O785" s="33"/>
      <c r="P785" s="33"/>
      <c r="Q785" s="33"/>
      <c r="R785" s="33"/>
    </row>
    <row r="786">
      <c r="A786" s="33"/>
      <c r="B786" s="33"/>
      <c r="C786" s="33"/>
      <c r="D786" s="33"/>
      <c r="E786" s="33"/>
      <c r="F786" s="33"/>
      <c r="G786" s="33"/>
      <c r="H786" s="33"/>
      <c r="I786" s="33"/>
      <c r="J786" s="33"/>
      <c r="K786" s="33"/>
      <c r="L786" s="33"/>
      <c r="M786" s="33"/>
      <c r="N786" s="33"/>
      <c r="O786" s="33"/>
      <c r="P786" s="33"/>
      <c r="Q786" s="33"/>
      <c r="R786" s="33"/>
    </row>
    <row r="787">
      <c r="A787" s="33"/>
      <c r="B787" s="33"/>
      <c r="C787" s="33"/>
      <c r="D787" s="33"/>
      <c r="E787" s="33"/>
      <c r="F787" s="33"/>
      <c r="G787" s="33"/>
      <c r="H787" s="33"/>
      <c r="I787" s="33"/>
      <c r="J787" s="33"/>
      <c r="K787" s="33"/>
      <c r="L787" s="33"/>
      <c r="M787" s="33"/>
      <c r="N787" s="33"/>
      <c r="O787" s="33"/>
      <c r="P787" s="33"/>
      <c r="Q787" s="33"/>
      <c r="R787" s="33"/>
    </row>
    <row r="788">
      <c r="A788" s="33"/>
      <c r="B788" s="33"/>
      <c r="C788" s="33"/>
      <c r="D788" s="33"/>
      <c r="E788" s="33"/>
      <c r="F788" s="33"/>
      <c r="G788" s="33"/>
      <c r="H788" s="33"/>
      <c r="I788" s="33"/>
      <c r="J788" s="33"/>
      <c r="K788" s="33"/>
      <c r="L788" s="33"/>
      <c r="M788" s="33"/>
      <c r="N788" s="33"/>
      <c r="O788" s="33"/>
      <c r="P788" s="33"/>
      <c r="Q788" s="33"/>
      <c r="R788" s="33"/>
    </row>
    <row r="789">
      <c r="A789" s="33"/>
      <c r="B789" s="33"/>
      <c r="C789" s="33"/>
      <c r="D789" s="33"/>
      <c r="E789" s="33"/>
      <c r="F789" s="33"/>
      <c r="G789" s="33"/>
      <c r="H789" s="33"/>
      <c r="I789" s="33"/>
      <c r="J789" s="33"/>
      <c r="K789" s="33"/>
      <c r="L789" s="33"/>
      <c r="M789" s="33"/>
      <c r="N789" s="33"/>
      <c r="O789" s="33"/>
      <c r="P789" s="33"/>
      <c r="Q789" s="33"/>
      <c r="R789" s="33"/>
    </row>
    <row r="790">
      <c r="A790" s="33"/>
      <c r="B790" s="33"/>
      <c r="C790" s="33"/>
      <c r="D790" s="33"/>
      <c r="E790" s="33"/>
      <c r="F790" s="33"/>
      <c r="G790" s="33"/>
      <c r="H790" s="33"/>
      <c r="I790" s="33"/>
      <c r="J790" s="33"/>
      <c r="K790" s="33"/>
      <c r="L790" s="33"/>
      <c r="M790" s="33"/>
      <c r="N790" s="33"/>
      <c r="O790" s="33"/>
      <c r="P790" s="33"/>
      <c r="Q790" s="33"/>
      <c r="R790" s="33"/>
    </row>
    <row r="791">
      <c r="A791" s="33"/>
      <c r="B791" s="33"/>
      <c r="C791" s="33"/>
      <c r="D791" s="33"/>
      <c r="E791" s="33"/>
      <c r="F791" s="33"/>
      <c r="G791" s="33"/>
      <c r="H791" s="33"/>
      <c r="I791" s="33"/>
      <c r="J791" s="33"/>
      <c r="K791" s="33"/>
      <c r="L791" s="33"/>
      <c r="M791" s="33"/>
      <c r="N791" s="33"/>
      <c r="O791" s="33"/>
      <c r="P791" s="33"/>
      <c r="Q791" s="33"/>
      <c r="R791" s="33"/>
    </row>
    <row r="792">
      <c r="A792" s="33"/>
      <c r="B792" s="33"/>
      <c r="C792" s="33"/>
      <c r="D792" s="33"/>
      <c r="E792" s="33"/>
      <c r="F792" s="33"/>
      <c r="G792" s="33"/>
      <c r="H792" s="33"/>
      <c r="I792" s="33"/>
      <c r="J792" s="33"/>
      <c r="K792" s="33"/>
      <c r="L792" s="33"/>
      <c r="M792" s="33"/>
      <c r="N792" s="33"/>
      <c r="O792" s="33"/>
      <c r="P792" s="33"/>
      <c r="Q792" s="33"/>
      <c r="R792" s="33"/>
    </row>
    <row r="793">
      <c r="A793" s="33"/>
      <c r="B793" s="33"/>
      <c r="C793" s="33"/>
      <c r="D793" s="33"/>
      <c r="E793" s="33"/>
      <c r="F793" s="33"/>
      <c r="G793" s="33"/>
      <c r="H793" s="33"/>
      <c r="I793" s="33"/>
      <c r="J793" s="33"/>
      <c r="K793" s="33"/>
      <c r="L793" s="33"/>
      <c r="M793" s="33"/>
      <c r="N793" s="33"/>
      <c r="O793" s="33"/>
      <c r="P793" s="33"/>
      <c r="Q793" s="33"/>
      <c r="R793" s="33"/>
    </row>
    <row r="794">
      <c r="A794" s="33"/>
      <c r="B794" s="33"/>
      <c r="C794" s="33"/>
      <c r="D794" s="33"/>
      <c r="E794" s="33"/>
      <c r="F794" s="33"/>
      <c r="G794" s="33"/>
      <c r="H794" s="33"/>
      <c r="I794" s="33"/>
      <c r="J794" s="33"/>
      <c r="K794" s="33"/>
      <c r="L794" s="33"/>
      <c r="M794" s="33"/>
      <c r="N794" s="33"/>
      <c r="O794" s="33"/>
      <c r="P794" s="33"/>
      <c r="Q794" s="33"/>
      <c r="R794" s="33"/>
    </row>
    <row r="795">
      <c r="A795" s="33"/>
      <c r="B795" s="33"/>
      <c r="C795" s="33"/>
      <c r="D795" s="33"/>
      <c r="E795" s="33"/>
      <c r="F795" s="33"/>
      <c r="G795" s="33"/>
      <c r="H795" s="33"/>
      <c r="I795" s="33"/>
      <c r="J795" s="33"/>
      <c r="K795" s="33"/>
      <c r="L795" s="33"/>
      <c r="M795" s="33"/>
      <c r="N795" s="33"/>
      <c r="O795" s="33"/>
      <c r="P795" s="33"/>
      <c r="Q795" s="33"/>
      <c r="R795" s="33"/>
    </row>
    <row r="796">
      <c r="A796" s="33"/>
      <c r="B796" s="33"/>
      <c r="C796" s="33"/>
      <c r="D796" s="33"/>
      <c r="E796" s="33"/>
      <c r="F796" s="33"/>
      <c r="G796" s="33"/>
      <c r="H796" s="33"/>
      <c r="I796" s="33"/>
      <c r="J796" s="33"/>
      <c r="K796" s="33"/>
      <c r="L796" s="33"/>
      <c r="M796" s="33"/>
      <c r="N796" s="33"/>
      <c r="O796" s="33"/>
      <c r="P796" s="33"/>
      <c r="Q796" s="33"/>
      <c r="R796" s="33"/>
    </row>
    <row r="797">
      <c r="A797" s="33"/>
      <c r="B797" s="33"/>
      <c r="C797" s="33"/>
      <c r="D797" s="33"/>
      <c r="E797" s="33"/>
      <c r="F797" s="33"/>
      <c r="G797" s="33"/>
      <c r="H797" s="33"/>
      <c r="I797" s="33"/>
      <c r="J797" s="33"/>
      <c r="K797" s="33"/>
      <c r="L797" s="33"/>
      <c r="M797" s="33"/>
      <c r="N797" s="33"/>
      <c r="O797" s="33"/>
      <c r="P797" s="33"/>
      <c r="Q797" s="33"/>
      <c r="R797" s="33"/>
    </row>
    <row r="798">
      <c r="A798" s="33"/>
      <c r="B798" s="33"/>
      <c r="C798" s="33"/>
      <c r="D798" s="33"/>
      <c r="E798" s="33"/>
      <c r="F798" s="33"/>
      <c r="G798" s="33"/>
      <c r="H798" s="33"/>
      <c r="I798" s="33"/>
      <c r="J798" s="33"/>
      <c r="K798" s="33"/>
      <c r="L798" s="33"/>
      <c r="M798" s="33"/>
      <c r="N798" s="33"/>
      <c r="O798" s="33"/>
      <c r="P798" s="33"/>
      <c r="Q798" s="33"/>
      <c r="R798" s="33"/>
    </row>
    <row r="799">
      <c r="A799" s="33"/>
      <c r="B799" s="33"/>
      <c r="C799" s="33"/>
      <c r="D799" s="33"/>
      <c r="E799" s="33"/>
      <c r="F799" s="33"/>
      <c r="G799" s="33"/>
      <c r="H799" s="33"/>
      <c r="I799" s="33"/>
      <c r="J799" s="33"/>
      <c r="K799" s="33"/>
      <c r="L799" s="33"/>
      <c r="M799" s="33"/>
      <c r="N799" s="33"/>
      <c r="O799" s="33"/>
      <c r="P799" s="33"/>
      <c r="Q799" s="33"/>
      <c r="R799" s="33"/>
    </row>
    <row r="800">
      <c r="A800" s="33"/>
      <c r="B800" s="33"/>
      <c r="C800" s="33"/>
      <c r="D800" s="33"/>
      <c r="E800" s="33"/>
      <c r="F800" s="33"/>
      <c r="G800" s="33"/>
      <c r="H800" s="33"/>
      <c r="I800" s="33"/>
      <c r="J800" s="33"/>
      <c r="K800" s="33"/>
      <c r="L800" s="33"/>
      <c r="M800" s="33"/>
      <c r="N800" s="33"/>
      <c r="O800" s="33"/>
      <c r="P800" s="33"/>
      <c r="Q800" s="33"/>
      <c r="R800" s="33"/>
    </row>
    <row r="801">
      <c r="A801" s="33"/>
      <c r="B801" s="33"/>
      <c r="C801" s="33"/>
      <c r="D801" s="33"/>
      <c r="E801" s="33"/>
      <c r="F801" s="33"/>
      <c r="G801" s="33"/>
      <c r="H801" s="33"/>
      <c r="I801" s="33"/>
      <c r="J801" s="33"/>
      <c r="K801" s="33"/>
      <c r="L801" s="33"/>
      <c r="M801" s="33"/>
      <c r="N801" s="33"/>
      <c r="O801" s="33"/>
      <c r="P801" s="33"/>
      <c r="Q801" s="33"/>
      <c r="R801" s="33"/>
    </row>
    <row r="802">
      <c r="A802" s="33"/>
      <c r="B802" s="33"/>
      <c r="C802" s="33"/>
      <c r="D802" s="33"/>
      <c r="E802" s="33"/>
      <c r="F802" s="33"/>
      <c r="G802" s="33"/>
      <c r="H802" s="33"/>
      <c r="I802" s="33"/>
      <c r="J802" s="33"/>
      <c r="K802" s="33"/>
      <c r="L802" s="33"/>
      <c r="M802" s="33"/>
      <c r="N802" s="33"/>
      <c r="O802" s="33"/>
      <c r="P802" s="33"/>
      <c r="Q802" s="33"/>
      <c r="R802" s="33"/>
    </row>
    <row r="803">
      <c r="A803" s="33"/>
      <c r="B803" s="33"/>
      <c r="C803" s="33"/>
      <c r="D803" s="33"/>
      <c r="E803" s="33"/>
      <c r="F803" s="33"/>
      <c r="G803" s="33"/>
      <c r="H803" s="33"/>
      <c r="I803" s="33"/>
      <c r="J803" s="33"/>
      <c r="K803" s="33"/>
      <c r="L803" s="33"/>
      <c r="M803" s="33"/>
      <c r="N803" s="33"/>
      <c r="O803" s="33"/>
      <c r="P803" s="33"/>
      <c r="Q803" s="33"/>
      <c r="R803" s="33"/>
    </row>
    <row r="804">
      <c r="A804" s="33"/>
      <c r="B804" s="33"/>
      <c r="C804" s="33"/>
      <c r="D804" s="33"/>
      <c r="E804" s="33"/>
      <c r="F804" s="33"/>
      <c r="G804" s="33"/>
      <c r="H804" s="33"/>
      <c r="I804" s="33"/>
      <c r="J804" s="33"/>
      <c r="K804" s="33"/>
      <c r="L804" s="33"/>
      <c r="M804" s="33"/>
      <c r="N804" s="33"/>
      <c r="O804" s="33"/>
      <c r="P804" s="33"/>
      <c r="Q804" s="33"/>
      <c r="R804" s="33"/>
    </row>
    <row r="805">
      <c r="A805" s="33"/>
      <c r="B805" s="33"/>
      <c r="C805" s="33"/>
      <c r="D805" s="33"/>
      <c r="E805" s="33"/>
      <c r="F805" s="33"/>
      <c r="G805" s="33"/>
      <c r="H805" s="33"/>
      <c r="I805" s="33"/>
      <c r="J805" s="33"/>
      <c r="K805" s="33"/>
      <c r="L805" s="33"/>
      <c r="M805" s="33"/>
      <c r="N805" s="33"/>
      <c r="O805" s="33"/>
      <c r="P805" s="33"/>
      <c r="Q805" s="33"/>
      <c r="R805" s="33"/>
    </row>
    <row r="806">
      <c r="A806" s="33"/>
      <c r="B806" s="33"/>
      <c r="C806" s="33"/>
      <c r="D806" s="33"/>
      <c r="E806" s="33"/>
      <c r="F806" s="33"/>
      <c r="G806" s="33"/>
      <c r="H806" s="33"/>
      <c r="I806" s="33"/>
      <c r="J806" s="33"/>
      <c r="K806" s="33"/>
      <c r="L806" s="33"/>
      <c r="M806" s="33"/>
      <c r="N806" s="33"/>
      <c r="O806" s="33"/>
      <c r="P806" s="33"/>
      <c r="Q806" s="33"/>
      <c r="R806" s="33"/>
    </row>
    <row r="807">
      <c r="A807" s="33"/>
      <c r="B807" s="33"/>
      <c r="C807" s="33"/>
      <c r="D807" s="33"/>
      <c r="E807" s="33"/>
      <c r="F807" s="33"/>
      <c r="G807" s="33"/>
      <c r="H807" s="33"/>
      <c r="I807" s="33"/>
      <c r="J807" s="33"/>
      <c r="K807" s="33"/>
      <c r="L807" s="33"/>
      <c r="M807" s="33"/>
      <c r="N807" s="33"/>
      <c r="O807" s="33"/>
      <c r="P807" s="33"/>
      <c r="Q807" s="33"/>
      <c r="R807" s="33"/>
    </row>
    <row r="808">
      <c r="A808" s="33"/>
      <c r="B808" s="33"/>
      <c r="C808" s="33"/>
      <c r="D808" s="33"/>
      <c r="E808" s="33"/>
      <c r="F808" s="33"/>
      <c r="G808" s="33"/>
      <c r="H808" s="33"/>
      <c r="I808" s="33"/>
      <c r="J808" s="33"/>
      <c r="K808" s="33"/>
      <c r="L808" s="33"/>
      <c r="M808" s="33"/>
      <c r="N808" s="33"/>
      <c r="O808" s="33"/>
      <c r="P808" s="33"/>
      <c r="Q808" s="33"/>
      <c r="R808" s="33"/>
    </row>
    <row r="809">
      <c r="A809" s="33"/>
      <c r="B809" s="33"/>
      <c r="C809" s="33"/>
      <c r="D809" s="33"/>
      <c r="E809" s="33"/>
      <c r="F809" s="33"/>
      <c r="G809" s="33"/>
      <c r="H809" s="33"/>
      <c r="I809" s="33"/>
      <c r="J809" s="33"/>
      <c r="K809" s="33"/>
      <c r="L809" s="33"/>
      <c r="M809" s="33"/>
      <c r="N809" s="33"/>
      <c r="O809" s="33"/>
      <c r="P809" s="33"/>
      <c r="Q809" s="33"/>
      <c r="R809" s="33"/>
    </row>
    <row r="810">
      <c r="A810" s="33"/>
      <c r="B810" s="33"/>
      <c r="C810" s="33"/>
      <c r="D810" s="33"/>
      <c r="E810" s="33"/>
      <c r="F810" s="33"/>
      <c r="G810" s="33"/>
      <c r="H810" s="33"/>
      <c r="I810" s="33"/>
      <c r="J810" s="33"/>
      <c r="K810" s="33"/>
      <c r="L810" s="33"/>
      <c r="M810" s="33"/>
      <c r="N810" s="33"/>
      <c r="O810" s="33"/>
      <c r="P810" s="33"/>
      <c r="Q810" s="33"/>
      <c r="R810" s="33"/>
    </row>
    <row r="811">
      <c r="A811" s="33"/>
      <c r="B811" s="33"/>
      <c r="C811" s="33"/>
      <c r="D811" s="33"/>
      <c r="E811" s="33"/>
      <c r="F811" s="33"/>
      <c r="G811" s="33"/>
      <c r="H811" s="33"/>
      <c r="I811" s="33"/>
      <c r="J811" s="33"/>
      <c r="K811" s="33"/>
      <c r="L811" s="33"/>
      <c r="M811" s="33"/>
      <c r="N811" s="33"/>
      <c r="O811" s="33"/>
      <c r="P811" s="33"/>
      <c r="Q811" s="33"/>
      <c r="R811" s="33"/>
    </row>
    <row r="812">
      <c r="A812" s="33"/>
      <c r="B812" s="33"/>
      <c r="C812" s="33"/>
      <c r="D812" s="33"/>
      <c r="E812" s="33"/>
      <c r="F812" s="33"/>
      <c r="G812" s="33"/>
      <c r="H812" s="33"/>
      <c r="I812" s="33"/>
      <c r="J812" s="33"/>
      <c r="K812" s="33"/>
      <c r="L812" s="33"/>
      <c r="M812" s="33"/>
      <c r="N812" s="33"/>
      <c r="O812" s="33"/>
      <c r="P812" s="33"/>
      <c r="Q812" s="33"/>
      <c r="R812" s="33"/>
    </row>
    <row r="813">
      <c r="A813" s="33"/>
      <c r="B813" s="33"/>
      <c r="C813" s="33"/>
      <c r="D813" s="33"/>
      <c r="E813" s="33"/>
      <c r="F813" s="33"/>
      <c r="G813" s="33"/>
      <c r="H813" s="33"/>
      <c r="I813" s="33"/>
      <c r="J813" s="33"/>
      <c r="K813" s="33"/>
      <c r="L813" s="33"/>
      <c r="M813" s="33"/>
      <c r="N813" s="33"/>
      <c r="O813" s="33"/>
      <c r="P813" s="33"/>
      <c r="Q813" s="33"/>
      <c r="R813" s="33"/>
    </row>
    <row r="814">
      <c r="A814" s="33"/>
      <c r="B814" s="33"/>
      <c r="C814" s="33"/>
      <c r="D814" s="33"/>
      <c r="E814" s="33"/>
      <c r="F814" s="33"/>
      <c r="G814" s="33"/>
      <c r="H814" s="33"/>
      <c r="I814" s="33"/>
      <c r="J814" s="33"/>
      <c r="K814" s="33"/>
      <c r="L814" s="33"/>
      <c r="M814" s="33"/>
      <c r="N814" s="33"/>
      <c r="O814" s="33"/>
      <c r="P814" s="33"/>
      <c r="Q814" s="33"/>
      <c r="R814" s="33"/>
    </row>
    <row r="815">
      <c r="A815" s="33"/>
      <c r="B815" s="33"/>
      <c r="C815" s="33"/>
      <c r="D815" s="33"/>
      <c r="E815" s="33"/>
      <c r="F815" s="33"/>
      <c r="G815" s="33"/>
      <c r="H815" s="33"/>
      <c r="I815" s="33"/>
      <c r="J815" s="33"/>
      <c r="K815" s="33"/>
      <c r="L815" s="33"/>
      <c r="M815" s="33"/>
      <c r="N815" s="33"/>
      <c r="O815" s="33"/>
      <c r="P815" s="33"/>
      <c r="Q815" s="33"/>
      <c r="R815" s="33"/>
    </row>
    <row r="816">
      <c r="A816" s="33"/>
      <c r="B816" s="33"/>
      <c r="C816" s="33"/>
      <c r="D816" s="33"/>
      <c r="E816" s="33"/>
      <c r="F816" s="33"/>
      <c r="G816" s="33"/>
      <c r="H816" s="33"/>
      <c r="I816" s="33"/>
      <c r="J816" s="33"/>
      <c r="K816" s="33"/>
      <c r="L816" s="33"/>
      <c r="M816" s="33"/>
      <c r="N816" s="33"/>
      <c r="O816" s="33"/>
      <c r="P816" s="33"/>
      <c r="Q816" s="33"/>
      <c r="R816" s="33"/>
    </row>
    <row r="817">
      <c r="A817" s="33"/>
      <c r="B817" s="33"/>
      <c r="C817" s="33"/>
      <c r="D817" s="33"/>
      <c r="E817" s="33"/>
      <c r="F817" s="33"/>
      <c r="G817" s="33"/>
      <c r="H817" s="33"/>
      <c r="I817" s="33"/>
      <c r="J817" s="33"/>
      <c r="K817" s="33"/>
      <c r="L817" s="33"/>
      <c r="M817" s="33"/>
      <c r="N817" s="33"/>
      <c r="O817" s="33"/>
      <c r="P817" s="33"/>
      <c r="Q817" s="33"/>
      <c r="R817" s="33"/>
    </row>
    <row r="818">
      <c r="A818" s="33"/>
      <c r="B818" s="33"/>
      <c r="C818" s="33"/>
      <c r="D818" s="33"/>
      <c r="E818" s="33"/>
      <c r="F818" s="33"/>
      <c r="G818" s="33"/>
      <c r="H818" s="33"/>
      <c r="I818" s="33"/>
      <c r="J818" s="33"/>
      <c r="K818" s="33"/>
      <c r="L818" s="33"/>
      <c r="M818" s="33"/>
      <c r="N818" s="33"/>
      <c r="O818" s="33"/>
      <c r="P818" s="33"/>
      <c r="Q818" s="33"/>
      <c r="R818" s="33"/>
    </row>
    <row r="819">
      <c r="A819" s="33"/>
      <c r="B819" s="33"/>
      <c r="C819" s="33"/>
      <c r="D819" s="33"/>
      <c r="E819" s="33"/>
      <c r="F819" s="33"/>
      <c r="G819" s="33"/>
      <c r="H819" s="33"/>
      <c r="I819" s="33"/>
      <c r="J819" s="33"/>
      <c r="K819" s="33"/>
      <c r="L819" s="33"/>
      <c r="M819" s="33"/>
      <c r="N819" s="33"/>
      <c r="O819" s="33"/>
      <c r="P819" s="33"/>
      <c r="Q819" s="33"/>
      <c r="R819" s="33"/>
    </row>
    <row r="820">
      <c r="A820" s="33"/>
      <c r="B820" s="33"/>
      <c r="C820" s="33"/>
      <c r="D820" s="33"/>
      <c r="E820" s="33"/>
      <c r="F820" s="33"/>
      <c r="G820" s="33"/>
      <c r="H820" s="33"/>
      <c r="I820" s="33"/>
      <c r="J820" s="33"/>
      <c r="K820" s="33"/>
      <c r="L820" s="33"/>
      <c r="M820" s="33"/>
      <c r="N820" s="33"/>
      <c r="O820" s="33"/>
      <c r="P820" s="33"/>
      <c r="Q820" s="33"/>
      <c r="R820" s="33"/>
    </row>
    <row r="821">
      <c r="A821" s="33"/>
      <c r="B821" s="33"/>
      <c r="C821" s="33"/>
      <c r="D821" s="33"/>
      <c r="E821" s="33"/>
      <c r="F821" s="33"/>
      <c r="G821" s="33"/>
      <c r="H821" s="33"/>
      <c r="I821" s="33"/>
      <c r="J821" s="33"/>
      <c r="K821" s="33"/>
      <c r="L821" s="33"/>
      <c r="M821" s="33"/>
      <c r="N821" s="33"/>
      <c r="O821" s="33"/>
      <c r="P821" s="33"/>
      <c r="Q821" s="33"/>
      <c r="R821" s="33"/>
    </row>
    <row r="822">
      <c r="A822" s="33"/>
      <c r="B822" s="33"/>
      <c r="C822" s="33"/>
      <c r="D822" s="33"/>
      <c r="E822" s="33"/>
      <c r="F822" s="33"/>
      <c r="G822" s="33"/>
      <c r="H822" s="33"/>
      <c r="I822" s="33"/>
      <c r="J822" s="33"/>
      <c r="K822" s="33"/>
      <c r="L822" s="33"/>
      <c r="M822" s="33"/>
      <c r="N822" s="33"/>
      <c r="O822" s="33"/>
      <c r="P822" s="33"/>
      <c r="Q822" s="33"/>
      <c r="R822" s="33"/>
    </row>
    <row r="823">
      <c r="A823" s="33"/>
      <c r="B823" s="33"/>
      <c r="C823" s="33"/>
      <c r="D823" s="33"/>
      <c r="E823" s="33"/>
      <c r="F823" s="33"/>
      <c r="G823" s="33"/>
      <c r="H823" s="33"/>
      <c r="I823" s="33"/>
      <c r="J823" s="33"/>
      <c r="K823" s="33"/>
      <c r="L823" s="33"/>
      <c r="M823" s="33"/>
      <c r="N823" s="33"/>
      <c r="O823" s="33"/>
      <c r="P823" s="33"/>
      <c r="Q823" s="33"/>
      <c r="R823" s="33"/>
    </row>
    <row r="824">
      <c r="A824" s="33"/>
      <c r="B824" s="33"/>
      <c r="C824" s="33"/>
      <c r="D824" s="33"/>
      <c r="E824" s="33"/>
      <c r="F824" s="33"/>
      <c r="G824" s="33"/>
      <c r="H824" s="33"/>
      <c r="I824" s="33"/>
      <c r="J824" s="33"/>
      <c r="K824" s="33"/>
      <c r="L824" s="33"/>
      <c r="M824" s="33"/>
      <c r="N824" s="33"/>
      <c r="O824" s="33"/>
      <c r="P824" s="33"/>
      <c r="Q824" s="33"/>
      <c r="R824" s="33"/>
    </row>
    <row r="825">
      <c r="A825" s="33"/>
      <c r="B825" s="33"/>
      <c r="C825" s="33"/>
      <c r="D825" s="33"/>
      <c r="E825" s="33"/>
      <c r="F825" s="33"/>
      <c r="G825" s="33"/>
      <c r="H825" s="33"/>
      <c r="I825" s="33"/>
      <c r="J825" s="33"/>
      <c r="K825" s="33"/>
      <c r="L825" s="33"/>
      <c r="M825" s="33"/>
      <c r="N825" s="33"/>
      <c r="O825" s="33"/>
      <c r="P825" s="33"/>
      <c r="Q825" s="33"/>
      <c r="R825" s="33"/>
    </row>
    <row r="826">
      <c r="A826" s="33"/>
      <c r="B826" s="33"/>
      <c r="C826" s="33"/>
      <c r="D826" s="33"/>
      <c r="E826" s="33"/>
      <c r="F826" s="33"/>
      <c r="G826" s="33"/>
      <c r="H826" s="33"/>
      <c r="I826" s="33"/>
      <c r="J826" s="33"/>
      <c r="K826" s="33"/>
      <c r="L826" s="33"/>
      <c r="M826" s="33"/>
      <c r="N826" s="33"/>
      <c r="O826" s="33"/>
      <c r="P826" s="33"/>
      <c r="Q826" s="33"/>
      <c r="R826" s="33"/>
    </row>
    <row r="827">
      <c r="A827" s="33"/>
      <c r="B827" s="33"/>
      <c r="C827" s="33"/>
      <c r="D827" s="33"/>
      <c r="E827" s="33"/>
      <c r="F827" s="33"/>
      <c r="G827" s="33"/>
      <c r="H827" s="33"/>
      <c r="I827" s="33"/>
      <c r="J827" s="33"/>
      <c r="K827" s="33"/>
      <c r="L827" s="33"/>
      <c r="M827" s="33"/>
      <c r="N827" s="33"/>
      <c r="O827" s="33"/>
      <c r="P827" s="33"/>
      <c r="Q827" s="33"/>
      <c r="R827" s="33"/>
    </row>
    <row r="828">
      <c r="A828" s="33"/>
      <c r="B828" s="33"/>
      <c r="C828" s="33"/>
      <c r="D828" s="33"/>
      <c r="E828" s="33"/>
      <c r="F828" s="33"/>
      <c r="G828" s="33"/>
      <c r="H828" s="33"/>
      <c r="I828" s="33"/>
      <c r="J828" s="33"/>
      <c r="K828" s="33"/>
      <c r="L828" s="33"/>
      <c r="M828" s="33"/>
      <c r="N828" s="33"/>
      <c r="O828" s="33"/>
      <c r="P828" s="33"/>
      <c r="Q828" s="33"/>
      <c r="R828" s="33"/>
    </row>
    <row r="829">
      <c r="A829" s="33"/>
      <c r="B829" s="33"/>
      <c r="C829" s="33"/>
      <c r="D829" s="33"/>
      <c r="E829" s="33"/>
      <c r="F829" s="33"/>
      <c r="G829" s="33"/>
      <c r="H829" s="33"/>
      <c r="I829" s="33"/>
      <c r="J829" s="33"/>
      <c r="K829" s="33"/>
      <c r="L829" s="33"/>
      <c r="M829" s="33"/>
      <c r="N829" s="33"/>
      <c r="O829" s="33"/>
      <c r="P829" s="33"/>
      <c r="Q829" s="33"/>
      <c r="R829" s="33"/>
    </row>
    <row r="830">
      <c r="A830" s="33"/>
      <c r="B830" s="33"/>
      <c r="C830" s="33"/>
      <c r="D830" s="33"/>
      <c r="E830" s="33"/>
      <c r="F830" s="33"/>
      <c r="G830" s="33"/>
      <c r="H830" s="33"/>
      <c r="I830" s="33"/>
      <c r="J830" s="33"/>
      <c r="K830" s="33"/>
      <c r="L830" s="33"/>
      <c r="M830" s="33"/>
      <c r="N830" s="33"/>
      <c r="O830" s="33"/>
      <c r="P830" s="33"/>
      <c r="Q830" s="33"/>
      <c r="R830" s="33"/>
    </row>
    <row r="831">
      <c r="A831" s="33"/>
      <c r="B831" s="33"/>
      <c r="C831" s="33"/>
      <c r="D831" s="33"/>
      <c r="E831" s="33"/>
      <c r="F831" s="33"/>
      <c r="G831" s="33"/>
      <c r="H831" s="33"/>
      <c r="I831" s="33"/>
      <c r="J831" s="33"/>
      <c r="K831" s="33"/>
      <c r="L831" s="33"/>
      <c r="M831" s="33"/>
      <c r="N831" s="33"/>
      <c r="O831" s="33"/>
      <c r="P831" s="33"/>
      <c r="Q831" s="33"/>
      <c r="R831" s="33"/>
    </row>
    <row r="832">
      <c r="A832" s="33"/>
      <c r="B832" s="33"/>
      <c r="C832" s="33"/>
      <c r="D832" s="33"/>
      <c r="E832" s="33"/>
      <c r="F832" s="33"/>
      <c r="G832" s="33"/>
      <c r="H832" s="33"/>
      <c r="I832" s="33"/>
      <c r="J832" s="33"/>
      <c r="K832" s="33"/>
      <c r="L832" s="33"/>
      <c r="M832" s="33"/>
      <c r="N832" s="33"/>
      <c r="O832" s="33"/>
      <c r="P832" s="33"/>
      <c r="Q832" s="33"/>
      <c r="R832" s="33"/>
    </row>
    <row r="833">
      <c r="A833" s="33"/>
      <c r="B833" s="33"/>
      <c r="C833" s="33"/>
      <c r="D833" s="33"/>
      <c r="E833" s="33"/>
      <c r="F833" s="33"/>
      <c r="G833" s="33"/>
      <c r="H833" s="33"/>
      <c r="I833" s="33"/>
      <c r="J833" s="33"/>
      <c r="K833" s="33"/>
      <c r="L833" s="33"/>
      <c r="M833" s="33"/>
      <c r="N833" s="33"/>
      <c r="O833" s="33"/>
      <c r="P833" s="33"/>
      <c r="Q833" s="33"/>
      <c r="R833" s="33"/>
    </row>
    <row r="834">
      <c r="A834" s="33"/>
      <c r="B834" s="33"/>
      <c r="C834" s="33"/>
      <c r="D834" s="33"/>
      <c r="E834" s="33"/>
      <c r="F834" s="33"/>
      <c r="G834" s="33"/>
      <c r="H834" s="33"/>
      <c r="I834" s="33"/>
      <c r="J834" s="33"/>
      <c r="K834" s="33"/>
      <c r="L834" s="33"/>
      <c r="M834" s="33"/>
      <c r="N834" s="33"/>
      <c r="O834" s="33"/>
      <c r="P834" s="33"/>
      <c r="Q834" s="33"/>
      <c r="R834" s="33"/>
    </row>
    <row r="835">
      <c r="A835" s="33"/>
      <c r="B835" s="33"/>
      <c r="C835" s="33"/>
      <c r="D835" s="33"/>
      <c r="E835" s="33"/>
      <c r="F835" s="33"/>
      <c r="G835" s="33"/>
      <c r="H835" s="33"/>
      <c r="I835" s="33"/>
      <c r="J835" s="33"/>
      <c r="K835" s="33"/>
      <c r="L835" s="33"/>
      <c r="M835" s="33"/>
      <c r="N835" s="33"/>
      <c r="O835" s="33"/>
      <c r="P835" s="33"/>
      <c r="Q835" s="33"/>
      <c r="R835" s="33"/>
    </row>
    <row r="836">
      <c r="A836" s="33"/>
      <c r="B836" s="33"/>
      <c r="C836" s="33"/>
      <c r="D836" s="33"/>
      <c r="E836" s="33"/>
      <c r="F836" s="33"/>
      <c r="G836" s="33"/>
      <c r="H836" s="33"/>
      <c r="I836" s="33"/>
      <c r="J836" s="33"/>
      <c r="K836" s="33"/>
      <c r="L836" s="33"/>
      <c r="M836" s="33"/>
      <c r="N836" s="33"/>
      <c r="O836" s="33"/>
      <c r="P836" s="33"/>
      <c r="Q836" s="33"/>
      <c r="R836" s="33"/>
    </row>
    <row r="837">
      <c r="A837" s="33"/>
      <c r="B837" s="33"/>
      <c r="C837" s="33"/>
      <c r="D837" s="33"/>
      <c r="E837" s="33"/>
      <c r="F837" s="33"/>
      <c r="G837" s="33"/>
      <c r="H837" s="33"/>
      <c r="I837" s="33"/>
      <c r="J837" s="33"/>
      <c r="K837" s="33"/>
      <c r="L837" s="33"/>
      <c r="M837" s="33"/>
      <c r="N837" s="33"/>
      <c r="O837" s="33"/>
      <c r="P837" s="33"/>
      <c r="Q837" s="33"/>
      <c r="R837" s="33"/>
    </row>
    <row r="838">
      <c r="A838" s="33"/>
      <c r="B838" s="33"/>
      <c r="C838" s="33"/>
      <c r="D838" s="33"/>
      <c r="E838" s="33"/>
      <c r="F838" s="33"/>
      <c r="G838" s="33"/>
      <c r="H838" s="33"/>
      <c r="I838" s="33"/>
      <c r="J838" s="33"/>
      <c r="K838" s="33"/>
      <c r="L838" s="33"/>
      <c r="M838" s="33"/>
      <c r="N838" s="33"/>
      <c r="O838" s="33"/>
      <c r="P838" s="33"/>
      <c r="Q838" s="33"/>
      <c r="R838" s="33"/>
    </row>
    <row r="839">
      <c r="A839" s="33"/>
      <c r="B839" s="33"/>
      <c r="C839" s="33"/>
      <c r="D839" s="33"/>
      <c r="E839" s="33"/>
      <c r="F839" s="33"/>
      <c r="G839" s="33"/>
      <c r="H839" s="33"/>
      <c r="I839" s="33"/>
      <c r="J839" s="33"/>
      <c r="K839" s="33"/>
      <c r="L839" s="33"/>
      <c r="M839" s="33"/>
      <c r="N839" s="33"/>
      <c r="O839" s="33"/>
      <c r="P839" s="33"/>
      <c r="Q839" s="33"/>
      <c r="R839" s="33"/>
    </row>
    <row r="840">
      <c r="A840" s="33"/>
      <c r="B840" s="33"/>
      <c r="C840" s="33"/>
      <c r="D840" s="33"/>
      <c r="E840" s="33"/>
      <c r="F840" s="33"/>
      <c r="G840" s="33"/>
      <c r="H840" s="33"/>
      <c r="I840" s="33"/>
      <c r="J840" s="33"/>
      <c r="K840" s="33"/>
      <c r="L840" s="33"/>
      <c r="M840" s="33"/>
      <c r="N840" s="33"/>
      <c r="O840" s="33"/>
      <c r="P840" s="33"/>
      <c r="Q840" s="33"/>
      <c r="R840" s="33"/>
    </row>
    <row r="841">
      <c r="A841" s="33"/>
      <c r="B841" s="33"/>
      <c r="C841" s="33"/>
      <c r="D841" s="33"/>
      <c r="E841" s="33"/>
      <c r="F841" s="33"/>
      <c r="G841" s="33"/>
      <c r="H841" s="33"/>
      <c r="I841" s="33"/>
      <c r="J841" s="33"/>
      <c r="K841" s="33"/>
      <c r="L841" s="33"/>
      <c r="M841" s="33"/>
      <c r="N841" s="33"/>
      <c r="O841" s="33"/>
      <c r="P841" s="33"/>
      <c r="Q841" s="33"/>
      <c r="R841" s="33"/>
    </row>
    <row r="842">
      <c r="A842" s="33"/>
      <c r="B842" s="33"/>
      <c r="C842" s="33"/>
      <c r="D842" s="33"/>
      <c r="E842" s="33"/>
      <c r="F842" s="33"/>
      <c r="G842" s="33"/>
      <c r="H842" s="33"/>
      <c r="I842" s="33"/>
      <c r="J842" s="33"/>
      <c r="K842" s="33"/>
      <c r="L842" s="33"/>
      <c r="M842" s="33"/>
      <c r="N842" s="33"/>
      <c r="O842" s="33"/>
      <c r="P842" s="33"/>
      <c r="Q842" s="33"/>
      <c r="R842" s="33"/>
    </row>
    <row r="843">
      <c r="A843" s="33"/>
      <c r="B843" s="33"/>
      <c r="C843" s="33"/>
      <c r="D843" s="33"/>
      <c r="E843" s="33"/>
      <c r="F843" s="33"/>
      <c r="G843" s="33"/>
      <c r="H843" s="33"/>
      <c r="I843" s="33"/>
      <c r="J843" s="33"/>
      <c r="K843" s="33"/>
      <c r="L843" s="33"/>
      <c r="M843" s="33"/>
      <c r="N843" s="33"/>
      <c r="O843" s="33"/>
      <c r="P843" s="33"/>
      <c r="Q843" s="33"/>
      <c r="R843" s="33"/>
    </row>
    <row r="844">
      <c r="A844" s="33"/>
      <c r="B844" s="33"/>
      <c r="C844" s="33"/>
      <c r="D844" s="33"/>
      <c r="E844" s="33"/>
      <c r="F844" s="33"/>
      <c r="G844" s="33"/>
      <c r="H844" s="33"/>
      <c r="I844" s="33"/>
      <c r="J844" s="33"/>
      <c r="K844" s="33"/>
      <c r="L844" s="33"/>
      <c r="M844" s="33"/>
      <c r="N844" s="33"/>
      <c r="O844" s="33"/>
      <c r="P844" s="33"/>
      <c r="Q844" s="33"/>
      <c r="R844" s="33"/>
    </row>
    <row r="845">
      <c r="A845" s="33"/>
      <c r="B845" s="33"/>
      <c r="C845" s="33"/>
      <c r="D845" s="33"/>
      <c r="E845" s="33"/>
      <c r="F845" s="33"/>
      <c r="G845" s="33"/>
      <c r="H845" s="33"/>
      <c r="I845" s="33"/>
      <c r="J845" s="33"/>
      <c r="K845" s="33"/>
      <c r="L845" s="33"/>
      <c r="M845" s="33"/>
      <c r="N845" s="33"/>
      <c r="O845" s="33"/>
      <c r="P845" s="33"/>
      <c r="Q845" s="33"/>
      <c r="R845" s="33"/>
    </row>
    <row r="846">
      <c r="A846" s="33"/>
      <c r="B846" s="33"/>
      <c r="C846" s="33"/>
      <c r="D846" s="33"/>
      <c r="E846" s="33"/>
      <c r="F846" s="33"/>
      <c r="G846" s="33"/>
      <c r="H846" s="33"/>
      <c r="I846" s="33"/>
      <c r="J846" s="33"/>
      <c r="K846" s="33"/>
      <c r="L846" s="33"/>
      <c r="M846" s="33"/>
      <c r="N846" s="33"/>
      <c r="O846" s="33"/>
      <c r="P846" s="33"/>
      <c r="Q846" s="33"/>
      <c r="R846" s="33"/>
    </row>
    <row r="847">
      <c r="A847" s="33"/>
      <c r="B847" s="33"/>
      <c r="C847" s="33"/>
      <c r="D847" s="33"/>
      <c r="E847" s="33"/>
      <c r="F847" s="33"/>
      <c r="G847" s="33"/>
      <c r="H847" s="33"/>
      <c r="I847" s="33"/>
      <c r="J847" s="33"/>
      <c r="K847" s="33"/>
      <c r="L847" s="33"/>
      <c r="M847" s="33"/>
      <c r="N847" s="33"/>
      <c r="O847" s="33"/>
      <c r="P847" s="33"/>
      <c r="Q847" s="33"/>
      <c r="R847" s="33"/>
    </row>
    <row r="848">
      <c r="A848" s="33"/>
      <c r="B848" s="33"/>
      <c r="C848" s="33"/>
      <c r="D848" s="33"/>
      <c r="E848" s="33"/>
      <c r="F848" s="33"/>
      <c r="G848" s="33"/>
      <c r="H848" s="33"/>
      <c r="I848" s="33"/>
      <c r="J848" s="33"/>
      <c r="K848" s="33"/>
      <c r="L848" s="33"/>
      <c r="M848" s="33"/>
      <c r="N848" s="33"/>
      <c r="O848" s="33"/>
      <c r="P848" s="33"/>
      <c r="Q848" s="33"/>
      <c r="R848" s="33"/>
    </row>
    <row r="849">
      <c r="A849" s="33"/>
      <c r="B849" s="33"/>
      <c r="C849" s="33"/>
      <c r="D849" s="33"/>
      <c r="E849" s="33"/>
      <c r="F849" s="33"/>
      <c r="G849" s="33"/>
      <c r="H849" s="33"/>
      <c r="I849" s="33"/>
      <c r="J849" s="33"/>
      <c r="K849" s="33"/>
      <c r="L849" s="33"/>
      <c r="M849" s="33"/>
      <c r="N849" s="33"/>
      <c r="O849" s="33"/>
      <c r="P849" s="33"/>
      <c r="Q849" s="33"/>
      <c r="R849" s="33"/>
    </row>
    <row r="850">
      <c r="A850" s="33"/>
      <c r="B850" s="33"/>
      <c r="C850" s="33"/>
      <c r="D850" s="33"/>
      <c r="E850" s="33"/>
      <c r="F850" s="33"/>
      <c r="G850" s="33"/>
      <c r="H850" s="33"/>
      <c r="I850" s="33"/>
      <c r="J850" s="33"/>
      <c r="K850" s="33"/>
      <c r="L850" s="33"/>
      <c r="M850" s="33"/>
      <c r="N850" s="33"/>
      <c r="O850" s="33"/>
      <c r="P850" s="33"/>
      <c r="Q850" s="33"/>
      <c r="R850" s="33"/>
    </row>
    <row r="851">
      <c r="A851" s="33"/>
      <c r="B851" s="33"/>
      <c r="C851" s="33"/>
      <c r="D851" s="33"/>
      <c r="E851" s="33"/>
      <c r="F851" s="33"/>
      <c r="G851" s="33"/>
      <c r="H851" s="33"/>
      <c r="I851" s="33"/>
      <c r="J851" s="33"/>
      <c r="K851" s="33"/>
      <c r="L851" s="33"/>
      <c r="M851" s="33"/>
      <c r="N851" s="33"/>
      <c r="O851" s="33"/>
      <c r="P851" s="33"/>
      <c r="Q851" s="33"/>
      <c r="R851" s="33"/>
    </row>
    <row r="852">
      <c r="A852" s="33"/>
      <c r="B852" s="33"/>
      <c r="C852" s="33"/>
      <c r="D852" s="33"/>
      <c r="E852" s="33"/>
      <c r="F852" s="33"/>
      <c r="G852" s="33"/>
      <c r="H852" s="33"/>
      <c r="I852" s="33"/>
      <c r="J852" s="33"/>
      <c r="K852" s="33"/>
      <c r="L852" s="33"/>
      <c r="M852" s="33"/>
      <c r="N852" s="33"/>
      <c r="O852" s="33"/>
      <c r="P852" s="33"/>
      <c r="Q852" s="33"/>
      <c r="R852" s="33"/>
    </row>
    <row r="853">
      <c r="A853" s="33"/>
      <c r="B853" s="33"/>
      <c r="C853" s="33"/>
      <c r="D853" s="33"/>
      <c r="E853" s="33"/>
      <c r="F853" s="33"/>
      <c r="G853" s="33"/>
      <c r="H853" s="33"/>
      <c r="I853" s="33"/>
      <c r="J853" s="33"/>
      <c r="K853" s="33"/>
      <c r="L853" s="33"/>
      <c r="M853" s="33"/>
      <c r="N853" s="33"/>
      <c r="O853" s="33"/>
      <c r="P853" s="33"/>
      <c r="Q853" s="33"/>
      <c r="R853" s="33"/>
    </row>
    <row r="854">
      <c r="A854" s="33"/>
      <c r="B854" s="33"/>
      <c r="C854" s="33"/>
      <c r="D854" s="33"/>
      <c r="E854" s="33"/>
      <c r="F854" s="33"/>
      <c r="G854" s="33"/>
      <c r="H854" s="33"/>
      <c r="I854" s="33"/>
      <c r="J854" s="33"/>
      <c r="K854" s="33"/>
      <c r="L854" s="33"/>
      <c r="M854" s="33"/>
      <c r="N854" s="33"/>
      <c r="O854" s="33"/>
      <c r="P854" s="33"/>
      <c r="Q854" s="33"/>
      <c r="R854" s="33"/>
    </row>
    <row r="855">
      <c r="A855" s="33"/>
      <c r="B855" s="33"/>
      <c r="C855" s="33"/>
      <c r="D855" s="33"/>
      <c r="E855" s="33"/>
      <c r="F855" s="33"/>
      <c r="G855" s="33"/>
      <c r="H855" s="33"/>
      <c r="I855" s="33"/>
      <c r="J855" s="33"/>
      <c r="K855" s="33"/>
      <c r="L855" s="33"/>
      <c r="M855" s="33"/>
      <c r="N855" s="33"/>
      <c r="O855" s="33"/>
      <c r="P855" s="33"/>
      <c r="Q855" s="33"/>
      <c r="R855" s="33"/>
    </row>
    <row r="856">
      <c r="A856" s="33"/>
      <c r="B856" s="33"/>
      <c r="C856" s="33"/>
      <c r="D856" s="33"/>
      <c r="E856" s="33"/>
      <c r="F856" s="33"/>
      <c r="G856" s="33"/>
      <c r="H856" s="33"/>
      <c r="I856" s="33"/>
      <c r="J856" s="33"/>
      <c r="K856" s="33"/>
      <c r="L856" s="33"/>
      <c r="M856" s="33"/>
      <c r="N856" s="33"/>
      <c r="O856" s="33"/>
      <c r="P856" s="33"/>
      <c r="Q856" s="33"/>
      <c r="R856" s="33"/>
    </row>
    <row r="857">
      <c r="A857" s="33"/>
      <c r="B857" s="33"/>
      <c r="C857" s="33"/>
      <c r="D857" s="33"/>
      <c r="E857" s="33"/>
      <c r="F857" s="33"/>
      <c r="G857" s="33"/>
      <c r="H857" s="33"/>
      <c r="I857" s="33"/>
      <c r="J857" s="33"/>
      <c r="K857" s="33"/>
      <c r="L857" s="33"/>
      <c r="M857" s="33"/>
      <c r="N857" s="33"/>
      <c r="O857" s="33"/>
      <c r="P857" s="33"/>
      <c r="Q857" s="33"/>
      <c r="R857" s="33"/>
    </row>
    <row r="858">
      <c r="A858" s="33"/>
      <c r="B858" s="33"/>
      <c r="C858" s="33"/>
      <c r="D858" s="33"/>
      <c r="E858" s="33"/>
      <c r="F858" s="33"/>
      <c r="G858" s="33"/>
      <c r="H858" s="33"/>
      <c r="I858" s="33"/>
      <c r="J858" s="33"/>
      <c r="K858" s="33"/>
      <c r="L858" s="33"/>
      <c r="M858" s="33"/>
      <c r="N858" s="33"/>
      <c r="O858" s="33"/>
      <c r="P858" s="33"/>
      <c r="Q858" s="33"/>
      <c r="R858" s="33"/>
    </row>
    <row r="859">
      <c r="A859" s="33"/>
      <c r="B859" s="33"/>
      <c r="C859" s="33"/>
      <c r="D859" s="33"/>
      <c r="E859" s="33"/>
      <c r="F859" s="33"/>
      <c r="G859" s="33"/>
      <c r="H859" s="33"/>
      <c r="I859" s="33"/>
      <c r="J859" s="33"/>
      <c r="K859" s="33"/>
      <c r="L859" s="33"/>
      <c r="M859" s="33"/>
      <c r="N859" s="33"/>
      <c r="O859" s="33"/>
      <c r="P859" s="33"/>
      <c r="Q859" s="33"/>
      <c r="R859" s="33"/>
    </row>
    <row r="860">
      <c r="A860" s="33"/>
      <c r="B860" s="33"/>
      <c r="C860" s="33"/>
      <c r="D860" s="33"/>
      <c r="E860" s="33"/>
      <c r="F860" s="33"/>
      <c r="G860" s="33"/>
      <c r="H860" s="33"/>
      <c r="I860" s="33"/>
      <c r="J860" s="33"/>
      <c r="K860" s="33"/>
      <c r="L860" s="33"/>
      <c r="M860" s="33"/>
      <c r="N860" s="33"/>
      <c r="O860" s="33"/>
      <c r="P860" s="33"/>
      <c r="Q860" s="33"/>
      <c r="R860" s="33"/>
    </row>
    <row r="861">
      <c r="A861" s="33"/>
      <c r="B861" s="33"/>
      <c r="C861" s="33"/>
      <c r="D861" s="33"/>
      <c r="E861" s="33"/>
      <c r="F861" s="33"/>
      <c r="G861" s="33"/>
      <c r="H861" s="33"/>
      <c r="I861" s="33"/>
      <c r="J861" s="33"/>
      <c r="K861" s="33"/>
      <c r="L861" s="33"/>
      <c r="M861" s="33"/>
      <c r="N861" s="33"/>
      <c r="O861" s="33"/>
      <c r="P861" s="33"/>
      <c r="Q861" s="33"/>
      <c r="R861" s="33"/>
    </row>
    <row r="862">
      <c r="A862" s="33"/>
      <c r="B862" s="33"/>
      <c r="C862" s="33"/>
      <c r="D862" s="33"/>
      <c r="E862" s="33"/>
      <c r="F862" s="33"/>
      <c r="G862" s="33"/>
      <c r="H862" s="33"/>
      <c r="I862" s="33"/>
      <c r="J862" s="33"/>
      <c r="K862" s="33"/>
      <c r="L862" s="33"/>
      <c r="M862" s="33"/>
      <c r="N862" s="33"/>
      <c r="O862" s="33"/>
      <c r="P862" s="33"/>
      <c r="Q862" s="33"/>
      <c r="R862" s="33"/>
    </row>
    <row r="863">
      <c r="A863" s="33"/>
      <c r="B863" s="33"/>
      <c r="C863" s="33"/>
      <c r="D863" s="33"/>
      <c r="E863" s="33"/>
      <c r="F863" s="33"/>
      <c r="G863" s="33"/>
      <c r="H863" s="33"/>
      <c r="I863" s="33"/>
      <c r="J863" s="33"/>
      <c r="K863" s="33"/>
      <c r="L863" s="33"/>
      <c r="M863" s="33"/>
      <c r="N863" s="33"/>
      <c r="O863" s="33"/>
      <c r="P863" s="33"/>
      <c r="Q863" s="33"/>
      <c r="R863" s="33"/>
    </row>
    <row r="864">
      <c r="A864" s="33"/>
      <c r="B864" s="33"/>
      <c r="C864" s="33"/>
      <c r="D864" s="33"/>
      <c r="E864" s="33"/>
      <c r="F864" s="33"/>
      <c r="G864" s="33"/>
      <c r="H864" s="33"/>
      <c r="I864" s="33"/>
      <c r="J864" s="33"/>
      <c r="K864" s="33"/>
      <c r="L864" s="33"/>
      <c r="M864" s="33"/>
      <c r="N864" s="33"/>
      <c r="O864" s="33"/>
      <c r="P864" s="33"/>
      <c r="Q864" s="33"/>
      <c r="R864" s="33"/>
    </row>
    <row r="865">
      <c r="A865" s="33"/>
      <c r="B865" s="33"/>
      <c r="C865" s="33"/>
      <c r="D865" s="33"/>
      <c r="E865" s="33"/>
      <c r="F865" s="33"/>
      <c r="G865" s="33"/>
      <c r="H865" s="33"/>
      <c r="I865" s="33"/>
      <c r="J865" s="33"/>
      <c r="K865" s="33"/>
      <c r="L865" s="33"/>
      <c r="M865" s="33"/>
      <c r="N865" s="33"/>
      <c r="O865" s="33"/>
      <c r="P865" s="33"/>
      <c r="Q865" s="33"/>
      <c r="R865" s="33"/>
    </row>
    <row r="866">
      <c r="A866" s="33"/>
      <c r="B866" s="33"/>
      <c r="C866" s="33"/>
      <c r="D866" s="33"/>
      <c r="E866" s="33"/>
      <c r="F866" s="33"/>
      <c r="G866" s="33"/>
      <c r="H866" s="33"/>
      <c r="I866" s="33"/>
      <c r="J866" s="33"/>
      <c r="K866" s="33"/>
      <c r="L866" s="33"/>
      <c r="M866" s="33"/>
      <c r="N866" s="33"/>
      <c r="O866" s="33"/>
      <c r="P866" s="33"/>
      <c r="Q866" s="33"/>
      <c r="R866" s="33"/>
    </row>
    <row r="867">
      <c r="A867" s="33"/>
      <c r="B867" s="33"/>
      <c r="C867" s="33"/>
      <c r="D867" s="33"/>
      <c r="E867" s="33"/>
      <c r="F867" s="33"/>
      <c r="G867" s="33"/>
      <c r="H867" s="33"/>
      <c r="I867" s="33"/>
      <c r="J867" s="33"/>
      <c r="K867" s="33"/>
      <c r="L867" s="33"/>
      <c r="M867" s="33"/>
      <c r="N867" s="33"/>
      <c r="O867" s="33"/>
      <c r="P867" s="33"/>
      <c r="Q867" s="33"/>
      <c r="R867" s="33"/>
    </row>
    <row r="868">
      <c r="A868" s="33"/>
      <c r="B868" s="33"/>
      <c r="C868" s="33"/>
      <c r="D868" s="33"/>
      <c r="E868" s="33"/>
      <c r="F868" s="33"/>
      <c r="G868" s="33"/>
      <c r="H868" s="33"/>
      <c r="I868" s="33"/>
      <c r="J868" s="33"/>
      <c r="K868" s="33"/>
      <c r="L868" s="33"/>
      <c r="M868" s="33"/>
      <c r="N868" s="33"/>
      <c r="O868" s="33"/>
      <c r="P868" s="33"/>
      <c r="Q868" s="33"/>
      <c r="R868" s="33"/>
    </row>
    <row r="869">
      <c r="A869" s="33"/>
      <c r="B869" s="33"/>
      <c r="C869" s="33"/>
      <c r="D869" s="33"/>
      <c r="E869" s="33"/>
      <c r="F869" s="33"/>
      <c r="G869" s="33"/>
      <c r="H869" s="33"/>
      <c r="I869" s="33"/>
      <c r="J869" s="33"/>
      <c r="K869" s="33"/>
      <c r="L869" s="33"/>
      <c r="M869" s="33"/>
      <c r="N869" s="33"/>
      <c r="O869" s="33"/>
      <c r="P869" s="33"/>
      <c r="Q869" s="33"/>
      <c r="R869" s="33"/>
    </row>
    <row r="870">
      <c r="A870" s="33"/>
      <c r="B870" s="33"/>
      <c r="C870" s="33"/>
      <c r="D870" s="33"/>
      <c r="E870" s="33"/>
      <c r="F870" s="33"/>
      <c r="G870" s="33"/>
      <c r="H870" s="33"/>
      <c r="I870" s="33"/>
      <c r="J870" s="33"/>
      <c r="K870" s="33"/>
      <c r="L870" s="33"/>
      <c r="M870" s="33"/>
      <c r="N870" s="33"/>
      <c r="O870" s="33"/>
      <c r="P870" s="33"/>
      <c r="Q870" s="33"/>
      <c r="R870" s="33"/>
    </row>
    <row r="871">
      <c r="A871" s="33"/>
      <c r="B871" s="33"/>
      <c r="C871" s="33"/>
      <c r="D871" s="33"/>
      <c r="E871" s="33"/>
      <c r="F871" s="33"/>
      <c r="G871" s="33"/>
      <c r="H871" s="33"/>
      <c r="I871" s="33"/>
      <c r="J871" s="33"/>
      <c r="K871" s="33"/>
      <c r="L871" s="33"/>
      <c r="M871" s="33"/>
      <c r="N871" s="33"/>
      <c r="O871" s="33"/>
      <c r="P871" s="33"/>
      <c r="Q871" s="33"/>
      <c r="R871" s="33"/>
    </row>
    <row r="872">
      <c r="A872" s="33"/>
      <c r="B872" s="33"/>
      <c r="C872" s="33"/>
      <c r="D872" s="33"/>
      <c r="E872" s="33"/>
      <c r="F872" s="33"/>
      <c r="G872" s="33"/>
      <c r="H872" s="33"/>
      <c r="I872" s="33"/>
      <c r="J872" s="33"/>
      <c r="K872" s="33"/>
      <c r="L872" s="33"/>
      <c r="M872" s="33"/>
      <c r="N872" s="33"/>
      <c r="O872" s="33"/>
      <c r="P872" s="33"/>
      <c r="Q872" s="33"/>
      <c r="R872" s="33"/>
    </row>
    <row r="873">
      <c r="A873" s="33"/>
      <c r="B873" s="33"/>
      <c r="C873" s="33"/>
      <c r="D873" s="33"/>
      <c r="E873" s="33"/>
      <c r="F873" s="33"/>
      <c r="G873" s="33"/>
      <c r="H873" s="33"/>
      <c r="I873" s="33"/>
      <c r="J873" s="33"/>
      <c r="K873" s="33"/>
      <c r="L873" s="33"/>
      <c r="M873" s="33"/>
      <c r="N873" s="33"/>
      <c r="O873" s="33"/>
      <c r="P873" s="33"/>
      <c r="Q873" s="33"/>
      <c r="R873" s="33"/>
    </row>
    <row r="874">
      <c r="A874" s="33"/>
      <c r="B874" s="33"/>
      <c r="C874" s="33"/>
      <c r="D874" s="33"/>
      <c r="E874" s="33"/>
      <c r="F874" s="33"/>
      <c r="G874" s="33"/>
      <c r="H874" s="33"/>
      <c r="I874" s="33"/>
      <c r="J874" s="33"/>
      <c r="K874" s="33"/>
      <c r="L874" s="33"/>
      <c r="M874" s="33"/>
      <c r="N874" s="33"/>
      <c r="O874" s="33"/>
      <c r="P874" s="33"/>
      <c r="Q874" s="33"/>
      <c r="R874" s="33"/>
    </row>
    <row r="875">
      <c r="A875" s="33"/>
      <c r="B875" s="33"/>
      <c r="C875" s="33"/>
      <c r="D875" s="33"/>
      <c r="E875" s="33"/>
      <c r="F875" s="33"/>
      <c r="G875" s="33"/>
      <c r="H875" s="33"/>
      <c r="I875" s="33"/>
      <c r="J875" s="33"/>
      <c r="K875" s="33"/>
      <c r="L875" s="33"/>
      <c r="M875" s="33"/>
      <c r="N875" s="33"/>
      <c r="O875" s="33"/>
      <c r="P875" s="33"/>
      <c r="Q875" s="33"/>
      <c r="R875" s="33"/>
    </row>
    <row r="876">
      <c r="A876" s="33"/>
      <c r="B876" s="33"/>
      <c r="C876" s="33"/>
      <c r="D876" s="33"/>
      <c r="E876" s="33"/>
      <c r="F876" s="33"/>
      <c r="G876" s="33"/>
      <c r="H876" s="33"/>
      <c r="I876" s="33"/>
      <c r="J876" s="33"/>
      <c r="K876" s="33"/>
      <c r="L876" s="33"/>
      <c r="M876" s="33"/>
      <c r="N876" s="33"/>
      <c r="O876" s="33"/>
      <c r="P876" s="33"/>
      <c r="Q876" s="33"/>
      <c r="R876" s="33"/>
    </row>
    <row r="877">
      <c r="A877" s="33"/>
      <c r="B877" s="33"/>
      <c r="C877" s="33"/>
      <c r="D877" s="33"/>
      <c r="E877" s="33"/>
      <c r="F877" s="33"/>
      <c r="G877" s="33"/>
      <c r="H877" s="33"/>
      <c r="I877" s="33"/>
      <c r="J877" s="33"/>
      <c r="K877" s="33"/>
      <c r="L877" s="33"/>
      <c r="M877" s="33"/>
      <c r="N877" s="33"/>
      <c r="O877" s="33"/>
      <c r="P877" s="33"/>
      <c r="Q877" s="33"/>
      <c r="R877" s="33"/>
    </row>
    <row r="878">
      <c r="A878" s="33"/>
      <c r="B878" s="33"/>
      <c r="C878" s="33"/>
      <c r="D878" s="33"/>
      <c r="E878" s="33"/>
      <c r="F878" s="33"/>
      <c r="G878" s="33"/>
      <c r="H878" s="33"/>
      <c r="I878" s="33"/>
      <c r="J878" s="33"/>
      <c r="K878" s="33"/>
      <c r="L878" s="33"/>
      <c r="M878" s="33"/>
      <c r="N878" s="33"/>
      <c r="O878" s="33"/>
      <c r="P878" s="33"/>
      <c r="Q878" s="33"/>
      <c r="R878" s="33"/>
    </row>
    <row r="879">
      <c r="A879" s="33"/>
      <c r="B879" s="33"/>
      <c r="C879" s="33"/>
      <c r="D879" s="33"/>
      <c r="E879" s="33"/>
      <c r="F879" s="33"/>
      <c r="G879" s="33"/>
      <c r="H879" s="33"/>
      <c r="I879" s="33"/>
      <c r="J879" s="33"/>
      <c r="K879" s="33"/>
      <c r="L879" s="33"/>
      <c r="M879" s="33"/>
      <c r="N879" s="33"/>
      <c r="O879" s="33"/>
      <c r="P879" s="33"/>
      <c r="Q879" s="33"/>
      <c r="R879" s="33"/>
    </row>
    <row r="880">
      <c r="A880" s="33"/>
      <c r="B880" s="33"/>
      <c r="C880" s="33"/>
      <c r="D880" s="33"/>
      <c r="E880" s="33"/>
      <c r="F880" s="33"/>
      <c r="G880" s="33"/>
      <c r="H880" s="33"/>
      <c r="I880" s="33"/>
      <c r="J880" s="33"/>
      <c r="K880" s="33"/>
      <c r="L880" s="33"/>
      <c r="M880" s="33"/>
      <c r="N880" s="33"/>
      <c r="O880" s="33"/>
      <c r="P880" s="33"/>
      <c r="Q880" s="33"/>
      <c r="R880" s="33"/>
    </row>
    <row r="881">
      <c r="A881" s="33"/>
      <c r="B881" s="33"/>
      <c r="C881" s="33"/>
      <c r="D881" s="33"/>
      <c r="E881" s="33"/>
      <c r="F881" s="33"/>
      <c r="G881" s="33"/>
      <c r="H881" s="33"/>
      <c r="I881" s="33"/>
      <c r="J881" s="33"/>
      <c r="K881" s="33"/>
      <c r="L881" s="33"/>
      <c r="M881" s="33"/>
      <c r="N881" s="33"/>
      <c r="O881" s="33"/>
      <c r="P881" s="33"/>
      <c r="Q881" s="33"/>
      <c r="R881" s="33"/>
    </row>
    <row r="882">
      <c r="A882" s="33"/>
      <c r="B882" s="33"/>
      <c r="C882" s="33"/>
      <c r="D882" s="33"/>
      <c r="E882" s="33"/>
      <c r="F882" s="33"/>
      <c r="G882" s="33"/>
      <c r="H882" s="33"/>
      <c r="I882" s="33"/>
      <c r="J882" s="33"/>
      <c r="K882" s="33"/>
      <c r="L882" s="33"/>
      <c r="M882" s="33"/>
      <c r="N882" s="33"/>
      <c r="O882" s="33"/>
      <c r="P882" s="33"/>
      <c r="Q882" s="33"/>
      <c r="R882" s="33"/>
    </row>
    <row r="883">
      <c r="A883" s="33"/>
      <c r="B883" s="33"/>
      <c r="C883" s="33"/>
      <c r="D883" s="33"/>
      <c r="E883" s="33"/>
      <c r="F883" s="33"/>
      <c r="G883" s="33"/>
      <c r="H883" s="33"/>
      <c r="I883" s="33"/>
      <c r="J883" s="33"/>
      <c r="K883" s="33"/>
      <c r="L883" s="33"/>
      <c r="M883" s="33"/>
      <c r="N883" s="33"/>
      <c r="O883" s="33"/>
      <c r="P883" s="33"/>
      <c r="Q883" s="33"/>
      <c r="R883" s="33"/>
    </row>
    <row r="884">
      <c r="A884" s="33"/>
      <c r="B884" s="33"/>
      <c r="C884" s="33"/>
      <c r="D884" s="33"/>
      <c r="E884" s="33"/>
      <c r="F884" s="33"/>
      <c r="G884" s="33"/>
      <c r="H884" s="33"/>
      <c r="I884" s="33"/>
      <c r="J884" s="33"/>
      <c r="K884" s="33"/>
      <c r="L884" s="33"/>
      <c r="M884" s="33"/>
      <c r="N884" s="33"/>
      <c r="O884" s="33"/>
      <c r="P884" s="33"/>
      <c r="Q884" s="33"/>
      <c r="R884" s="33"/>
    </row>
    <row r="885">
      <c r="A885" s="33"/>
      <c r="B885" s="33"/>
      <c r="C885" s="33"/>
      <c r="D885" s="33"/>
      <c r="E885" s="33"/>
      <c r="F885" s="33"/>
      <c r="G885" s="33"/>
      <c r="H885" s="33"/>
      <c r="I885" s="33"/>
      <c r="J885" s="33"/>
      <c r="K885" s="33"/>
      <c r="L885" s="33"/>
      <c r="M885" s="33"/>
      <c r="N885" s="33"/>
      <c r="O885" s="33"/>
      <c r="P885" s="33"/>
      <c r="Q885" s="33"/>
      <c r="R885" s="33"/>
    </row>
    <row r="886">
      <c r="A886" s="33"/>
      <c r="B886" s="33"/>
      <c r="C886" s="33"/>
      <c r="D886" s="33"/>
      <c r="E886" s="33"/>
      <c r="F886" s="33"/>
      <c r="G886" s="33"/>
      <c r="H886" s="33"/>
      <c r="I886" s="33"/>
      <c r="J886" s="33"/>
      <c r="K886" s="33"/>
      <c r="L886" s="33"/>
      <c r="M886" s="33"/>
      <c r="N886" s="33"/>
      <c r="O886" s="33"/>
      <c r="P886" s="33"/>
      <c r="Q886" s="33"/>
      <c r="R886" s="33"/>
    </row>
    <row r="887">
      <c r="A887" s="33"/>
      <c r="B887" s="33"/>
      <c r="C887" s="33"/>
      <c r="D887" s="33"/>
      <c r="E887" s="33"/>
      <c r="F887" s="33"/>
      <c r="G887" s="33"/>
      <c r="H887" s="33"/>
      <c r="I887" s="33"/>
      <c r="J887" s="33"/>
      <c r="K887" s="33"/>
      <c r="L887" s="33"/>
      <c r="M887" s="33"/>
      <c r="N887" s="33"/>
      <c r="O887" s="33"/>
      <c r="P887" s="33"/>
      <c r="Q887" s="33"/>
      <c r="R887" s="33"/>
    </row>
    <row r="888">
      <c r="A888" s="33"/>
      <c r="B888" s="33"/>
      <c r="C888" s="33"/>
      <c r="D888" s="33"/>
      <c r="E888" s="33"/>
      <c r="F888" s="33"/>
      <c r="G888" s="33"/>
      <c r="H888" s="33"/>
      <c r="I888" s="33"/>
      <c r="J888" s="33"/>
      <c r="K888" s="33"/>
      <c r="L888" s="33"/>
      <c r="M888" s="33"/>
      <c r="N888" s="33"/>
      <c r="O888" s="33"/>
      <c r="P888" s="33"/>
      <c r="Q888" s="33"/>
      <c r="R888" s="33"/>
    </row>
    <row r="889">
      <c r="A889" s="33"/>
      <c r="B889" s="33"/>
      <c r="C889" s="33"/>
      <c r="D889" s="33"/>
      <c r="E889" s="33"/>
      <c r="F889" s="33"/>
      <c r="G889" s="33"/>
      <c r="H889" s="33"/>
      <c r="I889" s="33"/>
      <c r="J889" s="33"/>
      <c r="K889" s="33"/>
      <c r="L889" s="33"/>
      <c r="M889" s="33"/>
      <c r="N889" s="33"/>
      <c r="O889" s="33"/>
      <c r="P889" s="33"/>
      <c r="Q889" s="33"/>
      <c r="R889" s="33"/>
    </row>
    <row r="890">
      <c r="A890" s="33"/>
      <c r="B890" s="33"/>
      <c r="C890" s="33"/>
      <c r="D890" s="33"/>
      <c r="E890" s="33"/>
      <c r="F890" s="33"/>
      <c r="G890" s="33"/>
      <c r="H890" s="33"/>
      <c r="I890" s="33"/>
      <c r="J890" s="33"/>
      <c r="K890" s="33"/>
      <c r="L890" s="33"/>
      <c r="M890" s="33"/>
      <c r="N890" s="33"/>
      <c r="O890" s="33"/>
      <c r="P890" s="33"/>
      <c r="Q890" s="33"/>
      <c r="R890" s="33"/>
    </row>
    <row r="891">
      <c r="A891" s="33"/>
      <c r="B891" s="33"/>
      <c r="C891" s="33"/>
      <c r="D891" s="33"/>
      <c r="E891" s="33"/>
      <c r="F891" s="33"/>
      <c r="G891" s="33"/>
      <c r="H891" s="33"/>
      <c r="I891" s="33"/>
      <c r="J891" s="33"/>
      <c r="K891" s="33"/>
      <c r="L891" s="33"/>
      <c r="M891" s="33"/>
      <c r="N891" s="33"/>
      <c r="O891" s="33"/>
      <c r="P891" s="33"/>
      <c r="Q891" s="33"/>
      <c r="R891" s="33"/>
    </row>
    <row r="892">
      <c r="A892" s="33"/>
      <c r="B892" s="33"/>
      <c r="C892" s="33"/>
      <c r="D892" s="33"/>
      <c r="E892" s="33"/>
      <c r="F892" s="33"/>
      <c r="G892" s="33"/>
      <c r="H892" s="33"/>
      <c r="I892" s="33"/>
      <c r="J892" s="33"/>
      <c r="K892" s="33"/>
      <c r="L892" s="33"/>
      <c r="M892" s="33"/>
      <c r="N892" s="33"/>
      <c r="O892" s="33"/>
      <c r="P892" s="33"/>
      <c r="Q892" s="33"/>
      <c r="R892" s="33"/>
    </row>
    <row r="893">
      <c r="A893" s="33"/>
      <c r="B893" s="33"/>
      <c r="C893" s="33"/>
      <c r="D893" s="33"/>
      <c r="E893" s="33"/>
      <c r="F893" s="33"/>
      <c r="G893" s="33"/>
      <c r="H893" s="33"/>
      <c r="I893" s="33"/>
      <c r="J893" s="33"/>
      <c r="K893" s="33"/>
      <c r="L893" s="33"/>
      <c r="M893" s="33"/>
      <c r="N893" s="33"/>
      <c r="O893" s="33"/>
      <c r="P893" s="33"/>
      <c r="Q893" s="33"/>
      <c r="R893" s="33"/>
    </row>
    <row r="894">
      <c r="A894" s="33"/>
      <c r="B894" s="33"/>
      <c r="C894" s="33"/>
      <c r="D894" s="33"/>
      <c r="E894" s="33"/>
      <c r="F894" s="33"/>
      <c r="G894" s="33"/>
      <c r="H894" s="33"/>
      <c r="I894" s="33"/>
      <c r="J894" s="33"/>
      <c r="K894" s="33"/>
      <c r="L894" s="33"/>
      <c r="M894" s="33"/>
      <c r="N894" s="33"/>
      <c r="O894" s="33"/>
      <c r="P894" s="33"/>
      <c r="Q894" s="33"/>
      <c r="R894" s="33"/>
    </row>
    <row r="895">
      <c r="A895" s="33"/>
      <c r="B895" s="33"/>
      <c r="C895" s="33"/>
      <c r="D895" s="33"/>
      <c r="E895" s="33"/>
      <c r="F895" s="33"/>
      <c r="G895" s="33"/>
      <c r="H895" s="33"/>
      <c r="I895" s="33"/>
      <c r="J895" s="33"/>
      <c r="K895" s="33"/>
      <c r="L895" s="33"/>
      <c r="M895" s="33"/>
      <c r="N895" s="33"/>
      <c r="O895" s="33"/>
      <c r="P895" s="33"/>
      <c r="Q895" s="33"/>
      <c r="R895" s="33"/>
    </row>
    <row r="896">
      <c r="A896" s="33"/>
      <c r="B896" s="33"/>
      <c r="C896" s="33"/>
      <c r="D896" s="33"/>
      <c r="E896" s="33"/>
      <c r="F896" s="33"/>
      <c r="G896" s="33"/>
      <c r="H896" s="33"/>
      <c r="I896" s="33"/>
      <c r="J896" s="33"/>
      <c r="K896" s="33"/>
      <c r="L896" s="33"/>
      <c r="M896" s="33"/>
      <c r="N896" s="33"/>
      <c r="O896" s="33"/>
      <c r="P896" s="33"/>
      <c r="Q896" s="33"/>
      <c r="R896" s="33"/>
    </row>
    <row r="897">
      <c r="A897" s="33"/>
      <c r="B897" s="33"/>
      <c r="C897" s="33"/>
      <c r="D897" s="33"/>
      <c r="E897" s="33"/>
      <c r="F897" s="33"/>
      <c r="G897" s="33"/>
      <c r="H897" s="33"/>
      <c r="I897" s="33"/>
      <c r="J897" s="33"/>
      <c r="K897" s="33"/>
      <c r="L897" s="33"/>
      <c r="M897" s="33"/>
      <c r="N897" s="33"/>
      <c r="O897" s="33"/>
      <c r="P897" s="33"/>
      <c r="Q897" s="33"/>
      <c r="R897" s="33"/>
    </row>
    <row r="898">
      <c r="A898" s="33"/>
      <c r="B898" s="33"/>
      <c r="C898" s="33"/>
      <c r="D898" s="33"/>
      <c r="E898" s="33"/>
      <c r="F898" s="33"/>
      <c r="G898" s="33"/>
      <c r="H898" s="33"/>
      <c r="I898" s="33"/>
      <c r="J898" s="33"/>
      <c r="K898" s="33"/>
      <c r="L898" s="33"/>
      <c r="M898" s="33"/>
      <c r="N898" s="33"/>
      <c r="O898" s="33"/>
      <c r="P898" s="33"/>
      <c r="Q898" s="33"/>
      <c r="R898" s="33"/>
    </row>
    <row r="899">
      <c r="A899" s="33"/>
      <c r="B899" s="33"/>
      <c r="C899" s="33"/>
      <c r="D899" s="33"/>
      <c r="E899" s="33"/>
      <c r="F899" s="33"/>
      <c r="G899" s="33"/>
      <c r="H899" s="33"/>
      <c r="I899" s="33"/>
      <c r="J899" s="33"/>
      <c r="K899" s="33"/>
      <c r="L899" s="33"/>
      <c r="M899" s="33"/>
      <c r="N899" s="33"/>
      <c r="O899" s="33"/>
      <c r="P899" s="33"/>
      <c r="Q899" s="33"/>
      <c r="R899" s="33"/>
    </row>
    <row r="900">
      <c r="A900" s="33"/>
      <c r="B900" s="33"/>
      <c r="C900" s="33"/>
      <c r="D900" s="33"/>
      <c r="E900" s="33"/>
      <c r="F900" s="33"/>
      <c r="G900" s="33"/>
      <c r="H900" s="33"/>
      <c r="I900" s="33"/>
      <c r="J900" s="33"/>
      <c r="K900" s="33"/>
      <c r="L900" s="33"/>
      <c r="M900" s="33"/>
      <c r="N900" s="33"/>
      <c r="O900" s="33"/>
      <c r="P900" s="33"/>
      <c r="Q900" s="33"/>
      <c r="R900" s="33"/>
    </row>
    <row r="901">
      <c r="A901" s="33"/>
      <c r="B901" s="33"/>
      <c r="C901" s="33"/>
      <c r="D901" s="33"/>
      <c r="E901" s="33"/>
      <c r="F901" s="33"/>
      <c r="G901" s="33"/>
      <c r="H901" s="33"/>
      <c r="I901" s="33"/>
      <c r="J901" s="33"/>
      <c r="K901" s="33"/>
      <c r="L901" s="33"/>
      <c r="M901" s="33"/>
      <c r="N901" s="33"/>
      <c r="O901" s="33"/>
      <c r="P901" s="33"/>
      <c r="Q901" s="33"/>
      <c r="R901" s="33"/>
    </row>
    <row r="902">
      <c r="A902" s="33"/>
      <c r="B902" s="33"/>
      <c r="C902" s="33"/>
      <c r="D902" s="33"/>
      <c r="E902" s="33"/>
      <c r="F902" s="33"/>
      <c r="G902" s="33"/>
      <c r="H902" s="33"/>
      <c r="I902" s="33"/>
      <c r="J902" s="33"/>
      <c r="K902" s="33"/>
      <c r="L902" s="33"/>
      <c r="M902" s="33"/>
      <c r="N902" s="33"/>
      <c r="O902" s="33"/>
      <c r="P902" s="33"/>
      <c r="Q902" s="33"/>
      <c r="R902" s="33"/>
    </row>
    <row r="903">
      <c r="A903" s="33"/>
      <c r="B903" s="33"/>
      <c r="C903" s="33"/>
      <c r="D903" s="33"/>
      <c r="E903" s="33"/>
      <c r="F903" s="33"/>
      <c r="G903" s="33"/>
      <c r="H903" s="33"/>
      <c r="I903" s="33"/>
      <c r="J903" s="33"/>
      <c r="K903" s="33"/>
      <c r="L903" s="33"/>
      <c r="M903" s="33"/>
      <c r="N903" s="33"/>
      <c r="O903" s="33"/>
      <c r="P903" s="33"/>
      <c r="Q903" s="33"/>
      <c r="R903" s="33"/>
    </row>
    <row r="904">
      <c r="A904" s="33"/>
      <c r="B904" s="33"/>
      <c r="C904" s="33"/>
      <c r="D904" s="33"/>
      <c r="E904" s="33"/>
      <c r="F904" s="33"/>
      <c r="G904" s="33"/>
      <c r="H904" s="33"/>
      <c r="I904" s="33"/>
      <c r="J904" s="33"/>
      <c r="K904" s="33"/>
      <c r="L904" s="33"/>
      <c r="M904" s="33"/>
      <c r="N904" s="33"/>
      <c r="O904" s="33"/>
      <c r="P904" s="33"/>
      <c r="Q904" s="33"/>
      <c r="R904" s="33"/>
    </row>
    <row r="905">
      <c r="A905" s="33"/>
      <c r="B905" s="33"/>
      <c r="C905" s="33"/>
      <c r="D905" s="33"/>
      <c r="E905" s="33"/>
      <c r="F905" s="33"/>
      <c r="G905" s="33"/>
      <c r="H905" s="33"/>
      <c r="I905" s="33"/>
      <c r="J905" s="33"/>
      <c r="K905" s="33"/>
      <c r="L905" s="33"/>
      <c r="M905" s="33"/>
      <c r="N905" s="33"/>
      <c r="O905" s="33"/>
      <c r="P905" s="33"/>
      <c r="Q905" s="33"/>
      <c r="R905" s="33"/>
    </row>
    <row r="906">
      <c r="A906" s="33"/>
      <c r="B906" s="33"/>
      <c r="C906" s="33"/>
      <c r="D906" s="33"/>
      <c r="E906" s="33"/>
      <c r="F906" s="33"/>
      <c r="G906" s="33"/>
      <c r="H906" s="33"/>
      <c r="I906" s="33"/>
      <c r="J906" s="33"/>
      <c r="K906" s="33"/>
      <c r="L906" s="33"/>
      <c r="M906" s="33"/>
      <c r="N906" s="33"/>
      <c r="O906" s="33"/>
      <c r="P906" s="33"/>
      <c r="Q906" s="33"/>
      <c r="R906" s="33"/>
    </row>
    <row r="907">
      <c r="A907" s="33"/>
      <c r="B907" s="33"/>
      <c r="C907" s="33"/>
      <c r="D907" s="33"/>
      <c r="E907" s="33"/>
      <c r="F907" s="33"/>
      <c r="G907" s="33"/>
      <c r="H907" s="33"/>
      <c r="I907" s="33"/>
      <c r="J907" s="33"/>
      <c r="K907" s="33"/>
      <c r="L907" s="33"/>
      <c r="M907" s="33"/>
      <c r="N907" s="33"/>
      <c r="O907" s="33"/>
      <c r="P907" s="33"/>
      <c r="Q907" s="33"/>
      <c r="R907" s="33"/>
    </row>
    <row r="908">
      <c r="A908" s="33"/>
      <c r="B908" s="33"/>
      <c r="C908" s="33"/>
      <c r="D908" s="33"/>
      <c r="E908" s="33"/>
      <c r="F908" s="33"/>
      <c r="G908" s="33"/>
      <c r="H908" s="33"/>
      <c r="I908" s="33"/>
      <c r="J908" s="33"/>
      <c r="K908" s="33"/>
      <c r="L908" s="33"/>
      <c r="M908" s="33"/>
      <c r="N908" s="33"/>
      <c r="O908" s="33"/>
      <c r="P908" s="33"/>
      <c r="Q908" s="33"/>
      <c r="R908" s="33"/>
    </row>
    <row r="909">
      <c r="A909" s="33"/>
      <c r="B909" s="33"/>
      <c r="C909" s="33"/>
      <c r="D909" s="33"/>
      <c r="E909" s="33"/>
      <c r="F909" s="33"/>
      <c r="G909" s="33"/>
      <c r="H909" s="33"/>
      <c r="I909" s="33"/>
      <c r="J909" s="33"/>
      <c r="K909" s="33"/>
      <c r="L909" s="33"/>
      <c r="M909" s="33"/>
      <c r="N909" s="33"/>
      <c r="O909" s="33"/>
      <c r="P909" s="33"/>
      <c r="Q909" s="33"/>
      <c r="R909" s="33"/>
    </row>
    <row r="910">
      <c r="A910" s="33"/>
      <c r="B910" s="33"/>
      <c r="C910" s="33"/>
      <c r="D910" s="33"/>
      <c r="E910" s="33"/>
      <c r="F910" s="33"/>
      <c r="G910" s="33"/>
      <c r="H910" s="33"/>
      <c r="I910" s="33"/>
      <c r="J910" s="33"/>
      <c r="K910" s="33"/>
      <c r="L910" s="33"/>
      <c r="M910" s="33"/>
      <c r="N910" s="33"/>
      <c r="O910" s="33"/>
      <c r="P910" s="33"/>
      <c r="Q910" s="33"/>
      <c r="R910" s="33"/>
    </row>
    <row r="911">
      <c r="A911" s="33"/>
      <c r="B911" s="33"/>
      <c r="C911" s="33"/>
      <c r="D911" s="33"/>
      <c r="E911" s="33"/>
      <c r="F911" s="33"/>
      <c r="G911" s="33"/>
      <c r="H911" s="33"/>
      <c r="I911" s="33"/>
      <c r="J911" s="33"/>
      <c r="K911" s="33"/>
      <c r="L911" s="33"/>
      <c r="M911" s="33"/>
      <c r="N911" s="33"/>
      <c r="O911" s="33"/>
      <c r="P911" s="33"/>
      <c r="Q911" s="33"/>
      <c r="R911" s="33"/>
    </row>
    <row r="912">
      <c r="A912" s="33"/>
      <c r="B912" s="33"/>
      <c r="C912" s="33"/>
      <c r="D912" s="33"/>
      <c r="E912" s="33"/>
      <c r="F912" s="33"/>
      <c r="G912" s="33"/>
      <c r="H912" s="33"/>
      <c r="I912" s="33"/>
      <c r="J912" s="33"/>
      <c r="K912" s="33"/>
      <c r="L912" s="33"/>
      <c r="M912" s="33"/>
      <c r="N912" s="33"/>
      <c r="O912" s="33"/>
      <c r="P912" s="33"/>
      <c r="Q912" s="33"/>
      <c r="R912" s="33"/>
    </row>
    <row r="913">
      <c r="A913" s="33"/>
      <c r="B913" s="33"/>
      <c r="C913" s="33"/>
      <c r="D913" s="33"/>
      <c r="E913" s="33"/>
      <c r="F913" s="33"/>
      <c r="G913" s="33"/>
      <c r="H913" s="33"/>
      <c r="I913" s="33"/>
      <c r="J913" s="33"/>
      <c r="K913" s="33"/>
      <c r="L913" s="33"/>
      <c r="M913" s="33"/>
      <c r="N913" s="33"/>
      <c r="O913" s="33"/>
      <c r="P913" s="33"/>
      <c r="Q913" s="33"/>
      <c r="R913" s="33"/>
    </row>
    <row r="914">
      <c r="A914" s="33"/>
      <c r="B914" s="33"/>
      <c r="C914" s="33"/>
      <c r="D914" s="33"/>
      <c r="E914" s="33"/>
      <c r="F914" s="33"/>
      <c r="G914" s="33"/>
      <c r="H914" s="33"/>
      <c r="I914" s="33"/>
      <c r="J914" s="33"/>
      <c r="K914" s="33"/>
      <c r="L914" s="33"/>
      <c r="M914" s="33"/>
      <c r="N914" s="33"/>
      <c r="O914" s="33"/>
      <c r="P914" s="33"/>
      <c r="Q914" s="33"/>
      <c r="R914" s="33"/>
    </row>
    <row r="915">
      <c r="A915" s="33"/>
      <c r="B915" s="33"/>
      <c r="C915" s="33"/>
      <c r="D915" s="33"/>
      <c r="E915" s="33"/>
      <c r="F915" s="33"/>
      <c r="G915" s="33"/>
      <c r="H915" s="33"/>
      <c r="I915" s="33"/>
      <c r="J915" s="33"/>
      <c r="K915" s="33"/>
      <c r="L915" s="33"/>
      <c r="M915" s="33"/>
      <c r="N915" s="33"/>
      <c r="O915" s="33"/>
      <c r="P915" s="33"/>
      <c r="Q915" s="33"/>
      <c r="R915" s="33"/>
    </row>
    <row r="916">
      <c r="A916" s="33"/>
      <c r="B916" s="33"/>
      <c r="C916" s="33"/>
      <c r="D916" s="33"/>
      <c r="E916" s="33"/>
      <c r="F916" s="33"/>
      <c r="G916" s="33"/>
      <c r="H916" s="33"/>
      <c r="I916" s="33"/>
      <c r="J916" s="33"/>
      <c r="K916" s="33"/>
      <c r="L916" s="33"/>
      <c r="M916" s="33"/>
      <c r="N916" s="33"/>
      <c r="O916" s="33"/>
      <c r="P916" s="33"/>
      <c r="Q916" s="33"/>
      <c r="R916" s="33"/>
    </row>
    <row r="917">
      <c r="A917" s="33"/>
      <c r="B917" s="33"/>
      <c r="C917" s="33"/>
      <c r="D917" s="33"/>
      <c r="E917" s="33"/>
      <c r="F917" s="33"/>
      <c r="G917" s="33"/>
      <c r="H917" s="33"/>
      <c r="I917" s="33"/>
      <c r="J917" s="33"/>
      <c r="K917" s="33"/>
      <c r="L917" s="33"/>
      <c r="M917" s="33"/>
      <c r="N917" s="33"/>
      <c r="O917" s="33"/>
      <c r="P917" s="33"/>
      <c r="Q917" s="33"/>
      <c r="R917" s="33"/>
    </row>
    <row r="918">
      <c r="A918" s="33"/>
      <c r="B918" s="33"/>
      <c r="C918" s="33"/>
      <c r="D918" s="33"/>
      <c r="E918" s="33"/>
      <c r="F918" s="33"/>
      <c r="G918" s="33"/>
      <c r="H918" s="33"/>
      <c r="I918" s="33"/>
      <c r="J918" s="33"/>
      <c r="K918" s="33"/>
      <c r="L918" s="33"/>
      <c r="M918" s="33"/>
      <c r="N918" s="33"/>
      <c r="O918" s="33"/>
      <c r="P918" s="33"/>
      <c r="Q918" s="33"/>
      <c r="R918" s="33"/>
    </row>
    <row r="919">
      <c r="A919" s="33"/>
      <c r="B919" s="33"/>
      <c r="C919" s="33"/>
      <c r="D919" s="33"/>
      <c r="E919" s="33"/>
      <c r="F919" s="33"/>
      <c r="G919" s="33"/>
      <c r="H919" s="33"/>
      <c r="I919" s="33"/>
      <c r="J919" s="33"/>
      <c r="K919" s="33"/>
      <c r="L919" s="33"/>
      <c r="M919" s="33"/>
      <c r="N919" s="33"/>
      <c r="O919" s="33"/>
      <c r="P919" s="33"/>
      <c r="Q919" s="33"/>
      <c r="R919" s="33"/>
    </row>
    <row r="920">
      <c r="A920" s="33"/>
      <c r="B920" s="33"/>
      <c r="C920" s="33"/>
      <c r="D920" s="33"/>
      <c r="E920" s="33"/>
      <c r="F920" s="33"/>
      <c r="G920" s="33"/>
      <c r="H920" s="33"/>
      <c r="I920" s="33"/>
      <c r="J920" s="33"/>
      <c r="K920" s="33"/>
      <c r="L920" s="33"/>
      <c r="M920" s="33"/>
      <c r="N920" s="33"/>
      <c r="O920" s="33"/>
      <c r="P920" s="33"/>
      <c r="Q920" s="33"/>
      <c r="R920" s="33"/>
    </row>
    <row r="921">
      <c r="A921" s="33"/>
      <c r="B921" s="33"/>
      <c r="C921" s="33"/>
      <c r="D921" s="33"/>
      <c r="E921" s="33"/>
      <c r="F921" s="33"/>
      <c r="G921" s="33"/>
      <c r="H921" s="33"/>
      <c r="I921" s="33"/>
      <c r="J921" s="33"/>
      <c r="K921" s="33"/>
      <c r="L921" s="33"/>
      <c r="M921" s="33"/>
      <c r="N921" s="33"/>
      <c r="O921" s="33"/>
      <c r="P921" s="33"/>
      <c r="Q921" s="33"/>
      <c r="R921" s="33"/>
    </row>
    <row r="922">
      <c r="A922" s="33"/>
      <c r="B922" s="33"/>
      <c r="C922" s="33"/>
      <c r="D922" s="33"/>
      <c r="E922" s="33"/>
      <c r="F922" s="33"/>
      <c r="G922" s="33"/>
      <c r="H922" s="33"/>
      <c r="I922" s="33"/>
      <c r="J922" s="33"/>
      <c r="K922" s="33"/>
      <c r="L922" s="33"/>
      <c r="M922" s="33"/>
      <c r="N922" s="33"/>
      <c r="O922" s="33"/>
      <c r="P922" s="33"/>
      <c r="Q922" s="33"/>
      <c r="R922" s="33"/>
    </row>
    <row r="923">
      <c r="A923" s="33"/>
      <c r="B923" s="33"/>
      <c r="C923" s="33"/>
      <c r="D923" s="33"/>
      <c r="E923" s="33"/>
      <c r="F923" s="33"/>
      <c r="G923" s="33"/>
      <c r="H923" s="33"/>
      <c r="I923" s="33"/>
      <c r="J923" s="33"/>
      <c r="K923" s="33"/>
      <c r="L923" s="33"/>
      <c r="M923" s="33"/>
      <c r="N923" s="33"/>
      <c r="O923" s="33"/>
      <c r="P923" s="33"/>
      <c r="Q923" s="33"/>
      <c r="R923" s="33"/>
    </row>
    <row r="924">
      <c r="A924" s="33"/>
      <c r="B924" s="33"/>
      <c r="C924" s="33"/>
      <c r="D924" s="33"/>
      <c r="E924" s="33"/>
      <c r="F924" s="33"/>
      <c r="G924" s="33"/>
      <c r="H924" s="33"/>
      <c r="I924" s="33"/>
      <c r="J924" s="33"/>
      <c r="K924" s="33"/>
      <c r="L924" s="33"/>
      <c r="M924" s="33"/>
      <c r="N924" s="33"/>
      <c r="O924" s="33"/>
      <c r="P924" s="33"/>
      <c r="Q924" s="33"/>
      <c r="R924" s="33"/>
    </row>
    <row r="925">
      <c r="A925" s="33"/>
      <c r="B925" s="33"/>
      <c r="C925" s="33"/>
      <c r="D925" s="33"/>
      <c r="E925" s="33"/>
      <c r="F925" s="33"/>
      <c r="G925" s="33"/>
      <c r="H925" s="33"/>
      <c r="I925" s="33"/>
      <c r="J925" s="33"/>
      <c r="K925" s="33"/>
      <c r="L925" s="33"/>
      <c r="M925" s="33"/>
      <c r="N925" s="33"/>
      <c r="O925" s="33"/>
      <c r="P925" s="33"/>
      <c r="Q925" s="33"/>
      <c r="R925" s="33"/>
    </row>
    <row r="926">
      <c r="A926" s="33"/>
      <c r="B926" s="33"/>
      <c r="C926" s="33"/>
      <c r="D926" s="33"/>
      <c r="E926" s="33"/>
      <c r="F926" s="33"/>
      <c r="G926" s="33"/>
      <c r="H926" s="33"/>
      <c r="I926" s="33"/>
      <c r="J926" s="33"/>
      <c r="K926" s="33"/>
      <c r="L926" s="33"/>
      <c r="M926" s="33"/>
      <c r="N926" s="33"/>
      <c r="O926" s="33"/>
      <c r="P926" s="33"/>
      <c r="Q926" s="33"/>
      <c r="R926" s="33"/>
    </row>
    <row r="927">
      <c r="A927" s="33"/>
      <c r="B927" s="33"/>
      <c r="C927" s="33"/>
      <c r="D927" s="33"/>
      <c r="E927" s="33"/>
      <c r="F927" s="33"/>
      <c r="G927" s="33"/>
      <c r="H927" s="33"/>
      <c r="I927" s="33"/>
      <c r="J927" s="33"/>
      <c r="K927" s="33"/>
      <c r="L927" s="33"/>
      <c r="M927" s="33"/>
      <c r="N927" s="33"/>
      <c r="O927" s="33"/>
      <c r="P927" s="33"/>
      <c r="Q927" s="33"/>
      <c r="R927" s="33"/>
    </row>
    <row r="928">
      <c r="A928" s="33"/>
      <c r="B928" s="33"/>
      <c r="C928" s="33"/>
      <c r="D928" s="33"/>
      <c r="E928" s="33"/>
      <c r="F928" s="33"/>
      <c r="G928" s="33"/>
      <c r="H928" s="33"/>
      <c r="I928" s="33"/>
      <c r="J928" s="33"/>
      <c r="K928" s="33"/>
      <c r="L928" s="33"/>
      <c r="M928" s="33"/>
      <c r="N928" s="33"/>
      <c r="O928" s="33"/>
      <c r="P928" s="33"/>
      <c r="Q928" s="33"/>
      <c r="R928" s="33"/>
    </row>
    <row r="929">
      <c r="A929" s="33"/>
      <c r="B929" s="33"/>
      <c r="C929" s="33"/>
      <c r="D929" s="33"/>
      <c r="E929" s="33"/>
      <c r="F929" s="33"/>
      <c r="G929" s="33"/>
      <c r="H929" s="33"/>
      <c r="I929" s="33"/>
      <c r="J929" s="33"/>
      <c r="K929" s="33"/>
      <c r="L929" s="33"/>
      <c r="M929" s="33"/>
      <c r="N929" s="33"/>
      <c r="O929" s="33"/>
      <c r="P929" s="33"/>
      <c r="Q929" s="33"/>
      <c r="R929" s="33"/>
    </row>
    <row r="930">
      <c r="A930" s="33"/>
      <c r="B930" s="33"/>
      <c r="C930" s="33"/>
      <c r="D930" s="33"/>
      <c r="E930" s="33"/>
      <c r="F930" s="33"/>
      <c r="G930" s="33"/>
      <c r="H930" s="33"/>
      <c r="I930" s="33"/>
      <c r="J930" s="33"/>
      <c r="K930" s="33"/>
      <c r="L930" s="33"/>
      <c r="M930" s="33"/>
      <c r="N930" s="33"/>
      <c r="O930" s="33"/>
      <c r="P930" s="33"/>
      <c r="Q930" s="33"/>
      <c r="R930" s="33"/>
    </row>
    <row r="931">
      <c r="A931" s="33"/>
      <c r="B931" s="33"/>
      <c r="C931" s="33"/>
      <c r="D931" s="33"/>
      <c r="E931" s="33"/>
      <c r="F931" s="33"/>
      <c r="G931" s="33"/>
      <c r="H931" s="33"/>
      <c r="I931" s="33"/>
      <c r="J931" s="33"/>
      <c r="K931" s="33"/>
      <c r="L931" s="33"/>
      <c r="M931" s="33"/>
      <c r="N931" s="33"/>
      <c r="O931" s="33"/>
      <c r="P931" s="33"/>
      <c r="Q931" s="33"/>
      <c r="R931" s="33"/>
    </row>
    <row r="932">
      <c r="A932" s="33"/>
      <c r="B932" s="33"/>
      <c r="C932" s="33"/>
      <c r="D932" s="33"/>
      <c r="E932" s="33"/>
      <c r="F932" s="33"/>
      <c r="G932" s="33"/>
      <c r="H932" s="33"/>
      <c r="I932" s="33"/>
      <c r="J932" s="33"/>
      <c r="K932" s="33"/>
      <c r="L932" s="33"/>
      <c r="M932" s="33"/>
      <c r="N932" s="33"/>
      <c r="O932" s="33"/>
      <c r="P932" s="33"/>
      <c r="Q932" s="33"/>
      <c r="R932" s="33"/>
    </row>
    <row r="933">
      <c r="A933" s="33"/>
      <c r="B933" s="33"/>
      <c r="C933" s="33"/>
      <c r="D933" s="33"/>
      <c r="E933" s="33"/>
      <c r="F933" s="33"/>
      <c r="G933" s="33"/>
      <c r="H933" s="33"/>
      <c r="I933" s="33"/>
      <c r="J933" s="33"/>
      <c r="K933" s="33"/>
      <c r="L933" s="33"/>
      <c r="M933" s="33"/>
      <c r="N933" s="33"/>
      <c r="O933" s="33"/>
      <c r="P933" s="33"/>
      <c r="Q933" s="33"/>
      <c r="R933" s="33"/>
    </row>
    <row r="934">
      <c r="A934" s="33"/>
      <c r="B934" s="33"/>
      <c r="C934" s="33"/>
      <c r="D934" s="33"/>
      <c r="E934" s="33"/>
      <c r="F934" s="33"/>
      <c r="G934" s="33"/>
      <c r="H934" s="33"/>
      <c r="I934" s="33"/>
      <c r="J934" s="33"/>
      <c r="K934" s="33"/>
      <c r="L934" s="33"/>
      <c r="M934" s="33"/>
      <c r="N934" s="33"/>
      <c r="O934" s="33"/>
      <c r="P934" s="33"/>
      <c r="Q934" s="33"/>
      <c r="R934" s="33"/>
    </row>
    <row r="935">
      <c r="A935" s="33"/>
      <c r="B935" s="33"/>
      <c r="C935" s="33"/>
      <c r="D935" s="33"/>
      <c r="E935" s="33"/>
      <c r="F935" s="33"/>
      <c r="G935" s="33"/>
      <c r="H935" s="33"/>
      <c r="I935" s="33"/>
      <c r="J935" s="33"/>
      <c r="K935" s="33"/>
      <c r="L935" s="33"/>
      <c r="M935" s="33"/>
      <c r="N935" s="33"/>
      <c r="O935" s="33"/>
      <c r="P935" s="33"/>
      <c r="Q935" s="33"/>
      <c r="R935" s="33"/>
    </row>
    <row r="936">
      <c r="A936" s="33"/>
      <c r="B936" s="33"/>
      <c r="C936" s="33"/>
      <c r="D936" s="33"/>
      <c r="E936" s="33"/>
      <c r="F936" s="33"/>
      <c r="G936" s="33"/>
      <c r="H936" s="33"/>
      <c r="I936" s="33"/>
      <c r="J936" s="33"/>
      <c r="K936" s="33"/>
      <c r="L936" s="33"/>
      <c r="M936" s="33"/>
      <c r="N936" s="33"/>
      <c r="O936" s="33"/>
      <c r="P936" s="33"/>
      <c r="Q936" s="33"/>
      <c r="R936" s="33"/>
    </row>
    <row r="937">
      <c r="A937" s="33"/>
      <c r="B937" s="33"/>
      <c r="C937" s="33"/>
      <c r="D937" s="33"/>
      <c r="E937" s="33"/>
      <c r="F937" s="33"/>
      <c r="G937" s="33"/>
      <c r="H937" s="33"/>
      <c r="I937" s="33"/>
      <c r="J937" s="33"/>
      <c r="K937" s="33"/>
      <c r="L937" s="33"/>
      <c r="M937" s="33"/>
      <c r="N937" s="33"/>
      <c r="O937" s="33"/>
      <c r="P937" s="33"/>
      <c r="Q937" s="33"/>
      <c r="R937" s="33"/>
    </row>
    <row r="938">
      <c r="A938" s="33"/>
      <c r="B938" s="33"/>
      <c r="C938" s="33"/>
      <c r="D938" s="33"/>
      <c r="E938" s="33"/>
      <c r="F938" s="33"/>
      <c r="G938" s="33"/>
      <c r="H938" s="33"/>
      <c r="I938" s="33"/>
      <c r="J938" s="33"/>
      <c r="K938" s="33"/>
      <c r="L938" s="33"/>
      <c r="M938" s="33"/>
      <c r="N938" s="33"/>
      <c r="O938" s="33"/>
      <c r="P938" s="33"/>
      <c r="Q938" s="33"/>
      <c r="R938" s="33"/>
    </row>
    <row r="939">
      <c r="A939" s="33"/>
      <c r="B939" s="33"/>
      <c r="C939" s="33"/>
      <c r="D939" s="33"/>
      <c r="E939" s="33"/>
      <c r="F939" s="33"/>
      <c r="G939" s="33"/>
      <c r="H939" s="33"/>
      <c r="I939" s="33"/>
      <c r="J939" s="33"/>
      <c r="K939" s="33"/>
      <c r="L939" s="33"/>
      <c r="M939" s="33"/>
      <c r="N939" s="33"/>
      <c r="O939" s="33"/>
      <c r="P939" s="33"/>
      <c r="Q939" s="33"/>
      <c r="R939" s="33"/>
    </row>
    <row r="940">
      <c r="A940" s="33"/>
      <c r="B940" s="33"/>
      <c r="C940" s="33"/>
      <c r="D940" s="33"/>
      <c r="E940" s="33"/>
      <c r="F940" s="33"/>
      <c r="G940" s="33"/>
      <c r="H940" s="33"/>
      <c r="I940" s="33"/>
      <c r="J940" s="33"/>
      <c r="K940" s="33"/>
      <c r="L940" s="33"/>
      <c r="M940" s="33"/>
      <c r="N940" s="33"/>
      <c r="O940" s="33"/>
      <c r="P940" s="33"/>
      <c r="Q940" s="33"/>
      <c r="R940" s="33"/>
    </row>
    <row r="941">
      <c r="A941" s="33"/>
      <c r="B941" s="33"/>
      <c r="C941" s="33"/>
      <c r="D941" s="33"/>
      <c r="E941" s="33"/>
      <c r="F941" s="33"/>
      <c r="G941" s="33"/>
      <c r="H941" s="33"/>
      <c r="I941" s="33"/>
      <c r="J941" s="33"/>
      <c r="K941" s="33"/>
      <c r="L941" s="33"/>
      <c r="M941" s="33"/>
      <c r="N941" s="33"/>
      <c r="O941" s="33"/>
      <c r="P941" s="33"/>
      <c r="Q941" s="33"/>
      <c r="R941" s="33"/>
    </row>
    <row r="942">
      <c r="A942" s="33"/>
      <c r="B942" s="33"/>
      <c r="C942" s="33"/>
      <c r="D942" s="33"/>
      <c r="E942" s="33"/>
      <c r="F942" s="33"/>
      <c r="G942" s="33"/>
      <c r="H942" s="33"/>
      <c r="I942" s="33"/>
      <c r="J942" s="33"/>
      <c r="K942" s="33"/>
      <c r="L942" s="33"/>
      <c r="M942" s="33"/>
      <c r="N942" s="33"/>
      <c r="O942" s="33"/>
      <c r="P942" s="33"/>
      <c r="Q942" s="33"/>
      <c r="R942" s="33"/>
    </row>
    <row r="943">
      <c r="A943" s="33"/>
      <c r="B943" s="33"/>
      <c r="C943" s="33"/>
      <c r="D943" s="33"/>
      <c r="E943" s="33"/>
      <c r="F943" s="33"/>
      <c r="G943" s="33"/>
      <c r="H943" s="33"/>
      <c r="I943" s="33"/>
      <c r="J943" s="33"/>
      <c r="K943" s="33"/>
      <c r="L943" s="33"/>
      <c r="M943" s="33"/>
      <c r="N943" s="33"/>
      <c r="O943" s="33"/>
      <c r="P943" s="33"/>
      <c r="Q943" s="33"/>
      <c r="R943" s="33"/>
    </row>
    <row r="944">
      <c r="A944" s="33"/>
      <c r="B944" s="33"/>
      <c r="C944" s="33"/>
      <c r="D944" s="33"/>
      <c r="E944" s="33"/>
      <c r="F944" s="33"/>
      <c r="G944" s="33"/>
      <c r="H944" s="33"/>
      <c r="I944" s="33"/>
      <c r="J944" s="33"/>
      <c r="K944" s="33"/>
      <c r="L944" s="33"/>
      <c r="M944" s="33"/>
      <c r="N944" s="33"/>
      <c r="O944" s="33"/>
      <c r="P944" s="33"/>
      <c r="Q944" s="33"/>
      <c r="R944" s="33"/>
    </row>
    <row r="945">
      <c r="A945" s="33"/>
      <c r="B945" s="33"/>
      <c r="C945" s="33"/>
      <c r="D945" s="33"/>
      <c r="E945" s="33"/>
      <c r="F945" s="33"/>
      <c r="G945" s="33"/>
      <c r="H945" s="33"/>
      <c r="I945" s="33"/>
      <c r="J945" s="33"/>
      <c r="K945" s="33"/>
      <c r="L945" s="33"/>
      <c r="M945" s="33"/>
      <c r="N945" s="33"/>
      <c r="O945" s="33"/>
      <c r="P945" s="33"/>
      <c r="Q945" s="33"/>
      <c r="R945" s="33"/>
    </row>
    <row r="946">
      <c r="A946" s="33"/>
      <c r="B946" s="33"/>
      <c r="C946" s="33"/>
      <c r="D946" s="33"/>
      <c r="E946" s="33"/>
      <c r="F946" s="33"/>
      <c r="G946" s="33"/>
      <c r="H946" s="33"/>
      <c r="I946" s="33"/>
      <c r="J946" s="33"/>
      <c r="K946" s="33"/>
      <c r="L946" s="33"/>
      <c r="M946" s="33"/>
      <c r="N946" s="33"/>
      <c r="O946" s="33"/>
      <c r="P946" s="33"/>
      <c r="Q946" s="33"/>
      <c r="R946" s="33"/>
    </row>
    <row r="947">
      <c r="A947" s="33"/>
      <c r="B947" s="33"/>
      <c r="C947" s="33"/>
      <c r="D947" s="33"/>
      <c r="E947" s="33"/>
      <c r="F947" s="33"/>
      <c r="G947" s="33"/>
      <c r="H947" s="33"/>
      <c r="I947" s="33"/>
      <c r="J947" s="33"/>
      <c r="K947" s="33"/>
      <c r="L947" s="33"/>
      <c r="M947" s="33"/>
      <c r="N947" s="33"/>
      <c r="O947" s="33"/>
      <c r="P947" s="33"/>
      <c r="Q947" s="33"/>
      <c r="R947" s="33"/>
    </row>
    <row r="948">
      <c r="A948" s="33"/>
      <c r="B948" s="33"/>
      <c r="C948" s="33"/>
      <c r="D948" s="33"/>
      <c r="E948" s="33"/>
      <c r="F948" s="33"/>
      <c r="G948" s="33"/>
      <c r="H948" s="33"/>
      <c r="I948" s="33"/>
      <c r="J948" s="33"/>
      <c r="K948" s="33"/>
      <c r="L948" s="33"/>
      <c r="M948" s="33"/>
      <c r="N948" s="33"/>
      <c r="O948" s="33"/>
      <c r="P948" s="33"/>
      <c r="Q948" s="33"/>
      <c r="R948" s="33"/>
    </row>
    <row r="949">
      <c r="A949" s="33"/>
      <c r="B949" s="33"/>
      <c r="C949" s="33"/>
      <c r="D949" s="33"/>
      <c r="E949" s="33"/>
      <c r="F949" s="33"/>
      <c r="G949" s="33"/>
      <c r="H949" s="33"/>
      <c r="I949" s="33"/>
      <c r="J949" s="33"/>
      <c r="K949" s="33"/>
      <c r="L949" s="33"/>
      <c r="M949" s="33"/>
      <c r="N949" s="33"/>
      <c r="O949" s="33"/>
      <c r="P949" s="33"/>
      <c r="Q949" s="33"/>
      <c r="R949" s="33"/>
    </row>
    <row r="950">
      <c r="A950" s="33"/>
      <c r="B950" s="33"/>
      <c r="C950" s="33"/>
      <c r="D950" s="33"/>
      <c r="E950" s="33"/>
      <c r="F950" s="33"/>
      <c r="G950" s="33"/>
      <c r="H950" s="33"/>
      <c r="I950" s="33"/>
      <c r="J950" s="33"/>
      <c r="K950" s="33"/>
      <c r="L950" s="33"/>
      <c r="M950" s="33"/>
      <c r="N950" s="33"/>
      <c r="O950" s="33"/>
      <c r="P950" s="33"/>
      <c r="Q950" s="33"/>
      <c r="R950" s="33"/>
    </row>
    <row r="951">
      <c r="A951" s="33"/>
      <c r="B951" s="33"/>
      <c r="C951" s="33"/>
      <c r="D951" s="33"/>
      <c r="E951" s="33"/>
      <c r="F951" s="33"/>
      <c r="G951" s="33"/>
      <c r="H951" s="33"/>
      <c r="I951" s="33"/>
      <c r="J951" s="33"/>
      <c r="K951" s="33"/>
      <c r="L951" s="33"/>
      <c r="M951" s="33"/>
      <c r="N951" s="33"/>
      <c r="O951" s="33"/>
      <c r="P951" s="33"/>
      <c r="Q951" s="33"/>
      <c r="R951" s="33"/>
    </row>
    <row r="952">
      <c r="A952" s="33"/>
      <c r="B952" s="33"/>
      <c r="C952" s="33"/>
      <c r="D952" s="33"/>
      <c r="E952" s="33"/>
      <c r="F952" s="33"/>
      <c r="G952" s="33"/>
      <c r="H952" s="33"/>
      <c r="I952" s="33"/>
      <c r="J952" s="33"/>
      <c r="K952" s="33"/>
      <c r="L952" s="33"/>
      <c r="M952" s="33"/>
      <c r="N952" s="33"/>
      <c r="O952" s="33"/>
      <c r="P952" s="33"/>
      <c r="Q952" s="33"/>
      <c r="R952" s="33"/>
    </row>
    <row r="953">
      <c r="A953" s="33"/>
      <c r="B953" s="33"/>
      <c r="C953" s="33"/>
      <c r="D953" s="33"/>
      <c r="E953" s="33"/>
      <c r="F953" s="33"/>
      <c r="G953" s="33"/>
      <c r="H953" s="33"/>
      <c r="I953" s="33"/>
      <c r="J953" s="33"/>
      <c r="K953" s="33"/>
      <c r="L953" s="33"/>
      <c r="M953" s="33"/>
      <c r="N953" s="33"/>
      <c r="O953" s="33"/>
      <c r="P953" s="33"/>
      <c r="Q953" s="33"/>
      <c r="R953" s="33"/>
    </row>
    <row r="954">
      <c r="A954" s="33"/>
      <c r="B954" s="33"/>
      <c r="C954" s="33"/>
      <c r="D954" s="33"/>
      <c r="E954" s="33"/>
      <c r="F954" s="33"/>
      <c r="G954" s="33"/>
      <c r="H954" s="33"/>
      <c r="I954" s="33"/>
      <c r="J954" s="33"/>
      <c r="K954" s="33"/>
      <c r="L954" s="33"/>
      <c r="M954" s="33"/>
      <c r="N954" s="33"/>
      <c r="O954" s="33"/>
      <c r="P954" s="33"/>
      <c r="Q954" s="33"/>
      <c r="R954" s="33"/>
    </row>
    <row r="955">
      <c r="A955" s="33"/>
      <c r="B955" s="33"/>
      <c r="C955" s="33"/>
      <c r="D955" s="33"/>
      <c r="E955" s="33"/>
      <c r="F955" s="33"/>
      <c r="G955" s="33"/>
      <c r="H955" s="33"/>
      <c r="I955" s="33"/>
      <c r="J955" s="33"/>
      <c r="K955" s="33"/>
      <c r="L955" s="33"/>
      <c r="M955" s="33"/>
      <c r="N955" s="33"/>
      <c r="O955" s="33"/>
      <c r="P955" s="33"/>
      <c r="Q955" s="33"/>
      <c r="R955" s="33"/>
    </row>
    <row r="956">
      <c r="A956" s="33"/>
      <c r="B956" s="33"/>
      <c r="C956" s="33"/>
      <c r="D956" s="33"/>
      <c r="E956" s="33"/>
      <c r="F956" s="33"/>
      <c r="G956" s="33"/>
      <c r="H956" s="33"/>
      <c r="I956" s="33"/>
      <c r="J956" s="33"/>
      <c r="K956" s="33"/>
      <c r="L956" s="33"/>
      <c r="M956" s="33"/>
      <c r="N956" s="33"/>
      <c r="O956" s="33"/>
      <c r="P956" s="33"/>
      <c r="Q956" s="33"/>
      <c r="R956" s="33"/>
    </row>
    <row r="957">
      <c r="A957" s="33"/>
      <c r="B957" s="33"/>
      <c r="C957" s="33"/>
      <c r="D957" s="33"/>
      <c r="E957" s="33"/>
      <c r="F957" s="33"/>
      <c r="G957" s="33"/>
      <c r="H957" s="33"/>
      <c r="I957" s="33"/>
      <c r="J957" s="33"/>
      <c r="K957" s="33"/>
      <c r="L957" s="33"/>
      <c r="M957" s="33"/>
      <c r="N957" s="33"/>
      <c r="O957" s="33"/>
      <c r="P957" s="33"/>
      <c r="Q957" s="33"/>
      <c r="R957" s="33"/>
    </row>
    <row r="958">
      <c r="A958" s="33"/>
      <c r="B958" s="33"/>
      <c r="C958" s="33"/>
      <c r="D958" s="33"/>
      <c r="E958" s="33"/>
      <c r="F958" s="33"/>
      <c r="G958" s="33"/>
      <c r="H958" s="33"/>
      <c r="I958" s="33"/>
      <c r="J958" s="33"/>
      <c r="K958" s="33"/>
      <c r="L958" s="33"/>
      <c r="M958" s="33"/>
      <c r="N958" s="33"/>
      <c r="O958" s="33"/>
      <c r="P958" s="33"/>
      <c r="Q958" s="33"/>
      <c r="R958" s="33"/>
    </row>
    <row r="959">
      <c r="A959" s="33"/>
      <c r="B959" s="33"/>
      <c r="C959" s="33"/>
      <c r="D959" s="33"/>
      <c r="E959" s="33"/>
      <c r="F959" s="33"/>
      <c r="G959" s="33"/>
      <c r="H959" s="33"/>
      <c r="I959" s="33"/>
      <c r="J959" s="33"/>
      <c r="K959" s="33"/>
      <c r="L959" s="33"/>
      <c r="M959" s="33"/>
      <c r="N959" s="33"/>
      <c r="O959" s="33"/>
      <c r="P959" s="33"/>
      <c r="Q959" s="33"/>
      <c r="R959" s="33"/>
    </row>
    <row r="960">
      <c r="A960" s="33"/>
      <c r="B960" s="33"/>
      <c r="C960" s="33"/>
      <c r="D960" s="33"/>
      <c r="E960" s="33"/>
      <c r="F960" s="33"/>
      <c r="G960" s="33"/>
      <c r="H960" s="33"/>
      <c r="I960" s="33"/>
      <c r="J960" s="33"/>
      <c r="K960" s="33"/>
      <c r="L960" s="33"/>
      <c r="M960" s="33"/>
      <c r="N960" s="33"/>
      <c r="O960" s="33"/>
      <c r="P960" s="33"/>
      <c r="Q960" s="33"/>
      <c r="R960" s="33"/>
    </row>
    <row r="961">
      <c r="A961" s="33"/>
      <c r="B961" s="33"/>
      <c r="C961" s="33"/>
      <c r="D961" s="33"/>
      <c r="E961" s="33"/>
      <c r="F961" s="33"/>
      <c r="G961" s="33"/>
      <c r="H961" s="33"/>
      <c r="I961" s="33"/>
      <c r="J961" s="33"/>
      <c r="K961" s="33"/>
      <c r="L961" s="33"/>
      <c r="M961" s="33"/>
      <c r="N961" s="33"/>
      <c r="O961" s="33"/>
      <c r="P961" s="33"/>
      <c r="Q961" s="33"/>
      <c r="R961" s="33"/>
    </row>
    <row r="962">
      <c r="A962" s="33"/>
      <c r="B962" s="33"/>
      <c r="C962" s="33"/>
      <c r="D962" s="33"/>
      <c r="E962" s="33"/>
      <c r="F962" s="33"/>
      <c r="G962" s="33"/>
      <c r="H962" s="33"/>
      <c r="I962" s="33"/>
      <c r="J962" s="33"/>
      <c r="K962" s="33"/>
      <c r="L962" s="33"/>
      <c r="M962" s="33"/>
      <c r="N962" s="33"/>
      <c r="O962" s="33"/>
      <c r="P962" s="33"/>
      <c r="Q962" s="33"/>
      <c r="R962" s="33"/>
    </row>
    <row r="963">
      <c r="A963" s="33"/>
      <c r="B963" s="33"/>
      <c r="C963" s="33"/>
      <c r="D963" s="33"/>
      <c r="E963" s="33"/>
      <c r="F963" s="33"/>
      <c r="G963" s="33"/>
      <c r="H963" s="33"/>
      <c r="I963" s="33"/>
      <c r="J963" s="33"/>
      <c r="K963" s="33"/>
      <c r="L963" s="33"/>
      <c r="M963" s="33"/>
      <c r="N963" s="33"/>
      <c r="O963" s="33"/>
      <c r="P963" s="33"/>
      <c r="Q963" s="33"/>
      <c r="R963" s="33"/>
    </row>
    <row r="964">
      <c r="A964" s="33"/>
      <c r="B964" s="33"/>
      <c r="C964" s="33"/>
      <c r="D964" s="33"/>
      <c r="E964" s="33"/>
      <c r="F964" s="33"/>
      <c r="G964" s="33"/>
      <c r="H964" s="33"/>
      <c r="I964" s="33"/>
      <c r="J964" s="33"/>
      <c r="K964" s="33"/>
      <c r="L964" s="33"/>
      <c r="M964" s="33"/>
      <c r="N964" s="33"/>
      <c r="O964" s="33"/>
      <c r="P964" s="33"/>
      <c r="Q964" s="33"/>
      <c r="R964" s="33"/>
    </row>
    <row r="965">
      <c r="A965" s="33"/>
      <c r="B965" s="33"/>
      <c r="C965" s="33"/>
      <c r="D965" s="33"/>
      <c r="E965" s="33"/>
      <c r="F965" s="33"/>
      <c r="G965" s="33"/>
      <c r="H965" s="33"/>
      <c r="I965" s="33"/>
      <c r="J965" s="33"/>
      <c r="K965" s="33"/>
      <c r="L965" s="33"/>
      <c r="M965" s="33"/>
      <c r="N965" s="33"/>
      <c r="O965" s="33"/>
      <c r="P965" s="33"/>
      <c r="Q965" s="33"/>
      <c r="R965" s="33"/>
    </row>
    <row r="966">
      <c r="A966" s="33"/>
      <c r="B966" s="33"/>
      <c r="C966" s="33"/>
      <c r="D966" s="33"/>
      <c r="E966" s="33"/>
      <c r="F966" s="33"/>
      <c r="G966" s="33"/>
      <c r="H966" s="33"/>
      <c r="I966" s="33"/>
      <c r="J966" s="33"/>
      <c r="K966" s="33"/>
      <c r="L966" s="33"/>
      <c r="M966" s="33"/>
      <c r="N966" s="33"/>
      <c r="O966" s="33"/>
      <c r="P966" s="33"/>
      <c r="Q966" s="33"/>
      <c r="R966" s="33"/>
    </row>
    <row r="967">
      <c r="A967" s="33"/>
      <c r="B967" s="33"/>
      <c r="C967" s="33"/>
      <c r="D967" s="33"/>
      <c r="E967" s="33"/>
      <c r="F967" s="33"/>
      <c r="G967" s="33"/>
      <c r="H967" s="33"/>
      <c r="I967" s="33"/>
      <c r="J967" s="33"/>
      <c r="K967" s="33"/>
      <c r="L967" s="33"/>
      <c r="M967" s="33"/>
      <c r="N967" s="33"/>
      <c r="O967" s="33"/>
      <c r="P967" s="33"/>
      <c r="Q967" s="33"/>
      <c r="R967" s="33"/>
    </row>
    <row r="968">
      <c r="A968" s="33"/>
      <c r="B968" s="33"/>
      <c r="C968" s="33"/>
      <c r="D968" s="33"/>
      <c r="E968" s="33"/>
      <c r="F968" s="33"/>
      <c r="G968" s="33"/>
      <c r="H968" s="33"/>
      <c r="I968" s="33"/>
      <c r="J968" s="33"/>
      <c r="K968" s="33"/>
      <c r="L968" s="33"/>
      <c r="M968" s="33"/>
      <c r="N968" s="33"/>
      <c r="O968" s="33"/>
      <c r="P968" s="33"/>
      <c r="Q968" s="33"/>
      <c r="R968" s="33"/>
    </row>
    <row r="969">
      <c r="A969" s="33"/>
      <c r="B969" s="33"/>
      <c r="C969" s="33"/>
      <c r="D969" s="33"/>
      <c r="E969" s="33"/>
      <c r="F969" s="33"/>
      <c r="G969" s="33"/>
      <c r="H969" s="33"/>
      <c r="I969" s="33"/>
      <c r="J969" s="33"/>
      <c r="K969" s="33"/>
      <c r="L969" s="33"/>
      <c r="M969" s="33"/>
      <c r="N969" s="33"/>
      <c r="O969" s="33"/>
      <c r="P969" s="33"/>
      <c r="Q969" s="33"/>
      <c r="R969" s="33"/>
    </row>
    <row r="970">
      <c r="A970" s="33"/>
      <c r="B970" s="33"/>
      <c r="C970" s="33"/>
      <c r="D970" s="33"/>
      <c r="E970" s="33"/>
      <c r="F970" s="33"/>
      <c r="G970" s="33"/>
      <c r="H970" s="33"/>
      <c r="I970" s="33"/>
      <c r="J970" s="33"/>
      <c r="K970" s="33"/>
      <c r="L970" s="33"/>
      <c r="M970" s="33"/>
      <c r="N970" s="33"/>
      <c r="O970" s="33"/>
      <c r="P970" s="33"/>
      <c r="Q970" s="33"/>
      <c r="R970" s="33"/>
    </row>
    <row r="971">
      <c r="A971" s="33"/>
      <c r="B971" s="33"/>
      <c r="C971" s="33"/>
      <c r="D971" s="33"/>
      <c r="E971" s="33"/>
      <c r="F971" s="33"/>
      <c r="G971" s="33"/>
      <c r="H971" s="33"/>
      <c r="I971" s="33"/>
      <c r="J971" s="33"/>
      <c r="K971" s="33"/>
      <c r="L971" s="33"/>
      <c r="M971" s="33"/>
      <c r="N971" s="33"/>
      <c r="O971" s="33"/>
      <c r="P971" s="33"/>
      <c r="Q971" s="33"/>
      <c r="R971" s="33"/>
    </row>
    <row r="972">
      <c r="A972" s="33"/>
      <c r="B972" s="33"/>
      <c r="C972" s="33"/>
      <c r="D972" s="33"/>
      <c r="E972" s="33"/>
      <c r="F972" s="33"/>
      <c r="G972" s="33"/>
      <c r="H972" s="33"/>
      <c r="I972" s="33"/>
      <c r="J972" s="33"/>
      <c r="K972" s="33"/>
      <c r="L972" s="33"/>
      <c r="M972" s="33"/>
      <c r="N972" s="33"/>
      <c r="O972" s="33"/>
      <c r="P972" s="33"/>
      <c r="Q972" s="33"/>
      <c r="R972" s="33"/>
    </row>
    <row r="973">
      <c r="A973" s="33"/>
      <c r="B973" s="33"/>
      <c r="C973" s="33"/>
      <c r="D973" s="33"/>
      <c r="E973" s="33"/>
      <c r="F973" s="33"/>
      <c r="G973" s="33"/>
      <c r="H973" s="33"/>
      <c r="I973" s="33"/>
      <c r="J973" s="33"/>
      <c r="K973" s="33"/>
      <c r="L973" s="33"/>
      <c r="M973" s="33"/>
      <c r="N973" s="33"/>
      <c r="O973" s="33"/>
      <c r="P973" s="33"/>
      <c r="Q973" s="33"/>
      <c r="R973" s="33"/>
    </row>
    <row r="974">
      <c r="A974" s="33"/>
      <c r="B974" s="33"/>
      <c r="C974" s="33"/>
      <c r="D974" s="33"/>
      <c r="E974" s="33"/>
      <c r="F974" s="33"/>
      <c r="G974" s="33"/>
      <c r="H974" s="33"/>
      <c r="I974" s="33"/>
      <c r="J974" s="33"/>
      <c r="K974" s="33"/>
      <c r="L974" s="33"/>
      <c r="M974" s="33"/>
      <c r="N974" s="33"/>
      <c r="O974" s="33"/>
      <c r="P974" s="33"/>
      <c r="Q974" s="33"/>
      <c r="R974" s="33"/>
    </row>
    <row r="975">
      <c r="A975" s="33"/>
      <c r="B975" s="33"/>
      <c r="C975" s="33"/>
      <c r="D975" s="33"/>
      <c r="E975" s="33"/>
      <c r="F975" s="33"/>
      <c r="G975" s="33"/>
      <c r="H975" s="33"/>
      <c r="I975" s="33"/>
      <c r="J975" s="33"/>
      <c r="K975" s="33"/>
      <c r="L975" s="33"/>
      <c r="M975" s="33"/>
      <c r="N975" s="33"/>
      <c r="O975" s="33"/>
      <c r="P975" s="33"/>
      <c r="Q975" s="33"/>
      <c r="R975" s="33"/>
    </row>
    <row r="976">
      <c r="A976" s="33"/>
      <c r="B976" s="33"/>
      <c r="C976" s="33"/>
      <c r="D976" s="33"/>
      <c r="E976" s="33"/>
      <c r="F976" s="33"/>
      <c r="G976" s="33"/>
      <c r="H976" s="33"/>
      <c r="I976" s="33"/>
      <c r="J976" s="33"/>
      <c r="K976" s="33"/>
      <c r="L976" s="33"/>
      <c r="M976" s="33"/>
      <c r="N976" s="33"/>
      <c r="O976" s="33"/>
      <c r="P976" s="33"/>
      <c r="Q976" s="33"/>
      <c r="R976" s="33"/>
    </row>
    <row r="977">
      <c r="A977" s="33"/>
      <c r="B977" s="33"/>
      <c r="C977" s="33"/>
      <c r="D977" s="33"/>
      <c r="E977" s="33"/>
      <c r="F977" s="33"/>
      <c r="G977" s="33"/>
      <c r="H977" s="33"/>
      <c r="I977" s="33"/>
      <c r="J977" s="33"/>
      <c r="K977" s="33"/>
      <c r="L977" s="33"/>
      <c r="M977" s="33"/>
      <c r="N977" s="33"/>
      <c r="O977" s="33"/>
      <c r="P977" s="33"/>
      <c r="Q977" s="33"/>
      <c r="R977" s="33"/>
    </row>
    <row r="978">
      <c r="A978" s="33"/>
      <c r="B978" s="33"/>
      <c r="C978" s="33"/>
      <c r="D978" s="33"/>
      <c r="E978" s="33"/>
      <c r="F978" s="33"/>
      <c r="G978" s="33"/>
      <c r="H978" s="33"/>
      <c r="I978" s="33"/>
      <c r="J978" s="33"/>
      <c r="K978" s="33"/>
      <c r="L978" s="33"/>
      <c r="M978" s="33"/>
      <c r="N978" s="33"/>
      <c r="O978" s="33"/>
      <c r="P978" s="33"/>
      <c r="Q978" s="33"/>
      <c r="R978" s="33"/>
    </row>
    <row r="979">
      <c r="A979" s="33"/>
      <c r="B979" s="33"/>
      <c r="C979" s="33"/>
      <c r="D979" s="33"/>
      <c r="E979" s="33"/>
      <c r="F979" s="33"/>
      <c r="G979" s="33"/>
      <c r="H979" s="33"/>
      <c r="I979" s="33"/>
      <c r="J979" s="33"/>
      <c r="K979" s="33"/>
      <c r="L979" s="33"/>
      <c r="M979" s="33"/>
      <c r="N979" s="33"/>
      <c r="O979" s="33"/>
      <c r="P979" s="33"/>
      <c r="Q979" s="33"/>
      <c r="R979" s="33"/>
    </row>
    <row r="980">
      <c r="A980" s="33"/>
      <c r="B980" s="33"/>
      <c r="C980" s="33"/>
      <c r="D980" s="33"/>
      <c r="E980" s="33"/>
      <c r="F980" s="33"/>
      <c r="G980" s="33"/>
      <c r="H980" s="33"/>
      <c r="I980" s="33"/>
      <c r="J980" s="33"/>
      <c r="K980" s="33"/>
      <c r="L980" s="33"/>
      <c r="M980" s="33"/>
      <c r="N980" s="33"/>
      <c r="O980" s="33"/>
      <c r="P980" s="33"/>
      <c r="Q980" s="33"/>
      <c r="R980" s="33"/>
    </row>
    <row r="981">
      <c r="A981" s="33"/>
      <c r="B981" s="33"/>
      <c r="C981" s="33"/>
      <c r="D981" s="33"/>
      <c r="E981" s="33"/>
      <c r="F981" s="33"/>
      <c r="G981" s="33"/>
      <c r="H981" s="33"/>
      <c r="I981" s="33"/>
      <c r="J981" s="33"/>
      <c r="K981" s="33"/>
      <c r="L981" s="33"/>
      <c r="M981" s="33"/>
      <c r="N981" s="33"/>
      <c r="O981" s="33"/>
      <c r="P981" s="33"/>
      <c r="Q981" s="33"/>
      <c r="R981" s="33"/>
    </row>
    <row r="982">
      <c r="A982" s="33"/>
      <c r="B982" s="33"/>
      <c r="C982" s="33"/>
      <c r="D982" s="33"/>
      <c r="E982" s="33"/>
      <c r="F982" s="33"/>
      <c r="G982" s="33"/>
      <c r="H982" s="33"/>
      <c r="I982" s="33"/>
      <c r="J982" s="33"/>
      <c r="K982" s="33"/>
      <c r="L982" s="33"/>
      <c r="M982" s="33"/>
      <c r="N982" s="33"/>
      <c r="O982" s="33"/>
      <c r="P982" s="33"/>
      <c r="Q982" s="33"/>
      <c r="R982" s="33"/>
    </row>
    <row r="983">
      <c r="A983" s="33"/>
      <c r="B983" s="33"/>
      <c r="C983" s="33"/>
      <c r="D983" s="33"/>
      <c r="E983" s="33"/>
      <c r="F983" s="33"/>
      <c r="G983" s="33"/>
      <c r="H983" s="33"/>
      <c r="I983" s="33"/>
      <c r="J983" s="33"/>
      <c r="K983" s="33"/>
      <c r="L983" s="33"/>
      <c r="M983" s="33"/>
      <c r="N983" s="33"/>
      <c r="O983" s="33"/>
      <c r="P983" s="33"/>
      <c r="Q983" s="33"/>
      <c r="R983" s="33"/>
    </row>
    <row r="984">
      <c r="A984" s="33"/>
      <c r="B984" s="33"/>
      <c r="C984" s="33"/>
      <c r="D984" s="33"/>
      <c r="E984" s="33"/>
      <c r="F984" s="33"/>
      <c r="G984" s="33"/>
      <c r="H984" s="33"/>
      <c r="I984" s="33"/>
      <c r="J984" s="33"/>
      <c r="K984" s="33"/>
      <c r="L984" s="33"/>
      <c r="M984" s="33"/>
      <c r="N984" s="33"/>
      <c r="O984" s="33"/>
      <c r="P984" s="33"/>
      <c r="Q984" s="33"/>
      <c r="R984" s="33"/>
    </row>
    <row r="985">
      <c r="A985" s="33"/>
      <c r="B985" s="33"/>
      <c r="C985" s="33"/>
      <c r="D985" s="33"/>
      <c r="E985" s="33"/>
      <c r="F985" s="33"/>
      <c r="G985" s="33"/>
      <c r="H985" s="33"/>
      <c r="I985" s="33"/>
      <c r="J985" s="33"/>
      <c r="K985" s="33"/>
      <c r="L985" s="33"/>
      <c r="M985" s="33"/>
      <c r="N985" s="33"/>
      <c r="O985" s="33"/>
      <c r="P985" s="33"/>
      <c r="Q985" s="33"/>
      <c r="R985" s="33"/>
    </row>
    <row r="986">
      <c r="A986" s="33"/>
      <c r="B986" s="33"/>
      <c r="C986" s="33"/>
      <c r="D986" s="33"/>
      <c r="E986" s="33"/>
      <c r="F986" s="33"/>
      <c r="G986" s="33"/>
      <c r="H986" s="33"/>
      <c r="I986" s="33"/>
      <c r="J986" s="33"/>
      <c r="K986" s="33"/>
      <c r="L986" s="33"/>
      <c r="M986" s="33"/>
      <c r="N986" s="33"/>
      <c r="O986" s="33"/>
      <c r="P986" s="33"/>
      <c r="Q986" s="33"/>
      <c r="R986" s="33"/>
    </row>
    <row r="987">
      <c r="A987" s="33"/>
      <c r="B987" s="33"/>
      <c r="C987" s="33"/>
      <c r="D987" s="33"/>
      <c r="E987" s="33"/>
      <c r="F987" s="33"/>
      <c r="G987" s="33"/>
      <c r="H987" s="33"/>
      <c r="I987" s="33"/>
      <c r="J987" s="33"/>
      <c r="K987" s="33"/>
      <c r="L987" s="33"/>
      <c r="M987" s="33"/>
      <c r="N987" s="33"/>
      <c r="O987" s="33"/>
      <c r="P987" s="33"/>
      <c r="Q987" s="33"/>
      <c r="R987" s="33"/>
    </row>
    <row r="988">
      <c r="A988" s="33"/>
      <c r="B988" s="33"/>
      <c r="C988" s="33"/>
      <c r="D988" s="33"/>
      <c r="E988" s="33"/>
      <c r="F988" s="33"/>
      <c r="G988" s="33"/>
      <c r="H988" s="33"/>
      <c r="I988" s="33"/>
      <c r="J988" s="33"/>
      <c r="K988" s="33"/>
      <c r="L988" s="33"/>
      <c r="M988" s="33"/>
      <c r="N988" s="33"/>
      <c r="O988" s="33"/>
      <c r="P988" s="33"/>
      <c r="Q988" s="33"/>
      <c r="R988" s="33"/>
    </row>
    <row r="989">
      <c r="A989" s="33"/>
      <c r="B989" s="33"/>
      <c r="C989" s="33"/>
      <c r="D989" s="33"/>
      <c r="E989" s="33"/>
      <c r="F989" s="33"/>
      <c r="G989" s="33"/>
      <c r="H989" s="33"/>
      <c r="I989" s="33"/>
      <c r="J989" s="33"/>
      <c r="K989" s="33"/>
      <c r="L989" s="33"/>
      <c r="M989" s="33"/>
      <c r="N989" s="33"/>
      <c r="O989" s="33"/>
      <c r="P989" s="33"/>
      <c r="Q989" s="33"/>
      <c r="R989" s="33"/>
    </row>
    <row r="990">
      <c r="A990" s="33"/>
      <c r="B990" s="33"/>
      <c r="C990" s="33"/>
      <c r="D990" s="33"/>
      <c r="E990" s="33"/>
      <c r="F990" s="33"/>
      <c r="G990" s="33"/>
      <c r="H990" s="33"/>
      <c r="I990" s="33"/>
      <c r="J990" s="33"/>
      <c r="K990" s="33"/>
      <c r="L990" s="33"/>
      <c r="M990" s="33"/>
      <c r="N990" s="33"/>
      <c r="O990" s="33"/>
      <c r="P990" s="33"/>
      <c r="Q990" s="33"/>
      <c r="R990" s="33"/>
    </row>
    <row r="991">
      <c r="A991" s="33"/>
      <c r="B991" s="33"/>
      <c r="C991" s="33"/>
      <c r="D991" s="33"/>
      <c r="E991" s="33"/>
      <c r="F991" s="33"/>
      <c r="G991" s="33"/>
      <c r="H991" s="33"/>
      <c r="I991" s="33"/>
      <c r="J991" s="33"/>
      <c r="K991" s="33"/>
      <c r="L991" s="33"/>
      <c r="M991" s="33"/>
      <c r="N991" s="33"/>
      <c r="O991" s="33"/>
      <c r="P991" s="33"/>
      <c r="Q991" s="33"/>
      <c r="R991" s="33"/>
    </row>
    <row r="992">
      <c r="A992" s="33"/>
      <c r="B992" s="33"/>
      <c r="C992" s="33"/>
      <c r="D992" s="33"/>
      <c r="E992" s="33"/>
      <c r="F992" s="33"/>
      <c r="G992" s="33"/>
      <c r="H992" s="33"/>
      <c r="I992" s="33"/>
      <c r="J992" s="33"/>
      <c r="K992" s="33"/>
      <c r="L992" s="33"/>
      <c r="M992" s="33"/>
      <c r="N992" s="33"/>
      <c r="O992" s="33"/>
      <c r="P992" s="33"/>
      <c r="Q992" s="33"/>
      <c r="R992" s="33"/>
    </row>
    <row r="993">
      <c r="A993" s="33"/>
      <c r="B993" s="33"/>
      <c r="C993" s="33"/>
      <c r="D993" s="33"/>
      <c r="E993" s="33"/>
      <c r="F993" s="33"/>
      <c r="G993" s="33"/>
      <c r="H993" s="33"/>
      <c r="I993" s="33"/>
      <c r="J993" s="33"/>
      <c r="K993" s="33"/>
      <c r="L993" s="33"/>
      <c r="M993" s="33"/>
      <c r="N993" s="33"/>
      <c r="O993" s="33"/>
      <c r="P993" s="33"/>
      <c r="Q993" s="33"/>
      <c r="R993" s="33"/>
    </row>
    <row r="994">
      <c r="A994" s="33"/>
      <c r="B994" s="33"/>
      <c r="C994" s="33"/>
      <c r="D994" s="33"/>
      <c r="E994" s="33"/>
      <c r="F994" s="33"/>
      <c r="G994" s="33"/>
      <c r="H994" s="33"/>
      <c r="I994" s="33"/>
      <c r="J994" s="33"/>
      <c r="K994" s="33"/>
      <c r="L994" s="33"/>
      <c r="M994" s="33"/>
      <c r="N994" s="33"/>
      <c r="O994" s="33"/>
      <c r="P994" s="33"/>
      <c r="Q994" s="33"/>
      <c r="R994" s="33"/>
    </row>
    <row r="995">
      <c r="A995" s="33"/>
      <c r="B995" s="33"/>
      <c r="C995" s="33"/>
      <c r="D995" s="33"/>
      <c r="E995" s="33"/>
      <c r="F995" s="33"/>
      <c r="G995" s="33"/>
      <c r="H995" s="33"/>
      <c r="I995" s="33"/>
      <c r="J995" s="33"/>
      <c r="K995" s="33"/>
      <c r="L995" s="33"/>
      <c r="M995" s="33"/>
      <c r="N995" s="33"/>
      <c r="O995" s="33"/>
      <c r="P995" s="33"/>
      <c r="Q995" s="33"/>
      <c r="R995" s="33"/>
    </row>
    <row r="996">
      <c r="A996" s="33"/>
      <c r="B996" s="33"/>
      <c r="C996" s="33"/>
      <c r="D996" s="33"/>
      <c r="E996" s="33"/>
      <c r="F996" s="33"/>
      <c r="G996" s="33"/>
      <c r="H996" s="33"/>
      <c r="I996" s="33"/>
      <c r="J996" s="33"/>
      <c r="K996" s="33"/>
      <c r="L996" s="33"/>
      <c r="M996" s="33"/>
      <c r="N996" s="33"/>
      <c r="O996" s="33"/>
      <c r="P996" s="33"/>
      <c r="Q996" s="33"/>
      <c r="R996" s="33"/>
    </row>
    <row r="997">
      <c r="A997" s="33"/>
      <c r="B997" s="33"/>
      <c r="C997" s="33"/>
      <c r="D997" s="33"/>
      <c r="E997" s="33"/>
      <c r="F997" s="33"/>
      <c r="G997" s="33"/>
      <c r="H997" s="33"/>
      <c r="I997" s="33"/>
      <c r="J997" s="33"/>
      <c r="K997" s="33"/>
      <c r="L997" s="33"/>
      <c r="M997" s="33"/>
      <c r="N997" s="33"/>
      <c r="O997" s="33"/>
      <c r="P997" s="33"/>
      <c r="Q997" s="33"/>
      <c r="R997" s="33"/>
    </row>
    <row r="998">
      <c r="A998" s="33"/>
      <c r="B998" s="33"/>
      <c r="C998" s="33"/>
      <c r="D998" s="33"/>
      <c r="E998" s="33"/>
      <c r="F998" s="33"/>
      <c r="G998" s="33"/>
      <c r="H998" s="33"/>
      <c r="I998" s="33"/>
      <c r="J998" s="33"/>
      <c r="K998" s="33"/>
      <c r="L998" s="33"/>
      <c r="M998" s="33"/>
      <c r="N998" s="33"/>
      <c r="O998" s="33"/>
      <c r="P998" s="33"/>
      <c r="Q998" s="33"/>
      <c r="R998" s="33"/>
    </row>
    <row r="999">
      <c r="A999" s="33"/>
      <c r="B999" s="33"/>
      <c r="C999" s="33"/>
      <c r="D999" s="33"/>
      <c r="E999" s="33"/>
      <c r="F999" s="33"/>
      <c r="G999" s="33"/>
      <c r="H999" s="33"/>
      <c r="I999" s="33"/>
      <c r="J999" s="33"/>
      <c r="K999" s="33"/>
      <c r="L999" s="33"/>
      <c r="M999" s="33"/>
      <c r="N999" s="33"/>
      <c r="O999" s="33"/>
      <c r="P999" s="33"/>
      <c r="Q999" s="33"/>
      <c r="R999" s="33"/>
    </row>
    <row r="1000">
      <c r="A1000" s="33"/>
      <c r="B1000" s="33"/>
      <c r="C1000" s="33"/>
      <c r="D1000" s="33"/>
      <c r="E1000" s="33"/>
      <c r="F1000" s="33"/>
      <c r="G1000" s="33"/>
      <c r="H1000" s="33"/>
      <c r="I1000" s="33"/>
      <c r="J1000" s="33"/>
      <c r="K1000" s="33"/>
      <c r="L1000" s="33"/>
      <c r="M1000" s="33"/>
      <c r="N1000" s="33"/>
      <c r="O1000" s="33"/>
      <c r="P1000" s="33"/>
      <c r="Q1000" s="33"/>
      <c r="R1000" s="33"/>
    </row>
    <row r="1001">
      <c r="A1001" s="33"/>
      <c r="B1001" s="33"/>
      <c r="C1001" s="33"/>
      <c r="D1001" s="33"/>
      <c r="E1001" s="33"/>
      <c r="F1001" s="33"/>
      <c r="G1001" s="33"/>
      <c r="H1001" s="33"/>
      <c r="I1001" s="33"/>
      <c r="J1001" s="33"/>
      <c r="K1001" s="33"/>
      <c r="L1001" s="33"/>
      <c r="M1001" s="33"/>
      <c r="N1001" s="33"/>
      <c r="O1001" s="33"/>
      <c r="P1001" s="33"/>
      <c r="Q1001" s="33"/>
      <c r="R1001" s="33"/>
    </row>
    <row r="1002">
      <c r="A1002" s="33"/>
      <c r="B1002" s="33"/>
      <c r="C1002" s="33"/>
      <c r="D1002" s="33"/>
      <c r="E1002" s="33"/>
      <c r="F1002" s="33"/>
      <c r="G1002" s="33"/>
      <c r="H1002" s="33"/>
      <c r="I1002" s="33"/>
      <c r="J1002" s="33"/>
      <c r="K1002" s="33"/>
      <c r="L1002" s="33"/>
      <c r="M1002" s="33"/>
      <c r="N1002" s="33"/>
      <c r="O1002" s="33"/>
      <c r="P1002" s="33"/>
      <c r="Q1002" s="33"/>
      <c r="R1002" s="33"/>
    </row>
    <row r="1003">
      <c r="A1003" s="33"/>
      <c r="B1003" s="33"/>
      <c r="C1003" s="33"/>
      <c r="D1003" s="33"/>
      <c r="E1003" s="33"/>
      <c r="F1003" s="33"/>
      <c r="G1003" s="33"/>
      <c r="H1003" s="33"/>
      <c r="I1003" s="33"/>
      <c r="J1003" s="33"/>
      <c r="K1003" s="33"/>
      <c r="L1003" s="33"/>
      <c r="M1003" s="33"/>
      <c r="N1003" s="33"/>
      <c r="O1003" s="33"/>
      <c r="P1003" s="33"/>
      <c r="Q1003" s="33"/>
      <c r="R1003" s="33"/>
    </row>
    <row r="1004">
      <c r="A1004" s="33"/>
      <c r="B1004" s="33"/>
      <c r="C1004" s="33"/>
      <c r="D1004" s="33"/>
      <c r="E1004" s="33"/>
      <c r="F1004" s="33"/>
      <c r="G1004" s="33"/>
      <c r="H1004" s="33"/>
      <c r="I1004" s="33"/>
      <c r="J1004" s="33"/>
      <c r="K1004" s="33"/>
      <c r="L1004" s="33"/>
      <c r="M1004" s="33"/>
      <c r="N1004" s="33"/>
      <c r="O1004" s="33"/>
      <c r="P1004" s="33"/>
      <c r="Q1004" s="33"/>
      <c r="R1004" s="33"/>
    </row>
    <row r="1005">
      <c r="A1005" s="33"/>
      <c r="B1005" s="33"/>
      <c r="C1005" s="33"/>
      <c r="D1005" s="33"/>
      <c r="E1005" s="33"/>
      <c r="F1005" s="33"/>
      <c r="G1005" s="33"/>
      <c r="H1005" s="33"/>
      <c r="I1005" s="33"/>
      <c r="J1005" s="33"/>
      <c r="K1005" s="33"/>
      <c r="L1005" s="33"/>
      <c r="M1005" s="33"/>
      <c r="N1005" s="33"/>
      <c r="O1005" s="33"/>
      <c r="P1005" s="33"/>
      <c r="Q1005" s="33"/>
      <c r="R1005" s="33"/>
    </row>
  </sheetData>
  <autoFilter ref="$A$1:$R$26"/>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15.0"/>
    <col customWidth="1" min="3" max="3" width="15.63"/>
  </cols>
  <sheetData>
    <row r="1" ht="43.5" customHeight="1">
      <c r="A1" s="151" t="s">
        <v>38</v>
      </c>
      <c r="B1" s="151" t="s">
        <v>90</v>
      </c>
      <c r="C1" s="152" t="s">
        <v>287</v>
      </c>
      <c r="D1" s="151" t="s">
        <v>281</v>
      </c>
      <c r="E1" s="151" t="s">
        <v>209</v>
      </c>
      <c r="F1" s="151" t="s">
        <v>213</v>
      </c>
      <c r="G1" s="151" t="s">
        <v>216</v>
      </c>
      <c r="H1" s="151" t="s">
        <v>282</v>
      </c>
      <c r="I1" s="151" t="s">
        <v>222</v>
      </c>
      <c r="J1" s="151" t="s">
        <v>272</v>
      </c>
      <c r="K1" s="151" t="s">
        <v>276</v>
      </c>
      <c r="L1" s="151" t="s">
        <v>232</v>
      </c>
      <c r="M1" s="151" t="s">
        <v>235</v>
      </c>
      <c r="N1" s="151" t="s">
        <v>238</v>
      </c>
      <c r="O1" s="151" t="s">
        <v>242</v>
      </c>
      <c r="P1" s="151" t="s">
        <v>43</v>
      </c>
      <c r="Q1" s="151" t="s">
        <v>247</v>
      </c>
      <c r="R1" s="153" t="s">
        <v>285</v>
      </c>
    </row>
    <row r="2">
      <c r="A2" s="29">
        <v>1.0</v>
      </c>
      <c r="B2" s="29" t="s">
        <v>52</v>
      </c>
      <c r="C2" s="33">
        <f>R2/Weights_by_Category[[#TOTALS],[DOMINANT]]</f>
        <v>75.57096919</v>
      </c>
      <c r="D2" s="33">
        <f>NORMALIZED_DATA!B4*TIER_WEIGHTS!$D$2</f>
        <v>0.8571428571</v>
      </c>
      <c r="E2" s="33">
        <f>NORMALIZED_DATA!C4*TIER_WEIGHTS!$D$8</f>
        <v>0.725</v>
      </c>
      <c r="F2" s="33">
        <f>NORMALIZED_DATA!D4*TIER_WEIGHTS!$D$7</f>
        <v>0.6</v>
      </c>
      <c r="G2" s="33">
        <f>NORMALIZED_DATA!F4*TIER_WEIGHTS!$D$3</f>
        <v>3</v>
      </c>
      <c r="H2" s="33">
        <f>NORMALIZED_DATA!G4*TIER_WEIGHTS!$D$9</f>
        <v>3</v>
      </c>
      <c r="I2" s="33">
        <f>NORMALIZED_DATA!H4*TIER_WEIGHTS!$D$14</f>
        <v>0.9166666667</v>
      </c>
      <c r="J2" s="33">
        <f>NORMALIZED_DATA!L4*TIER_WEIGHTS!$D$4</f>
        <v>4.5</v>
      </c>
      <c r="K2" s="33">
        <f>NORMALIZED_DATA!Q4*TIER_WEIGHTS!$D$5</f>
        <v>4.5</v>
      </c>
      <c r="L2" s="33">
        <f>NORMALIZED_DATA!U4*TIER_WEIGHTS!$D$12</f>
        <v>3.115384615</v>
      </c>
      <c r="M2" s="33">
        <f>NORMALIZED_DATA!V4*TIER_WEIGHTS!$D$15</f>
        <v>0.03850286533</v>
      </c>
      <c r="N2" s="33">
        <f>NORMALIZED_DATA!W4*TIER_WEIGHTS!$D$13</f>
        <v>1.434782609</v>
      </c>
      <c r="O2" s="33">
        <f>NORMALIZED_DATA!Y4*TIER_WEIGHTS!$D$6</f>
        <v>2.678571429</v>
      </c>
      <c r="P2" s="33">
        <f>NORMALIZED_DATA!Z4*TIER_WEIGHTS!$D$11</f>
        <v>5.333333333</v>
      </c>
      <c r="Q2" s="33">
        <f>NORMALIZED_DATA!AA4*TIER_WEIGHTS!$D$10</f>
        <v>0.9648517173</v>
      </c>
      <c r="R2" s="147">
        <f t="shared" ref="R2:R26" si="1">sum(D2:Q2)</f>
        <v>31.66423609</v>
      </c>
    </row>
    <row r="3">
      <c r="A3" s="29">
        <v>2.0</v>
      </c>
      <c r="B3" s="29" t="s">
        <v>51</v>
      </c>
      <c r="C3" s="33">
        <f>R3/Weights_by_Category[[#TOTALS],[DOMINANT]]</f>
        <v>74.866639</v>
      </c>
      <c r="D3" s="33">
        <f>NORMALIZED_DATA!B2*TIER_WEIGHTS!$D$2</f>
        <v>3</v>
      </c>
      <c r="E3" s="33">
        <f>NORMALIZED_DATA!C2*TIER_WEIGHTS!$D$8</f>
        <v>1.8</v>
      </c>
      <c r="F3" s="33">
        <f>NORMALIZED_DATA!D2*TIER_WEIGHTS!$D$7</f>
        <v>3</v>
      </c>
      <c r="G3" s="33">
        <f>NORMALIZED_DATA!F2*TIER_WEIGHTS!$D$3</f>
        <v>2.358078603</v>
      </c>
      <c r="H3" s="33">
        <f>NORMALIZED_DATA!G2*TIER_WEIGHTS!$D$9</f>
        <v>1.588235294</v>
      </c>
      <c r="I3" s="33">
        <f>NORMALIZED_DATA!H2*TIER_WEIGHTS!$D$14</f>
        <v>1</v>
      </c>
      <c r="J3" s="33">
        <f>NORMALIZED_DATA!L2*TIER_WEIGHTS!$D$4</f>
        <v>3.972364877</v>
      </c>
      <c r="K3" s="33">
        <f>NORMALIZED_DATA!Q2*TIER_WEIGHTS!$D$5</f>
        <v>3.87465063</v>
      </c>
      <c r="L3" s="33">
        <f>NORMALIZED_DATA!U2*TIER_WEIGHTS!$D$12</f>
        <v>2.423076923</v>
      </c>
      <c r="M3" s="33">
        <f>NORMALIZED_DATA!V2*TIER_WEIGHTS!$D$15</f>
        <v>0.05354584527</v>
      </c>
      <c r="N3" s="33">
        <f>NORMALIZED_DATA!W2*TIER_WEIGHTS!$D$13</f>
        <v>1.773913043</v>
      </c>
      <c r="O3" s="33">
        <f>NORMALIZED_DATA!Y2*TIER_WEIGHTS!$D$6</f>
        <v>2.169642857</v>
      </c>
      <c r="P3" s="33">
        <f>NORMALIZED_DATA!Z2*TIER_WEIGHTS!$D$11</f>
        <v>3.333333333</v>
      </c>
      <c r="Q3" s="33">
        <f>NORMALIZED_DATA!AA2*TIER_WEIGHTS!$D$10</f>
        <v>1.022280337</v>
      </c>
      <c r="R3" s="147">
        <f t="shared" si="1"/>
        <v>31.36912174</v>
      </c>
    </row>
    <row r="4">
      <c r="A4" s="29">
        <v>3.0</v>
      </c>
      <c r="B4" s="29" t="s">
        <v>53</v>
      </c>
      <c r="C4" s="33">
        <f>R4/Weights_by_Category[[#TOTALS],[DOMINANT]]</f>
        <v>66.95320773</v>
      </c>
      <c r="D4" s="33">
        <f>NORMALIZED_DATA!B16*TIER_WEIGHTS!$D$2</f>
        <v>3</v>
      </c>
      <c r="E4" s="33">
        <f>NORMALIZED_DATA!C16*TIER_WEIGHTS!$D$8</f>
        <v>0.2</v>
      </c>
      <c r="F4" s="33">
        <f>NORMALIZED_DATA!D16*TIER_WEIGHTS!$D$7</f>
        <v>0</v>
      </c>
      <c r="G4" s="33">
        <f>NORMALIZED_DATA!F16*TIER_WEIGHTS!$D$3</f>
        <v>1.38209607</v>
      </c>
      <c r="H4" s="33">
        <f>NORMALIZED_DATA!G16*TIER_WEIGHTS!$D$9</f>
        <v>1.764705882</v>
      </c>
      <c r="I4" s="33">
        <f>NORMALIZED_DATA!H16*TIER_WEIGHTS!$D$14</f>
        <v>0.1666666667</v>
      </c>
      <c r="J4" s="33">
        <f>NORMALIZED_DATA!L16*TIER_WEIGHTS!$D$4</f>
        <v>4.056653275</v>
      </c>
      <c r="K4" s="33">
        <f>NORMALIZED_DATA!Q16*TIER_WEIGHTS!$D$5</f>
        <v>2.369344533</v>
      </c>
      <c r="L4" s="33">
        <f>NORMALIZED_DATA!U16*TIER_WEIGHTS!$D$12</f>
        <v>4.5</v>
      </c>
      <c r="M4" s="33">
        <f>NORMALIZED_DATA!V16*TIER_WEIGHTS!$D$15</f>
        <v>0.1189111748</v>
      </c>
      <c r="N4" s="33">
        <f>NORMALIZED_DATA!W16*TIER_WEIGHTS!$D$13</f>
        <v>1.773913043</v>
      </c>
      <c r="O4" s="33">
        <f>NORMALIZED_DATA!Y16*TIER_WEIGHTS!$D$6</f>
        <v>2.785714286</v>
      </c>
      <c r="P4" s="33">
        <f>NORMALIZED_DATA!Z16*TIER_WEIGHTS!$D$11</f>
        <v>5.333333333</v>
      </c>
      <c r="Q4" s="33">
        <f>NORMALIZED_DATA!AA16*TIER_WEIGHTS!$D$10</f>
        <v>0.6020557745</v>
      </c>
      <c r="R4" s="147">
        <f t="shared" si="1"/>
        <v>28.05339404</v>
      </c>
    </row>
    <row r="5">
      <c r="A5" s="29">
        <v>4.0</v>
      </c>
      <c r="B5" s="29" t="s">
        <v>55</v>
      </c>
      <c r="C5" s="33">
        <f>R5/Weights_by_Category[[#TOTALS],[DOMINANT]]</f>
        <v>58.38249184</v>
      </c>
      <c r="D5" s="33">
        <f>NORMALIZED_DATA!B9*TIER_WEIGHTS!$D$2</f>
        <v>1.285714286</v>
      </c>
      <c r="E5" s="33">
        <f>NORMALIZED_DATA!C9*TIER_WEIGHTS!$D$8</f>
        <v>0.9</v>
      </c>
      <c r="F5" s="33">
        <f>NORMALIZED_DATA!D9*TIER_WEIGHTS!$D$7</f>
        <v>1.8</v>
      </c>
      <c r="G5" s="33">
        <f>NORMALIZED_DATA!F9*TIER_WEIGHTS!$D$3</f>
        <v>1.26419214</v>
      </c>
      <c r="H5" s="33">
        <f>NORMALIZED_DATA!G9*TIER_WEIGHTS!$D$9</f>
        <v>0.8823529412</v>
      </c>
      <c r="I5" s="33">
        <f>NORMALIZED_DATA!H9*TIER_WEIGHTS!$D$14</f>
        <v>0.25</v>
      </c>
      <c r="J5" s="33">
        <f>NORMALIZED_DATA!L9*TIER_WEIGHTS!$D$4</f>
        <v>4.073467612</v>
      </c>
      <c r="K5" s="33">
        <f>NORMALIZED_DATA!Q9*TIER_WEIGHTS!$D$5</f>
        <v>3.899201108</v>
      </c>
      <c r="L5" s="33">
        <f>NORMALIZED_DATA!U9*TIER_WEIGHTS!$D$12</f>
        <v>2.596153846</v>
      </c>
      <c r="M5" s="33">
        <f>NORMALIZED_DATA!V9*TIER_WEIGHTS!$D$15</f>
        <v>0.3732091691</v>
      </c>
      <c r="N5" s="33">
        <f>NORMALIZED_DATA!W9*TIER_WEIGHTS!$D$13</f>
        <v>1.382608696</v>
      </c>
      <c r="O5" s="33">
        <f>NORMALIZED_DATA!Y9*TIER_WEIGHTS!$D$6</f>
        <v>1.875</v>
      </c>
      <c r="P5" s="33">
        <f>NORMALIZED_DATA!Z9*TIER_WEIGHTS!$D$11</f>
        <v>2.666666667</v>
      </c>
      <c r="Q5" s="33">
        <f>NORMALIZED_DATA!AA9*TIER_WEIGHTS!$D$10</f>
        <v>1.213697619</v>
      </c>
      <c r="R5" s="147">
        <f t="shared" si="1"/>
        <v>24.46226408</v>
      </c>
    </row>
    <row r="6">
      <c r="A6" s="29">
        <v>5.0</v>
      </c>
      <c r="B6" s="29" t="s">
        <v>54</v>
      </c>
      <c r="C6" s="33">
        <f>R6/Weights_by_Category[[#TOTALS],[DOMINANT]]</f>
        <v>55.6376746</v>
      </c>
      <c r="D6" s="33">
        <f>NORMALIZED_DATA!B7*TIER_WEIGHTS!$D$2</f>
        <v>0.4285714286</v>
      </c>
      <c r="E6" s="33">
        <f>NORMALIZED_DATA!C7*TIER_WEIGHTS!$D$8</f>
        <v>0.5</v>
      </c>
      <c r="F6" s="33">
        <f>NORMALIZED_DATA!D7*TIER_WEIGHTS!$D$7</f>
        <v>0.6</v>
      </c>
      <c r="G6" s="33">
        <f>NORMALIZED_DATA!F7*TIER_WEIGHTS!$D$3</f>
        <v>2.148471616</v>
      </c>
      <c r="H6" s="33">
        <f>NORMALIZED_DATA!G7*TIER_WEIGHTS!$D$9</f>
        <v>1.588235294</v>
      </c>
      <c r="I6" s="33">
        <f>NORMALIZED_DATA!H7*TIER_WEIGHTS!$D$14</f>
        <v>0.5833333333</v>
      </c>
      <c r="J6" s="33">
        <f>NORMALIZED_DATA!L7*TIER_WEIGHTS!$D$4</f>
        <v>2.959277745</v>
      </c>
      <c r="K6" s="33">
        <f>NORMALIZED_DATA!Q7*TIER_WEIGHTS!$D$5</f>
        <v>3.819118995</v>
      </c>
      <c r="L6" s="33">
        <f>NORMALIZED_DATA!U7*TIER_WEIGHTS!$D$12</f>
        <v>2.25</v>
      </c>
      <c r="M6" s="33">
        <f>NORMALIZED_DATA!V7*TIER_WEIGHTS!$D$15</f>
        <v>0.2406876791</v>
      </c>
      <c r="N6" s="33">
        <f>NORMALIZED_DATA!W7*TIER_WEIGHTS!$D$13</f>
        <v>1.486956522</v>
      </c>
      <c r="O6" s="33">
        <f>NORMALIZED_DATA!Y7*TIER_WEIGHTS!$D$6</f>
        <v>2.276785714</v>
      </c>
      <c r="P6" s="33">
        <f>NORMALIZED_DATA!Z7*TIER_WEIGHTS!$D$11</f>
        <v>3.333333333</v>
      </c>
      <c r="Q6" s="33">
        <f>NORMALIZED_DATA!AA7*TIER_WEIGHTS!$D$10</f>
        <v>1.097413997</v>
      </c>
      <c r="R6" s="147">
        <f t="shared" si="1"/>
        <v>23.31218566</v>
      </c>
    </row>
    <row r="7">
      <c r="A7" s="29">
        <v>6.0</v>
      </c>
      <c r="B7" s="29" t="s">
        <v>57</v>
      </c>
      <c r="C7" s="33">
        <f>R7/Weights_by_Category[[#TOTALS],[DOMINANT]]</f>
        <v>53.81456078</v>
      </c>
      <c r="D7" s="33">
        <f>NORMALIZED_DATA!B13*TIER_WEIGHTS!$D$2</f>
        <v>0.4285714286</v>
      </c>
      <c r="E7" s="33">
        <f>NORMALIZED_DATA!C13*TIER_WEIGHTS!$D$8</f>
        <v>0.7</v>
      </c>
      <c r="F7" s="33">
        <f>NORMALIZED_DATA!D13*TIER_WEIGHTS!$D$7</f>
        <v>0.6</v>
      </c>
      <c r="G7" s="33">
        <f>NORMALIZED_DATA!F13*TIER_WEIGHTS!$D$3</f>
        <v>1.165938865</v>
      </c>
      <c r="H7" s="33">
        <f>NORMALIZED_DATA!G13*TIER_WEIGHTS!$D$9</f>
        <v>1.588235294</v>
      </c>
      <c r="I7" s="33">
        <f>NORMALIZED_DATA!H13*TIER_WEIGHTS!$D$14</f>
        <v>0.3333333333</v>
      </c>
      <c r="J7" s="33">
        <f>NORMALIZED_DATA!L13*TIER_WEIGHTS!$D$4</f>
        <v>1.933636748</v>
      </c>
      <c r="K7" s="33">
        <f>NORMALIZED_DATA!Q13*TIER_WEIGHTS!$D$5</f>
        <v>2.820235757</v>
      </c>
      <c r="L7" s="33">
        <f>NORMALIZED_DATA!U13*TIER_WEIGHTS!$D$12</f>
        <v>3.461538462</v>
      </c>
      <c r="M7" s="33">
        <f>NORMALIZED_DATA!V13*TIER_WEIGHTS!$D$15</f>
        <v>0.4430515759</v>
      </c>
      <c r="N7" s="33">
        <f>NORMALIZED_DATA!W13*TIER_WEIGHTS!$D$13</f>
        <v>1.095652174</v>
      </c>
      <c r="O7" s="33">
        <f>NORMALIZED_DATA!Y13*TIER_WEIGHTS!$D$6</f>
        <v>3</v>
      </c>
      <c r="P7" s="33">
        <f>NORMALIZED_DATA!Z13*TIER_WEIGHTS!$D$11</f>
        <v>4</v>
      </c>
      <c r="Q7" s="33">
        <f>NORMALIZED_DATA!AA13*TIER_WEIGHTS!$D$10</f>
        <v>0.9781073294</v>
      </c>
      <c r="R7" s="147">
        <f t="shared" si="1"/>
        <v>22.54830097</v>
      </c>
    </row>
    <row r="8">
      <c r="A8" s="29">
        <v>7.0</v>
      </c>
      <c r="B8" s="29" t="s">
        <v>59</v>
      </c>
      <c r="C8" s="33">
        <f>R8/Weights_by_Category[[#TOTALS],[DOMINANT]]</f>
        <v>52.65347706</v>
      </c>
      <c r="D8" s="33">
        <f>NORMALIZED_DATA!B10*TIER_WEIGHTS!$D$2</f>
        <v>0</v>
      </c>
      <c r="E8" s="33">
        <f>NORMALIZED_DATA!C10*TIER_WEIGHTS!$D$8</f>
        <v>0.35</v>
      </c>
      <c r="F8" s="33">
        <f>NORMALIZED_DATA!D10*TIER_WEIGHTS!$D$7</f>
        <v>0</v>
      </c>
      <c r="G8" s="33">
        <f>NORMALIZED_DATA!F10*TIER_WEIGHTS!$D$3</f>
        <v>0.5043668122</v>
      </c>
      <c r="H8" s="33">
        <f>NORMALIZED_DATA!G10*TIER_WEIGHTS!$D$9</f>
        <v>1.588235294</v>
      </c>
      <c r="I8" s="33">
        <f>NORMALIZED_DATA!H10*TIER_WEIGHTS!$D$14</f>
        <v>0.5</v>
      </c>
      <c r="J8" s="33">
        <f>NORMALIZED_DATA!L10*TIER_WEIGHTS!$D$4</f>
        <v>3.703919378</v>
      </c>
      <c r="K8" s="33">
        <f>NORMALIZED_DATA!Q10*TIER_WEIGHTS!$D$5</f>
        <v>3.458083346</v>
      </c>
      <c r="L8" s="33">
        <f>NORMALIZED_DATA!U10*TIER_WEIGHTS!$D$12</f>
        <v>2.942307692</v>
      </c>
      <c r="M8" s="33">
        <f>NORMALIZED_DATA!V10*TIER_WEIGHTS!$D$15</f>
        <v>0</v>
      </c>
      <c r="N8" s="33">
        <f>NORMALIZED_DATA!W10*TIER_WEIGHTS!$D$13</f>
        <v>1.695652174</v>
      </c>
      <c r="O8" s="33">
        <f>NORMALIZED_DATA!Y10*TIER_WEIGHTS!$D$6</f>
        <v>2.410714286</v>
      </c>
      <c r="P8" s="33">
        <f>NORMALIZED_DATA!Z10*TIER_WEIGHTS!$D$11</f>
        <v>4</v>
      </c>
      <c r="Q8" s="33">
        <f>NORMALIZED_DATA!AA10*TIER_WEIGHTS!$D$10</f>
        <v>0.9085279066</v>
      </c>
      <c r="R8" s="147">
        <f t="shared" si="1"/>
        <v>22.06180689</v>
      </c>
    </row>
    <row r="9">
      <c r="A9" s="29">
        <v>8.0</v>
      </c>
      <c r="B9" s="29" t="s">
        <v>58</v>
      </c>
      <c r="C9" s="33">
        <f>R9/Weights_by_Category[[#TOTALS],[DOMINANT]]</f>
        <v>53.1797286</v>
      </c>
      <c r="D9" s="33">
        <f>NORMALIZED_DATA!B5*TIER_WEIGHTS!$D$2</f>
        <v>0.4285714286</v>
      </c>
      <c r="E9" s="33">
        <f>NORMALIZED_DATA!C5*TIER_WEIGHTS!$D$8</f>
        <v>0.35</v>
      </c>
      <c r="F9" s="33">
        <f>NORMALIZED_DATA!D5*TIER_WEIGHTS!$D$7</f>
        <v>0.6</v>
      </c>
      <c r="G9" s="33">
        <f>NORMALIZED_DATA!F5*TIER_WEIGHTS!$D$3</f>
        <v>0.2947598253</v>
      </c>
      <c r="H9" s="33">
        <f>NORMALIZED_DATA!G5*TIER_WEIGHTS!$D$9</f>
        <v>1.058823529</v>
      </c>
      <c r="I9" s="33">
        <f>NORMALIZED_DATA!H5*TIER_WEIGHTS!$D$14</f>
        <v>0.8333333333</v>
      </c>
      <c r="J9" s="33">
        <f>NORMALIZED_DATA!L5*TIER_WEIGHTS!$D$4</f>
        <v>3.94048647</v>
      </c>
      <c r="K9" s="33">
        <f>NORMALIZED_DATA!Q5*TIER_WEIGHTS!$D$5</f>
        <v>3.719572339</v>
      </c>
      <c r="L9" s="33">
        <f>NORMALIZED_DATA!U5*TIER_WEIGHTS!$D$12</f>
        <v>2.423076923</v>
      </c>
      <c r="M9" s="33">
        <f>NORMALIZED_DATA!V5*TIER_WEIGHTS!$D$15</f>
        <v>0.04047277937</v>
      </c>
      <c r="N9" s="33">
        <f>NORMALIZED_DATA!W5*TIER_WEIGHTS!$D$13</f>
        <v>1.408695652</v>
      </c>
      <c r="O9" s="33">
        <f>NORMALIZED_DATA!Y5*TIER_WEIGHTS!$D$6</f>
        <v>1.366071429</v>
      </c>
      <c r="P9" s="33">
        <f>NORMALIZED_DATA!Z5*TIER_WEIGHTS!$D$11</f>
        <v>4.666666667</v>
      </c>
      <c r="Q9" s="33">
        <f>NORMALIZED_DATA!AA5*TIER_WEIGHTS!$D$10</f>
        <v>1.151775909</v>
      </c>
      <c r="R9" s="147">
        <f t="shared" si="1"/>
        <v>22.28230628</v>
      </c>
    </row>
    <row r="10">
      <c r="A10" s="29">
        <v>9.0</v>
      </c>
      <c r="B10" s="29" t="s">
        <v>60</v>
      </c>
      <c r="C10" s="33">
        <f>R10/Weights_by_Category[[#TOTALS],[DOMINANT]]</f>
        <v>52.3087475</v>
      </c>
      <c r="D10" s="33">
        <f>NORMALIZED_DATA!B23*TIER_WEIGHTS!$D$2</f>
        <v>0.8571428571</v>
      </c>
      <c r="E10" s="33">
        <f>NORMALIZED_DATA!C23*TIER_WEIGHTS!$D$8</f>
        <v>0.1</v>
      </c>
      <c r="F10" s="33">
        <f>NORMALIZED_DATA!D23*TIER_WEIGHTS!$D$7</f>
        <v>0</v>
      </c>
      <c r="G10" s="33">
        <f>NORMALIZED_DATA!F23*TIER_WEIGHTS!$D$3</f>
        <v>0</v>
      </c>
      <c r="H10" s="33">
        <f>NORMALIZED_DATA!G23*TIER_WEIGHTS!$D$9</f>
        <v>2.117647059</v>
      </c>
      <c r="I10" s="33">
        <f>NORMALIZED_DATA!H23*TIER_WEIGHTS!$D$14</f>
        <v>0.25</v>
      </c>
      <c r="J10" s="33">
        <f>NORMALIZED_DATA!L23*TIER_WEIGHTS!$D$4</f>
        <v>2.220735841</v>
      </c>
      <c r="K10" s="33">
        <f>NORMALIZED_DATA!Q23*TIER_WEIGHTS!$D$5</f>
        <v>2.291816593</v>
      </c>
      <c r="L10" s="33">
        <f>NORMALIZED_DATA!U23*TIER_WEIGHTS!$D$12</f>
        <v>2.942307692</v>
      </c>
      <c r="M10" s="33">
        <f>NORMALIZED_DATA!V23*TIER_WEIGHTS!$D$15</f>
        <v>0.02847421203</v>
      </c>
      <c r="N10" s="33">
        <f>NORMALIZED_DATA!W23*TIER_WEIGHTS!$D$13</f>
        <v>1.8</v>
      </c>
      <c r="O10" s="33">
        <f>NORMALIZED_DATA!Y23*TIER_WEIGHTS!$D$6</f>
        <v>1.96875</v>
      </c>
      <c r="P10" s="33">
        <f>NORMALIZED_DATA!Z23*TIER_WEIGHTS!$D$11</f>
        <v>6</v>
      </c>
      <c r="Q10" s="33">
        <f>NORMALIZED_DATA!AA23*TIER_WEIGHTS!$D$10</f>
        <v>1.340490948</v>
      </c>
      <c r="R10" s="147">
        <f t="shared" si="1"/>
        <v>21.9173652</v>
      </c>
    </row>
    <row r="11">
      <c r="A11" s="29">
        <v>10.0</v>
      </c>
      <c r="B11" s="29" t="s">
        <v>56</v>
      </c>
      <c r="C11" s="33">
        <f>R11/Weights_by_Category[[#TOTALS],[DOMINANT]]</f>
        <v>51.36607618</v>
      </c>
      <c r="D11" s="33">
        <f>NORMALIZED_DATA!B3*TIER_WEIGHTS!$D$2</f>
        <v>1.714285714</v>
      </c>
      <c r="E11" s="33">
        <f>NORMALIZED_DATA!C3*TIER_WEIGHTS!$D$8</f>
        <v>0.775</v>
      </c>
      <c r="F11" s="33">
        <f>NORMALIZED_DATA!D3*TIER_WEIGHTS!$D$7</f>
        <v>1.8</v>
      </c>
      <c r="G11" s="33">
        <f>NORMALIZED_DATA!F3*TIER_WEIGHTS!$D$3</f>
        <v>1.06768559</v>
      </c>
      <c r="H11" s="33">
        <f>NORMALIZED_DATA!G3*TIER_WEIGHTS!$D$9</f>
        <v>1.411764706</v>
      </c>
      <c r="I11" s="33">
        <f>NORMALIZED_DATA!H3*TIER_WEIGHTS!$D$14</f>
        <v>0.4166666667</v>
      </c>
      <c r="J11" s="33">
        <f>NORMALIZED_DATA!L3*TIER_WEIGHTS!$D$4</f>
        <v>2.122063501</v>
      </c>
      <c r="K11" s="33">
        <f>NORMALIZED_DATA!Q3*TIER_WEIGHTS!$D$5</f>
        <v>2.381292323</v>
      </c>
      <c r="L11" s="33">
        <f>NORMALIZED_DATA!U3*TIER_WEIGHTS!$D$12</f>
        <v>3.115384615</v>
      </c>
      <c r="M11" s="33">
        <f>NORMALIZED_DATA!V3*TIER_WEIGHTS!$D$15</f>
        <v>0.1498925501</v>
      </c>
      <c r="N11" s="33">
        <f>NORMALIZED_DATA!W3*TIER_WEIGHTS!$D$13</f>
        <v>1.72173913</v>
      </c>
      <c r="O11" s="33">
        <f>NORMALIZED_DATA!Y3*TIER_WEIGHTS!$D$6</f>
        <v>1.553571429</v>
      </c>
      <c r="P11" s="33">
        <f>NORMALIZED_DATA!Z3*TIER_WEIGHTS!$D$11</f>
        <v>2</v>
      </c>
      <c r="Q11" s="33">
        <f>NORMALIZED_DATA!AA3*TIER_WEIGHTS!$D$10</f>
        <v>1.293039692</v>
      </c>
      <c r="R11" s="147">
        <f t="shared" si="1"/>
        <v>21.52238592</v>
      </c>
    </row>
    <row r="12">
      <c r="A12" s="29">
        <v>11.0</v>
      </c>
      <c r="B12" s="29" t="s">
        <v>64</v>
      </c>
      <c r="C12" s="33">
        <f>R12/Weights_by_Category[[#TOTALS],[DOMINANT]]</f>
        <v>46.07552212</v>
      </c>
      <c r="D12" s="33">
        <f>NORMALIZED_DATA!B14*TIER_WEIGHTS!$D$2</f>
        <v>0.8571428571</v>
      </c>
      <c r="E12" s="33">
        <f>NORMALIZED_DATA!C14*TIER_WEIGHTS!$D$8</f>
        <v>0.8</v>
      </c>
      <c r="F12" s="33">
        <f>NORMALIZED_DATA!D14*TIER_WEIGHTS!$D$7</f>
        <v>0.6</v>
      </c>
      <c r="G12" s="33">
        <f>NORMALIZED_DATA!F14*TIER_WEIGHTS!$D$3</f>
        <v>0.1572052402</v>
      </c>
      <c r="H12" s="33">
        <f>NORMALIZED_DATA!G14*TIER_WEIGHTS!$D$9</f>
        <v>0.1764705882</v>
      </c>
      <c r="I12" s="33">
        <f>NORMALIZED_DATA!H14*TIER_WEIGHTS!$D$14</f>
        <v>0.25</v>
      </c>
      <c r="J12" s="33">
        <f>NORMALIZED_DATA!L14*TIER_WEIGHTS!$D$4</f>
        <v>4.130731259</v>
      </c>
      <c r="K12" s="33">
        <f>NORMALIZED_DATA!Q14*TIER_WEIGHTS!$D$5</f>
        <v>3.178652874</v>
      </c>
      <c r="L12" s="33">
        <f>NORMALIZED_DATA!U14*TIER_WEIGHTS!$D$12</f>
        <v>2.769230769</v>
      </c>
      <c r="M12" s="33">
        <f>NORMALIZED_DATA!V14*TIER_WEIGHTS!$D$15</f>
        <v>0.3033667622</v>
      </c>
      <c r="N12" s="33">
        <f>NORMALIZED_DATA!W14*TIER_WEIGHTS!$D$13</f>
        <v>1.095652174</v>
      </c>
      <c r="O12" s="33">
        <f>NORMALIZED_DATA!Y14*TIER_WEIGHTS!$D$6</f>
        <v>1.580357143</v>
      </c>
      <c r="P12" s="33">
        <f>NORMALIZED_DATA!Z14*TIER_WEIGHTS!$D$11</f>
        <v>2.666666667</v>
      </c>
      <c r="Q12" s="33">
        <f>NORMALIZED_DATA!AA14*TIER_WEIGHTS!$D$10</f>
        <v>0.7401674346</v>
      </c>
      <c r="R12" s="147">
        <f t="shared" si="1"/>
        <v>19.30564377</v>
      </c>
    </row>
    <row r="13">
      <c r="A13" s="29">
        <v>12.0</v>
      </c>
      <c r="B13" s="29" t="s">
        <v>62</v>
      </c>
      <c r="C13" s="33">
        <f>R13/Weights_by_Category[[#TOTALS],[DOMINANT]]</f>
        <v>45.9880358</v>
      </c>
      <c r="D13" s="33">
        <f>NORMALIZED_DATA!B8*TIER_WEIGHTS!$D$2</f>
        <v>1.285714286</v>
      </c>
      <c r="E13" s="33">
        <f>NORMALIZED_DATA!C8*TIER_WEIGHTS!$D$8</f>
        <v>0.2</v>
      </c>
      <c r="F13" s="33">
        <f>NORMALIZED_DATA!D8*TIER_WEIGHTS!$D$7</f>
        <v>0</v>
      </c>
      <c r="G13" s="33">
        <f>NORMALIZED_DATA!F8*TIER_WEIGHTS!$D$3</f>
        <v>1.827510917</v>
      </c>
      <c r="H13" s="33">
        <f>NORMALIZED_DATA!G8*TIER_WEIGHTS!$D$9</f>
        <v>2.294117647</v>
      </c>
      <c r="I13" s="33">
        <f>NORMALIZED_DATA!H8*TIER_WEIGHTS!$D$14</f>
        <v>0.5833333333</v>
      </c>
      <c r="J13" s="33">
        <f>NORMALIZED_DATA!L8*TIER_WEIGHTS!$D$4</f>
        <v>3.776245535</v>
      </c>
      <c r="K13" s="33">
        <f>NORMALIZED_DATA!Q8*TIER_WEIGHTS!$D$5</f>
        <v>2.666955498</v>
      </c>
      <c r="L13" s="33">
        <f>NORMALIZED_DATA!U8*TIER_WEIGHTS!$D$12</f>
        <v>0.8653846154</v>
      </c>
      <c r="M13" s="33">
        <f>NORMALIZED_DATA!V8*TIER_WEIGHTS!$D$15</f>
        <v>0.1443409742</v>
      </c>
      <c r="N13" s="33">
        <f>NORMALIZED_DATA!W8*TIER_WEIGHTS!$D$13</f>
        <v>1.051304348</v>
      </c>
      <c r="O13" s="33">
        <f>NORMALIZED_DATA!Y8*TIER_WEIGHTS!$D$6</f>
        <v>1.178571429</v>
      </c>
      <c r="P13" s="33">
        <f>NORMALIZED_DATA!Z8*TIER_WEIGHTS!$D$11</f>
        <v>2.666666667</v>
      </c>
      <c r="Q13" s="33">
        <f>NORMALIZED_DATA!AA8*TIER_WEIGHTS!$D$10</f>
        <v>0.7288417495</v>
      </c>
      <c r="R13" s="147">
        <f t="shared" si="1"/>
        <v>19.268987</v>
      </c>
    </row>
    <row r="14">
      <c r="A14" s="29">
        <v>13.0</v>
      </c>
      <c r="B14" s="29" t="s">
        <v>63</v>
      </c>
      <c r="C14" s="33">
        <f>R14/Weights_by_Category[[#TOTALS],[DOMINANT]]</f>
        <v>44.15296352</v>
      </c>
      <c r="D14" s="33">
        <f>NORMALIZED_DATA!B20*TIER_WEIGHTS!$D$2</f>
        <v>0</v>
      </c>
      <c r="E14" s="33">
        <f>NORMALIZED_DATA!C20*TIER_WEIGHTS!$D$8</f>
        <v>0.125</v>
      </c>
      <c r="F14" s="33">
        <f>NORMALIZED_DATA!D20*TIER_WEIGHTS!$D$7</f>
        <v>0</v>
      </c>
      <c r="G14" s="33">
        <f>NORMALIZED_DATA!F20*TIER_WEIGHTS!$D$3</f>
        <v>0.4978165939</v>
      </c>
      <c r="H14" s="33">
        <f>NORMALIZED_DATA!G20*TIER_WEIGHTS!$D$9</f>
        <v>1.058823529</v>
      </c>
      <c r="I14" s="33">
        <f>NORMALIZED_DATA!H20*TIER_WEIGHTS!$D$14</f>
        <v>0.25</v>
      </c>
      <c r="J14" s="33">
        <f>NORMALIZED_DATA!L20*TIER_WEIGHTS!$D$4</f>
        <v>3.020618426</v>
      </c>
      <c r="K14" s="33">
        <f>NORMALIZED_DATA!Q20*TIER_WEIGHTS!$D$5</f>
        <v>1.93330313</v>
      </c>
      <c r="L14" s="33">
        <f>NORMALIZED_DATA!U20*TIER_WEIGHTS!$D$12</f>
        <v>2.596153846</v>
      </c>
      <c r="M14" s="33">
        <f>NORMALIZED_DATA!V20*TIER_WEIGHTS!$D$15</f>
        <v>0.04065186246</v>
      </c>
      <c r="N14" s="33">
        <f>NORMALIZED_DATA!W20*TIER_WEIGHTS!$D$13</f>
        <v>1.12173913</v>
      </c>
      <c r="O14" s="33">
        <f>NORMALIZED_DATA!Y20*TIER_WEIGHTS!$D$6</f>
        <v>2.223214286</v>
      </c>
      <c r="P14" s="33">
        <f>NORMALIZED_DATA!Z20*TIER_WEIGHTS!$D$11</f>
        <v>4.666666667</v>
      </c>
      <c r="Q14" s="33">
        <f>NORMALIZED_DATA!AA20*TIER_WEIGHTS!$D$10</f>
        <v>0.9661042433</v>
      </c>
      <c r="R14" s="147">
        <f t="shared" si="1"/>
        <v>18.50009171</v>
      </c>
    </row>
    <row r="15">
      <c r="A15" s="29">
        <v>14.0</v>
      </c>
      <c r="B15" s="29" t="s">
        <v>61</v>
      </c>
      <c r="C15" s="33">
        <f>R15/Weights_by_Category[[#TOTALS],[DOMINANT]]</f>
        <v>45.75680417</v>
      </c>
      <c r="D15" s="33">
        <f>NORMALIZED_DATA!B17*TIER_WEIGHTS!$D$2</f>
        <v>0.4285714286</v>
      </c>
      <c r="E15" s="33">
        <f>NORMALIZED_DATA!C17*TIER_WEIGHTS!$D$8</f>
        <v>0.575</v>
      </c>
      <c r="F15" s="33">
        <f>NORMALIZED_DATA!D17*TIER_WEIGHTS!$D$7</f>
        <v>0</v>
      </c>
      <c r="G15" s="33">
        <f>NORMALIZED_DATA!F17*TIER_WEIGHTS!$D$3</f>
        <v>1.42139738</v>
      </c>
      <c r="H15" s="33">
        <f>NORMALIZED_DATA!G17*TIER_WEIGHTS!$D$9</f>
        <v>1.588235294</v>
      </c>
      <c r="I15" s="33">
        <f>NORMALIZED_DATA!H17*TIER_WEIGHTS!$D$14</f>
        <v>0.6666666667</v>
      </c>
      <c r="J15" s="33">
        <f>NORMALIZED_DATA!L17*TIER_WEIGHTS!$D$4</f>
        <v>3.502911239</v>
      </c>
      <c r="K15" s="33">
        <f>NORMALIZED_DATA!Q17*TIER_WEIGHTS!$D$5</f>
        <v>3.652561612</v>
      </c>
      <c r="L15" s="33">
        <f>NORMALIZED_DATA!U17*TIER_WEIGHTS!$D$12</f>
        <v>1.038461538</v>
      </c>
      <c r="M15" s="33">
        <f>NORMALIZED_DATA!V17*TIER_WEIGHTS!$D$15</f>
        <v>0.1029727794</v>
      </c>
      <c r="N15" s="33">
        <f>NORMALIZED_DATA!W17*TIER_WEIGHTS!$D$13</f>
        <v>0.7565217391</v>
      </c>
      <c r="O15" s="33">
        <f>NORMALIZED_DATA!Y17*TIER_WEIGHTS!$D$6</f>
        <v>0.8303571429</v>
      </c>
      <c r="P15" s="33">
        <f>NORMALIZED_DATA!Z17*TIER_WEIGHTS!$D$11</f>
        <v>3.333333333</v>
      </c>
      <c r="Q15" s="33">
        <f>NORMALIZED_DATA!AA17*TIER_WEIGHTS!$D$10</f>
        <v>1.275110792</v>
      </c>
      <c r="R15" s="147">
        <f t="shared" si="1"/>
        <v>19.17210095</v>
      </c>
    </row>
    <row r="16">
      <c r="A16" s="29">
        <v>15.0</v>
      </c>
      <c r="B16" s="29" t="s">
        <v>67</v>
      </c>
      <c r="C16" s="33">
        <f>R16/Weights_by_Category[[#TOTALS],[DOMINANT]]</f>
        <v>37.35695103</v>
      </c>
      <c r="D16" s="33">
        <f>NORMALIZED_DATA!B22*TIER_WEIGHTS!$D$2</f>
        <v>0.4285714286</v>
      </c>
      <c r="E16" s="33">
        <f>NORMALIZED_DATA!C22*TIER_WEIGHTS!$D$8</f>
        <v>0.5</v>
      </c>
      <c r="F16" s="33">
        <f>NORMALIZED_DATA!D22*TIER_WEIGHTS!$D$7</f>
        <v>0.6</v>
      </c>
      <c r="G16" s="33">
        <f>NORMALIZED_DATA!F22*TIER_WEIGHTS!$D$3</f>
        <v>0.7270742358</v>
      </c>
      <c r="H16" s="33">
        <f>NORMALIZED_DATA!G22*TIER_WEIGHTS!$D$9</f>
        <v>0.7058823529</v>
      </c>
      <c r="I16" s="33">
        <f>NORMALIZED_DATA!H22*TIER_WEIGHTS!$D$14</f>
        <v>0.08333333333</v>
      </c>
      <c r="J16" s="33">
        <f>NORMALIZED_DATA!L22*TIER_WEIGHTS!$D$4</f>
        <v>2.935396901</v>
      </c>
      <c r="K16" s="33">
        <f>NORMALIZED_DATA!Q22*TIER_WEIGHTS!$D$5</f>
        <v>3.098954648</v>
      </c>
      <c r="L16" s="33">
        <f>NORMALIZED_DATA!U22*TIER_WEIGHTS!$D$12</f>
        <v>2.423076923</v>
      </c>
      <c r="M16" s="33">
        <f>NORMALIZED_DATA!V22*TIER_WEIGHTS!$D$15</f>
        <v>0.03492120344</v>
      </c>
      <c r="N16" s="33">
        <f>NORMALIZED_DATA!W22*TIER_WEIGHTS!$D$13</f>
        <v>0.6</v>
      </c>
      <c r="O16" s="33">
        <f>NORMALIZED_DATA!Y22*TIER_WEIGHTS!$D$6</f>
        <v>0</v>
      </c>
      <c r="P16" s="33">
        <f>NORMALIZED_DATA!Z22*TIER_WEIGHTS!$D$11</f>
        <v>2</v>
      </c>
      <c r="Q16" s="33">
        <f>NORMALIZED_DATA!AA22*TIER_WEIGHTS!$D$10</f>
        <v>1.515351457</v>
      </c>
      <c r="R16" s="147">
        <f t="shared" si="1"/>
        <v>15.65256248</v>
      </c>
    </row>
    <row r="17">
      <c r="A17" s="29">
        <v>16.0</v>
      </c>
      <c r="B17" s="29" t="s">
        <v>65</v>
      </c>
      <c r="C17" s="33">
        <f>R17/Weights_by_Category[[#TOTALS],[DOMINANT]]</f>
        <v>34.12998077</v>
      </c>
      <c r="D17" s="33">
        <f>NORMALIZED_DATA!B12*TIER_WEIGHTS!$D$2</f>
        <v>1.714285714</v>
      </c>
      <c r="E17" s="33">
        <f>NORMALIZED_DATA!C12*TIER_WEIGHTS!$D$8</f>
        <v>0.7</v>
      </c>
      <c r="F17" s="33">
        <f>NORMALIZED_DATA!D12*TIER_WEIGHTS!$D$7</f>
        <v>1.2</v>
      </c>
      <c r="G17" s="33">
        <f>NORMALIZED_DATA!F12*TIER_WEIGHTS!$D$3</f>
        <v>0.3209606987</v>
      </c>
      <c r="H17" s="33">
        <f>NORMALIZED_DATA!G12*TIER_WEIGHTS!$D$9</f>
        <v>0.3529411765</v>
      </c>
      <c r="I17" s="33">
        <f>NORMALIZED_DATA!H12*TIER_WEIGHTS!$D$14</f>
        <v>0</v>
      </c>
      <c r="J17" s="33">
        <f>NORMALIZED_DATA!L12*TIER_WEIGHTS!$D$4</f>
        <v>1.381614521</v>
      </c>
      <c r="K17" s="33">
        <f>NORMALIZED_DATA!Q12*TIER_WEIGHTS!$D$5</f>
        <v>2.323986888</v>
      </c>
      <c r="L17" s="33">
        <f>NORMALIZED_DATA!U12*TIER_WEIGHTS!$D$12</f>
        <v>0.8653846154</v>
      </c>
      <c r="M17" s="33">
        <f>NORMALIZED_DATA!V12*TIER_WEIGHTS!$D$15</f>
        <v>0.2335243553</v>
      </c>
      <c r="N17" s="33">
        <f>NORMALIZED_DATA!W12*TIER_WEIGHTS!$D$13</f>
        <v>0.4434782609</v>
      </c>
      <c r="O17" s="33">
        <f>NORMALIZED_DATA!Y12*TIER_WEIGHTS!$D$6</f>
        <v>0.9642857143</v>
      </c>
      <c r="P17" s="33">
        <f>NORMALIZED_DATA!Z12*TIER_WEIGHTS!$D$11</f>
        <v>2</v>
      </c>
      <c r="Q17" s="33">
        <f>NORMALIZED_DATA!AA12*TIER_WEIGHTS!$D$10</f>
        <v>1.8</v>
      </c>
      <c r="R17" s="147">
        <f t="shared" si="1"/>
        <v>14.30046194</v>
      </c>
    </row>
    <row r="18">
      <c r="A18" s="29">
        <v>17.0</v>
      </c>
      <c r="B18" s="29" t="s">
        <v>70</v>
      </c>
      <c r="C18" s="33">
        <f>R18/Weights_by_Category[[#TOTALS],[DOMINANT]]</f>
        <v>32.67055959</v>
      </c>
      <c r="D18" s="33">
        <f>NORMALIZED_DATA!B15*TIER_WEIGHTS!$D$2</f>
        <v>0</v>
      </c>
      <c r="E18" s="33">
        <f>NORMALIZED_DATA!C15*TIER_WEIGHTS!$D$8</f>
        <v>0.45</v>
      </c>
      <c r="F18" s="33">
        <f>NORMALIZED_DATA!D15*TIER_WEIGHTS!$D$7</f>
        <v>0</v>
      </c>
      <c r="G18" s="33">
        <f>NORMALIZED_DATA!F15*TIER_WEIGHTS!$D$3</f>
        <v>0.02620087336</v>
      </c>
      <c r="H18" s="33">
        <f>NORMALIZED_DATA!G15*TIER_WEIGHTS!$D$9</f>
        <v>0.5294117647</v>
      </c>
      <c r="I18" s="33">
        <f>NORMALIZED_DATA!H15*TIER_WEIGHTS!$D$14</f>
        <v>0.5</v>
      </c>
      <c r="J18" s="33">
        <f>NORMALIZED_DATA!L15*TIER_WEIGHTS!$D$4</f>
        <v>3.291348058</v>
      </c>
      <c r="K18" s="33">
        <f>NORMALIZED_DATA!Q15*TIER_WEIGHTS!$D$5</f>
        <v>2.526695662</v>
      </c>
      <c r="L18" s="33">
        <f>NORMALIZED_DATA!U15*TIER_WEIGHTS!$D$12</f>
        <v>1.730769231</v>
      </c>
      <c r="M18" s="33">
        <f>NORMALIZED_DATA!V15*TIER_WEIGHTS!$D$15</f>
        <v>0.2603868195</v>
      </c>
      <c r="N18" s="33">
        <f>NORMALIZED_DATA!W15*TIER_WEIGHTS!$D$13</f>
        <v>1.27826087</v>
      </c>
      <c r="O18" s="33">
        <f>NORMALIZED_DATA!Y15*TIER_WEIGHTS!$D$6</f>
        <v>1.151785714</v>
      </c>
      <c r="P18" s="33">
        <f>NORMALIZED_DATA!Z15*TIER_WEIGHTS!$D$11</f>
        <v>1.333333333</v>
      </c>
      <c r="Q18" s="33">
        <f>NORMALIZED_DATA!AA15*TIER_WEIGHTS!$D$10</f>
        <v>0.6107721405</v>
      </c>
      <c r="R18" s="147">
        <f t="shared" si="1"/>
        <v>13.68896447</v>
      </c>
    </row>
    <row r="19">
      <c r="A19" s="29">
        <v>18.0</v>
      </c>
      <c r="B19" s="29" t="s">
        <v>66</v>
      </c>
      <c r="C19" s="33">
        <f>R19/Weights_by_Category[[#TOTALS],[DOMINANT]]</f>
        <v>28.37808335</v>
      </c>
      <c r="D19" s="33">
        <f>NORMALIZED_DATA!B6*TIER_WEIGHTS!$D$2</f>
        <v>2.142857143</v>
      </c>
      <c r="E19" s="33">
        <f>NORMALIZED_DATA!C6*TIER_WEIGHTS!$D$8</f>
        <v>0.35</v>
      </c>
      <c r="F19" s="33">
        <f>NORMALIZED_DATA!D6*TIER_WEIGHTS!$D$7</f>
        <v>1.2</v>
      </c>
      <c r="G19" s="33">
        <f>NORMALIZED_DATA!F6*TIER_WEIGHTS!$D$3</f>
        <v>0.2751091703</v>
      </c>
      <c r="H19" s="33">
        <f>NORMALIZED_DATA!G6*TIER_WEIGHTS!$D$9</f>
        <v>0.8823529412</v>
      </c>
      <c r="I19" s="33">
        <f>NORMALIZED_DATA!H6*TIER_WEIGHTS!$D$14</f>
        <v>0.08333333333</v>
      </c>
      <c r="J19" s="33">
        <f>NORMALIZED_DATA!L6*TIER_WEIGHTS!$D$4</f>
        <v>0</v>
      </c>
      <c r="K19" s="33">
        <f>NORMALIZED_DATA!Q6*TIER_WEIGHTS!$D$5</f>
        <v>0</v>
      </c>
      <c r="L19" s="33">
        <f>NORMALIZED_DATA!U6*TIER_WEIGHTS!$D$12</f>
        <v>1.557692308</v>
      </c>
      <c r="M19" s="33">
        <f>NORMALIZED_DATA!V6*TIER_WEIGHTS!$D$15</f>
        <v>0.1130014327</v>
      </c>
      <c r="N19" s="33">
        <f>NORMALIZED_DATA!W6*TIER_WEIGHTS!$D$13</f>
        <v>0.7630434783</v>
      </c>
      <c r="O19" s="33">
        <f>NORMALIZED_DATA!Y6*TIER_WEIGHTS!$D$6</f>
        <v>0.8571428571</v>
      </c>
      <c r="P19" s="33">
        <f>NORMALIZED_DATA!Z6*TIER_WEIGHTS!$D$11</f>
        <v>2</v>
      </c>
      <c r="Q19" s="33">
        <f>NORMALIZED_DATA!AA6*TIER_WEIGHTS!$D$10</f>
        <v>1.665884262</v>
      </c>
      <c r="R19" s="147">
        <f t="shared" si="1"/>
        <v>11.89041693</v>
      </c>
    </row>
    <row r="20">
      <c r="A20" s="29">
        <v>19.0</v>
      </c>
      <c r="B20" s="29" t="s">
        <v>69</v>
      </c>
      <c r="C20" s="33">
        <f>R20/Weights_by_Category[[#TOTALS],[DOMINANT]]</f>
        <v>27.7454775</v>
      </c>
      <c r="D20" s="33">
        <f>NORMALIZED_DATA!B21*TIER_WEIGHTS!$D$2</f>
        <v>0</v>
      </c>
      <c r="E20" s="33">
        <f>NORMALIZED_DATA!C21*TIER_WEIGHTS!$D$8</f>
        <v>0.1</v>
      </c>
      <c r="F20" s="33">
        <f>NORMALIZED_DATA!D21*TIER_WEIGHTS!$D$7</f>
        <v>0</v>
      </c>
      <c r="G20" s="33">
        <f>NORMALIZED_DATA!F21*TIER_WEIGHTS!$D$3</f>
        <v>1.77510917</v>
      </c>
      <c r="H20" s="33">
        <f>NORMALIZED_DATA!G21*TIER_WEIGHTS!$D$9</f>
        <v>1.058823529</v>
      </c>
      <c r="I20" s="33">
        <f>NORMALIZED_DATA!H21*TIER_WEIGHTS!$D$14</f>
        <v>0.08333333333</v>
      </c>
      <c r="J20" s="33">
        <f>NORMALIZED_DATA!L21*TIER_WEIGHTS!$D$4</f>
        <v>0.1121827963</v>
      </c>
      <c r="K20" s="33">
        <f>NORMALIZED_DATA!Q21*TIER_WEIGHTS!$D$5</f>
        <v>2.336442689</v>
      </c>
      <c r="L20" s="33">
        <f>NORMALIZED_DATA!U21*TIER_WEIGHTS!$D$12</f>
        <v>2.423076923</v>
      </c>
      <c r="M20" s="33">
        <f>NORMALIZED_DATA!V21*TIER_WEIGHTS!$D$15</f>
        <v>1</v>
      </c>
      <c r="N20" s="33">
        <f>NORMALIZED_DATA!W21*TIER_WEIGHTS!$D$13</f>
        <v>0.8086956522</v>
      </c>
      <c r="O20" s="33">
        <f>NORMALIZED_DATA!Y21*TIER_WEIGHTS!$D$6</f>
        <v>0.5357142857</v>
      </c>
      <c r="P20" s="33">
        <f>NORMALIZED_DATA!Z21*TIER_WEIGHTS!$D$11</f>
        <v>0.6666666667</v>
      </c>
      <c r="Q20" s="33">
        <f>NORMALIZED_DATA!AA21*TIER_WEIGHTS!$D$10</f>
        <v>0.7253100268</v>
      </c>
      <c r="R20" s="147">
        <f t="shared" si="1"/>
        <v>11.62535507</v>
      </c>
    </row>
    <row r="21">
      <c r="A21" s="29">
        <v>20.0</v>
      </c>
      <c r="B21" s="29" t="s">
        <v>72</v>
      </c>
      <c r="C21" s="33">
        <f>R21/Weights_by_Category[[#TOTALS],[DOMINANT]]</f>
        <v>26.82449807</v>
      </c>
      <c r="D21" s="33">
        <f>NORMALIZED_DATA!B24*TIER_WEIGHTS!$D$2</f>
        <v>0</v>
      </c>
      <c r="E21" s="33">
        <f>NORMALIZED_DATA!C24*TIER_WEIGHTS!$D$8</f>
        <v>0.075</v>
      </c>
      <c r="F21" s="33">
        <f>NORMALIZED_DATA!D24*TIER_WEIGHTS!$D$7</f>
        <v>0</v>
      </c>
      <c r="G21" s="33">
        <f>NORMALIZED_DATA!F24*TIER_WEIGHTS!$D$3</f>
        <v>0.1572052402</v>
      </c>
      <c r="H21" s="33">
        <f>NORMALIZED_DATA!G24*TIER_WEIGHTS!$D$9</f>
        <v>0.1764705882</v>
      </c>
      <c r="I21" s="33">
        <f>NORMALIZED_DATA!H24*TIER_WEIGHTS!$D$14</f>
        <v>0.5</v>
      </c>
      <c r="J21" s="33">
        <f>NORMALIZED_DATA!L24*TIER_WEIGHTS!$D$4</f>
        <v>2.971926182</v>
      </c>
      <c r="K21" s="33">
        <f>NORMALIZED_DATA!Q24*TIER_WEIGHTS!$D$5</f>
        <v>2.321747652</v>
      </c>
      <c r="L21" s="33">
        <f>NORMALIZED_DATA!U24*TIER_WEIGHTS!$D$12</f>
        <v>0.6923076923</v>
      </c>
      <c r="M21" s="33">
        <f>NORMALIZED_DATA!V24*TIER_WEIGHTS!$D$15</f>
        <v>0.1430873926</v>
      </c>
      <c r="N21" s="33">
        <f>NORMALIZED_DATA!W24*TIER_WEIGHTS!$D$13</f>
        <v>0.7826086957</v>
      </c>
      <c r="O21" s="33">
        <f>NORMALIZED_DATA!Y24*TIER_WEIGHTS!$D$6</f>
        <v>0.9107142857</v>
      </c>
      <c r="P21" s="33">
        <f>NORMALIZED_DATA!Z24*TIER_WEIGHTS!$D$11</f>
        <v>1.333333333</v>
      </c>
      <c r="Q21" s="33">
        <f>NORMALIZED_DATA!AA24*TIER_WEIGHTS!$D$10</f>
        <v>1.175063631</v>
      </c>
      <c r="R21" s="147">
        <f t="shared" si="1"/>
        <v>11.23946469</v>
      </c>
    </row>
    <row r="22">
      <c r="A22" s="29">
        <v>21.0</v>
      </c>
      <c r="B22" s="29" t="s">
        <v>68</v>
      </c>
      <c r="C22" s="33">
        <f>R22/Weights_by_Category[[#TOTALS],[DOMINANT]]</f>
        <v>26.87478169</v>
      </c>
      <c r="D22" s="33">
        <f>NORMALIZED_DATA!B11*TIER_WEIGHTS!$D$2</f>
        <v>0.8571428571</v>
      </c>
      <c r="E22" s="33">
        <f>NORMALIZED_DATA!C11*TIER_WEIGHTS!$D$8</f>
        <v>0.825</v>
      </c>
      <c r="F22" s="33">
        <f>NORMALIZED_DATA!D11*TIER_WEIGHTS!$D$7</f>
        <v>0.6</v>
      </c>
      <c r="G22" s="33">
        <f>NORMALIZED_DATA!F11*TIER_WEIGHTS!$D$3</f>
        <v>0.6222707424</v>
      </c>
      <c r="H22" s="33">
        <f>NORMALIZED_DATA!G11*TIER_WEIGHTS!$D$9</f>
        <v>0.5294117647</v>
      </c>
      <c r="I22" s="33">
        <f>NORMALIZED_DATA!H11*TIER_WEIGHTS!$D$14</f>
        <v>0.5</v>
      </c>
      <c r="J22" s="33">
        <f>NORMALIZED_DATA!L11*TIER_WEIGHTS!$D$4</f>
        <v>1.932107514</v>
      </c>
      <c r="K22" s="33">
        <f>NORMALIZED_DATA!Q11*TIER_WEIGHTS!$D$5</f>
        <v>1.667741152</v>
      </c>
      <c r="L22" s="33">
        <f>NORMALIZED_DATA!U11*TIER_WEIGHTS!$D$12</f>
        <v>0.6923076923</v>
      </c>
      <c r="M22" s="33">
        <f>NORMALIZED_DATA!V11*TIER_WEIGHTS!$D$15</f>
        <v>0.2550143266</v>
      </c>
      <c r="N22" s="33">
        <f>NORMALIZED_DATA!W11*TIER_WEIGHTS!$D$13</f>
        <v>1.017391304</v>
      </c>
      <c r="O22" s="33">
        <f>NORMALIZED_DATA!Y11*TIER_WEIGHTS!$D$6</f>
        <v>0.4017857143</v>
      </c>
      <c r="P22" s="33">
        <f>NORMALIZED_DATA!Z11*TIER_WEIGHTS!$D$11</f>
        <v>0</v>
      </c>
      <c r="Q22" s="33">
        <f>NORMALIZED_DATA!AA11*TIER_WEIGHTS!$D$10</f>
        <v>1.360360459</v>
      </c>
      <c r="R22" s="147">
        <f t="shared" si="1"/>
        <v>11.26053353</v>
      </c>
    </row>
    <row r="23">
      <c r="A23" s="29">
        <v>22.0</v>
      </c>
      <c r="B23" s="29" t="s">
        <v>71</v>
      </c>
      <c r="C23" s="33">
        <f>R23/Weights_by_Category[[#TOTALS],[DOMINANT]]</f>
        <v>26.71833192</v>
      </c>
      <c r="D23" s="33">
        <f>NORMALIZED_DATA!B19*TIER_WEIGHTS!$D$2</f>
        <v>0.8571428571</v>
      </c>
      <c r="E23" s="33">
        <f>NORMALIZED_DATA!C19*TIER_WEIGHTS!$D$8</f>
        <v>0.625</v>
      </c>
      <c r="F23" s="33">
        <f>NORMALIZED_DATA!D19*TIER_WEIGHTS!$D$7</f>
        <v>0</v>
      </c>
      <c r="G23" s="33">
        <f>NORMALIZED_DATA!F19*TIER_WEIGHTS!$D$3</f>
        <v>0</v>
      </c>
      <c r="H23" s="33">
        <f>NORMALIZED_DATA!G19*TIER_WEIGHTS!$D$9</f>
        <v>0</v>
      </c>
      <c r="I23" s="33">
        <f>NORMALIZED_DATA!H19*TIER_WEIGHTS!$D$14</f>
        <v>0.25</v>
      </c>
      <c r="J23" s="33">
        <f>NORMALIZED_DATA!L19*TIER_WEIGHTS!$D$4</f>
        <v>2.395431465</v>
      </c>
      <c r="K23" s="33">
        <f>NORMALIZED_DATA!Q19*TIER_WEIGHTS!$D$5</f>
        <v>2.348722453</v>
      </c>
      <c r="L23" s="33">
        <f>NORMALIZED_DATA!U19*TIER_WEIGHTS!$D$12</f>
        <v>1.211538462</v>
      </c>
      <c r="M23" s="33">
        <f>NORMALIZED_DATA!V19*TIER_WEIGHTS!$D$15</f>
        <v>0.0922277937</v>
      </c>
      <c r="N23" s="33">
        <f>NORMALIZED_DATA!W19*TIER_WEIGHTS!$D$13</f>
        <v>0.7304347826</v>
      </c>
      <c r="O23" s="33">
        <f>NORMALIZED_DATA!Y19*TIER_WEIGHTS!$D$6</f>
        <v>0.3214285714</v>
      </c>
      <c r="P23" s="33">
        <f>NORMALIZED_DATA!Z19*TIER_WEIGHTS!$D$11</f>
        <v>1.333333333</v>
      </c>
      <c r="Q23" s="33">
        <f>NORMALIZED_DATA!AA19*TIER_WEIGHTS!$D$10</f>
        <v>1.029721359</v>
      </c>
      <c r="R23" s="147">
        <f t="shared" si="1"/>
        <v>11.19498108</v>
      </c>
    </row>
    <row r="24">
      <c r="A24" s="29">
        <v>23.0</v>
      </c>
      <c r="B24" s="29" t="s">
        <v>73</v>
      </c>
      <c r="C24" s="33">
        <f>R24/Weights_by_Category[[#TOTALS],[DOMINANT]]</f>
        <v>26.0491026</v>
      </c>
      <c r="D24" s="33">
        <f>NORMALIZED_DATA!B25*TIER_WEIGHTS!$D$2</f>
        <v>0</v>
      </c>
      <c r="E24" s="33">
        <f>NORMALIZED_DATA!C25*TIER_WEIGHTS!$D$8</f>
        <v>0.625</v>
      </c>
      <c r="F24" s="33">
        <f>NORMALIZED_DATA!D25*TIER_WEIGHTS!$D$7</f>
        <v>0</v>
      </c>
      <c r="G24" s="33">
        <f>NORMALIZED_DATA!F25*TIER_WEIGHTS!$D$3</f>
        <v>0.1834061135</v>
      </c>
      <c r="H24" s="33">
        <f>NORMALIZED_DATA!G25*TIER_WEIGHTS!$D$9</f>
        <v>0.5294117647</v>
      </c>
      <c r="I24" s="33">
        <f>NORMALIZED_DATA!H25*TIER_WEIGHTS!$D$14</f>
        <v>0.1666666667</v>
      </c>
      <c r="J24" s="33">
        <f>NORMALIZED_DATA!L25*TIER_WEIGHTS!$D$4</f>
        <v>2.011974978</v>
      </c>
      <c r="K24" s="33">
        <f>NORMALIZED_DATA!Q25*TIER_WEIGHTS!$D$5</f>
        <v>2.573753221</v>
      </c>
      <c r="L24" s="33">
        <f>NORMALIZED_DATA!U25*TIER_WEIGHTS!$D$12</f>
        <v>1.211538462</v>
      </c>
      <c r="M24" s="33">
        <f>NORMALIZED_DATA!V25*TIER_WEIGHTS!$D$15</f>
        <v>0.1110315186</v>
      </c>
      <c r="N24" s="33">
        <f>NORMALIZED_DATA!W25*TIER_WEIGHTS!$D$13</f>
        <v>0.5739130435</v>
      </c>
      <c r="O24" s="33">
        <f>NORMALIZED_DATA!Y25*TIER_WEIGHTS!$D$6</f>
        <v>0.6696428571</v>
      </c>
      <c r="P24" s="33">
        <f>NORMALIZED_DATA!Z25*TIER_WEIGHTS!$D$11</f>
        <v>1.333333333</v>
      </c>
      <c r="Q24" s="33">
        <f>NORMALIZED_DATA!AA25*TIER_WEIGHTS!$D$10</f>
        <v>0.9249020325</v>
      </c>
      <c r="R24" s="147">
        <f t="shared" si="1"/>
        <v>10.91457399</v>
      </c>
    </row>
    <row r="25">
      <c r="A25" s="29">
        <v>24.0</v>
      </c>
      <c r="B25" s="29" t="s">
        <v>75</v>
      </c>
      <c r="C25" s="33">
        <f>R25/Weights_by_Category[[#TOTALS],[DOMINANT]]</f>
        <v>26.68009874</v>
      </c>
      <c r="D25" s="33">
        <f>NORMALIZED_DATA!B18*TIER_WEIGHTS!$D$2</f>
        <v>0</v>
      </c>
      <c r="E25" s="33">
        <f>NORMALIZED_DATA!C18*TIER_WEIGHTS!$D$8</f>
        <v>0</v>
      </c>
      <c r="F25" s="33">
        <f>NORMALIZED_DATA!D18*TIER_WEIGHTS!$D$7</f>
        <v>0</v>
      </c>
      <c r="G25" s="33">
        <f>NORMALIZED_DATA!F18*TIER_WEIGHTS!$D$3</f>
        <v>0.8973799127</v>
      </c>
      <c r="H25" s="33">
        <f>NORMALIZED_DATA!G18*TIER_WEIGHTS!$D$9</f>
        <v>1.058823529</v>
      </c>
      <c r="I25" s="33">
        <f>NORMALIZED_DATA!H18*TIER_WEIGHTS!$D$14</f>
        <v>0.3333333333</v>
      </c>
      <c r="J25" s="33">
        <f>NORMALIZED_DATA!L18*TIER_WEIGHTS!$D$4</f>
        <v>1.78299302</v>
      </c>
      <c r="K25" s="33">
        <f>NORMALIZED_DATA!Q18*TIER_WEIGHTS!$D$5</f>
        <v>1.356056659</v>
      </c>
      <c r="L25" s="33">
        <f>NORMALIZED_DATA!U18*TIER_WEIGHTS!$D$12</f>
        <v>1.384615385</v>
      </c>
      <c r="M25" s="33">
        <f>NORMALIZED_DATA!V18*TIER_WEIGHTS!$D$15</f>
        <v>0.1027936963</v>
      </c>
      <c r="N25" s="33">
        <f>NORMALIZED_DATA!W18*TIER_WEIGHTS!$D$13</f>
        <v>0.1826086957</v>
      </c>
      <c r="O25" s="33">
        <f>NORMALIZED_DATA!Y18*TIER_WEIGHTS!$D$6</f>
        <v>0.08035714286</v>
      </c>
      <c r="P25" s="33">
        <f>NORMALIZED_DATA!Z18*TIER_WEIGHTS!$D$11</f>
        <v>4</v>
      </c>
      <c r="Q25" s="33">
        <f>NORMALIZED_DATA!AA18*TIER_WEIGHTS!$D$10</f>
        <v>0</v>
      </c>
      <c r="R25" s="147">
        <f t="shared" si="1"/>
        <v>11.17896137</v>
      </c>
    </row>
    <row r="26">
      <c r="A26" s="29">
        <v>25.0</v>
      </c>
      <c r="B26" s="29" t="s">
        <v>74</v>
      </c>
      <c r="C26" s="33">
        <f>R26/Weights_by_Category[[#TOTALS],[DOMINANT]]</f>
        <v>24.19007022</v>
      </c>
      <c r="D26" s="33">
        <f>NORMALIZED_DATA!B26*TIER_WEIGHTS!$D$2</f>
        <v>0.4285714286</v>
      </c>
      <c r="E26" s="33">
        <f>NORMALIZED_DATA!C26*TIER_WEIGHTS!$D$8</f>
        <v>0.35</v>
      </c>
      <c r="F26" s="33">
        <f>NORMALIZED_DATA!D26*TIER_WEIGHTS!$D$7</f>
        <v>0</v>
      </c>
      <c r="G26" s="33">
        <f>NORMALIZED_DATA!F26*TIER_WEIGHTS!$D$3</f>
        <v>0.4323144105</v>
      </c>
      <c r="H26" s="33">
        <f>NORMALIZED_DATA!G26*TIER_WEIGHTS!$D$9</f>
        <v>0.5294117647</v>
      </c>
      <c r="I26" s="33">
        <f>NORMALIZED_DATA!H26*TIER_WEIGHTS!$D$14</f>
        <v>0.08333333333</v>
      </c>
      <c r="J26" s="33">
        <f>NORMALIZED_DATA!L26*TIER_WEIGHTS!$D$4</f>
        <v>2.008353416</v>
      </c>
      <c r="K26" s="33">
        <f>NORMALIZED_DATA!Q26*TIER_WEIGHTS!$D$5</f>
        <v>2.383801715</v>
      </c>
      <c r="L26" s="33">
        <f>NORMALIZED_DATA!U26*TIER_WEIGHTS!$D$12</f>
        <v>0</v>
      </c>
      <c r="M26" s="33">
        <f>NORMALIZED_DATA!V26*TIER_WEIGHTS!$D$15</f>
        <v>0.002686246418</v>
      </c>
      <c r="N26" s="33">
        <f>NORMALIZED_DATA!W26*TIER_WEIGHTS!$D$13</f>
        <v>0</v>
      </c>
      <c r="O26" s="33">
        <f>NORMALIZED_DATA!Y26*TIER_WEIGHTS!$D$6</f>
        <v>1.017857143</v>
      </c>
      <c r="P26" s="33">
        <f>NORMALIZED_DATA!Z26*TIER_WEIGHTS!$D$11</f>
        <v>1.333333333</v>
      </c>
      <c r="Q26" s="33">
        <f>NORMALIZED_DATA!AA26*TIER_WEIGHTS!$D$10</f>
        <v>1.56597663</v>
      </c>
      <c r="R26" s="147">
        <f t="shared" si="1"/>
        <v>10.13563942</v>
      </c>
    </row>
    <row r="27">
      <c r="A27" s="29"/>
      <c r="B27" s="29"/>
      <c r="C27" s="33"/>
      <c r="D27" s="33"/>
      <c r="E27" s="33"/>
      <c r="F27" s="33"/>
      <c r="G27" s="33"/>
      <c r="H27" s="33"/>
      <c r="I27" s="33"/>
      <c r="J27" s="33"/>
      <c r="K27" s="33"/>
      <c r="L27" s="33"/>
      <c r="M27" s="33"/>
      <c r="N27" s="33"/>
      <c r="O27" s="33"/>
      <c r="P27" s="33"/>
      <c r="Q27" s="33"/>
      <c r="R27" s="33"/>
    </row>
    <row r="28">
      <c r="A28" s="33"/>
      <c r="B28" s="33"/>
      <c r="C28" s="33"/>
      <c r="D28" s="33"/>
      <c r="E28" s="33"/>
      <c r="F28" s="33"/>
      <c r="G28" s="33"/>
      <c r="H28" s="33"/>
      <c r="I28" s="33"/>
      <c r="J28" s="33"/>
      <c r="K28" s="33"/>
      <c r="L28" s="33"/>
      <c r="M28" s="33"/>
      <c r="N28" s="33"/>
      <c r="O28" s="33"/>
      <c r="P28" s="33"/>
      <c r="Q28" s="33"/>
      <c r="R28" s="33"/>
    </row>
    <row r="29">
      <c r="A29" s="33"/>
      <c r="B29" s="33"/>
      <c r="C29" s="33"/>
      <c r="D29" s="33"/>
      <c r="E29" s="33"/>
      <c r="F29" s="33"/>
      <c r="G29" s="33"/>
      <c r="H29" s="33"/>
      <c r="I29" s="33"/>
      <c r="J29" s="33"/>
      <c r="K29" s="33"/>
      <c r="L29" s="33"/>
      <c r="M29" s="33"/>
      <c r="N29" s="33"/>
      <c r="O29" s="33"/>
      <c r="P29" s="33"/>
      <c r="Q29" s="33"/>
      <c r="R29" s="33"/>
    </row>
    <row r="30">
      <c r="A30" s="33"/>
      <c r="B30" s="33"/>
      <c r="C30" s="33"/>
      <c r="D30" s="33"/>
      <c r="E30" s="33"/>
      <c r="F30" s="33"/>
      <c r="G30" s="33"/>
      <c r="H30" s="33"/>
      <c r="I30" s="33"/>
      <c r="J30" s="33"/>
      <c r="K30" s="33"/>
      <c r="L30" s="33"/>
      <c r="M30" s="33"/>
      <c r="N30" s="33"/>
      <c r="O30" s="33"/>
      <c r="P30" s="33"/>
      <c r="Q30" s="33"/>
      <c r="R30" s="33"/>
    </row>
    <row r="31">
      <c r="A31" s="33"/>
      <c r="B31" s="33"/>
      <c r="C31" s="33"/>
      <c r="D31" s="33"/>
      <c r="E31" s="33"/>
      <c r="F31" s="33"/>
      <c r="G31" s="33"/>
      <c r="H31" s="33"/>
      <c r="I31" s="33"/>
      <c r="J31" s="33"/>
      <c r="K31" s="33"/>
      <c r="L31" s="33"/>
      <c r="M31" s="33"/>
      <c r="N31" s="33"/>
      <c r="O31" s="33"/>
      <c r="P31" s="33"/>
      <c r="Q31" s="33"/>
      <c r="R31" s="33"/>
    </row>
    <row r="32">
      <c r="A32" s="33"/>
      <c r="B32" s="33"/>
      <c r="C32" s="33"/>
      <c r="D32" s="33"/>
      <c r="E32" s="33"/>
      <c r="F32" s="33"/>
      <c r="G32" s="33"/>
      <c r="H32" s="33"/>
      <c r="I32" s="33"/>
      <c r="J32" s="33"/>
      <c r="K32" s="33"/>
      <c r="L32" s="33"/>
      <c r="M32" s="33"/>
      <c r="N32" s="33"/>
      <c r="O32" s="33"/>
      <c r="P32" s="33"/>
      <c r="Q32" s="33"/>
      <c r="R32" s="33"/>
    </row>
    <row r="33">
      <c r="A33" s="33"/>
      <c r="B33" s="33"/>
      <c r="C33" s="33"/>
      <c r="D33" s="33"/>
      <c r="E33" s="33"/>
      <c r="F33" s="33"/>
      <c r="G33" s="33"/>
      <c r="H33" s="33"/>
      <c r="I33" s="33"/>
      <c r="J33" s="33"/>
      <c r="K33" s="33"/>
      <c r="L33" s="33"/>
      <c r="M33" s="33"/>
      <c r="N33" s="33"/>
      <c r="O33" s="33"/>
      <c r="P33" s="33"/>
      <c r="Q33" s="33"/>
      <c r="R33" s="33"/>
    </row>
    <row r="34">
      <c r="A34" s="33"/>
      <c r="B34" s="33"/>
      <c r="C34" s="33"/>
      <c r="D34" s="33"/>
      <c r="E34" s="33"/>
      <c r="F34" s="33"/>
      <c r="G34" s="33"/>
      <c r="H34" s="33"/>
      <c r="I34" s="33"/>
      <c r="J34" s="33"/>
      <c r="K34" s="33"/>
      <c r="L34" s="33"/>
      <c r="M34" s="33"/>
      <c r="N34" s="33"/>
      <c r="O34" s="33"/>
      <c r="P34" s="33"/>
      <c r="Q34" s="33"/>
      <c r="R34" s="33"/>
    </row>
    <row r="35">
      <c r="A35" s="33"/>
      <c r="B35" s="33"/>
      <c r="C35" s="33"/>
      <c r="D35" s="33"/>
      <c r="E35" s="33"/>
      <c r="F35" s="33"/>
      <c r="G35" s="33"/>
      <c r="H35" s="33"/>
      <c r="I35" s="33"/>
      <c r="J35" s="33"/>
      <c r="K35" s="33"/>
      <c r="L35" s="33"/>
      <c r="M35" s="33"/>
      <c r="N35" s="33"/>
      <c r="O35" s="33"/>
      <c r="P35" s="33"/>
      <c r="Q35" s="33"/>
      <c r="R35" s="33"/>
    </row>
    <row r="36">
      <c r="A36" s="33"/>
      <c r="B36" s="33"/>
      <c r="C36" s="33"/>
      <c r="D36" s="33"/>
      <c r="E36" s="33"/>
      <c r="F36" s="33"/>
      <c r="G36" s="33"/>
      <c r="H36" s="33"/>
      <c r="I36" s="33"/>
      <c r="J36" s="33"/>
      <c r="K36" s="33"/>
      <c r="L36" s="33"/>
      <c r="M36" s="33"/>
      <c r="N36" s="33"/>
      <c r="O36" s="33"/>
      <c r="P36" s="33"/>
      <c r="Q36" s="33"/>
      <c r="R36" s="33"/>
    </row>
    <row r="37">
      <c r="A37" s="33"/>
      <c r="B37" s="33"/>
      <c r="C37" s="33"/>
      <c r="D37" s="33"/>
      <c r="E37" s="33"/>
      <c r="F37" s="33"/>
      <c r="G37" s="33"/>
      <c r="H37" s="33"/>
      <c r="I37" s="33"/>
      <c r="J37" s="33"/>
      <c r="K37" s="33"/>
      <c r="L37" s="33"/>
      <c r="M37" s="33"/>
      <c r="N37" s="33"/>
      <c r="O37" s="33"/>
      <c r="P37" s="33"/>
      <c r="Q37" s="33"/>
      <c r="R37" s="33"/>
    </row>
    <row r="38">
      <c r="A38" s="33"/>
      <c r="B38" s="33"/>
      <c r="C38" s="33"/>
      <c r="D38" s="33"/>
      <c r="E38" s="33"/>
      <c r="F38" s="33"/>
      <c r="G38" s="33"/>
      <c r="H38" s="33"/>
      <c r="I38" s="33"/>
      <c r="J38" s="33"/>
      <c r="K38" s="33"/>
      <c r="L38" s="33"/>
      <c r="M38" s="33"/>
      <c r="N38" s="33"/>
      <c r="O38" s="33"/>
      <c r="P38" s="33"/>
      <c r="Q38" s="33"/>
      <c r="R38" s="33"/>
    </row>
    <row r="39">
      <c r="A39" s="33"/>
      <c r="B39" s="33"/>
      <c r="C39" s="33"/>
      <c r="D39" s="33"/>
      <c r="E39" s="33"/>
      <c r="F39" s="33"/>
      <c r="G39" s="33"/>
      <c r="H39" s="33"/>
      <c r="I39" s="33"/>
      <c r="J39" s="33"/>
      <c r="K39" s="33"/>
      <c r="L39" s="33"/>
      <c r="M39" s="33"/>
      <c r="N39" s="33"/>
      <c r="O39" s="33"/>
      <c r="P39" s="33"/>
      <c r="Q39" s="33"/>
      <c r="R39" s="33"/>
    </row>
    <row r="40">
      <c r="A40" s="33"/>
      <c r="B40" s="33"/>
      <c r="C40" s="33"/>
      <c r="D40" s="33"/>
      <c r="E40" s="33"/>
      <c r="F40" s="33"/>
      <c r="G40" s="33"/>
      <c r="H40" s="33"/>
      <c r="I40" s="33"/>
      <c r="J40" s="33"/>
      <c r="K40" s="33"/>
      <c r="L40" s="33"/>
      <c r="M40" s="33"/>
      <c r="N40" s="33"/>
      <c r="O40" s="33"/>
      <c r="P40" s="33"/>
      <c r="Q40" s="33"/>
      <c r="R40" s="33"/>
    </row>
    <row r="41">
      <c r="A41" s="33"/>
      <c r="B41" s="33"/>
      <c r="C41" s="33"/>
      <c r="D41" s="33"/>
      <c r="E41" s="33"/>
      <c r="F41" s="33"/>
      <c r="G41" s="33"/>
      <c r="H41" s="33"/>
      <c r="I41" s="33"/>
      <c r="J41" s="33"/>
      <c r="K41" s="33"/>
      <c r="L41" s="33"/>
      <c r="M41" s="33"/>
      <c r="N41" s="33"/>
      <c r="O41" s="33"/>
      <c r="P41" s="33"/>
      <c r="Q41" s="33"/>
      <c r="R41" s="33"/>
    </row>
    <row r="42">
      <c r="A42" s="33"/>
      <c r="B42" s="33"/>
      <c r="C42" s="33"/>
      <c r="D42" s="33"/>
      <c r="E42" s="33"/>
      <c r="F42" s="33"/>
      <c r="G42" s="33"/>
      <c r="H42" s="33"/>
      <c r="I42" s="33"/>
      <c r="J42" s="33"/>
      <c r="K42" s="33"/>
      <c r="L42" s="33"/>
      <c r="M42" s="33"/>
      <c r="N42" s="33"/>
      <c r="O42" s="33"/>
      <c r="P42" s="33"/>
      <c r="Q42" s="33"/>
      <c r="R42" s="33"/>
    </row>
    <row r="43">
      <c r="A43" s="33"/>
      <c r="B43" s="33"/>
      <c r="C43" s="33"/>
      <c r="D43" s="33"/>
      <c r="E43" s="33"/>
      <c r="F43" s="33"/>
      <c r="G43" s="33"/>
      <c r="H43" s="33"/>
      <c r="I43" s="33"/>
      <c r="J43" s="33"/>
      <c r="K43" s="33"/>
      <c r="L43" s="33"/>
      <c r="M43" s="33"/>
      <c r="N43" s="33"/>
      <c r="O43" s="33"/>
      <c r="P43" s="33"/>
      <c r="Q43" s="33"/>
      <c r="R43" s="33"/>
    </row>
    <row r="44">
      <c r="A44" s="33"/>
      <c r="B44" s="33"/>
      <c r="C44" s="33"/>
      <c r="D44" s="33"/>
      <c r="E44" s="33"/>
      <c r="F44" s="33"/>
      <c r="G44" s="33"/>
      <c r="H44" s="33"/>
      <c r="I44" s="33"/>
      <c r="J44" s="33"/>
      <c r="K44" s="33"/>
      <c r="L44" s="33"/>
      <c r="M44" s="33"/>
      <c r="N44" s="33"/>
      <c r="O44" s="33"/>
      <c r="P44" s="33"/>
      <c r="Q44" s="33"/>
      <c r="R44" s="33"/>
    </row>
    <row r="45">
      <c r="A45" s="33"/>
      <c r="B45" s="33"/>
      <c r="C45" s="33"/>
      <c r="D45" s="33"/>
      <c r="E45" s="33"/>
      <c r="F45" s="33"/>
      <c r="G45" s="33"/>
      <c r="H45" s="33"/>
      <c r="I45" s="33"/>
      <c r="J45" s="33"/>
      <c r="K45" s="33"/>
      <c r="L45" s="33"/>
      <c r="M45" s="33"/>
      <c r="N45" s="33"/>
      <c r="O45" s="33"/>
      <c r="P45" s="33"/>
      <c r="Q45" s="33"/>
      <c r="R45" s="33"/>
    </row>
    <row r="46">
      <c r="A46" s="33"/>
      <c r="B46" s="33"/>
      <c r="C46" s="33"/>
      <c r="D46" s="33"/>
      <c r="E46" s="33"/>
      <c r="F46" s="33"/>
      <c r="G46" s="33"/>
      <c r="H46" s="33"/>
      <c r="I46" s="33"/>
      <c r="J46" s="33"/>
      <c r="K46" s="33"/>
      <c r="L46" s="33"/>
      <c r="M46" s="33"/>
      <c r="N46" s="33"/>
      <c r="O46" s="33"/>
      <c r="P46" s="33"/>
      <c r="Q46" s="33"/>
      <c r="R46" s="33"/>
    </row>
    <row r="47">
      <c r="A47" s="33"/>
      <c r="B47" s="33"/>
      <c r="C47" s="33"/>
      <c r="D47" s="33"/>
      <c r="E47" s="33"/>
      <c r="F47" s="33"/>
      <c r="G47" s="33"/>
      <c r="H47" s="33"/>
      <c r="I47" s="33"/>
      <c r="J47" s="33"/>
      <c r="K47" s="33"/>
      <c r="L47" s="33"/>
      <c r="M47" s="33"/>
      <c r="N47" s="33"/>
      <c r="O47" s="33"/>
      <c r="P47" s="33"/>
      <c r="Q47" s="33"/>
      <c r="R47" s="33"/>
    </row>
    <row r="48">
      <c r="A48" s="33"/>
      <c r="B48" s="33"/>
      <c r="C48" s="33"/>
      <c r="D48" s="33"/>
      <c r="E48" s="33"/>
      <c r="F48" s="33"/>
      <c r="G48" s="33"/>
      <c r="H48" s="33"/>
      <c r="I48" s="33"/>
      <c r="J48" s="33"/>
      <c r="K48" s="33"/>
      <c r="L48" s="33"/>
      <c r="M48" s="33"/>
      <c r="N48" s="33"/>
      <c r="O48" s="33"/>
      <c r="P48" s="33"/>
      <c r="Q48" s="33"/>
      <c r="R48" s="33"/>
    </row>
    <row r="49">
      <c r="A49" s="33"/>
      <c r="B49" s="33"/>
      <c r="C49" s="33"/>
      <c r="D49" s="33"/>
      <c r="E49" s="33"/>
      <c r="F49" s="33"/>
      <c r="G49" s="33"/>
      <c r="H49" s="33"/>
      <c r="I49" s="33"/>
      <c r="J49" s="33"/>
      <c r="K49" s="33"/>
      <c r="L49" s="33"/>
      <c r="M49" s="33"/>
      <c r="N49" s="33"/>
      <c r="O49" s="33"/>
      <c r="P49" s="33"/>
      <c r="Q49" s="33"/>
      <c r="R49" s="33"/>
    </row>
    <row r="50">
      <c r="A50" s="33"/>
      <c r="B50" s="33"/>
      <c r="C50" s="33"/>
      <c r="D50" s="33"/>
      <c r="E50" s="33"/>
      <c r="F50" s="33"/>
      <c r="G50" s="33"/>
      <c r="H50" s="33"/>
      <c r="I50" s="33"/>
      <c r="J50" s="33"/>
      <c r="K50" s="33"/>
      <c r="L50" s="33"/>
      <c r="M50" s="33"/>
      <c r="N50" s="33"/>
      <c r="O50" s="33"/>
      <c r="P50" s="33"/>
      <c r="Q50" s="33"/>
      <c r="R50" s="33"/>
    </row>
    <row r="51">
      <c r="A51" s="33"/>
      <c r="B51" s="33"/>
      <c r="C51" s="33"/>
      <c r="D51" s="33"/>
      <c r="E51" s="33"/>
      <c r="F51" s="33"/>
      <c r="G51" s="33"/>
      <c r="H51" s="33"/>
      <c r="I51" s="33"/>
      <c r="J51" s="33"/>
      <c r="K51" s="33"/>
      <c r="L51" s="33"/>
      <c r="M51" s="33"/>
      <c r="N51" s="33"/>
      <c r="O51" s="33"/>
      <c r="P51" s="33"/>
      <c r="Q51" s="33"/>
      <c r="R51" s="33"/>
    </row>
    <row r="52">
      <c r="A52" s="33"/>
      <c r="B52" s="33"/>
      <c r="C52" s="33"/>
      <c r="D52" s="33"/>
      <c r="E52" s="33"/>
      <c r="F52" s="33"/>
      <c r="G52" s="33"/>
      <c r="H52" s="33"/>
      <c r="I52" s="33"/>
      <c r="J52" s="33"/>
      <c r="K52" s="33"/>
      <c r="L52" s="33"/>
      <c r="M52" s="33"/>
      <c r="N52" s="33"/>
      <c r="O52" s="33"/>
      <c r="P52" s="33"/>
      <c r="Q52" s="33"/>
      <c r="R52" s="33"/>
    </row>
    <row r="53">
      <c r="A53" s="33"/>
      <c r="B53" s="33"/>
      <c r="C53" s="33"/>
      <c r="D53" s="33"/>
      <c r="E53" s="33"/>
      <c r="F53" s="33"/>
      <c r="G53" s="33"/>
      <c r="H53" s="33"/>
      <c r="I53" s="33"/>
      <c r="J53" s="33"/>
      <c r="K53" s="33"/>
      <c r="L53" s="33"/>
      <c r="M53" s="33"/>
      <c r="N53" s="33"/>
      <c r="O53" s="33"/>
      <c r="P53" s="33"/>
      <c r="Q53" s="33"/>
      <c r="R53" s="33"/>
    </row>
    <row r="54">
      <c r="A54" s="33"/>
      <c r="B54" s="33"/>
      <c r="C54" s="33"/>
      <c r="D54" s="33"/>
      <c r="E54" s="33"/>
      <c r="F54" s="33"/>
      <c r="G54" s="33"/>
      <c r="H54" s="33"/>
      <c r="I54" s="33"/>
      <c r="J54" s="33"/>
      <c r="K54" s="33"/>
      <c r="L54" s="33"/>
      <c r="M54" s="33"/>
      <c r="N54" s="33"/>
      <c r="O54" s="33"/>
      <c r="P54" s="33"/>
      <c r="Q54" s="33"/>
      <c r="R54" s="33"/>
    </row>
    <row r="55">
      <c r="A55" s="33"/>
      <c r="B55" s="33"/>
      <c r="C55" s="33"/>
      <c r="D55" s="33"/>
      <c r="E55" s="33"/>
      <c r="F55" s="33"/>
      <c r="G55" s="33"/>
      <c r="H55" s="33"/>
      <c r="I55" s="33"/>
      <c r="J55" s="33"/>
      <c r="K55" s="33"/>
      <c r="L55" s="33"/>
      <c r="M55" s="33"/>
      <c r="N55" s="33"/>
      <c r="O55" s="33"/>
      <c r="P55" s="33"/>
      <c r="Q55" s="33"/>
      <c r="R55" s="33"/>
    </row>
    <row r="56">
      <c r="A56" s="33"/>
      <c r="B56" s="33"/>
      <c r="C56" s="33"/>
      <c r="D56" s="33"/>
      <c r="E56" s="33"/>
      <c r="F56" s="33"/>
      <c r="G56" s="33"/>
      <c r="H56" s="33"/>
      <c r="I56" s="33"/>
      <c r="J56" s="33"/>
      <c r="K56" s="33"/>
      <c r="L56" s="33"/>
      <c r="M56" s="33"/>
      <c r="N56" s="33"/>
      <c r="O56" s="33"/>
      <c r="P56" s="33"/>
      <c r="Q56" s="33"/>
      <c r="R56" s="33"/>
    </row>
    <row r="57">
      <c r="A57" s="33"/>
      <c r="B57" s="33"/>
      <c r="C57" s="33"/>
      <c r="D57" s="33"/>
      <c r="E57" s="33"/>
      <c r="F57" s="33"/>
      <c r="G57" s="33"/>
      <c r="H57" s="33"/>
      <c r="I57" s="33"/>
      <c r="J57" s="33"/>
      <c r="K57" s="33"/>
      <c r="L57" s="33"/>
      <c r="M57" s="33"/>
      <c r="N57" s="33"/>
      <c r="O57" s="33"/>
      <c r="P57" s="33"/>
      <c r="Q57" s="33"/>
      <c r="R57" s="33"/>
    </row>
    <row r="58">
      <c r="A58" s="33"/>
      <c r="B58" s="33"/>
      <c r="C58" s="33"/>
      <c r="D58" s="33"/>
      <c r="E58" s="33"/>
      <c r="F58" s="33"/>
      <c r="G58" s="33"/>
      <c r="H58" s="33"/>
      <c r="I58" s="33"/>
      <c r="J58" s="33"/>
      <c r="K58" s="33"/>
      <c r="L58" s="33"/>
      <c r="M58" s="33"/>
      <c r="N58" s="33"/>
      <c r="O58" s="33"/>
      <c r="P58" s="33"/>
      <c r="Q58" s="33"/>
      <c r="R58" s="33"/>
    </row>
    <row r="59">
      <c r="A59" s="33"/>
      <c r="B59" s="33"/>
      <c r="C59" s="33"/>
      <c r="D59" s="33"/>
      <c r="E59" s="33"/>
      <c r="F59" s="33"/>
      <c r="G59" s="33"/>
      <c r="H59" s="33"/>
      <c r="I59" s="33"/>
      <c r="J59" s="33"/>
      <c r="K59" s="33"/>
      <c r="L59" s="33"/>
      <c r="M59" s="33"/>
      <c r="N59" s="33"/>
      <c r="O59" s="33"/>
      <c r="P59" s="33"/>
      <c r="Q59" s="33"/>
      <c r="R59" s="33"/>
    </row>
    <row r="60">
      <c r="A60" s="33"/>
      <c r="B60" s="33"/>
      <c r="C60" s="33"/>
      <c r="D60" s="33"/>
      <c r="E60" s="33"/>
      <c r="F60" s="33"/>
      <c r="G60" s="33"/>
      <c r="H60" s="33"/>
      <c r="I60" s="33"/>
      <c r="J60" s="33"/>
      <c r="K60" s="33"/>
      <c r="L60" s="33"/>
      <c r="M60" s="33"/>
      <c r="N60" s="33"/>
      <c r="O60" s="33"/>
      <c r="P60" s="33"/>
      <c r="Q60" s="33"/>
      <c r="R60" s="33"/>
    </row>
    <row r="61">
      <c r="A61" s="33"/>
      <c r="B61" s="33"/>
      <c r="C61" s="33"/>
      <c r="D61" s="33"/>
      <c r="E61" s="33"/>
      <c r="F61" s="33"/>
      <c r="G61" s="33"/>
      <c r="H61" s="33"/>
      <c r="I61" s="33"/>
      <c r="J61" s="33"/>
      <c r="K61" s="33"/>
      <c r="L61" s="33"/>
      <c r="M61" s="33"/>
      <c r="N61" s="33"/>
      <c r="O61" s="33"/>
      <c r="P61" s="33"/>
      <c r="Q61" s="33"/>
      <c r="R61" s="33"/>
    </row>
    <row r="62">
      <c r="A62" s="33"/>
      <c r="B62" s="33"/>
      <c r="C62" s="33"/>
      <c r="D62" s="33"/>
      <c r="E62" s="33"/>
      <c r="F62" s="33"/>
      <c r="G62" s="33"/>
      <c r="H62" s="33"/>
      <c r="I62" s="33"/>
      <c r="J62" s="33"/>
      <c r="K62" s="33"/>
      <c r="L62" s="33"/>
      <c r="M62" s="33"/>
      <c r="N62" s="33"/>
      <c r="O62" s="33"/>
      <c r="P62" s="33"/>
      <c r="Q62" s="33"/>
      <c r="R62" s="33"/>
    </row>
    <row r="63">
      <c r="A63" s="33"/>
      <c r="B63" s="33"/>
      <c r="C63" s="33"/>
      <c r="D63" s="33"/>
      <c r="E63" s="33"/>
      <c r="F63" s="33"/>
      <c r="G63" s="33"/>
      <c r="H63" s="33"/>
      <c r="I63" s="33"/>
      <c r="J63" s="33"/>
      <c r="K63" s="33"/>
      <c r="L63" s="33"/>
      <c r="M63" s="33"/>
      <c r="N63" s="33"/>
      <c r="O63" s="33"/>
      <c r="P63" s="33"/>
      <c r="Q63" s="33"/>
      <c r="R63" s="33"/>
    </row>
    <row r="64">
      <c r="A64" s="33"/>
      <c r="B64" s="33"/>
      <c r="C64" s="33"/>
      <c r="D64" s="33"/>
      <c r="E64" s="33"/>
      <c r="F64" s="33"/>
      <c r="G64" s="33"/>
      <c r="H64" s="33"/>
      <c r="I64" s="33"/>
      <c r="J64" s="33"/>
      <c r="K64" s="33"/>
      <c r="L64" s="33"/>
      <c r="M64" s="33"/>
      <c r="N64" s="33"/>
      <c r="O64" s="33"/>
      <c r="P64" s="33"/>
      <c r="Q64" s="33"/>
      <c r="R64" s="33"/>
    </row>
    <row r="65">
      <c r="A65" s="33"/>
      <c r="B65" s="33"/>
      <c r="C65" s="33"/>
      <c r="D65" s="33"/>
      <c r="E65" s="33"/>
      <c r="F65" s="33"/>
      <c r="G65" s="33"/>
      <c r="H65" s="33"/>
      <c r="I65" s="33"/>
      <c r="J65" s="33"/>
      <c r="K65" s="33"/>
      <c r="L65" s="33"/>
      <c r="M65" s="33"/>
      <c r="N65" s="33"/>
      <c r="O65" s="33"/>
      <c r="P65" s="33"/>
      <c r="Q65" s="33"/>
      <c r="R65" s="33"/>
    </row>
    <row r="66">
      <c r="A66" s="33"/>
      <c r="B66" s="33"/>
      <c r="C66" s="33"/>
      <c r="D66" s="33"/>
      <c r="E66" s="33"/>
      <c r="F66" s="33"/>
      <c r="G66" s="33"/>
      <c r="H66" s="33"/>
      <c r="I66" s="33"/>
      <c r="J66" s="33"/>
      <c r="K66" s="33"/>
      <c r="L66" s="33"/>
      <c r="M66" s="33"/>
      <c r="N66" s="33"/>
      <c r="O66" s="33"/>
      <c r="P66" s="33"/>
      <c r="Q66" s="33"/>
      <c r="R66" s="33"/>
    </row>
    <row r="67">
      <c r="A67" s="33"/>
      <c r="B67" s="33"/>
      <c r="C67" s="33"/>
      <c r="D67" s="33"/>
      <c r="E67" s="33"/>
      <c r="F67" s="33"/>
      <c r="G67" s="33"/>
      <c r="H67" s="33"/>
      <c r="I67" s="33"/>
      <c r="J67" s="33"/>
      <c r="K67" s="33"/>
      <c r="L67" s="33"/>
      <c r="M67" s="33"/>
      <c r="N67" s="33"/>
      <c r="O67" s="33"/>
      <c r="P67" s="33"/>
      <c r="Q67" s="33"/>
      <c r="R67" s="33"/>
    </row>
    <row r="68">
      <c r="A68" s="33"/>
      <c r="B68" s="33"/>
      <c r="C68" s="33"/>
      <c r="D68" s="33"/>
      <c r="E68" s="33"/>
      <c r="F68" s="33"/>
      <c r="G68" s="33"/>
      <c r="H68" s="33"/>
      <c r="I68" s="33"/>
      <c r="J68" s="33"/>
      <c r="K68" s="33"/>
      <c r="L68" s="33"/>
      <c r="M68" s="33"/>
      <c r="N68" s="33"/>
      <c r="O68" s="33"/>
      <c r="P68" s="33"/>
      <c r="Q68" s="33"/>
      <c r="R68" s="33"/>
    </row>
    <row r="69">
      <c r="A69" s="33"/>
      <c r="B69" s="33"/>
      <c r="C69" s="33"/>
      <c r="D69" s="33"/>
      <c r="E69" s="33"/>
      <c r="F69" s="33"/>
      <c r="G69" s="33"/>
      <c r="H69" s="33"/>
      <c r="I69" s="33"/>
      <c r="J69" s="33"/>
      <c r="K69" s="33"/>
      <c r="L69" s="33"/>
      <c r="M69" s="33"/>
      <c r="N69" s="33"/>
      <c r="O69" s="33"/>
      <c r="P69" s="33"/>
      <c r="Q69" s="33"/>
      <c r="R69" s="33"/>
    </row>
    <row r="70">
      <c r="A70" s="33"/>
      <c r="B70" s="33"/>
      <c r="C70" s="33"/>
      <c r="D70" s="33"/>
      <c r="E70" s="33"/>
      <c r="F70" s="33"/>
      <c r="G70" s="33"/>
      <c r="H70" s="33"/>
      <c r="I70" s="33"/>
      <c r="J70" s="33"/>
      <c r="K70" s="33"/>
      <c r="L70" s="33"/>
      <c r="M70" s="33"/>
      <c r="N70" s="33"/>
      <c r="O70" s="33"/>
      <c r="P70" s="33"/>
      <c r="Q70" s="33"/>
      <c r="R70" s="33"/>
    </row>
    <row r="71">
      <c r="A71" s="33"/>
      <c r="B71" s="33"/>
      <c r="C71" s="33"/>
      <c r="D71" s="33"/>
      <c r="E71" s="33"/>
      <c r="F71" s="33"/>
      <c r="G71" s="33"/>
      <c r="H71" s="33"/>
      <c r="I71" s="33"/>
      <c r="J71" s="33"/>
      <c r="K71" s="33"/>
      <c r="L71" s="33"/>
      <c r="M71" s="33"/>
      <c r="N71" s="33"/>
      <c r="O71" s="33"/>
      <c r="P71" s="33"/>
      <c r="Q71" s="33"/>
      <c r="R71" s="33"/>
    </row>
    <row r="72">
      <c r="A72" s="33"/>
      <c r="B72" s="33"/>
      <c r="C72" s="33"/>
      <c r="D72" s="33"/>
      <c r="E72" s="33"/>
      <c r="F72" s="33"/>
      <c r="G72" s="33"/>
      <c r="H72" s="33"/>
      <c r="I72" s="33"/>
      <c r="J72" s="33"/>
      <c r="K72" s="33"/>
      <c r="L72" s="33"/>
      <c r="M72" s="33"/>
      <c r="N72" s="33"/>
      <c r="O72" s="33"/>
      <c r="P72" s="33"/>
      <c r="Q72" s="33"/>
      <c r="R72" s="33"/>
    </row>
    <row r="73">
      <c r="A73" s="33"/>
      <c r="B73" s="33"/>
      <c r="C73" s="33"/>
      <c r="D73" s="33"/>
      <c r="E73" s="33"/>
      <c r="F73" s="33"/>
      <c r="G73" s="33"/>
      <c r="H73" s="33"/>
      <c r="I73" s="33"/>
      <c r="J73" s="33"/>
      <c r="K73" s="33"/>
      <c r="L73" s="33"/>
      <c r="M73" s="33"/>
      <c r="N73" s="33"/>
      <c r="O73" s="33"/>
      <c r="P73" s="33"/>
      <c r="Q73" s="33"/>
      <c r="R73" s="33"/>
    </row>
    <row r="74">
      <c r="A74" s="33"/>
      <c r="B74" s="33"/>
      <c r="C74" s="33"/>
      <c r="D74" s="33"/>
      <c r="E74" s="33"/>
      <c r="F74" s="33"/>
      <c r="G74" s="33"/>
      <c r="H74" s="33"/>
      <c r="I74" s="33"/>
      <c r="J74" s="33"/>
      <c r="K74" s="33"/>
      <c r="L74" s="33"/>
      <c r="M74" s="33"/>
      <c r="N74" s="33"/>
      <c r="O74" s="33"/>
      <c r="P74" s="33"/>
      <c r="Q74" s="33"/>
      <c r="R74" s="33"/>
    </row>
    <row r="75">
      <c r="A75" s="33"/>
      <c r="B75" s="33"/>
      <c r="C75" s="33"/>
      <c r="D75" s="33"/>
      <c r="E75" s="33"/>
      <c r="F75" s="33"/>
      <c r="G75" s="33"/>
      <c r="H75" s="33"/>
      <c r="I75" s="33"/>
      <c r="J75" s="33"/>
      <c r="K75" s="33"/>
      <c r="L75" s="33"/>
      <c r="M75" s="33"/>
      <c r="N75" s="33"/>
      <c r="O75" s="33"/>
      <c r="P75" s="33"/>
      <c r="Q75" s="33"/>
      <c r="R75" s="33"/>
    </row>
    <row r="76">
      <c r="A76" s="33"/>
      <c r="B76" s="33"/>
      <c r="C76" s="33"/>
      <c r="D76" s="33"/>
      <c r="E76" s="33"/>
      <c r="F76" s="33"/>
      <c r="G76" s="33"/>
      <c r="H76" s="33"/>
      <c r="I76" s="33"/>
      <c r="J76" s="33"/>
      <c r="K76" s="33"/>
      <c r="L76" s="33"/>
      <c r="M76" s="33"/>
      <c r="N76" s="33"/>
      <c r="O76" s="33"/>
      <c r="P76" s="33"/>
      <c r="Q76" s="33"/>
      <c r="R76" s="33"/>
    </row>
    <row r="77">
      <c r="A77" s="33"/>
      <c r="B77" s="33"/>
      <c r="C77" s="33"/>
      <c r="D77" s="33"/>
      <c r="E77" s="33"/>
      <c r="F77" s="33"/>
      <c r="G77" s="33"/>
      <c r="H77" s="33"/>
      <c r="I77" s="33"/>
      <c r="J77" s="33"/>
      <c r="K77" s="33"/>
      <c r="L77" s="33"/>
      <c r="M77" s="33"/>
      <c r="N77" s="33"/>
      <c r="O77" s="33"/>
      <c r="P77" s="33"/>
      <c r="Q77" s="33"/>
      <c r="R77" s="33"/>
    </row>
    <row r="78">
      <c r="A78" s="33"/>
      <c r="B78" s="33"/>
      <c r="C78" s="33"/>
      <c r="D78" s="33"/>
      <c r="E78" s="33"/>
      <c r="F78" s="33"/>
      <c r="G78" s="33"/>
      <c r="H78" s="33"/>
      <c r="I78" s="33"/>
      <c r="J78" s="33"/>
      <c r="K78" s="33"/>
      <c r="L78" s="33"/>
      <c r="M78" s="33"/>
      <c r="N78" s="33"/>
      <c r="O78" s="33"/>
      <c r="P78" s="33"/>
      <c r="Q78" s="33"/>
      <c r="R78" s="33"/>
    </row>
    <row r="79">
      <c r="A79" s="33"/>
      <c r="B79" s="33"/>
      <c r="C79" s="33"/>
      <c r="D79" s="33"/>
      <c r="E79" s="33"/>
      <c r="F79" s="33"/>
      <c r="G79" s="33"/>
      <c r="H79" s="33"/>
      <c r="I79" s="33"/>
      <c r="J79" s="33"/>
      <c r="K79" s="33"/>
      <c r="L79" s="33"/>
      <c r="M79" s="33"/>
      <c r="N79" s="33"/>
      <c r="O79" s="33"/>
      <c r="P79" s="33"/>
      <c r="Q79" s="33"/>
      <c r="R79" s="33"/>
    </row>
    <row r="80">
      <c r="A80" s="33"/>
      <c r="B80" s="33"/>
      <c r="C80" s="33"/>
      <c r="D80" s="33"/>
      <c r="E80" s="33"/>
      <c r="F80" s="33"/>
      <c r="G80" s="33"/>
      <c r="H80" s="33"/>
      <c r="I80" s="33"/>
      <c r="J80" s="33"/>
      <c r="K80" s="33"/>
      <c r="L80" s="33"/>
      <c r="M80" s="33"/>
      <c r="N80" s="33"/>
      <c r="O80" s="33"/>
      <c r="P80" s="33"/>
      <c r="Q80" s="33"/>
      <c r="R80" s="33"/>
    </row>
    <row r="81">
      <c r="A81" s="33"/>
      <c r="B81" s="33"/>
      <c r="C81" s="33"/>
      <c r="D81" s="33"/>
      <c r="E81" s="33"/>
      <c r="F81" s="33"/>
      <c r="G81" s="33"/>
      <c r="H81" s="33"/>
      <c r="I81" s="33"/>
      <c r="J81" s="33"/>
      <c r="K81" s="33"/>
      <c r="L81" s="33"/>
      <c r="M81" s="33"/>
      <c r="N81" s="33"/>
      <c r="O81" s="33"/>
      <c r="P81" s="33"/>
      <c r="Q81" s="33"/>
      <c r="R81" s="33"/>
    </row>
    <row r="82">
      <c r="A82" s="33"/>
      <c r="B82" s="33"/>
      <c r="C82" s="33"/>
      <c r="D82" s="33"/>
      <c r="E82" s="33"/>
      <c r="F82" s="33"/>
      <c r="G82" s="33"/>
      <c r="H82" s="33"/>
      <c r="I82" s="33"/>
      <c r="J82" s="33"/>
      <c r="K82" s="33"/>
      <c r="L82" s="33"/>
      <c r="M82" s="33"/>
      <c r="N82" s="33"/>
      <c r="O82" s="33"/>
      <c r="P82" s="33"/>
      <c r="Q82" s="33"/>
      <c r="R82" s="33"/>
    </row>
    <row r="83">
      <c r="A83" s="33"/>
      <c r="B83" s="33"/>
      <c r="C83" s="33"/>
      <c r="D83" s="33"/>
      <c r="E83" s="33"/>
      <c r="F83" s="33"/>
      <c r="G83" s="33"/>
      <c r="H83" s="33"/>
      <c r="I83" s="33"/>
      <c r="J83" s="33"/>
      <c r="K83" s="33"/>
      <c r="L83" s="33"/>
      <c r="M83" s="33"/>
      <c r="N83" s="33"/>
      <c r="O83" s="33"/>
      <c r="P83" s="33"/>
      <c r="Q83" s="33"/>
      <c r="R83" s="33"/>
    </row>
    <row r="84">
      <c r="A84" s="33"/>
      <c r="B84" s="33"/>
      <c r="C84" s="33"/>
      <c r="D84" s="33"/>
      <c r="E84" s="33"/>
      <c r="F84" s="33"/>
      <c r="G84" s="33"/>
      <c r="H84" s="33"/>
      <c r="I84" s="33"/>
      <c r="J84" s="33"/>
      <c r="K84" s="33"/>
      <c r="L84" s="33"/>
      <c r="M84" s="33"/>
      <c r="N84" s="33"/>
      <c r="O84" s="33"/>
      <c r="P84" s="33"/>
      <c r="Q84" s="33"/>
      <c r="R84" s="33"/>
    </row>
    <row r="85">
      <c r="A85" s="33"/>
      <c r="B85" s="33"/>
      <c r="C85" s="33"/>
      <c r="D85" s="33"/>
      <c r="E85" s="33"/>
      <c r="F85" s="33"/>
      <c r="G85" s="33"/>
      <c r="H85" s="33"/>
      <c r="I85" s="33"/>
      <c r="J85" s="33"/>
      <c r="K85" s="33"/>
      <c r="L85" s="33"/>
      <c r="M85" s="33"/>
      <c r="N85" s="33"/>
      <c r="O85" s="33"/>
      <c r="P85" s="33"/>
      <c r="Q85" s="33"/>
      <c r="R85" s="33"/>
    </row>
    <row r="86">
      <c r="A86" s="33"/>
      <c r="B86" s="33"/>
      <c r="C86" s="33"/>
      <c r="D86" s="33"/>
      <c r="E86" s="33"/>
      <c r="F86" s="33"/>
      <c r="G86" s="33"/>
      <c r="H86" s="33"/>
      <c r="I86" s="33"/>
      <c r="J86" s="33"/>
      <c r="K86" s="33"/>
      <c r="L86" s="33"/>
      <c r="M86" s="33"/>
      <c r="N86" s="33"/>
      <c r="O86" s="33"/>
      <c r="P86" s="33"/>
      <c r="Q86" s="33"/>
      <c r="R86" s="33"/>
    </row>
    <row r="87">
      <c r="A87" s="33"/>
      <c r="B87" s="33"/>
      <c r="C87" s="33"/>
      <c r="D87" s="33"/>
      <c r="E87" s="33"/>
      <c r="F87" s="33"/>
      <c r="G87" s="33"/>
      <c r="H87" s="33"/>
      <c r="I87" s="33"/>
      <c r="J87" s="33"/>
      <c r="K87" s="33"/>
      <c r="L87" s="33"/>
      <c r="M87" s="33"/>
      <c r="N87" s="33"/>
      <c r="O87" s="33"/>
      <c r="P87" s="33"/>
      <c r="Q87" s="33"/>
      <c r="R87" s="33"/>
    </row>
    <row r="88">
      <c r="A88" s="33"/>
      <c r="B88" s="33"/>
      <c r="C88" s="33"/>
      <c r="D88" s="33"/>
      <c r="E88" s="33"/>
      <c r="F88" s="33"/>
      <c r="G88" s="33"/>
      <c r="H88" s="33"/>
      <c r="I88" s="33"/>
      <c r="J88" s="33"/>
      <c r="K88" s="33"/>
      <c r="L88" s="33"/>
      <c r="M88" s="33"/>
      <c r="N88" s="33"/>
      <c r="O88" s="33"/>
      <c r="P88" s="33"/>
      <c r="Q88" s="33"/>
      <c r="R88" s="33"/>
    </row>
    <row r="89">
      <c r="A89" s="33"/>
      <c r="B89" s="33"/>
      <c r="C89" s="33"/>
      <c r="D89" s="33"/>
      <c r="E89" s="33"/>
      <c r="F89" s="33"/>
      <c r="G89" s="33"/>
      <c r="H89" s="33"/>
      <c r="I89" s="33"/>
      <c r="J89" s="33"/>
      <c r="K89" s="33"/>
      <c r="L89" s="33"/>
      <c r="M89" s="33"/>
      <c r="N89" s="33"/>
      <c r="O89" s="33"/>
      <c r="P89" s="33"/>
      <c r="Q89" s="33"/>
      <c r="R89" s="33"/>
    </row>
    <row r="90">
      <c r="A90" s="33"/>
      <c r="B90" s="33"/>
      <c r="C90" s="33"/>
      <c r="D90" s="33"/>
      <c r="E90" s="33"/>
      <c r="F90" s="33"/>
      <c r="G90" s="33"/>
      <c r="H90" s="33"/>
      <c r="I90" s="33"/>
      <c r="J90" s="33"/>
      <c r="K90" s="33"/>
      <c r="L90" s="33"/>
      <c r="M90" s="33"/>
      <c r="N90" s="33"/>
      <c r="O90" s="33"/>
      <c r="P90" s="33"/>
      <c r="Q90" s="33"/>
      <c r="R90" s="33"/>
    </row>
    <row r="91">
      <c r="A91" s="33"/>
      <c r="B91" s="33"/>
      <c r="C91" s="33"/>
      <c r="D91" s="33"/>
      <c r="E91" s="33"/>
      <c r="F91" s="33"/>
      <c r="G91" s="33"/>
      <c r="H91" s="33"/>
      <c r="I91" s="33"/>
      <c r="J91" s="33"/>
      <c r="K91" s="33"/>
      <c r="L91" s="33"/>
      <c r="M91" s="33"/>
      <c r="N91" s="33"/>
      <c r="O91" s="33"/>
      <c r="P91" s="33"/>
      <c r="Q91" s="33"/>
      <c r="R91" s="33"/>
    </row>
    <row r="92">
      <c r="A92" s="33"/>
      <c r="B92" s="33"/>
      <c r="C92" s="33"/>
      <c r="D92" s="33"/>
      <c r="E92" s="33"/>
      <c r="F92" s="33"/>
      <c r="G92" s="33"/>
      <c r="H92" s="33"/>
      <c r="I92" s="33"/>
      <c r="J92" s="33"/>
      <c r="K92" s="33"/>
      <c r="L92" s="33"/>
      <c r="M92" s="33"/>
      <c r="N92" s="33"/>
      <c r="O92" s="33"/>
      <c r="P92" s="33"/>
      <c r="Q92" s="33"/>
      <c r="R92" s="33"/>
    </row>
    <row r="93">
      <c r="A93" s="33"/>
      <c r="B93" s="33"/>
      <c r="C93" s="33"/>
      <c r="D93" s="33"/>
      <c r="E93" s="33"/>
      <c r="F93" s="33"/>
      <c r="G93" s="33"/>
      <c r="H93" s="33"/>
      <c r="I93" s="33"/>
      <c r="J93" s="33"/>
      <c r="K93" s="33"/>
      <c r="L93" s="33"/>
      <c r="M93" s="33"/>
      <c r="N93" s="33"/>
      <c r="O93" s="33"/>
      <c r="P93" s="33"/>
      <c r="Q93" s="33"/>
      <c r="R93" s="33"/>
    </row>
    <row r="94">
      <c r="A94" s="33"/>
      <c r="B94" s="33"/>
      <c r="C94" s="33"/>
      <c r="D94" s="33"/>
      <c r="E94" s="33"/>
      <c r="F94" s="33"/>
      <c r="G94" s="33"/>
      <c r="H94" s="33"/>
      <c r="I94" s="33"/>
      <c r="J94" s="33"/>
      <c r="K94" s="33"/>
      <c r="L94" s="33"/>
      <c r="M94" s="33"/>
      <c r="N94" s="33"/>
      <c r="O94" s="33"/>
      <c r="P94" s="33"/>
      <c r="Q94" s="33"/>
      <c r="R94" s="33"/>
    </row>
    <row r="95">
      <c r="A95" s="33"/>
      <c r="B95" s="33"/>
      <c r="C95" s="33"/>
      <c r="D95" s="33"/>
      <c r="E95" s="33"/>
      <c r="F95" s="33"/>
      <c r="G95" s="33"/>
      <c r="H95" s="33"/>
      <c r="I95" s="33"/>
      <c r="J95" s="33"/>
      <c r="K95" s="33"/>
      <c r="L95" s="33"/>
      <c r="M95" s="33"/>
      <c r="N95" s="33"/>
      <c r="O95" s="33"/>
      <c r="P95" s="33"/>
      <c r="Q95" s="33"/>
      <c r="R95" s="33"/>
    </row>
    <row r="96">
      <c r="A96" s="33"/>
      <c r="B96" s="33"/>
      <c r="C96" s="33"/>
      <c r="D96" s="33"/>
      <c r="E96" s="33"/>
      <c r="F96" s="33"/>
      <c r="G96" s="33"/>
      <c r="H96" s="33"/>
      <c r="I96" s="33"/>
      <c r="J96" s="33"/>
      <c r="K96" s="33"/>
      <c r="L96" s="33"/>
      <c r="M96" s="33"/>
      <c r="N96" s="33"/>
      <c r="O96" s="33"/>
      <c r="P96" s="33"/>
      <c r="Q96" s="33"/>
      <c r="R96" s="33"/>
    </row>
    <row r="97">
      <c r="A97" s="33"/>
      <c r="B97" s="33"/>
      <c r="C97" s="33"/>
      <c r="D97" s="33"/>
      <c r="E97" s="33"/>
      <c r="F97" s="33"/>
      <c r="G97" s="33"/>
      <c r="H97" s="33"/>
      <c r="I97" s="33"/>
      <c r="J97" s="33"/>
      <c r="K97" s="33"/>
      <c r="L97" s="33"/>
      <c r="M97" s="33"/>
      <c r="N97" s="33"/>
      <c r="O97" s="33"/>
      <c r="P97" s="33"/>
      <c r="Q97" s="33"/>
      <c r="R97" s="33"/>
    </row>
    <row r="98">
      <c r="A98" s="33"/>
      <c r="B98" s="33"/>
      <c r="C98" s="33"/>
      <c r="D98" s="33"/>
      <c r="E98" s="33"/>
      <c r="F98" s="33"/>
      <c r="G98" s="33"/>
      <c r="H98" s="33"/>
      <c r="I98" s="33"/>
      <c r="J98" s="33"/>
      <c r="K98" s="33"/>
      <c r="L98" s="33"/>
      <c r="M98" s="33"/>
      <c r="N98" s="33"/>
      <c r="O98" s="33"/>
      <c r="P98" s="33"/>
      <c r="Q98" s="33"/>
      <c r="R98" s="33"/>
    </row>
    <row r="99">
      <c r="A99" s="33"/>
      <c r="B99" s="33"/>
      <c r="C99" s="33"/>
      <c r="D99" s="33"/>
      <c r="E99" s="33"/>
      <c r="F99" s="33"/>
      <c r="G99" s="33"/>
      <c r="H99" s="33"/>
      <c r="I99" s="33"/>
      <c r="J99" s="33"/>
      <c r="K99" s="33"/>
      <c r="L99" s="33"/>
      <c r="M99" s="33"/>
      <c r="N99" s="33"/>
      <c r="O99" s="33"/>
      <c r="P99" s="33"/>
      <c r="Q99" s="33"/>
      <c r="R99" s="33"/>
    </row>
    <row r="100">
      <c r="A100" s="33"/>
      <c r="B100" s="33"/>
      <c r="C100" s="33"/>
      <c r="D100" s="33"/>
      <c r="E100" s="33"/>
      <c r="F100" s="33"/>
      <c r="G100" s="33"/>
      <c r="H100" s="33"/>
      <c r="I100" s="33"/>
      <c r="J100" s="33"/>
      <c r="K100" s="33"/>
      <c r="L100" s="33"/>
      <c r="M100" s="33"/>
      <c r="N100" s="33"/>
      <c r="O100" s="33"/>
      <c r="P100" s="33"/>
      <c r="Q100" s="33"/>
      <c r="R100" s="33"/>
    </row>
    <row r="101">
      <c r="A101" s="33"/>
      <c r="B101" s="33"/>
      <c r="C101" s="33"/>
      <c r="D101" s="33"/>
      <c r="E101" s="33"/>
      <c r="F101" s="33"/>
      <c r="G101" s="33"/>
      <c r="H101" s="33"/>
      <c r="I101" s="33"/>
      <c r="J101" s="33"/>
      <c r="K101" s="33"/>
      <c r="L101" s="33"/>
      <c r="M101" s="33"/>
      <c r="N101" s="33"/>
      <c r="O101" s="33"/>
      <c r="P101" s="33"/>
      <c r="Q101" s="33"/>
      <c r="R101" s="33"/>
    </row>
    <row r="102">
      <c r="A102" s="33"/>
      <c r="B102" s="33"/>
      <c r="C102" s="33"/>
      <c r="D102" s="33"/>
      <c r="E102" s="33"/>
      <c r="F102" s="33"/>
      <c r="G102" s="33"/>
      <c r="H102" s="33"/>
      <c r="I102" s="33"/>
      <c r="J102" s="33"/>
      <c r="K102" s="33"/>
      <c r="L102" s="33"/>
      <c r="M102" s="33"/>
      <c r="N102" s="33"/>
      <c r="O102" s="33"/>
      <c r="P102" s="33"/>
      <c r="Q102" s="33"/>
      <c r="R102" s="33"/>
    </row>
    <row r="103">
      <c r="A103" s="33"/>
      <c r="B103" s="33"/>
      <c r="C103" s="33"/>
      <c r="D103" s="33"/>
      <c r="E103" s="33"/>
      <c r="F103" s="33"/>
      <c r="G103" s="33"/>
      <c r="H103" s="33"/>
      <c r="I103" s="33"/>
      <c r="J103" s="33"/>
      <c r="K103" s="33"/>
      <c r="L103" s="33"/>
      <c r="M103" s="33"/>
      <c r="N103" s="33"/>
      <c r="O103" s="33"/>
      <c r="P103" s="33"/>
      <c r="Q103" s="33"/>
      <c r="R103" s="33"/>
    </row>
    <row r="104">
      <c r="A104" s="33"/>
      <c r="B104" s="33"/>
      <c r="C104" s="33"/>
      <c r="D104" s="33"/>
      <c r="E104" s="33"/>
      <c r="F104" s="33"/>
      <c r="G104" s="33"/>
      <c r="H104" s="33"/>
      <c r="I104" s="33"/>
      <c r="J104" s="33"/>
      <c r="K104" s="33"/>
      <c r="L104" s="33"/>
      <c r="M104" s="33"/>
      <c r="N104" s="33"/>
      <c r="O104" s="33"/>
      <c r="P104" s="33"/>
      <c r="Q104" s="33"/>
      <c r="R104" s="33"/>
    </row>
    <row r="105">
      <c r="A105" s="33"/>
      <c r="B105" s="33"/>
      <c r="C105" s="33"/>
      <c r="D105" s="33"/>
      <c r="E105" s="33"/>
      <c r="F105" s="33"/>
      <c r="G105" s="33"/>
      <c r="H105" s="33"/>
      <c r="I105" s="33"/>
      <c r="J105" s="33"/>
      <c r="K105" s="33"/>
      <c r="L105" s="33"/>
      <c r="M105" s="33"/>
      <c r="N105" s="33"/>
      <c r="O105" s="33"/>
      <c r="P105" s="33"/>
      <c r="Q105" s="33"/>
      <c r="R105" s="33"/>
    </row>
    <row r="106">
      <c r="A106" s="33"/>
      <c r="B106" s="33"/>
      <c r="C106" s="33"/>
      <c r="D106" s="33"/>
      <c r="E106" s="33"/>
      <c r="F106" s="33"/>
      <c r="G106" s="33"/>
      <c r="H106" s="33"/>
      <c r="I106" s="33"/>
      <c r="J106" s="33"/>
      <c r="K106" s="33"/>
      <c r="L106" s="33"/>
      <c r="M106" s="33"/>
      <c r="N106" s="33"/>
      <c r="O106" s="33"/>
      <c r="P106" s="33"/>
      <c r="Q106" s="33"/>
      <c r="R106" s="33"/>
    </row>
    <row r="107">
      <c r="A107" s="33"/>
      <c r="B107" s="33"/>
      <c r="C107" s="33"/>
      <c r="D107" s="33"/>
      <c r="E107" s="33"/>
      <c r="F107" s="33"/>
      <c r="G107" s="33"/>
      <c r="H107" s="33"/>
      <c r="I107" s="33"/>
      <c r="J107" s="33"/>
      <c r="K107" s="33"/>
      <c r="L107" s="33"/>
      <c r="M107" s="33"/>
      <c r="N107" s="33"/>
      <c r="O107" s="33"/>
      <c r="P107" s="33"/>
      <c r="Q107" s="33"/>
      <c r="R107" s="33"/>
    </row>
    <row r="108">
      <c r="A108" s="33"/>
      <c r="B108" s="33"/>
      <c r="C108" s="33"/>
      <c r="D108" s="33"/>
      <c r="E108" s="33"/>
      <c r="F108" s="33"/>
      <c r="G108" s="33"/>
      <c r="H108" s="33"/>
      <c r="I108" s="33"/>
      <c r="J108" s="33"/>
      <c r="K108" s="33"/>
      <c r="L108" s="33"/>
      <c r="M108" s="33"/>
      <c r="N108" s="33"/>
      <c r="O108" s="33"/>
      <c r="P108" s="33"/>
      <c r="Q108" s="33"/>
      <c r="R108" s="33"/>
    </row>
    <row r="109">
      <c r="A109" s="33"/>
      <c r="B109" s="33"/>
      <c r="C109" s="33"/>
      <c r="D109" s="33"/>
      <c r="E109" s="33"/>
      <c r="F109" s="33"/>
      <c r="G109" s="33"/>
      <c r="H109" s="33"/>
      <c r="I109" s="33"/>
      <c r="J109" s="33"/>
      <c r="K109" s="33"/>
      <c r="L109" s="33"/>
      <c r="M109" s="33"/>
      <c r="N109" s="33"/>
      <c r="O109" s="33"/>
      <c r="P109" s="33"/>
      <c r="Q109" s="33"/>
      <c r="R109" s="33"/>
    </row>
    <row r="110">
      <c r="A110" s="33"/>
      <c r="B110" s="33"/>
      <c r="C110" s="33"/>
      <c r="D110" s="33"/>
      <c r="E110" s="33"/>
      <c r="F110" s="33"/>
      <c r="G110" s="33"/>
      <c r="H110" s="33"/>
      <c r="I110" s="33"/>
      <c r="J110" s="33"/>
      <c r="K110" s="33"/>
      <c r="L110" s="33"/>
      <c r="M110" s="33"/>
      <c r="N110" s="33"/>
      <c r="O110" s="33"/>
      <c r="P110" s="33"/>
      <c r="Q110" s="33"/>
      <c r="R110" s="33"/>
    </row>
    <row r="111">
      <c r="A111" s="33"/>
      <c r="B111" s="33"/>
      <c r="C111" s="33"/>
      <c r="D111" s="33"/>
      <c r="E111" s="33"/>
      <c r="F111" s="33"/>
      <c r="G111" s="33"/>
      <c r="H111" s="33"/>
      <c r="I111" s="33"/>
      <c r="J111" s="33"/>
      <c r="K111" s="33"/>
      <c r="L111" s="33"/>
      <c r="M111" s="33"/>
      <c r="N111" s="33"/>
      <c r="O111" s="33"/>
      <c r="P111" s="33"/>
      <c r="Q111" s="33"/>
      <c r="R111" s="33"/>
    </row>
    <row r="112">
      <c r="A112" s="33"/>
      <c r="B112" s="33"/>
      <c r="C112" s="33"/>
      <c r="D112" s="33"/>
      <c r="E112" s="33"/>
      <c r="F112" s="33"/>
      <c r="G112" s="33"/>
      <c r="H112" s="33"/>
      <c r="I112" s="33"/>
      <c r="J112" s="33"/>
      <c r="K112" s="33"/>
      <c r="L112" s="33"/>
      <c r="M112" s="33"/>
      <c r="N112" s="33"/>
      <c r="O112" s="33"/>
      <c r="P112" s="33"/>
      <c r="Q112" s="33"/>
      <c r="R112" s="33"/>
    </row>
    <row r="113">
      <c r="A113" s="33"/>
      <c r="B113" s="33"/>
      <c r="C113" s="33"/>
      <c r="D113" s="33"/>
      <c r="E113" s="33"/>
      <c r="F113" s="33"/>
      <c r="G113" s="33"/>
      <c r="H113" s="33"/>
      <c r="I113" s="33"/>
      <c r="J113" s="33"/>
      <c r="K113" s="33"/>
      <c r="L113" s="33"/>
      <c r="M113" s="33"/>
      <c r="N113" s="33"/>
      <c r="O113" s="33"/>
      <c r="P113" s="33"/>
      <c r="Q113" s="33"/>
      <c r="R113" s="33"/>
    </row>
    <row r="114">
      <c r="A114" s="33"/>
      <c r="B114" s="33"/>
      <c r="C114" s="33"/>
      <c r="D114" s="33"/>
      <c r="E114" s="33"/>
      <c r="F114" s="33"/>
      <c r="G114" s="33"/>
      <c r="H114" s="33"/>
      <c r="I114" s="33"/>
      <c r="J114" s="33"/>
      <c r="K114" s="33"/>
      <c r="L114" s="33"/>
      <c r="M114" s="33"/>
      <c r="N114" s="33"/>
      <c r="O114" s="33"/>
      <c r="P114" s="33"/>
      <c r="Q114" s="33"/>
      <c r="R114" s="33"/>
    </row>
    <row r="115">
      <c r="A115" s="33"/>
      <c r="B115" s="33"/>
      <c r="C115" s="33"/>
      <c r="D115" s="33"/>
      <c r="E115" s="33"/>
      <c r="F115" s="33"/>
      <c r="G115" s="33"/>
      <c r="H115" s="33"/>
      <c r="I115" s="33"/>
      <c r="J115" s="33"/>
      <c r="K115" s="33"/>
      <c r="L115" s="33"/>
      <c r="M115" s="33"/>
      <c r="N115" s="33"/>
      <c r="O115" s="33"/>
      <c r="P115" s="33"/>
      <c r="Q115" s="33"/>
      <c r="R115" s="33"/>
    </row>
    <row r="116">
      <c r="A116" s="33"/>
      <c r="B116" s="33"/>
      <c r="C116" s="33"/>
      <c r="D116" s="33"/>
      <c r="E116" s="33"/>
      <c r="F116" s="33"/>
      <c r="G116" s="33"/>
      <c r="H116" s="33"/>
      <c r="I116" s="33"/>
      <c r="J116" s="33"/>
      <c r="K116" s="33"/>
      <c r="L116" s="33"/>
      <c r="M116" s="33"/>
      <c r="N116" s="33"/>
      <c r="O116" s="33"/>
      <c r="P116" s="33"/>
      <c r="Q116" s="33"/>
      <c r="R116" s="33"/>
    </row>
    <row r="117">
      <c r="A117" s="33"/>
      <c r="B117" s="33"/>
      <c r="C117" s="33"/>
      <c r="D117" s="33"/>
      <c r="E117" s="33"/>
      <c r="F117" s="33"/>
      <c r="G117" s="33"/>
      <c r="H117" s="33"/>
      <c r="I117" s="33"/>
      <c r="J117" s="33"/>
      <c r="K117" s="33"/>
      <c r="L117" s="33"/>
      <c r="M117" s="33"/>
      <c r="N117" s="33"/>
      <c r="O117" s="33"/>
      <c r="P117" s="33"/>
      <c r="Q117" s="33"/>
      <c r="R117" s="33"/>
    </row>
    <row r="118">
      <c r="A118" s="33"/>
      <c r="B118" s="33"/>
      <c r="C118" s="33"/>
      <c r="D118" s="33"/>
      <c r="E118" s="33"/>
      <c r="F118" s="33"/>
      <c r="G118" s="33"/>
      <c r="H118" s="33"/>
      <c r="I118" s="33"/>
      <c r="J118" s="33"/>
      <c r="K118" s="33"/>
      <c r="L118" s="33"/>
      <c r="M118" s="33"/>
      <c r="N118" s="33"/>
      <c r="O118" s="33"/>
      <c r="P118" s="33"/>
      <c r="Q118" s="33"/>
      <c r="R118" s="33"/>
    </row>
    <row r="119">
      <c r="A119" s="33"/>
      <c r="B119" s="33"/>
      <c r="C119" s="33"/>
      <c r="D119" s="33"/>
      <c r="E119" s="33"/>
      <c r="F119" s="33"/>
      <c r="G119" s="33"/>
      <c r="H119" s="33"/>
      <c r="I119" s="33"/>
      <c r="J119" s="33"/>
      <c r="K119" s="33"/>
      <c r="L119" s="33"/>
      <c r="M119" s="33"/>
      <c r="N119" s="33"/>
      <c r="O119" s="33"/>
      <c r="P119" s="33"/>
      <c r="Q119" s="33"/>
      <c r="R119" s="33"/>
    </row>
    <row r="120">
      <c r="A120" s="33"/>
      <c r="B120" s="33"/>
      <c r="C120" s="33"/>
      <c r="D120" s="33"/>
      <c r="E120" s="33"/>
      <c r="F120" s="33"/>
      <c r="G120" s="33"/>
      <c r="H120" s="33"/>
      <c r="I120" s="33"/>
      <c r="J120" s="33"/>
      <c r="K120" s="33"/>
      <c r="L120" s="33"/>
      <c r="M120" s="33"/>
      <c r="N120" s="33"/>
      <c r="O120" s="33"/>
      <c r="P120" s="33"/>
      <c r="Q120" s="33"/>
      <c r="R120" s="33"/>
    </row>
    <row r="121">
      <c r="A121" s="33"/>
      <c r="B121" s="33"/>
      <c r="C121" s="33"/>
      <c r="D121" s="33"/>
      <c r="E121" s="33"/>
      <c r="F121" s="33"/>
      <c r="G121" s="33"/>
      <c r="H121" s="33"/>
      <c r="I121" s="33"/>
      <c r="J121" s="33"/>
      <c r="K121" s="33"/>
      <c r="L121" s="33"/>
      <c r="M121" s="33"/>
      <c r="N121" s="33"/>
      <c r="O121" s="33"/>
      <c r="P121" s="33"/>
      <c r="Q121" s="33"/>
      <c r="R121" s="33"/>
    </row>
    <row r="122">
      <c r="A122" s="33"/>
      <c r="B122" s="33"/>
      <c r="C122" s="33"/>
      <c r="D122" s="33"/>
      <c r="E122" s="33"/>
      <c r="F122" s="33"/>
      <c r="G122" s="33"/>
      <c r="H122" s="33"/>
      <c r="I122" s="33"/>
      <c r="J122" s="33"/>
      <c r="K122" s="33"/>
      <c r="L122" s="33"/>
      <c r="M122" s="33"/>
      <c r="N122" s="33"/>
      <c r="O122" s="33"/>
      <c r="P122" s="33"/>
      <c r="Q122" s="33"/>
      <c r="R122" s="33"/>
    </row>
    <row r="123">
      <c r="A123" s="33"/>
      <c r="B123" s="33"/>
      <c r="C123" s="33"/>
      <c r="D123" s="33"/>
      <c r="E123" s="33"/>
      <c r="F123" s="33"/>
      <c r="G123" s="33"/>
      <c r="H123" s="33"/>
      <c r="I123" s="33"/>
      <c r="J123" s="33"/>
      <c r="K123" s="33"/>
      <c r="L123" s="33"/>
      <c r="M123" s="33"/>
      <c r="N123" s="33"/>
      <c r="O123" s="33"/>
      <c r="P123" s="33"/>
      <c r="Q123" s="33"/>
      <c r="R123" s="33"/>
    </row>
    <row r="124">
      <c r="A124" s="33"/>
      <c r="B124" s="33"/>
      <c r="C124" s="33"/>
      <c r="D124" s="33"/>
      <c r="E124" s="33"/>
      <c r="F124" s="33"/>
      <c r="G124" s="33"/>
      <c r="H124" s="33"/>
      <c r="I124" s="33"/>
      <c r="J124" s="33"/>
      <c r="K124" s="33"/>
      <c r="L124" s="33"/>
      <c r="M124" s="33"/>
      <c r="N124" s="33"/>
      <c r="O124" s="33"/>
      <c r="P124" s="33"/>
      <c r="Q124" s="33"/>
      <c r="R124" s="33"/>
    </row>
    <row r="125">
      <c r="A125" s="33"/>
      <c r="B125" s="33"/>
      <c r="C125" s="33"/>
      <c r="D125" s="33"/>
      <c r="E125" s="33"/>
      <c r="F125" s="33"/>
      <c r="G125" s="33"/>
      <c r="H125" s="33"/>
      <c r="I125" s="33"/>
      <c r="J125" s="33"/>
      <c r="K125" s="33"/>
      <c r="L125" s="33"/>
      <c r="M125" s="33"/>
      <c r="N125" s="33"/>
      <c r="O125" s="33"/>
      <c r="P125" s="33"/>
      <c r="Q125" s="33"/>
      <c r="R125" s="33"/>
    </row>
    <row r="126">
      <c r="A126" s="33"/>
      <c r="B126" s="33"/>
      <c r="C126" s="33"/>
      <c r="D126" s="33"/>
      <c r="E126" s="33"/>
      <c r="F126" s="33"/>
      <c r="G126" s="33"/>
      <c r="H126" s="33"/>
      <c r="I126" s="33"/>
      <c r="J126" s="33"/>
      <c r="K126" s="33"/>
      <c r="L126" s="33"/>
      <c r="M126" s="33"/>
      <c r="N126" s="33"/>
      <c r="O126" s="33"/>
      <c r="P126" s="33"/>
      <c r="Q126" s="33"/>
      <c r="R126" s="33"/>
    </row>
    <row r="127">
      <c r="A127" s="33"/>
      <c r="B127" s="33"/>
      <c r="C127" s="33"/>
      <c r="D127" s="33"/>
      <c r="E127" s="33"/>
      <c r="F127" s="33"/>
      <c r="G127" s="33"/>
      <c r="H127" s="33"/>
      <c r="I127" s="33"/>
      <c r="J127" s="33"/>
      <c r="K127" s="33"/>
      <c r="L127" s="33"/>
      <c r="M127" s="33"/>
      <c r="N127" s="33"/>
      <c r="O127" s="33"/>
      <c r="P127" s="33"/>
      <c r="Q127" s="33"/>
      <c r="R127" s="33"/>
    </row>
    <row r="128">
      <c r="A128" s="33"/>
      <c r="B128" s="33"/>
      <c r="C128" s="33"/>
      <c r="D128" s="33"/>
      <c r="E128" s="33"/>
      <c r="F128" s="33"/>
      <c r="G128" s="33"/>
      <c r="H128" s="33"/>
      <c r="I128" s="33"/>
      <c r="J128" s="33"/>
      <c r="K128" s="33"/>
      <c r="L128" s="33"/>
      <c r="M128" s="33"/>
      <c r="N128" s="33"/>
      <c r="O128" s="33"/>
      <c r="P128" s="33"/>
      <c r="Q128" s="33"/>
      <c r="R128" s="33"/>
    </row>
    <row r="129">
      <c r="A129" s="33"/>
      <c r="B129" s="33"/>
      <c r="C129" s="33"/>
      <c r="D129" s="33"/>
      <c r="E129" s="33"/>
      <c r="F129" s="33"/>
      <c r="G129" s="33"/>
      <c r="H129" s="33"/>
      <c r="I129" s="33"/>
      <c r="J129" s="33"/>
      <c r="K129" s="33"/>
      <c r="L129" s="33"/>
      <c r="M129" s="33"/>
      <c r="N129" s="33"/>
      <c r="O129" s="33"/>
      <c r="P129" s="33"/>
      <c r="Q129" s="33"/>
      <c r="R129" s="33"/>
    </row>
    <row r="130">
      <c r="A130" s="33"/>
      <c r="B130" s="33"/>
      <c r="C130" s="33"/>
      <c r="D130" s="33"/>
      <c r="E130" s="33"/>
      <c r="F130" s="33"/>
      <c r="G130" s="33"/>
      <c r="H130" s="33"/>
      <c r="I130" s="33"/>
      <c r="J130" s="33"/>
      <c r="K130" s="33"/>
      <c r="L130" s="33"/>
      <c r="M130" s="33"/>
      <c r="N130" s="33"/>
      <c r="O130" s="33"/>
      <c r="P130" s="33"/>
      <c r="Q130" s="33"/>
      <c r="R130" s="33"/>
    </row>
    <row r="131">
      <c r="A131" s="33"/>
      <c r="B131" s="33"/>
      <c r="C131" s="33"/>
      <c r="D131" s="33"/>
      <c r="E131" s="33"/>
      <c r="F131" s="33"/>
      <c r="G131" s="33"/>
      <c r="H131" s="33"/>
      <c r="I131" s="33"/>
      <c r="J131" s="33"/>
      <c r="K131" s="33"/>
      <c r="L131" s="33"/>
      <c r="M131" s="33"/>
      <c r="N131" s="33"/>
      <c r="O131" s="33"/>
      <c r="P131" s="33"/>
      <c r="Q131" s="33"/>
      <c r="R131" s="33"/>
    </row>
    <row r="132">
      <c r="A132" s="33"/>
      <c r="B132" s="33"/>
      <c r="C132" s="33"/>
      <c r="D132" s="33"/>
      <c r="E132" s="33"/>
      <c r="F132" s="33"/>
      <c r="G132" s="33"/>
      <c r="H132" s="33"/>
      <c r="I132" s="33"/>
      <c r="J132" s="33"/>
      <c r="K132" s="33"/>
      <c r="L132" s="33"/>
      <c r="M132" s="33"/>
      <c r="N132" s="33"/>
      <c r="O132" s="33"/>
      <c r="P132" s="33"/>
      <c r="Q132" s="33"/>
      <c r="R132" s="33"/>
    </row>
    <row r="133">
      <c r="A133" s="33"/>
      <c r="B133" s="33"/>
      <c r="C133" s="33"/>
      <c r="D133" s="33"/>
      <c r="E133" s="33"/>
      <c r="F133" s="33"/>
      <c r="G133" s="33"/>
      <c r="H133" s="33"/>
      <c r="I133" s="33"/>
      <c r="J133" s="33"/>
      <c r="K133" s="33"/>
      <c r="L133" s="33"/>
      <c r="M133" s="33"/>
      <c r="N133" s="33"/>
      <c r="O133" s="33"/>
      <c r="P133" s="33"/>
      <c r="Q133" s="33"/>
      <c r="R133" s="33"/>
    </row>
    <row r="134">
      <c r="A134" s="33"/>
      <c r="B134" s="33"/>
      <c r="C134" s="33"/>
      <c r="D134" s="33"/>
      <c r="E134" s="33"/>
      <c r="F134" s="33"/>
      <c r="G134" s="33"/>
      <c r="H134" s="33"/>
      <c r="I134" s="33"/>
      <c r="J134" s="33"/>
      <c r="K134" s="33"/>
      <c r="L134" s="33"/>
      <c r="M134" s="33"/>
      <c r="N134" s="33"/>
      <c r="O134" s="33"/>
      <c r="P134" s="33"/>
      <c r="Q134" s="33"/>
      <c r="R134" s="33"/>
    </row>
    <row r="135">
      <c r="A135" s="33"/>
      <c r="B135" s="33"/>
      <c r="C135" s="33"/>
      <c r="D135" s="33"/>
      <c r="E135" s="33"/>
      <c r="F135" s="33"/>
      <c r="G135" s="33"/>
      <c r="H135" s="33"/>
      <c r="I135" s="33"/>
      <c r="J135" s="33"/>
      <c r="K135" s="33"/>
      <c r="L135" s="33"/>
      <c r="M135" s="33"/>
      <c r="N135" s="33"/>
      <c r="O135" s="33"/>
      <c r="P135" s="33"/>
      <c r="Q135" s="33"/>
      <c r="R135" s="33"/>
    </row>
    <row r="136">
      <c r="A136" s="33"/>
      <c r="B136" s="33"/>
      <c r="C136" s="33"/>
      <c r="D136" s="33"/>
      <c r="E136" s="33"/>
      <c r="F136" s="33"/>
      <c r="G136" s="33"/>
      <c r="H136" s="33"/>
      <c r="I136" s="33"/>
      <c r="J136" s="33"/>
      <c r="K136" s="33"/>
      <c r="L136" s="33"/>
      <c r="M136" s="33"/>
      <c r="N136" s="33"/>
      <c r="O136" s="33"/>
      <c r="P136" s="33"/>
      <c r="Q136" s="33"/>
      <c r="R136" s="33"/>
    </row>
    <row r="137">
      <c r="A137" s="33"/>
      <c r="B137" s="33"/>
      <c r="C137" s="33"/>
      <c r="D137" s="33"/>
      <c r="E137" s="33"/>
      <c r="F137" s="33"/>
      <c r="G137" s="33"/>
      <c r="H137" s="33"/>
      <c r="I137" s="33"/>
      <c r="J137" s="33"/>
      <c r="K137" s="33"/>
      <c r="L137" s="33"/>
      <c r="M137" s="33"/>
      <c r="N137" s="33"/>
      <c r="O137" s="33"/>
      <c r="P137" s="33"/>
      <c r="Q137" s="33"/>
      <c r="R137" s="33"/>
    </row>
    <row r="138">
      <c r="A138" s="33"/>
      <c r="B138" s="33"/>
      <c r="C138" s="33"/>
      <c r="D138" s="33"/>
      <c r="E138" s="33"/>
      <c r="F138" s="33"/>
      <c r="G138" s="33"/>
      <c r="H138" s="33"/>
      <c r="I138" s="33"/>
      <c r="J138" s="33"/>
      <c r="K138" s="33"/>
      <c r="L138" s="33"/>
      <c r="M138" s="33"/>
      <c r="N138" s="33"/>
      <c r="O138" s="33"/>
      <c r="P138" s="33"/>
      <c r="Q138" s="33"/>
      <c r="R138" s="33"/>
    </row>
    <row r="139">
      <c r="A139" s="33"/>
      <c r="B139" s="33"/>
      <c r="C139" s="33"/>
      <c r="D139" s="33"/>
      <c r="E139" s="33"/>
      <c r="F139" s="33"/>
      <c r="G139" s="33"/>
      <c r="H139" s="33"/>
      <c r="I139" s="33"/>
      <c r="J139" s="33"/>
      <c r="K139" s="33"/>
      <c r="L139" s="33"/>
      <c r="M139" s="33"/>
      <c r="N139" s="33"/>
      <c r="O139" s="33"/>
      <c r="P139" s="33"/>
      <c r="Q139" s="33"/>
      <c r="R139" s="33"/>
    </row>
    <row r="140">
      <c r="A140" s="33"/>
      <c r="B140" s="33"/>
      <c r="C140" s="33"/>
      <c r="D140" s="33"/>
      <c r="E140" s="33"/>
      <c r="F140" s="33"/>
      <c r="G140" s="33"/>
      <c r="H140" s="33"/>
      <c r="I140" s="33"/>
      <c r="J140" s="33"/>
      <c r="K140" s="33"/>
      <c r="L140" s="33"/>
      <c r="M140" s="33"/>
      <c r="N140" s="33"/>
      <c r="O140" s="33"/>
      <c r="P140" s="33"/>
      <c r="Q140" s="33"/>
      <c r="R140" s="33"/>
    </row>
    <row r="141">
      <c r="A141" s="33"/>
      <c r="B141" s="33"/>
      <c r="C141" s="33"/>
      <c r="D141" s="33"/>
      <c r="E141" s="33"/>
      <c r="F141" s="33"/>
      <c r="G141" s="33"/>
      <c r="H141" s="33"/>
      <c r="I141" s="33"/>
      <c r="J141" s="33"/>
      <c r="K141" s="33"/>
      <c r="L141" s="33"/>
      <c r="M141" s="33"/>
      <c r="N141" s="33"/>
      <c r="O141" s="33"/>
      <c r="P141" s="33"/>
      <c r="Q141" s="33"/>
      <c r="R141" s="33"/>
    </row>
    <row r="142">
      <c r="A142" s="33"/>
      <c r="B142" s="33"/>
      <c r="C142" s="33"/>
      <c r="D142" s="33"/>
      <c r="E142" s="33"/>
      <c r="F142" s="33"/>
      <c r="G142" s="33"/>
      <c r="H142" s="33"/>
      <c r="I142" s="33"/>
      <c r="J142" s="33"/>
      <c r="K142" s="33"/>
      <c r="L142" s="33"/>
      <c r="M142" s="33"/>
      <c r="N142" s="33"/>
      <c r="O142" s="33"/>
      <c r="P142" s="33"/>
      <c r="Q142" s="33"/>
      <c r="R142" s="33"/>
    </row>
    <row r="143">
      <c r="A143" s="33"/>
      <c r="B143" s="33"/>
      <c r="C143" s="33"/>
      <c r="D143" s="33"/>
      <c r="E143" s="33"/>
      <c r="F143" s="33"/>
      <c r="G143" s="33"/>
      <c r="H143" s="33"/>
      <c r="I143" s="33"/>
      <c r="J143" s="33"/>
      <c r="K143" s="33"/>
      <c r="L143" s="33"/>
      <c r="M143" s="33"/>
      <c r="N143" s="33"/>
      <c r="O143" s="33"/>
      <c r="P143" s="33"/>
      <c r="Q143" s="33"/>
      <c r="R143" s="33"/>
    </row>
    <row r="144">
      <c r="A144" s="33"/>
      <c r="B144" s="33"/>
      <c r="C144" s="33"/>
      <c r="D144" s="33"/>
      <c r="E144" s="33"/>
      <c r="F144" s="33"/>
      <c r="G144" s="33"/>
      <c r="H144" s="33"/>
      <c r="I144" s="33"/>
      <c r="J144" s="33"/>
      <c r="K144" s="33"/>
      <c r="L144" s="33"/>
      <c r="M144" s="33"/>
      <c r="N144" s="33"/>
      <c r="O144" s="33"/>
      <c r="P144" s="33"/>
      <c r="Q144" s="33"/>
      <c r="R144" s="33"/>
    </row>
    <row r="145">
      <c r="A145" s="33"/>
      <c r="B145" s="33"/>
      <c r="C145" s="33"/>
      <c r="D145" s="33"/>
      <c r="E145" s="33"/>
      <c r="F145" s="33"/>
      <c r="G145" s="33"/>
      <c r="H145" s="33"/>
      <c r="I145" s="33"/>
      <c r="J145" s="33"/>
      <c r="K145" s="33"/>
      <c r="L145" s="33"/>
      <c r="M145" s="33"/>
      <c r="N145" s="33"/>
      <c r="O145" s="33"/>
      <c r="P145" s="33"/>
      <c r="Q145" s="33"/>
      <c r="R145" s="33"/>
    </row>
    <row r="146">
      <c r="A146" s="33"/>
      <c r="B146" s="33"/>
      <c r="C146" s="33"/>
      <c r="D146" s="33"/>
      <c r="E146" s="33"/>
      <c r="F146" s="33"/>
      <c r="G146" s="33"/>
      <c r="H146" s="33"/>
      <c r="I146" s="33"/>
      <c r="J146" s="33"/>
      <c r="K146" s="33"/>
      <c r="L146" s="33"/>
      <c r="M146" s="33"/>
      <c r="N146" s="33"/>
      <c r="O146" s="33"/>
      <c r="P146" s="33"/>
      <c r="Q146" s="33"/>
      <c r="R146" s="33"/>
    </row>
    <row r="147">
      <c r="A147" s="33"/>
      <c r="B147" s="33"/>
      <c r="C147" s="33"/>
      <c r="D147" s="33"/>
      <c r="E147" s="33"/>
      <c r="F147" s="33"/>
      <c r="G147" s="33"/>
      <c r="H147" s="33"/>
      <c r="I147" s="33"/>
      <c r="J147" s="33"/>
      <c r="K147" s="33"/>
      <c r="L147" s="33"/>
      <c r="M147" s="33"/>
      <c r="N147" s="33"/>
      <c r="O147" s="33"/>
      <c r="P147" s="33"/>
      <c r="Q147" s="33"/>
      <c r="R147" s="33"/>
    </row>
    <row r="148">
      <c r="A148" s="33"/>
      <c r="B148" s="33"/>
      <c r="C148" s="33"/>
      <c r="D148" s="33"/>
      <c r="E148" s="33"/>
      <c r="F148" s="33"/>
      <c r="G148" s="33"/>
      <c r="H148" s="33"/>
      <c r="I148" s="33"/>
      <c r="J148" s="33"/>
      <c r="K148" s="33"/>
      <c r="L148" s="33"/>
      <c r="M148" s="33"/>
      <c r="N148" s="33"/>
      <c r="O148" s="33"/>
      <c r="P148" s="33"/>
      <c r="Q148" s="33"/>
      <c r="R148" s="33"/>
    </row>
    <row r="149">
      <c r="A149" s="33"/>
      <c r="B149" s="33"/>
      <c r="C149" s="33"/>
      <c r="D149" s="33"/>
      <c r="E149" s="33"/>
      <c r="F149" s="33"/>
      <c r="G149" s="33"/>
      <c r="H149" s="33"/>
      <c r="I149" s="33"/>
      <c r="J149" s="33"/>
      <c r="K149" s="33"/>
      <c r="L149" s="33"/>
      <c r="M149" s="33"/>
      <c r="N149" s="33"/>
      <c r="O149" s="33"/>
      <c r="P149" s="33"/>
      <c r="Q149" s="33"/>
      <c r="R149" s="33"/>
    </row>
    <row r="150">
      <c r="A150" s="33"/>
      <c r="B150" s="33"/>
      <c r="C150" s="33"/>
      <c r="D150" s="33"/>
      <c r="E150" s="33"/>
      <c r="F150" s="33"/>
      <c r="G150" s="33"/>
      <c r="H150" s="33"/>
      <c r="I150" s="33"/>
      <c r="J150" s="33"/>
      <c r="K150" s="33"/>
      <c r="L150" s="33"/>
      <c r="M150" s="33"/>
      <c r="N150" s="33"/>
      <c r="O150" s="33"/>
      <c r="P150" s="33"/>
      <c r="Q150" s="33"/>
      <c r="R150" s="33"/>
    </row>
    <row r="151">
      <c r="A151" s="33"/>
      <c r="B151" s="33"/>
      <c r="C151" s="33"/>
      <c r="D151" s="33"/>
      <c r="E151" s="33"/>
      <c r="F151" s="33"/>
      <c r="G151" s="33"/>
      <c r="H151" s="33"/>
      <c r="I151" s="33"/>
      <c r="J151" s="33"/>
      <c r="K151" s="33"/>
      <c r="L151" s="33"/>
      <c r="M151" s="33"/>
      <c r="N151" s="33"/>
      <c r="O151" s="33"/>
      <c r="P151" s="33"/>
      <c r="Q151" s="33"/>
      <c r="R151" s="33"/>
    </row>
    <row r="152">
      <c r="A152" s="33"/>
      <c r="B152" s="33"/>
      <c r="C152" s="33"/>
      <c r="D152" s="33"/>
      <c r="E152" s="33"/>
      <c r="F152" s="33"/>
      <c r="G152" s="33"/>
      <c r="H152" s="33"/>
      <c r="I152" s="33"/>
      <c r="J152" s="33"/>
      <c r="K152" s="33"/>
      <c r="L152" s="33"/>
      <c r="M152" s="33"/>
      <c r="N152" s="33"/>
      <c r="O152" s="33"/>
      <c r="P152" s="33"/>
      <c r="Q152" s="33"/>
      <c r="R152" s="33"/>
    </row>
    <row r="153">
      <c r="A153" s="33"/>
      <c r="B153" s="33"/>
      <c r="C153" s="33"/>
      <c r="D153" s="33"/>
      <c r="E153" s="33"/>
      <c r="F153" s="33"/>
      <c r="G153" s="33"/>
      <c r="H153" s="33"/>
      <c r="I153" s="33"/>
      <c r="J153" s="33"/>
      <c r="K153" s="33"/>
      <c r="L153" s="33"/>
      <c r="M153" s="33"/>
      <c r="N153" s="33"/>
      <c r="O153" s="33"/>
      <c r="P153" s="33"/>
      <c r="Q153" s="33"/>
      <c r="R153" s="33"/>
    </row>
    <row r="154">
      <c r="A154" s="33"/>
      <c r="B154" s="33"/>
      <c r="C154" s="33"/>
      <c r="D154" s="33"/>
      <c r="E154" s="33"/>
      <c r="F154" s="33"/>
      <c r="G154" s="33"/>
      <c r="H154" s="33"/>
      <c r="I154" s="33"/>
      <c r="J154" s="33"/>
      <c r="K154" s="33"/>
      <c r="L154" s="33"/>
      <c r="M154" s="33"/>
      <c r="N154" s="33"/>
      <c r="O154" s="33"/>
      <c r="P154" s="33"/>
      <c r="Q154" s="33"/>
      <c r="R154" s="33"/>
    </row>
    <row r="155">
      <c r="A155" s="33"/>
      <c r="B155" s="33"/>
      <c r="C155" s="33"/>
      <c r="D155" s="33"/>
      <c r="E155" s="33"/>
      <c r="F155" s="33"/>
      <c r="G155" s="33"/>
      <c r="H155" s="33"/>
      <c r="I155" s="33"/>
      <c r="J155" s="33"/>
      <c r="K155" s="33"/>
      <c r="L155" s="33"/>
      <c r="M155" s="33"/>
      <c r="N155" s="33"/>
      <c r="O155" s="33"/>
      <c r="P155" s="33"/>
      <c r="Q155" s="33"/>
      <c r="R155" s="33"/>
    </row>
    <row r="156">
      <c r="A156" s="33"/>
      <c r="B156" s="33"/>
      <c r="C156" s="33"/>
      <c r="D156" s="33"/>
      <c r="E156" s="33"/>
      <c r="F156" s="33"/>
      <c r="G156" s="33"/>
      <c r="H156" s="33"/>
      <c r="I156" s="33"/>
      <c r="J156" s="33"/>
      <c r="K156" s="33"/>
      <c r="L156" s="33"/>
      <c r="M156" s="33"/>
      <c r="N156" s="33"/>
      <c r="O156" s="33"/>
      <c r="P156" s="33"/>
      <c r="Q156" s="33"/>
      <c r="R156" s="33"/>
    </row>
    <row r="157">
      <c r="A157" s="33"/>
      <c r="B157" s="33"/>
      <c r="C157" s="33"/>
      <c r="D157" s="33"/>
      <c r="E157" s="33"/>
      <c r="F157" s="33"/>
      <c r="G157" s="33"/>
      <c r="H157" s="33"/>
      <c r="I157" s="33"/>
      <c r="J157" s="33"/>
      <c r="K157" s="33"/>
      <c r="L157" s="33"/>
      <c r="M157" s="33"/>
      <c r="N157" s="33"/>
      <c r="O157" s="33"/>
      <c r="P157" s="33"/>
      <c r="Q157" s="33"/>
      <c r="R157" s="33"/>
    </row>
    <row r="158">
      <c r="A158" s="33"/>
      <c r="B158" s="33"/>
      <c r="C158" s="33"/>
      <c r="D158" s="33"/>
      <c r="E158" s="33"/>
      <c r="F158" s="33"/>
      <c r="G158" s="33"/>
      <c r="H158" s="33"/>
      <c r="I158" s="33"/>
      <c r="J158" s="33"/>
      <c r="K158" s="33"/>
      <c r="L158" s="33"/>
      <c r="M158" s="33"/>
      <c r="N158" s="33"/>
      <c r="O158" s="33"/>
      <c r="P158" s="33"/>
      <c r="Q158" s="33"/>
      <c r="R158" s="33"/>
    </row>
    <row r="159">
      <c r="A159" s="33"/>
      <c r="B159" s="33"/>
      <c r="C159" s="33"/>
      <c r="D159" s="33"/>
      <c r="E159" s="33"/>
      <c r="F159" s="33"/>
      <c r="G159" s="33"/>
      <c r="H159" s="33"/>
      <c r="I159" s="33"/>
      <c r="J159" s="33"/>
      <c r="K159" s="33"/>
      <c r="L159" s="33"/>
      <c r="M159" s="33"/>
      <c r="N159" s="33"/>
      <c r="O159" s="33"/>
      <c r="P159" s="33"/>
      <c r="Q159" s="33"/>
      <c r="R159" s="33"/>
    </row>
    <row r="160">
      <c r="A160" s="33"/>
      <c r="B160" s="33"/>
      <c r="C160" s="33"/>
      <c r="D160" s="33"/>
      <c r="E160" s="33"/>
      <c r="F160" s="33"/>
      <c r="G160" s="33"/>
      <c r="H160" s="33"/>
      <c r="I160" s="33"/>
      <c r="J160" s="33"/>
      <c r="K160" s="33"/>
      <c r="L160" s="33"/>
      <c r="M160" s="33"/>
      <c r="N160" s="33"/>
      <c r="O160" s="33"/>
      <c r="P160" s="33"/>
      <c r="Q160" s="33"/>
      <c r="R160" s="33"/>
    </row>
    <row r="161">
      <c r="A161" s="33"/>
      <c r="B161" s="33"/>
      <c r="C161" s="33"/>
      <c r="D161" s="33"/>
      <c r="E161" s="33"/>
      <c r="F161" s="33"/>
      <c r="G161" s="33"/>
      <c r="H161" s="33"/>
      <c r="I161" s="33"/>
      <c r="J161" s="33"/>
      <c r="K161" s="33"/>
      <c r="L161" s="33"/>
      <c r="M161" s="33"/>
      <c r="N161" s="33"/>
      <c r="O161" s="33"/>
      <c r="P161" s="33"/>
      <c r="Q161" s="33"/>
      <c r="R161" s="33"/>
    </row>
    <row r="162">
      <c r="A162" s="33"/>
      <c r="B162" s="33"/>
      <c r="C162" s="33"/>
      <c r="D162" s="33"/>
      <c r="E162" s="33"/>
      <c r="F162" s="33"/>
      <c r="G162" s="33"/>
      <c r="H162" s="33"/>
      <c r="I162" s="33"/>
      <c r="J162" s="33"/>
      <c r="K162" s="33"/>
      <c r="L162" s="33"/>
      <c r="M162" s="33"/>
      <c r="N162" s="33"/>
      <c r="O162" s="33"/>
      <c r="P162" s="33"/>
      <c r="Q162" s="33"/>
      <c r="R162" s="33"/>
    </row>
    <row r="163">
      <c r="A163" s="33"/>
      <c r="B163" s="33"/>
      <c r="C163" s="33"/>
      <c r="D163" s="33"/>
      <c r="E163" s="33"/>
      <c r="F163" s="33"/>
      <c r="G163" s="33"/>
      <c r="H163" s="33"/>
      <c r="I163" s="33"/>
      <c r="J163" s="33"/>
      <c r="K163" s="33"/>
      <c r="L163" s="33"/>
      <c r="M163" s="33"/>
      <c r="N163" s="33"/>
      <c r="O163" s="33"/>
      <c r="P163" s="33"/>
      <c r="Q163" s="33"/>
      <c r="R163" s="33"/>
    </row>
    <row r="164">
      <c r="A164" s="33"/>
      <c r="B164" s="33"/>
      <c r="C164" s="33"/>
      <c r="D164" s="33"/>
      <c r="E164" s="33"/>
      <c r="F164" s="33"/>
      <c r="G164" s="33"/>
      <c r="H164" s="33"/>
      <c r="I164" s="33"/>
      <c r="J164" s="33"/>
      <c r="K164" s="33"/>
      <c r="L164" s="33"/>
      <c r="M164" s="33"/>
      <c r="N164" s="33"/>
      <c r="O164" s="33"/>
      <c r="P164" s="33"/>
      <c r="Q164" s="33"/>
      <c r="R164" s="33"/>
    </row>
    <row r="165">
      <c r="A165" s="33"/>
      <c r="B165" s="33"/>
      <c r="C165" s="33"/>
      <c r="D165" s="33"/>
      <c r="E165" s="33"/>
      <c r="F165" s="33"/>
      <c r="G165" s="33"/>
      <c r="H165" s="33"/>
      <c r="I165" s="33"/>
      <c r="J165" s="33"/>
      <c r="K165" s="33"/>
      <c r="L165" s="33"/>
      <c r="M165" s="33"/>
      <c r="N165" s="33"/>
      <c r="O165" s="33"/>
      <c r="P165" s="33"/>
      <c r="Q165" s="33"/>
      <c r="R165" s="33"/>
    </row>
    <row r="166">
      <c r="A166" s="33"/>
      <c r="B166" s="33"/>
      <c r="C166" s="33"/>
      <c r="D166" s="33"/>
      <c r="E166" s="33"/>
      <c r="F166" s="33"/>
      <c r="G166" s="33"/>
      <c r="H166" s="33"/>
      <c r="I166" s="33"/>
      <c r="J166" s="33"/>
      <c r="K166" s="33"/>
      <c r="L166" s="33"/>
      <c r="M166" s="33"/>
      <c r="N166" s="33"/>
      <c r="O166" s="33"/>
      <c r="P166" s="33"/>
      <c r="Q166" s="33"/>
      <c r="R166" s="33"/>
    </row>
    <row r="167">
      <c r="A167" s="33"/>
      <c r="B167" s="33"/>
      <c r="C167" s="33"/>
      <c r="D167" s="33"/>
      <c r="E167" s="33"/>
      <c r="F167" s="33"/>
      <c r="G167" s="33"/>
      <c r="H167" s="33"/>
      <c r="I167" s="33"/>
      <c r="J167" s="33"/>
      <c r="K167" s="33"/>
      <c r="L167" s="33"/>
      <c r="M167" s="33"/>
      <c r="N167" s="33"/>
      <c r="O167" s="33"/>
      <c r="P167" s="33"/>
      <c r="Q167" s="33"/>
      <c r="R167" s="33"/>
    </row>
    <row r="168">
      <c r="A168" s="33"/>
      <c r="B168" s="33"/>
      <c r="C168" s="33"/>
      <c r="D168" s="33"/>
      <c r="E168" s="33"/>
      <c r="F168" s="33"/>
      <c r="G168" s="33"/>
      <c r="H168" s="33"/>
      <c r="I168" s="33"/>
      <c r="J168" s="33"/>
      <c r="K168" s="33"/>
      <c r="L168" s="33"/>
      <c r="M168" s="33"/>
      <c r="N168" s="33"/>
      <c r="O168" s="33"/>
      <c r="P168" s="33"/>
      <c r="Q168" s="33"/>
      <c r="R168" s="33"/>
    </row>
    <row r="169">
      <c r="A169" s="33"/>
      <c r="B169" s="33"/>
      <c r="C169" s="33"/>
      <c r="D169" s="33"/>
      <c r="E169" s="33"/>
      <c r="F169" s="33"/>
      <c r="G169" s="33"/>
      <c r="H169" s="33"/>
      <c r="I169" s="33"/>
      <c r="J169" s="33"/>
      <c r="K169" s="33"/>
      <c r="L169" s="33"/>
      <c r="M169" s="33"/>
      <c r="N169" s="33"/>
      <c r="O169" s="33"/>
      <c r="P169" s="33"/>
      <c r="Q169" s="33"/>
      <c r="R169" s="33"/>
    </row>
    <row r="170">
      <c r="A170" s="33"/>
      <c r="B170" s="33"/>
      <c r="C170" s="33"/>
      <c r="D170" s="33"/>
      <c r="E170" s="33"/>
      <c r="F170" s="33"/>
      <c r="G170" s="33"/>
      <c r="H170" s="33"/>
      <c r="I170" s="33"/>
      <c r="J170" s="33"/>
      <c r="K170" s="33"/>
      <c r="L170" s="33"/>
      <c r="M170" s="33"/>
      <c r="N170" s="33"/>
      <c r="O170" s="33"/>
      <c r="P170" s="33"/>
      <c r="Q170" s="33"/>
      <c r="R170" s="33"/>
    </row>
    <row r="171">
      <c r="A171" s="33"/>
      <c r="B171" s="33"/>
      <c r="C171" s="33"/>
      <c r="D171" s="33"/>
      <c r="E171" s="33"/>
      <c r="F171" s="33"/>
      <c r="G171" s="33"/>
      <c r="H171" s="33"/>
      <c r="I171" s="33"/>
      <c r="J171" s="33"/>
      <c r="K171" s="33"/>
      <c r="L171" s="33"/>
      <c r="M171" s="33"/>
      <c r="N171" s="33"/>
      <c r="O171" s="33"/>
      <c r="P171" s="33"/>
      <c r="Q171" s="33"/>
      <c r="R171" s="33"/>
    </row>
    <row r="172">
      <c r="A172" s="33"/>
      <c r="B172" s="33"/>
      <c r="C172" s="33"/>
      <c r="D172" s="33"/>
      <c r="E172" s="33"/>
      <c r="F172" s="33"/>
      <c r="G172" s="33"/>
      <c r="H172" s="33"/>
      <c r="I172" s="33"/>
      <c r="J172" s="33"/>
      <c r="K172" s="33"/>
      <c r="L172" s="33"/>
      <c r="M172" s="33"/>
      <c r="N172" s="33"/>
      <c r="O172" s="33"/>
      <c r="P172" s="33"/>
      <c r="Q172" s="33"/>
      <c r="R172" s="33"/>
    </row>
    <row r="173">
      <c r="A173" s="33"/>
      <c r="B173" s="33"/>
      <c r="C173" s="33"/>
      <c r="D173" s="33"/>
      <c r="E173" s="33"/>
      <c r="F173" s="33"/>
      <c r="G173" s="33"/>
      <c r="H173" s="33"/>
      <c r="I173" s="33"/>
      <c r="J173" s="33"/>
      <c r="K173" s="33"/>
      <c r="L173" s="33"/>
      <c r="M173" s="33"/>
      <c r="N173" s="33"/>
      <c r="O173" s="33"/>
      <c r="P173" s="33"/>
      <c r="Q173" s="33"/>
      <c r="R173" s="33"/>
    </row>
    <row r="174">
      <c r="A174" s="33"/>
      <c r="B174" s="33"/>
      <c r="C174" s="33"/>
      <c r="D174" s="33"/>
      <c r="E174" s="33"/>
      <c r="F174" s="33"/>
      <c r="G174" s="33"/>
      <c r="H174" s="33"/>
      <c r="I174" s="33"/>
      <c r="J174" s="33"/>
      <c r="K174" s="33"/>
      <c r="L174" s="33"/>
      <c r="M174" s="33"/>
      <c r="N174" s="33"/>
      <c r="O174" s="33"/>
      <c r="P174" s="33"/>
      <c r="Q174" s="33"/>
      <c r="R174" s="33"/>
    </row>
    <row r="175">
      <c r="A175" s="33"/>
      <c r="B175" s="33"/>
      <c r="C175" s="33"/>
      <c r="D175" s="33"/>
      <c r="E175" s="33"/>
      <c r="F175" s="33"/>
      <c r="G175" s="33"/>
      <c r="H175" s="33"/>
      <c r="I175" s="33"/>
      <c r="J175" s="33"/>
      <c r="K175" s="33"/>
      <c r="L175" s="33"/>
      <c r="M175" s="33"/>
      <c r="N175" s="33"/>
      <c r="O175" s="33"/>
      <c r="P175" s="33"/>
      <c r="Q175" s="33"/>
      <c r="R175" s="33"/>
    </row>
    <row r="176">
      <c r="A176" s="33"/>
      <c r="B176" s="33"/>
      <c r="C176" s="33"/>
      <c r="D176" s="33"/>
      <c r="E176" s="33"/>
      <c r="F176" s="33"/>
      <c r="G176" s="33"/>
      <c r="H176" s="33"/>
      <c r="I176" s="33"/>
      <c r="J176" s="33"/>
      <c r="K176" s="33"/>
      <c r="L176" s="33"/>
      <c r="M176" s="33"/>
      <c r="N176" s="33"/>
      <c r="O176" s="33"/>
      <c r="P176" s="33"/>
      <c r="Q176" s="33"/>
      <c r="R176" s="33"/>
    </row>
    <row r="177">
      <c r="A177" s="33"/>
      <c r="B177" s="33"/>
      <c r="C177" s="33"/>
      <c r="D177" s="33"/>
      <c r="E177" s="33"/>
      <c r="F177" s="33"/>
      <c r="G177" s="33"/>
      <c r="H177" s="33"/>
      <c r="I177" s="33"/>
      <c r="J177" s="33"/>
      <c r="K177" s="33"/>
      <c r="L177" s="33"/>
      <c r="M177" s="33"/>
      <c r="N177" s="33"/>
      <c r="O177" s="33"/>
      <c r="P177" s="33"/>
      <c r="Q177" s="33"/>
      <c r="R177" s="33"/>
    </row>
    <row r="178">
      <c r="A178" s="33"/>
      <c r="B178" s="33"/>
      <c r="C178" s="33"/>
      <c r="D178" s="33"/>
      <c r="E178" s="33"/>
      <c r="F178" s="33"/>
      <c r="G178" s="33"/>
      <c r="H178" s="33"/>
      <c r="I178" s="33"/>
      <c r="J178" s="33"/>
      <c r="K178" s="33"/>
      <c r="L178" s="33"/>
      <c r="M178" s="33"/>
      <c r="N178" s="33"/>
      <c r="O178" s="33"/>
      <c r="P178" s="33"/>
      <c r="Q178" s="33"/>
      <c r="R178" s="33"/>
    </row>
    <row r="179">
      <c r="A179" s="33"/>
      <c r="B179" s="33"/>
      <c r="C179" s="33"/>
      <c r="D179" s="33"/>
      <c r="E179" s="33"/>
      <c r="F179" s="33"/>
      <c r="G179" s="33"/>
      <c r="H179" s="33"/>
      <c r="I179" s="33"/>
      <c r="J179" s="33"/>
      <c r="K179" s="33"/>
      <c r="L179" s="33"/>
      <c r="M179" s="33"/>
      <c r="N179" s="33"/>
      <c r="O179" s="33"/>
      <c r="P179" s="33"/>
      <c r="Q179" s="33"/>
      <c r="R179" s="33"/>
    </row>
    <row r="180">
      <c r="A180" s="33"/>
      <c r="B180" s="33"/>
      <c r="C180" s="33"/>
      <c r="D180" s="33"/>
      <c r="E180" s="33"/>
      <c r="F180" s="33"/>
      <c r="G180" s="33"/>
      <c r="H180" s="33"/>
      <c r="I180" s="33"/>
      <c r="J180" s="33"/>
      <c r="K180" s="33"/>
      <c r="L180" s="33"/>
      <c r="M180" s="33"/>
      <c r="N180" s="33"/>
      <c r="O180" s="33"/>
      <c r="P180" s="33"/>
      <c r="Q180" s="33"/>
      <c r="R180" s="33"/>
    </row>
    <row r="181">
      <c r="A181" s="33"/>
      <c r="B181" s="33"/>
      <c r="C181" s="33"/>
      <c r="D181" s="33"/>
      <c r="E181" s="33"/>
      <c r="F181" s="33"/>
      <c r="G181" s="33"/>
      <c r="H181" s="33"/>
      <c r="I181" s="33"/>
      <c r="J181" s="33"/>
      <c r="K181" s="33"/>
      <c r="L181" s="33"/>
      <c r="M181" s="33"/>
      <c r="N181" s="33"/>
      <c r="O181" s="33"/>
      <c r="P181" s="33"/>
      <c r="Q181" s="33"/>
      <c r="R181" s="33"/>
    </row>
    <row r="182">
      <c r="A182" s="33"/>
      <c r="B182" s="33"/>
      <c r="C182" s="33"/>
      <c r="D182" s="33"/>
      <c r="E182" s="33"/>
      <c r="F182" s="33"/>
      <c r="G182" s="33"/>
      <c r="H182" s="33"/>
      <c r="I182" s="33"/>
      <c r="J182" s="33"/>
      <c r="K182" s="33"/>
      <c r="L182" s="33"/>
      <c r="M182" s="33"/>
      <c r="N182" s="33"/>
      <c r="O182" s="33"/>
      <c r="P182" s="33"/>
      <c r="Q182" s="33"/>
      <c r="R182" s="33"/>
    </row>
    <row r="183">
      <c r="A183" s="33"/>
      <c r="B183" s="33"/>
      <c r="C183" s="33"/>
      <c r="D183" s="33"/>
      <c r="E183" s="33"/>
      <c r="F183" s="33"/>
      <c r="G183" s="33"/>
      <c r="H183" s="33"/>
      <c r="I183" s="33"/>
      <c r="J183" s="33"/>
      <c r="K183" s="33"/>
      <c r="L183" s="33"/>
      <c r="M183" s="33"/>
      <c r="N183" s="33"/>
      <c r="O183" s="33"/>
      <c r="P183" s="33"/>
      <c r="Q183" s="33"/>
      <c r="R183" s="33"/>
    </row>
    <row r="184">
      <c r="A184" s="33"/>
      <c r="B184" s="33"/>
      <c r="C184" s="33"/>
      <c r="D184" s="33"/>
      <c r="E184" s="33"/>
      <c r="F184" s="33"/>
      <c r="G184" s="33"/>
      <c r="H184" s="33"/>
      <c r="I184" s="33"/>
      <c r="J184" s="33"/>
      <c r="K184" s="33"/>
      <c r="L184" s="33"/>
      <c r="M184" s="33"/>
      <c r="N184" s="33"/>
      <c r="O184" s="33"/>
      <c r="P184" s="33"/>
      <c r="Q184" s="33"/>
      <c r="R184" s="33"/>
    </row>
    <row r="185">
      <c r="A185" s="33"/>
      <c r="B185" s="33"/>
      <c r="C185" s="33"/>
      <c r="D185" s="33"/>
      <c r="E185" s="33"/>
      <c r="F185" s="33"/>
      <c r="G185" s="33"/>
      <c r="H185" s="33"/>
      <c r="I185" s="33"/>
      <c r="J185" s="33"/>
      <c r="K185" s="33"/>
      <c r="L185" s="33"/>
      <c r="M185" s="33"/>
      <c r="N185" s="33"/>
      <c r="O185" s="33"/>
      <c r="P185" s="33"/>
      <c r="Q185" s="33"/>
      <c r="R185" s="33"/>
    </row>
    <row r="186">
      <c r="A186" s="33"/>
      <c r="B186" s="33"/>
      <c r="C186" s="33"/>
      <c r="D186" s="33"/>
      <c r="E186" s="33"/>
      <c r="F186" s="33"/>
      <c r="G186" s="33"/>
      <c r="H186" s="33"/>
      <c r="I186" s="33"/>
      <c r="J186" s="33"/>
      <c r="K186" s="33"/>
      <c r="L186" s="33"/>
      <c r="M186" s="33"/>
      <c r="N186" s="33"/>
      <c r="O186" s="33"/>
      <c r="P186" s="33"/>
      <c r="Q186" s="33"/>
      <c r="R186" s="33"/>
    </row>
    <row r="187">
      <c r="A187" s="33"/>
      <c r="B187" s="33"/>
      <c r="C187" s="33"/>
      <c r="D187" s="33"/>
      <c r="E187" s="33"/>
      <c r="F187" s="33"/>
      <c r="G187" s="33"/>
      <c r="H187" s="33"/>
      <c r="I187" s="33"/>
      <c r="J187" s="33"/>
      <c r="K187" s="33"/>
      <c r="L187" s="33"/>
      <c r="M187" s="33"/>
      <c r="N187" s="33"/>
      <c r="O187" s="33"/>
      <c r="P187" s="33"/>
      <c r="Q187" s="33"/>
      <c r="R187" s="33"/>
    </row>
    <row r="188">
      <c r="A188" s="33"/>
      <c r="B188" s="33"/>
      <c r="C188" s="33"/>
      <c r="D188" s="33"/>
      <c r="E188" s="33"/>
      <c r="F188" s="33"/>
      <c r="G188" s="33"/>
      <c r="H188" s="33"/>
      <c r="I188" s="33"/>
      <c r="J188" s="33"/>
      <c r="K188" s="33"/>
      <c r="L188" s="33"/>
      <c r="M188" s="33"/>
      <c r="N188" s="33"/>
      <c r="O188" s="33"/>
      <c r="P188" s="33"/>
      <c r="Q188" s="33"/>
      <c r="R188" s="33"/>
    </row>
    <row r="189">
      <c r="A189" s="33"/>
      <c r="B189" s="33"/>
      <c r="C189" s="33"/>
      <c r="D189" s="33"/>
      <c r="E189" s="33"/>
      <c r="F189" s="33"/>
      <c r="G189" s="33"/>
      <c r="H189" s="33"/>
      <c r="I189" s="33"/>
      <c r="J189" s="33"/>
      <c r="K189" s="33"/>
      <c r="L189" s="33"/>
      <c r="M189" s="33"/>
      <c r="N189" s="33"/>
      <c r="O189" s="33"/>
      <c r="P189" s="33"/>
      <c r="Q189" s="33"/>
      <c r="R189" s="33"/>
    </row>
    <row r="190">
      <c r="A190" s="33"/>
      <c r="B190" s="33"/>
      <c r="C190" s="33"/>
      <c r="D190" s="33"/>
      <c r="E190" s="33"/>
      <c r="F190" s="33"/>
      <c r="G190" s="33"/>
      <c r="H190" s="33"/>
      <c r="I190" s="33"/>
      <c r="J190" s="33"/>
      <c r="K190" s="33"/>
      <c r="L190" s="33"/>
      <c r="M190" s="33"/>
      <c r="N190" s="33"/>
      <c r="O190" s="33"/>
      <c r="P190" s="33"/>
      <c r="Q190" s="33"/>
      <c r="R190" s="33"/>
    </row>
    <row r="191">
      <c r="A191" s="33"/>
      <c r="B191" s="33"/>
      <c r="C191" s="33"/>
      <c r="D191" s="33"/>
      <c r="E191" s="33"/>
      <c r="F191" s="33"/>
      <c r="G191" s="33"/>
      <c r="H191" s="33"/>
      <c r="I191" s="33"/>
      <c r="J191" s="33"/>
      <c r="K191" s="33"/>
      <c r="L191" s="33"/>
      <c r="M191" s="33"/>
      <c r="N191" s="33"/>
      <c r="O191" s="33"/>
      <c r="P191" s="33"/>
      <c r="Q191" s="33"/>
      <c r="R191" s="33"/>
    </row>
    <row r="192">
      <c r="A192" s="33"/>
      <c r="B192" s="33"/>
      <c r="C192" s="33"/>
      <c r="D192" s="33"/>
      <c r="E192" s="33"/>
      <c r="F192" s="33"/>
      <c r="G192" s="33"/>
      <c r="H192" s="33"/>
      <c r="I192" s="33"/>
      <c r="J192" s="33"/>
      <c r="K192" s="33"/>
      <c r="L192" s="33"/>
      <c r="M192" s="33"/>
      <c r="N192" s="33"/>
      <c r="O192" s="33"/>
      <c r="P192" s="33"/>
      <c r="Q192" s="33"/>
      <c r="R192" s="33"/>
    </row>
    <row r="193">
      <c r="A193" s="33"/>
      <c r="B193" s="33"/>
      <c r="C193" s="33"/>
      <c r="D193" s="33"/>
      <c r="E193" s="33"/>
      <c r="F193" s="33"/>
      <c r="G193" s="33"/>
      <c r="H193" s="33"/>
      <c r="I193" s="33"/>
      <c r="J193" s="33"/>
      <c r="K193" s="33"/>
      <c r="L193" s="33"/>
      <c r="M193" s="33"/>
      <c r="N193" s="33"/>
      <c r="O193" s="33"/>
      <c r="P193" s="33"/>
      <c r="Q193" s="33"/>
      <c r="R193" s="33"/>
    </row>
    <row r="194">
      <c r="A194" s="33"/>
      <c r="B194" s="33"/>
      <c r="C194" s="33"/>
      <c r="D194" s="33"/>
      <c r="E194" s="33"/>
      <c r="F194" s="33"/>
      <c r="G194" s="33"/>
      <c r="H194" s="33"/>
      <c r="I194" s="33"/>
      <c r="J194" s="33"/>
      <c r="K194" s="33"/>
      <c r="L194" s="33"/>
      <c r="M194" s="33"/>
      <c r="N194" s="33"/>
      <c r="O194" s="33"/>
      <c r="P194" s="33"/>
      <c r="Q194" s="33"/>
      <c r="R194" s="33"/>
    </row>
    <row r="195">
      <c r="A195" s="33"/>
      <c r="B195" s="33"/>
      <c r="C195" s="33"/>
      <c r="D195" s="33"/>
      <c r="E195" s="33"/>
      <c r="F195" s="33"/>
      <c r="G195" s="33"/>
      <c r="H195" s="33"/>
      <c r="I195" s="33"/>
      <c r="J195" s="33"/>
      <c r="K195" s="33"/>
      <c r="L195" s="33"/>
      <c r="M195" s="33"/>
      <c r="N195" s="33"/>
      <c r="O195" s="33"/>
      <c r="P195" s="33"/>
      <c r="Q195" s="33"/>
      <c r="R195" s="33"/>
    </row>
    <row r="196">
      <c r="A196" s="33"/>
      <c r="B196" s="33"/>
      <c r="C196" s="33"/>
      <c r="D196" s="33"/>
      <c r="E196" s="33"/>
      <c r="F196" s="33"/>
      <c r="G196" s="33"/>
      <c r="H196" s="33"/>
      <c r="I196" s="33"/>
      <c r="J196" s="33"/>
      <c r="K196" s="33"/>
      <c r="L196" s="33"/>
      <c r="M196" s="33"/>
      <c r="N196" s="33"/>
      <c r="O196" s="33"/>
      <c r="P196" s="33"/>
      <c r="Q196" s="33"/>
      <c r="R196" s="33"/>
    </row>
    <row r="197">
      <c r="A197" s="33"/>
      <c r="B197" s="33"/>
      <c r="C197" s="33"/>
      <c r="D197" s="33"/>
      <c r="E197" s="33"/>
      <c r="F197" s="33"/>
      <c r="G197" s="33"/>
      <c r="H197" s="33"/>
      <c r="I197" s="33"/>
      <c r="J197" s="33"/>
      <c r="K197" s="33"/>
      <c r="L197" s="33"/>
      <c r="M197" s="33"/>
      <c r="N197" s="33"/>
      <c r="O197" s="33"/>
      <c r="P197" s="33"/>
      <c r="Q197" s="33"/>
      <c r="R197" s="33"/>
    </row>
    <row r="198">
      <c r="A198" s="33"/>
      <c r="B198" s="33"/>
      <c r="C198" s="33"/>
      <c r="D198" s="33"/>
      <c r="E198" s="33"/>
      <c r="F198" s="33"/>
      <c r="G198" s="33"/>
      <c r="H198" s="33"/>
      <c r="I198" s="33"/>
      <c r="J198" s="33"/>
      <c r="K198" s="33"/>
      <c r="L198" s="33"/>
      <c r="M198" s="33"/>
      <c r="N198" s="33"/>
      <c r="O198" s="33"/>
      <c r="P198" s="33"/>
      <c r="Q198" s="33"/>
      <c r="R198" s="33"/>
    </row>
    <row r="199">
      <c r="A199" s="33"/>
      <c r="B199" s="33"/>
      <c r="C199" s="33"/>
      <c r="D199" s="33"/>
      <c r="E199" s="33"/>
      <c r="F199" s="33"/>
      <c r="G199" s="33"/>
      <c r="H199" s="33"/>
      <c r="I199" s="33"/>
      <c r="J199" s="33"/>
      <c r="K199" s="33"/>
      <c r="L199" s="33"/>
      <c r="M199" s="33"/>
      <c r="N199" s="33"/>
      <c r="O199" s="33"/>
      <c r="P199" s="33"/>
      <c r="Q199" s="33"/>
      <c r="R199" s="33"/>
    </row>
    <row r="200">
      <c r="A200" s="33"/>
      <c r="B200" s="33"/>
      <c r="C200" s="33"/>
      <c r="D200" s="33"/>
      <c r="E200" s="33"/>
      <c r="F200" s="33"/>
      <c r="G200" s="33"/>
      <c r="H200" s="33"/>
      <c r="I200" s="33"/>
      <c r="J200" s="33"/>
      <c r="K200" s="33"/>
      <c r="L200" s="33"/>
      <c r="M200" s="33"/>
      <c r="N200" s="33"/>
      <c r="O200" s="33"/>
      <c r="P200" s="33"/>
      <c r="Q200" s="33"/>
      <c r="R200" s="33"/>
    </row>
    <row r="201">
      <c r="A201" s="33"/>
      <c r="B201" s="33"/>
      <c r="C201" s="33"/>
      <c r="D201" s="33"/>
      <c r="E201" s="33"/>
      <c r="F201" s="33"/>
      <c r="G201" s="33"/>
      <c r="H201" s="33"/>
      <c r="I201" s="33"/>
      <c r="J201" s="33"/>
      <c r="K201" s="33"/>
      <c r="L201" s="33"/>
      <c r="M201" s="33"/>
      <c r="N201" s="33"/>
      <c r="O201" s="33"/>
      <c r="P201" s="33"/>
      <c r="Q201" s="33"/>
      <c r="R201" s="33"/>
    </row>
    <row r="202">
      <c r="A202" s="33"/>
      <c r="B202" s="33"/>
      <c r="C202" s="33"/>
      <c r="D202" s="33"/>
      <c r="E202" s="33"/>
      <c r="F202" s="33"/>
      <c r="G202" s="33"/>
      <c r="H202" s="33"/>
      <c r="I202" s="33"/>
      <c r="J202" s="33"/>
      <c r="K202" s="33"/>
      <c r="L202" s="33"/>
      <c r="M202" s="33"/>
      <c r="N202" s="33"/>
      <c r="O202" s="33"/>
      <c r="P202" s="33"/>
      <c r="Q202" s="33"/>
      <c r="R202" s="33"/>
    </row>
    <row r="203">
      <c r="A203" s="33"/>
      <c r="B203" s="33"/>
      <c r="C203" s="33"/>
      <c r="D203" s="33"/>
      <c r="E203" s="33"/>
      <c r="F203" s="33"/>
      <c r="G203" s="33"/>
      <c r="H203" s="33"/>
      <c r="I203" s="33"/>
      <c r="J203" s="33"/>
      <c r="K203" s="33"/>
      <c r="L203" s="33"/>
      <c r="M203" s="33"/>
      <c r="N203" s="33"/>
      <c r="O203" s="33"/>
      <c r="P203" s="33"/>
      <c r="Q203" s="33"/>
      <c r="R203" s="33"/>
    </row>
    <row r="204">
      <c r="A204" s="33"/>
      <c r="B204" s="33"/>
      <c r="C204" s="33"/>
      <c r="D204" s="33"/>
      <c r="E204" s="33"/>
      <c r="F204" s="33"/>
      <c r="G204" s="33"/>
      <c r="H204" s="33"/>
      <c r="I204" s="33"/>
      <c r="J204" s="33"/>
      <c r="K204" s="33"/>
      <c r="L204" s="33"/>
      <c r="M204" s="33"/>
      <c r="N204" s="33"/>
      <c r="O204" s="33"/>
      <c r="P204" s="33"/>
      <c r="Q204" s="33"/>
      <c r="R204" s="33"/>
    </row>
    <row r="205">
      <c r="A205" s="33"/>
      <c r="B205" s="33"/>
      <c r="C205" s="33"/>
      <c r="D205" s="33"/>
      <c r="E205" s="33"/>
      <c r="F205" s="33"/>
      <c r="G205" s="33"/>
      <c r="H205" s="33"/>
      <c r="I205" s="33"/>
      <c r="J205" s="33"/>
      <c r="K205" s="33"/>
      <c r="L205" s="33"/>
      <c r="M205" s="33"/>
      <c r="N205" s="33"/>
      <c r="O205" s="33"/>
      <c r="P205" s="33"/>
      <c r="Q205" s="33"/>
      <c r="R205" s="33"/>
    </row>
    <row r="206">
      <c r="A206" s="33"/>
      <c r="B206" s="33"/>
      <c r="C206" s="33"/>
      <c r="D206" s="33"/>
      <c r="E206" s="33"/>
      <c r="F206" s="33"/>
      <c r="G206" s="33"/>
      <c r="H206" s="33"/>
      <c r="I206" s="33"/>
      <c r="J206" s="33"/>
      <c r="K206" s="33"/>
      <c r="L206" s="33"/>
      <c r="M206" s="33"/>
      <c r="N206" s="33"/>
      <c r="O206" s="33"/>
      <c r="P206" s="33"/>
      <c r="Q206" s="33"/>
      <c r="R206" s="33"/>
    </row>
    <row r="207">
      <c r="A207" s="33"/>
      <c r="B207" s="33"/>
      <c r="C207" s="33"/>
      <c r="D207" s="33"/>
      <c r="E207" s="33"/>
      <c r="F207" s="33"/>
      <c r="G207" s="33"/>
      <c r="H207" s="33"/>
      <c r="I207" s="33"/>
      <c r="J207" s="33"/>
      <c r="K207" s="33"/>
      <c r="L207" s="33"/>
      <c r="M207" s="33"/>
      <c r="N207" s="33"/>
      <c r="O207" s="33"/>
      <c r="P207" s="33"/>
      <c r="Q207" s="33"/>
      <c r="R207" s="33"/>
    </row>
    <row r="208">
      <c r="A208" s="33"/>
      <c r="B208" s="33"/>
      <c r="C208" s="33"/>
      <c r="D208" s="33"/>
      <c r="E208" s="33"/>
      <c r="F208" s="33"/>
      <c r="G208" s="33"/>
      <c r="H208" s="33"/>
      <c r="I208" s="33"/>
      <c r="J208" s="33"/>
      <c r="K208" s="33"/>
      <c r="L208" s="33"/>
      <c r="M208" s="33"/>
      <c r="N208" s="33"/>
      <c r="O208" s="33"/>
      <c r="P208" s="33"/>
      <c r="Q208" s="33"/>
      <c r="R208" s="33"/>
    </row>
    <row r="209">
      <c r="A209" s="33"/>
      <c r="B209" s="33"/>
      <c r="C209" s="33"/>
      <c r="D209" s="33"/>
      <c r="E209" s="33"/>
      <c r="F209" s="33"/>
      <c r="G209" s="33"/>
      <c r="H209" s="33"/>
      <c r="I209" s="33"/>
      <c r="J209" s="33"/>
      <c r="K209" s="33"/>
      <c r="L209" s="33"/>
      <c r="M209" s="33"/>
      <c r="N209" s="33"/>
      <c r="O209" s="33"/>
      <c r="P209" s="33"/>
      <c r="Q209" s="33"/>
      <c r="R209" s="33"/>
    </row>
    <row r="210">
      <c r="A210" s="33"/>
      <c r="B210" s="33"/>
      <c r="C210" s="33"/>
      <c r="D210" s="33"/>
      <c r="E210" s="33"/>
      <c r="F210" s="33"/>
      <c r="G210" s="33"/>
      <c r="H210" s="33"/>
      <c r="I210" s="33"/>
      <c r="J210" s="33"/>
      <c r="K210" s="33"/>
      <c r="L210" s="33"/>
      <c r="M210" s="33"/>
      <c r="N210" s="33"/>
      <c r="O210" s="33"/>
      <c r="P210" s="33"/>
      <c r="Q210" s="33"/>
      <c r="R210" s="33"/>
    </row>
    <row r="211">
      <c r="A211" s="33"/>
      <c r="B211" s="33"/>
      <c r="C211" s="33"/>
      <c r="D211" s="33"/>
      <c r="E211" s="33"/>
      <c r="F211" s="33"/>
      <c r="G211" s="33"/>
      <c r="H211" s="33"/>
      <c r="I211" s="33"/>
      <c r="J211" s="33"/>
      <c r="K211" s="33"/>
      <c r="L211" s="33"/>
      <c r="M211" s="33"/>
      <c r="N211" s="33"/>
      <c r="O211" s="33"/>
      <c r="P211" s="33"/>
      <c r="Q211" s="33"/>
      <c r="R211" s="33"/>
    </row>
    <row r="212">
      <c r="A212" s="33"/>
      <c r="B212" s="33"/>
      <c r="C212" s="33"/>
      <c r="D212" s="33"/>
      <c r="E212" s="33"/>
      <c r="F212" s="33"/>
      <c r="G212" s="33"/>
      <c r="H212" s="33"/>
      <c r="I212" s="33"/>
      <c r="J212" s="33"/>
      <c r="K212" s="33"/>
      <c r="L212" s="33"/>
      <c r="M212" s="33"/>
      <c r="N212" s="33"/>
      <c r="O212" s="33"/>
      <c r="P212" s="33"/>
      <c r="Q212" s="33"/>
      <c r="R212" s="33"/>
    </row>
    <row r="213">
      <c r="A213" s="33"/>
      <c r="B213" s="33"/>
      <c r="C213" s="33"/>
      <c r="D213" s="33"/>
      <c r="E213" s="33"/>
      <c r="F213" s="33"/>
      <c r="G213" s="33"/>
      <c r="H213" s="33"/>
      <c r="I213" s="33"/>
      <c r="J213" s="33"/>
      <c r="K213" s="33"/>
      <c r="L213" s="33"/>
      <c r="M213" s="33"/>
      <c r="N213" s="33"/>
      <c r="O213" s="33"/>
      <c r="P213" s="33"/>
      <c r="Q213" s="33"/>
      <c r="R213" s="33"/>
    </row>
    <row r="214">
      <c r="A214" s="33"/>
      <c r="B214" s="33"/>
      <c r="C214" s="33"/>
      <c r="D214" s="33"/>
      <c r="E214" s="33"/>
      <c r="F214" s="33"/>
      <c r="G214" s="33"/>
      <c r="H214" s="33"/>
      <c r="I214" s="33"/>
      <c r="J214" s="33"/>
      <c r="K214" s="33"/>
      <c r="L214" s="33"/>
      <c r="M214" s="33"/>
      <c r="N214" s="33"/>
      <c r="O214" s="33"/>
      <c r="P214" s="33"/>
      <c r="Q214" s="33"/>
      <c r="R214" s="33"/>
    </row>
    <row r="215">
      <c r="A215" s="33"/>
      <c r="B215" s="33"/>
      <c r="C215" s="33"/>
      <c r="D215" s="33"/>
      <c r="E215" s="33"/>
      <c r="F215" s="33"/>
      <c r="G215" s="33"/>
      <c r="H215" s="33"/>
      <c r="I215" s="33"/>
      <c r="J215" s="33"/>
      <c r="K215" s="33"/>
      <c r="L215" s="33"/>
      <c r="M215" s="33"/>
      <c r="N215" s="33"/>
      <c r="O215" s="33"/>
      <c r="P215" s="33"/>
      <c r="Q215" s="33"/>
      <c r="R215" s="33"/>
    </row>
    <row r="216">
      <c r="A216" s="33"/>
      <c r="B216" s="33"/>
      <c r="C216" s="33"/>
      <c r="D216" s="33"/>
      <c r="E216" s="33"/>
      <c r="F216" s="33"/>
      <c r="G216" s="33"/>
      <c r="H216" s="33"/>
      <c r="I216" s="33"/>
      <c r="J216" s="33"/>
      <c r="K216" s="33"/>
      <c r="L216" s="33"/>
      <c r="M216" s="33"/>
      <c r="N216" s="33"/>
      <c r="O216" s="33"/>
      <c r="P216" s="33"/>
      <c r="Q216" s="33"/>
      <c r="R216" s="33"/>
    </row>
    <row r="217">
      <c r="A217" s="33"/>
      <c r="B217" s="33"/>
      <c r="C217" s="33"/>
      <c r="D217" s="33"/>
      <c r="E217" s="33"/>
      <c r="F217" s="33"/>
      <c r="G217" s="33"/>
      <c r="H217" s="33"/>
      <c r="I217" s="33"/>
      <c r="J217" s="33"/>
      <c r="K217" s="33"/>
      <c r="L217" s="33"/>
      <c r="M217" s="33"/>
      <c r="N217" s="33"/>
      <c r="O217" s="33"/>
      <c r="P217" s="33"/>
      <c r="Q217" s="33"/>
      <c r="R217" s="33"/>
    </row>
    <row r="218">
      <c r="A218" s="33"/>
      <c r="B218" s="33"/>
      <c r="C218" s="33"/>
      <c r="D218" s="33"/>
      <c r="E218" s="33"/>
      <c r="F218" s="33"/>
      <c r="G218" s="33"/>
      <c r="H218" s="33"/>
      <c r="I218" s="33"/>
      <c r="J218" s="33"/>
      <c r="K218" s="33"/>
      <c r="L218" s="33"/>
      <c r="M218" s="33"/>
      <c r="N218" s="33"/>
      <c r="O218" s="33"/>
      <c r="P218" s="33"/>
      <c r="Q218" s="33"/>
      <c r="R218" s="33"/>
    </row>
    <row r="219">
      <c r="A219" s="33"/>
      <c r="B219" s="33"/>
      <c r="C219" s="33"/>
      <c r="D219" s="33"/>
      <c r="E219" s="33"/>
      <c r="F219" s="33"/>
      <c r="G219" s="33"/>
      <c r="H219" s="33"/>
      <c r="I219" s="33"/>
      <c r="J219" s="33"/>
      <c r="K219" s="33"/>
      <c r="L219" s="33"/>
      <c r="M219" s="33"/>
      <c r="N219" s="33"/>
      <c r="O219" s="33"/>
      <c r="P219" s="33"/>
      <c r="Q219" s="33"/>
      <c r="R219" s="33"/>
    </row>
    <row r="220">
      <c r="A220" s="33"/>
      <c r="B220" s="33"/>
      <c r="C220" s="33"/>
      <c r="D220" s="33"/>
      <c r="E220" s="33"/>
      <c r="F220" s="33"/>
      <c r="G220" s="33"/>
      <c r="H220" s="33"/>
      <c r="I220" s="33"/>
      <c r="J220" s="33"/>
      <c r="K220" s="33"/>
      <c r="L220" s="33"/>
      <c r="M220" s="33"/>
      <c r="N220" s="33"/>
      <c r="O220" s="33"/>
      <c r="P220" s="33"/>
      <c r="Q220" s="33"/>
      <c r="R220" s="33"/>
    </row>
    <row r="221">
      <c r="A221" s="33"/>
      <c r="B221" s="33"/>
      <c r="C221" s="33"/>
      <c r="D221" s="33"/>
      <c r="E221" s="33"/>
      <c r="F221" s="33"/>
      <c r="G221" s="33"/>
      <c r="H221" s="33"/>
      <c r="I221" s="33"/>
      <c r="J221" s="33"/>
      <c r="K221" s="33"/>
      <c r="L221" s="33"/>
      <c r="M221" s="33"/>
      <c r="N221" s="33"/>
      <c r="O221" s="33"/>
      <c r="P221" s="33"/>
      <c r="Q221" s="33"/>
      <c r="R221" s="33"/>
    </row>
    <row r="222">
      <c r="A222" s="33"/>
      <c r="B222" s="33"/>
      <c r="C222" s="33"/>
      <c r="D222" s="33"/>
      <c r="E222" s="33"/>
      <c r="F222" s="33"/>
      <c r="G222" s="33"/>
      <c r="H222" s="33"/>
      <c r="I222" s="33"/>
      <c r="J222" s="33"/>
      <c r="K222" s="33"/>
      <c r="L222" s="33"/>
      <c r="M222" s="33"/>
      <c r="N222" s="33"/>
      <c r="O222" s="33"/>
      <c r="P222" s="33"/>
      <c r="Q222" s="33"/>
      <c r="R222" s="33"/>
    </row>
    <row r="223">
      <c r="A223" s="33"/>
      <c r="B223" s="33"/>
      <c r="C223" s="33"/>
      <c r="D223" s="33"/>
      <c r="E223" s="33"/>
      <c r="F223" s="33"/>
      <c r="G223" s="33"/>
      <c r="H223" s="33"/>
      <c r="I223" s="33"/>
      <c r="J223" s="33"/>
      <c r="K223" s="33"/>
      <c r="L223" s="33"/>
      <c r="M223" s="33"/>
      <c r="N223" s="33"/>
      <c r="O223" s="33"/>
      <c r="P223" s="33"/>
      <c r="Q223" s="33"/>
      <c r="R223" s="33"/>
    </row>
    <row r="224">
      <c r="A224" s="33"/>
      <c r="B224" s="33"/>
      <c r="C224" s="33"/>
      <c r="D224" s="33"/>
      <c r="E224" s="33"/>
      <c r="F224" s="33"/>
      <c r="G224" s="33"/>
      <c r="H224" s="33"/>
      <c r="I224" s="33"/>
      <c r="J224" s="33"/>
      <c r="K224" s="33"/>
      <c r="L224" s="33"/>
      <c r="M224" s="33"/>
      <c r="N224" s="33"/>
      <c r="O224" s="33"/>
      <c r="P224" s="33"/>
      <c r="Q224" s="33"/>
      <c r="R224" s="33"/>
    </row>
    <row r="225">
      <c r="A225" s="33"/>
      <c r="B225" s="33"/>
      <c r="C225" s="33"/>
      <c r="D225" s="33"/>
      <c r="E225" s="33"/>
      <c r="F225" s="33"/>
      <c r="G225" s="33"/>
      <c r="H225" s="33"/>
      <c r="I225" s="33"/>
      <c r="J225" s="33"/>
      <c r="K225" s="33"/>
      <c r="L225" s="33"/>
      <c r="M225" s="33"/>
      <c r="N225" s="33"/>
      <c r="O225" s="33"/>
      <c r="P225" s="33"/>
      <c r="Q225" s="33"/>
      <c r="R225" s="33"/>
    </row>
    <row r="226">
      <c r="A226" s="33"/>
      <c r="B226" s="33"/>
      <c r="C226" s="33"/>
      <c r="D226" s="33"/>
      <c r="E226" s="33"/>
      <c r="F226" s="33"/>
      <c r="G226" s="33"/>
      <c r="H226" s="33"/>
      <c r="I226" s="33"/>
      <c r="J226" s="33"/>
      <c r="K226" s="33"/>
      <c r="L226" s="33"/>
      <c r="M226" s="33"/>
      <c r="N226" s="33"/>
      <c r="O226" s="33"/>
      <c r="P226" s="33"/>
      <c r="Q226" s="33"/>
      <c r="R226" s="33"/>
    </row>
    <row r="227">
      <c r="A227" s="33"/>
      <c r="B227" s="33"/>
      <c r="C227" s="33"/>
      <c r="D227" s="33"/>
      <c r="E227" s="33"/>
      <c r="F227" s="33"/>
      <c r="G227" s="33"/>
      <c r="H227" s="33"/>
      <c r="I227" s="33"/>
      <c r="J227" s="33"/>
      <c r="K227" s="33"/>
      <c r="L227" s="33"/>
      <c r="M227" s="33"/>
      <c r="N227" s="33"/>
      <c r="O227" s="33"/>
      <c r="P227" s="33"/>
      <c r="Q227" s="33"/>
      <c r="R227" s="33"/>
    </row>
    <row r="228">
      <c r="A228" s="33"/>
      <c r="B228" s="33"/>
      <c r="C228" s="33"/>
      <c r="D228" s="33"/>
      <c r="E228" s="33"/>
      <c r="F228" s="33"/>
      <c r="G228" s="33"/>
      <c r="H228" s="33"/>
      <c r="I228" s="33"/>
      <c r="J228" s="33"/>
      <c r="K228" s="33"/>
      <c r="L228" s="33"/>
      <c r="M228" s="33"/>
      <c r="N228" s="33"/>
      <c r="O228" s="33"/>
      <c r="P228" s="33"/>
      <c r="Q228" s="33"/>
      <c r="R228" s="33"/>
    </row>
    <row r="229">
      <c r="A229" s="33"/>
      <c r="B229" s="33"/>
      <c r="C229" s="33"/>
      <c r="D229" s="33"/>
      <c r="E229" s="33"/>
      <c r="F229" s="33"/>
      <c r="G229" s="33"/>
      <c r="H229" s="33"/>
      <c r="I229" s="33"/>
      <c r="J229" s="33"/>
      <c r="K229" s="33"/>
      <c r="L229" s="33"/>
      <c r="M229" s="33"/>
      <c r="N229" s="33"/>
      <c r="O229" s="33"/>
      <c r="P229" s="33"/>
      <c r="Q229" s="33"/>
      <c r="R229" s="33"/>
    </row>
    <row r="230">
      <c r="A230" s="33"/>
      <c r="B230" s="33"/>
      <c r="C230" s="33"/>
      <c r="D230" s="33"/>
      <c r="E230" s="33"/>
      <c r="F230" s="33"/>
      <c r="G230" s="33"/>
      <c r="H230" s="33"/>
      <c r="I230" s="33"/>
      <c r="J230" s="33"/>
      <c r="K230" s="33"/>
      <c r="L230" s="33"/>
      <c r="M230" s="33"/>
      <c r="N230" s="33"/>
      <c r="O230" s="33"/>
      <c r="P230" s="33"/>
      <c r="Q230" s="33"/>
      <c r="R230" s="33"/>
    </row>
    <row r="231">
      <c r="A231" s="33"/>
      <c r="B231" s="33"/>
      <c r="C231" s="33"/>
      <c r="D231" s="33"/>
      <c r="E231" s="33"/>
      <c r="F231" s="33"/>
      <c r="G231" s="33"/>
      <c r="H231" s="33"/>
      <c r="I231" s="33"/>
      <c r="J231" s="33"/>
      <c r="K231" s="33"/>
      <c r="L231" s="33"/>
      <c r="M231" s="33"/>
      <c r="N231" s="33"/>
      <c r="O231" s="33"/>
      <c r="P231" s="33"/>
      <c r="Q231" s="33"/>
      <c r="R231" s="33"/>
    </row>
    <row r="232">
      <c r="A232" s="33"/>
      <c r="B232" s="33"/>
      <c r="C232" s="33"/>
      <c r="D232" s="33"/>
      <c r="E232" s="33"/>
      <c r="F232" s="33"/>
      <c r="G232" s="33"/>
      <c r="H232" s="33"/>
      <c r="I232" s="33"/>
      <c r="J232" s="33"/>
      <c r="K232" s="33"/>
      <c r="L232" s="33"/>
      <c r="M232" s="33"/>
      <c r="N232" s="33"/>
      <c r="O232" s="33"/>
      <c r="P232" s="33"/>
      <c r="Q232" s="33"/>
      <c r="R232" s="33"/>
    </row>
    <row r="233">
      <c r="A233" s="33"/>
      <c r="B233" s="33"/>
      <c r="C233" s="33"/>
      <c r="D233" s="33"/>
      <c r="E233" s="33"/>
      <c r="F233" s="33"/>
      <c r="G233" s="33"/>
      <c r="H233" s="33"/>
      <c r="I233" s="33"/>
      <c r="J233" s="33"/>
      <c r="K233" s="33"/>
      <c r="L233" s="33"/>
      <c r="M233" s="33"/>
      <c r="N233" s="33"/>
      <c r="O233" s="33"/>
      <c r="P233" s="33"/>
      <c r="Q233" s="33"/>
      <c r="R233" s="33"/>
    </row>
    <row r="234">
      <c r="A234" s="33"/>
      <c r="B234" s="33"/>
      <c r="C234" s="33"/>
      <c r="D234" s="33"/>
      <c r="E234" s="33"/>
      <c r="F234" s="33"/>
      <c r="G234" s="33"/>
      <c r="H234" s="33"/>
      <c r="I234" s="33"/>
      <c r="J234" s="33"/>
      <c r="K234" s="33"/>
      <c r="L234" s="33"/>
      <c r="M234" s="33"/>
      <c r="N234" s="33"/>
      <c r="O234" s="33"/>
      <c r="P234" s="33"/>
      <c r="Q234" s="33"/>
      <c r="R234" s="33"/>
    </row>
    <row r="235">
      <c r="A235" s="33"/>
      <c r="B235" s="33"/>
      <c r="C235" s="33"/>
      <c r="D235" s="33"/>
      <c r="E235" s="33"/>
      <c r="F235" s="33"/>
      <c r="G235" s="33"/>
      <c r="H235" s="33"/>
      <c r="I235" s="33"/>
      <c r="J235" s="33"/>
      <c r="K235" s="33"/>
      <c r="L235" s="33"/>
      <c r="M235" s="33"/>
      <c r="N235" s="33"/>
      <c r="O235" s="33"/>
      <c r="P235" s="33"/>
      <c r="Q235" s="33"/>
      <c r="R235" s="33"/>
    </row>
    <row r="236">
      <c r="A236" s="33"/>
      <c r="B236" s="33"/>
      <c r="C236" s="33"/>
      <c r="D236" s="33"/>
      <c r="E236" s="33"/>
      <c r="F236" s="33"/>
      <c r="G236" s="33"/>
      <c r="H236" s="33"/>
      <c r="I236" s="33"/>
      <c r="J236" s="33"/>
      <c r="K236" s="33"/>
      <c r="L236" s="33"/>
      <c r="M236" s="33"/>
      <c r="N236" s="33"/>
      <c r="O236" s="33"/>
      <c r="P236" s="33"/>
      <c r="Q236" s="33"/>
      <c r="R236" s="33"/>
    </row>
    <row r="237">
      <c r="A237" s="33"/>
      <c r="B237" s="33"/>
      <c r="C237" s="33"/>
      <c r="D237" s="33"/>
      <c r="E237" s="33"/>
      <c r="F237" s="33"/>
      <c r="G237" s="33"/>
      <c r="H237" s="33"/>
      <c r="I237" s="33"/>
      <c r="J237" s="33"/>
      <c r="K237" s="33"/>
      <c r="L237" s="33"/>
      <c r="M237" s="33"/>
      <c r="N237" s="33"/>
      <c r="O237" s="33"/>
      <c r="P237" s="33"/>
      <c r="Q237" s="33"/>
      <c r="R237" s="33"/>
    </row>
    <row r="238">
      <c r="A238" s="33"/>
      <c r="B238" s="33"/>
      <c r="C238" s="33"/>
      <c r="D238" s="33"/>
      <c r="E238" s="33"/>
      <c r="F238" s="33"/>
      <c r="G238" s="33"/>
      <c r="H238" s="33"/>
      <c r="I238" s="33"/>
      <c r="J238" s="33"/>
      <c r="K238" s="33"/>
      <c r="L238" s="33"/>
      <c r="M238" s="33"/>
      <c r="N238" s="33"/>
      <c r="O238" s="33"/>
      <c r="P238" s="33"/>
      <c r="Q238" s="33"/>
      <c r="R238" s="33"/>
    </row>
    <row r="239">
      <c r="A239" s="33"/>
      <c r="B239" s="33"/>
      <c r="C239" s="33"/>
      <c r="D239" s="33"/>
      <c r="E239" s="33"/>
      <c r="F239" s="33"/>
      <c r="G239" s="33"/>
      <c r="H239" s="33"/>
      <c r="I239" s="33"/>
      <c r="J239" s="33"/>
      <c r="K239" s="33"/>
      <c r="L239" s="33"/>
      <c r="M239" s="33"/>
      <c r="N239" s="33"/>
      <c r="O239" s="33"/>
      <c r="P239" s="33"/>
      <c r="Q239" s="33"/>
      <c r="R239" s="33"/>
    </row>
    <row r="240">
      <c r="A240" s="33"/>
      <c r="B240" s="33"/>
      <c r="C240" s="33"/>
      <c r="D240" s="33"/>
      <c r="E240" s="33"/>
      <c r="F240" s="33"/>
      <c r="G240" s="33"/>
      <c r="H240" s="33"/>
      <c r="I240" s="33"/>
      <c r="J240" s="33"/>
      <c r="K240" s="33"/>
      <c r="L240" s="33"/>
      <c r="M240" s="33"/>
      <c r="N240" s="33"/>
      <c r="O240" s="33"/>
      <c r="P240" s="33"/>
      <c r="Q240" s="33"/>
      <c r="R240" s="33"/>
    </row>
    <row r="241">
      <c r="A241" s="33"/>
      <c r="B241" s="33"/>
      <c r="C241" s="33"/>
      <c r="D241" s="33"/>
      <c r="E241" s="33"/>
      <c r="F241" s="33"/>
      <c r="G241" s="33"/>
      <c r="H241" s="33"/>
      <c r="I241" s="33"/>
      <c r="J241" s="33"/>
      <c r="K241" s="33"/>
      <c r="L241" s="33"/>
      <c r="M241" s="33"/>
      <c r="N241" s="33"/>
      <c r="O241" s="33"/>
      <c r="P241" s="33"/>
      <c r="Q241" s="33"/>
      <c r="R241" s="33"/>
    </row>
    <row r="242">
      <c r="A242" s="33"/>
      <c r="B242" s="33"/>
      <c r="C242" s="33"/>
      <c r="D242" s="33"/>
      <c r="E242" s="33"/>
      <c r="F242" s="33"/>
      <c r="G242" s="33"/>
      <c r="H242" s="33"/>
      <c r="I242" s="33"/>
      <c r="J242" s="33"/>
      <c r="K242" s="33"/>
      <c r="L242" s="33"/>
      <c r="M242" s="33"/>
      <c r="N242" s="33"/>
      <c r="O242" s="33"/>
      <c r="P242" s="33"/>
      <c r="Q242" s="33"/>
      <c r="R242" s="33"/>
    </row>
    <row r="243">
      <c r="A243" s="33"/>
      <c r="B243" s="33"/>
      <c r="C243" s="33"/>
      <c r="D243" s="33"/>
      <c r="E243" s="33"/>
      <c r="F243" s="33"/>
      <c r="G243" s="33"/>
      <c r="H243" s="33"/>
      <c r="I243" s="33"/>
      <c r="J243" s="33"/>
      <c r="K243" s="33"/>
      <c r="L243" s="33"/>
      <c r="M243" s="33"/>
      <c r="N243" s="33"/>
      <c r="O243" s="33"/>
      <c r="P243" s="33"/>
      <c r="Q243" s="33"/>
      <c r="R243" s="33"/>
    </row>
    <row r="244">
      <c r="A244" s="33"/>
      <c r="B244" s="33"/>
      <c r="C244" s="33"/>
      <c r="D244" s="33"/>
      <c r="E244" s="33"/>
      <c r="F244" s="33"/>
      <c r="G244" s="33"/>
      <c r="H244" s="33"/>
      <c r="I244" s="33"/>
      <c r="J244" s="33"/>
      <c r="K244" s="33"/>
      <c r="L244" s="33"/>
      <c r="M244" s="33"/>
      <c r="N244" s="33"/>
      <c r="O244" s="33"/>
      <c r="P244" s="33"/>
      <c r="Q244" s="33"/>
      <c r="R244" s="33"/>
    </row>
    <row r="245">
      <c r="A245" s="33"/>
      <c r="B245" s="33"/>
      <c r="C245" s="33"/>
      <c r="D245" s="33"/>
      <c r="E245" s="33"/>
      <c r="F245" s="33"/>
      <c r="G245" s="33"/>
      <c r="H245" s="33"/>
      <c r="I245" s="33"/>
      <c r="J245" s="33"/>
      <c r="K245" s="33"/>
      <c r="L245" s="33"/>
      <c r="M245" s="33"/>
      <c r="N245" s="33"/>
      <c r="O245" s="33"/>
      <c r="P245" s="33"/>
      <c r="Q245" s="33"/>
      <c r="R245" s="33"/>
    </row>
    <row r="246">
      <c r="A246" s="33"/>
      <c r="B246" s="33"/>
      <c r="C246" s="33"/>
      <c r="D246" s="33"/>
      <c r="E246" s="33"/>
      <c r="F246" s="33"/>
      <c r="G246" s="33"/>
      <c r="H246" s="33"/>
      <c r="I246" s="33"/>
      <c r="J246" s="33"/>
      <c r="K246" s="33"/>
      <c r="L246" s="33"/>
      <c r="M246" s="33"/>
      <c r="N246" s="33"/>
      <c r="O246" s="33"/>
      <c r="P246" s="33"/>
      <c r="Q246" s="33"/>
      <c r="R246" s="33"/>
    </row>
    <row r="247">
      <c r="A247" s="33"/>
      <c r="B247" s="33"/>
      <c r="C247" s="33"/>
      <c r="D247" s="33"/>
      <c r="E247" s="33"/>
      <c r="F247" s="33"/>
      <c r="G247" s="33"/>
      <c r="H247" s="33"/>
      <c r="I247" s="33"/>
      <c r="J247" s="33"/>
      <c r="K247" s="33"/>
      <c r="L247" s="33"/>
      <c r="M247" s="33"/>
      <c r="N247" s="33"/>
      <c r="O247" s="33"/>
      <c r="P247" s="33"/>
      <c r="Q247" s="33"/>
      <c r="R247" s="33"/>
    </row>
    <row r="248">
      <c r="A248" s="33"/>
      <c r="B248" s="33"/>
      <c r="C248" s="33"/>
      <c r="D248" s="33"/>
      <c r="E248" s="33"/>
      <c r="F248" s="33"/>
      <c r="G248" s="33"/>
      <c r="H248" s="33"/>
      <c r="I248" s="33"/>
      <c r="J248" s="33"/>
      <c r="K248" s="33"/>
      <c r="L248" s="33"/>
      <c r="M248" s="33"/>
      <c r="N248" s="33"/>
      <c r="O248" s="33"/>
      <c r="P248" s="33"/>
      <c r="Q248" s="33"/>
      <c r="R248" s="33"/>
    </row>
    <row r="249">
      <c r="A249" s="33"/>
      <c r="B249" s="33"/>
      <c r="C249" s="33"/>
      <c r="D249" s="33"/>
      <c r="E249" s="33"/>
      <c r="F249" s="33"/>
      <c r="G249" s="33"/>
      <c r="H249" s="33"/>
      <c r="I249" s="33"/>
      <c r="J249" s="33"/>
      <c r="K249" s="33"/>
      <c r="L249" s="33"/>
      <c r="M249" s="33"/>
      <c r="N249" s="33"/>
      <c r="O249" s="33"/>
      <c r="P249" s="33"/>
      <c r="Q249" s="33"/>
      <c r="R249" s="33"/>
    </row>
    <row r="250">
      <c r="A250" s="33"/>
      <c r="B250" s="33"/>
      <c r="C250" s="33"/>
      <c r="D250" s="33"/>
      <c r="E250" s="33"/>
      <c r="F250" s="33"/>
      <c r="G250" s="33"/>
      <c r="H250" s="33"/>
      <c r="I250" s="33"/>
      <c r="J250" s="33"/>
      <c r="K250" s="33"/>
      <c r="L250" s="33"/>
      <c r="M250" s="33"/>
      <c r="N250" s="33"/>
      <c r="O250" s="33"/>
      <c r="P250" s="33"/>
      <c r="Q250" s="33"/>
      <c r="R250" s="33"/>
    </row>
    <row r="251">
      <c r="A251" s="33"/>
      <c r="B251" s="33"/>
      <c r="C251" s="33"/>
      <c r="D251" s="33"/>
      <c r="E251" s="33"/>
      <c r="F251" s="33"/>
      <c r="G251" s="33"/>
      <c r="H251" s="33"/>
      <c r="I251" s="33"/>
      <c r="J251" s="33"/>
      <c r="K251" s="33"/>
      <c r="L251" s="33"/>
      <c r="M251" s="33"/>
      <c r="N251" s="33"/>
      <c r="O251" s="33"/>
      <c r="P251" s="33"/>
      <c r="Q251" s="33"/>
      <c r="R251" s="33"/>
    </row>
    <row r="252">
      <c r="A252" s="33"/>
      <c r="B252" s="33"/>
      <c r="C252" s="33"/>
      <c r="D252" s="33"/>
      <c r="E252" s="33"/>
      <c r="F252" s="33"/>
      <c r="G252" s="33"/>
      <c r="H252" s="33"/>
      <c r="I252" s="33"/>
      <c r="J252" s="33"/>
      <c r="K252" s="33"/>
      <c r="L252" s="33"/>
      <c r="M252" s="33"/>
      <c r="N252" s="33"/>
      <c r="O252" s="33"/>
      <c r="P252" s="33"/>
      <c r="Q252" s="33"/>
      <c r="R252" s="33"/>
    </row>
    <row r="253">
      <c r="A253" s="33"/>
      <c r="B253" s="33"/>
      <c r="C253" s="33"/>
      <c r="D253" s="33"/>
      <c r="E253" s="33"/>
      <c r="F253" s="33"/>
      <c r="G253" s="33"/>
      <c r="H253" s="33"/>
      <c r="I253" s="33"/>
      <c r="J253" s="33"/>
      <c r="K253" s="33"/>
      <c r="L253" s="33"/>
      <c r="M253" s="33"/>
      <c r="N253" s="33"/>
      <c r="O253" s="33"/>
      <c r="P253" s="33"/>
      <c r="Q253" s="33"/>
      <c r="R253" s="33"/>
    </row>
    <row r="254">
      <c r="A254" s="33"/>
      <c r="B254" s="33"/>
      <c r="C254" s="33"/>
      <c r="D254" s="33"/>
      <c r="E254" s="33"/>
      <c r="F254" s="33"/>
      <c r="G254" s="33"/>
      <c r="H254" s="33"/>
      <c r="I254" s="33"/>
      <c r="J254" s="33"/>
      <c r="K254" s="33"/>
      <c r="L254" s="33"/>
      <c r="M254" s="33"/>
      <c r="N254" s="33"/>
      <c r="O254" s="33"/>
      <c r="P254" s="33"/>
      <c r="Q254" s="33"/>
      <c r="R254" s="33"/>
    </row>
    <row r="255">
      <c r="A255" s="33"/>
      <c r="B255" s="33"/>
      <c r="C255" s="33"/>
      <c r="D255" s="33"/>
      <c r="E255" s="33"/>
      <c r="F255" s="33"/>
      <c r="G255" s="33"/>
      <c r="H255" s="33"/>
      <c r="I255" s="33"/>
      <c r="J255" s="33"/>
      <c r="K255" s="33"/>
      <c r="L255" s="33"/>
      <c r="M255" s="33"/>
      <c r="N255" s="33"/>
      <c r="O255" s="33"/>
      <c r="P255" s="33"/>
      <c r="Q255" s="33"/>
      <c r="R255" s="33"/>
    </row>
    <row r="256">
      <c r="A256" s="33"/>
      <c r="B256" s="33"/>
      <c r="C256" s="33"/>
      <c r="D256" s="33"/>
      <c r="E256" s="33"/>
      <c r="F256" s="33"/>
      <c r="G256" s="33"/>
      <c r="H256" s="33"/>
      <c r="I256" s="33"/>
      <c r="J256" s="33"/>
      <c r="K256" s="33"/>
      <c r="L256" s="33"/>
      <c r="M256" s="33"/>
      <c r="N256" s="33"/>
      <c r="O256" s="33"/>
      <c r="P256" s="33"/>
      <c r="Q256" s="33"/>
      <c r="R256" s="33"/>
    </row>
    <row r="257">
      <c r="A257" s="33"/>
      <c r="B257" s="33"/>
      <c r="C257" s="33"/>
      <c r="D257" s="33"/>
      <c r="E257" s="33"/>
      <c r="F257" s="33"/>
      <c r="G257" s="33"/>
      <c r="H257" s="33"/>
      <c r="I257" s="33"/>
      <c r="J257" s="33"/>
      <c r="K257" s="33"/>
      <c r="L257" s="33"/>
      <c r="M257" s="33"/>
      <c r="N257" s="33"/>
      <c r="O257" s="33"/>
      <c r="P257" s="33"/>
      <c r="Q257" s="33"/>
      <c r="R257" s="33"/>
    </row>
    <row r="258">
      <c r="A258" s="33"/>
      <c r="B258" s="33"/>
      <c r="C258" s="33"/>
      <c r="D258" s="33"/>
      <c r="E258" s="33"/>
      <c r="F258" s="33"/>
      <c r="G258" s="33"/>
      <c r="H258" s="33"/>
      <c r="I258" s="33"/>
      <c r="J258" s="33"/>
      <c r="K258" s="33"/>
      <c r="L258" s="33"/>
      <c r="M258" s="33"/>
      <c r="N258" s="33"/>
      <c r="O258" s="33"/>
      <c r="P258" s="33"/>
      <c r="Q258" s="33"/>
      <c r="R258" s="33"/>
    </row>
    <row r="259">
      <c r="A259" s="33"/>
      <c r="B259" s="33"/>
      <c r="C259" s="33"/>
      <c r="D259" s="33"/>
      <c r="E259" s="33"/>
      <c r="F259" s="33"/>
      <c r="G259" s="33"/>
      <c r="H259" s="33"/>
      <c r="I259" s="33"/>
      <c r="J259" s="33"/>
      <c r="K259" s="33"/>
      <c r="L259" s="33"/>
      <c r="M259" s="33"/>
      <c r="N259" s="33"/>
      <c r="O259" s="33"/>
      <c r="P259" s="33"/>
      <c r="Q259" s="33"/>
      <c r="R259" s="33"/>
    </row>
    <row r="260">
      <c r="A260" s="33"/>
      <c r="B260" s="33"/>
      <c r="C260" s="33"/>
      <c r="D260" s="33"/>
      <c r="E260" s="33"/>
      <c r="F260" s="33"/>
      <c r="G260" s="33"/>
      <c r="H260" s="33"/>
      <c r="I260" s="33"/>
      <c r="J260" s="33"/>
      <c r="K260" s="33"/>
      <c r="L260" s="33"/>
      <c r="M260" s="33"/>
      <c r="N260" s="33"/>
      <c r="O260" s="33"/>
      <c r="P260" s="33"/>
      <c r="Q260" s="33"/>
      <c r="R260" s="33"/>
    </row>
    <row r="261">
      <c r="A261" s="33"/>
      <c r="B261" s="33"/>
      <c r="C261" s="33"/>
      <c r="D261" s="33"/>
      <c r="E261" s="33"/>
      <c r="F261" s="33"/>
      <c r="G261" s="33"/>
      <c r="H261" s="33"/>
      <c r="I261" s="33"/>
      <c r="J261" s="33"/>
      <c r="K261" s="33"/>
      <c r="L261" s="33"/>
      <c r="M261" s="33"/>
      <c r="N261" s="33"/>
      <c r="O261" s="33"/>
      <c r="P261" s="33"/>
      <c r="Q261" s="33"/>
      <c r="R261" s="33"/>
    </row>
    <row r="262">
      <c r="A262" s="33"/>
      <c r="B262" s="33"/>
      <c r="C262" s="33"/>
      <c r="D262" s="33"/>
      <c r="E262" s="33"/>
      <c r="F262" s="33"/>
      <c r="G262" s="33"/>
      <c r="H262" s="33"/>
      <c r="I262" s="33"/>
      <c r="J262" s="33"/>
      <c r="K262" s="33"/>
      <c r="L262" s="33"/>
      <c r="M262" s="33"/>
      <c r="N262" s="33"/>
      <c r="O262" s="33"/>
      <c r="P262" s="33"/>
      <c r="Q262" s="33"/>
      <c r="R262" s="33"/>
    </row>
    <row r="263">
      <c r="A263" s="33"/>
      <c r="B263" s="33"/>
      <c r="C263" s="33"/>
      <c r="D263" s="33"/>
      <c r="E263" s="33"/>
      <c r="F263" s="33"/>
      <c r="G263" s="33"/>
      <c r="H263" s="33"/>
      <c r="I263" s="33"/>
      <c r="J263" s="33"/>
      <c r="K263" s="33"/>
      <c r="L263" s="33"/>
      <c r="M263" s="33"/>
      <c r="N263" s="33"/>
      <c r="O263" s="33"/>
      <c r="P263" s="33"/>
      <c r="Q263" s="33"/>
      <c r="R263" s="33"/>
    </row>
    <row r="264">
      <c r="A264" s="33"/>
      <c r="B264" s="33"/>
      <c r="C264" s="33"/>
      <c r="D264" s="33"/>
      <c r="E264" s="33"/>
      <c r="F264" s="33"/>
      <c r="G264" s="33"/>
      <c r="H264" s="33"/>
      <c r="I264" s="33"/>
      <c r="J264" s="33"/>
      <c r="K264" s="33"/>
      <c r="L264" s="33"/>
      <c r="M264" s="33"/>
      <c r="N264" s="33"/>
      <c r="O264" s="33"/>
      <c r="P264" s="33"/>
      <c r="Q264" s="33"/>
      <c r="R264" s="33"/>
    </row>
    <row r="265">
      <c r="A265" s="33"/>
      <c r="B265" s="33"/>
      <c r="C265" s="33"/>
      <c r="D265" s="33"/>
      <c r="E265" s="33"/>
      <c r="F265" s="33"/>
      <c r="G265" s="33"/>
      <c r="H265" s="33"/>
      <c r="I265" s="33"/>
      <c r="J265" s="33"/>
      <c r="K265" s="33"/>
      <c r="L265" s="33"/>
      <c r="M265" s="33"/>
      <c r="N265" s="33"/>
      <c r="O265" s="33"/>
      <c r="P265" s="33"/>
      <c r="Q265" s="33"/>
      <c r="R265" s="33"/>
    </row>
    <row r="266">
      <c r="A266" s="33"/>
      <c r="B266" s="33"/>
      <c r="C266" s="33"/>
      <c r="D266" s="33"/>
      <c r="E266" s="33"/>
      <c r="F266" s="33"/>
      <c r="G266" s="33"/>
      <c r="H266" s="33"/>
      <c r="I266" s="33"/>
      <c r="J266" s="33"/>
      <c r="K266" s="33"/>
      <c r="L266" s="33"/>
      <c r="M266" s="33"/>
      <c r="N266" s="33"/>
      <c r="O266" s="33"/>
      <c r="P266" s="33"/>
      <c r="Q266" s="33"/>
      <c r="R266" s="33"/>
    </row>
    <row r="267">
      <c r="A267" s="33"/>
      <c r="B267" s="33"/>
      <c r="C267" s="33"/>
      <c r="D267" s="33"/>
      <c r="E267" s="33"/>
      <c r="F267" s="33"/>
      <c r="G267" s="33"/>
      <c r="H267" s="33"/>
      <c r="I267" s="33"/>
      <c r="J267" s="33"/>
      <c r="K267" s="33"/>
      <c r="L267" s="33"/>
      <c r="M267" s="33"/>
      <c r="N267" s="33"/>
      <c r="O267" s="33"/>
      <c r="P267" s="33"/>
      <c r="Q267" s="33"/>
      <c r="R267" s="33"/>
    </row>
    <row r="268">
      <c r="A268" s="33"/>
      <c r="B268" s="33"/>
      <c r="C268" s="33"/>
      <c r="D268" s="33"/>
      <c r="E268" s="33"/>
      <c r="F268" s="33"/>
      <c r="G268" s="33"/>
      <c r="H268" s="33"/>
      <c r="I268" s="33"/>
      <c r="J268" s="33"/>
      <c r="K268" s="33"/>
      <c r="L268" s="33"/>
      <c r="M268" s="33"/>
      <c r="N268" s="33"/>
      <c r="O268" s="33"/>
      <c r="P268" s="33"/>
      <c r="Q268" s="33"/>
      <c r="R268" s="33"/>
    </row>
    <row r="269">
      <c r="A269" s="33"/>
      <c r="B269" s="33"/>
      <c r="C269" s="33"/>
      <c r="D269" s="33"/>
      <c r="E269" s="33"/>
      <c r="F269" s="33"/>
      <c r="G269" s="33"/>
      <c r="H269" s="33"/>
      <c r="I269" s="33"/>
      <c r="J269" s="33"/>
      <c r="K269" s="33"/>
      <c r="L269" s="33"/>
      <c r="M269" s="33"/>
      <c r="N269" s="33"/>
      <c r="O269" s="33"/>
      <c r="P269" s="33"/>
      <c r="Q269" s="33"/>
      <c r="R269" s="33"/>
    </row>
    <row r="270">
      <c r="A270" s="33"/>
      <c r="B270" s="33"/>
      <c r="C270" s="33"/>
      <c r="D270" s="33"/>
      <c r="E270" s="33"/>
      <c r="F270" s="33"/>
      <c r="G270" s="33"/>
      <c r="H270" s="33"/>
      <c r="I270" s="33"/>
      <c r="J270" s="33"/>
      <c r="K270" s="33"/>
      <c r="L270" s="33"/>
      <c r="M270" s="33"/>
      <c r="N270" s="33"/>
      <c r="O270" s="33"/>
      <c r="P270" s="33"/>
      <c r="Q270" s="33"/>
      <c r="R270" s="33"/>
    </row>
    <row r="271">
      <c r="A271" s="33"/>
      <c r="B271" s="33"/>
      <c r="C271" s="33"/>
      <c r="D271" s="33"/>
      <c r="E271" s="33"/>
      <c r="F271" s="33"/>
      <c r="G271" s="33"/>
      <c r="H271" s="33"/>
      <c r="I271" s="33"/>
      <c r="J271" s="33"/>
      <c r="K271" s="33"/>
      <c r="L271" s="33"/>
      <c r="M271" s="33"/>
      <c r="N271" s="33"/>
      <c r="O271" s="33"/>
      <c r="P271" s="33"/>
      <c r="Q271" s="33"/>
      <c r="R271" s="33"/>
    </row>
    <row r="272">
      <c r="A272" s="33"/>
      <c r="B272" s="33"/>
      <c r="C272" s="33"/>
      <c r="D272" s="33"/>
      <c r="E272" s="33"/>
      <c r="F272" s="33"/>
      <c r="G272" s="33"/>
      <c r="H272" s="33"/>
      <c r="I272" s="33"/>
      <c r="J272" s="33"/>
      <c r="K272" s="33"/>
      <c r="L272" s="33"/>
      <c r="M272" s="33"/>
      <c r="N272" s="33"/>
      <c r="O272" s="33"/>
      <c r="P272" s="33"/>
      <c r="Q272" s="33"/>
      <c r="R272" s="33"/>
    </row>
    <row r="273">
      <c r="A273" s="33"/>
      <c r="B273" s="33"/>
      <c r="C273" s="33"/>
      <c r="D273" s="33"/>
      <c r="E273" s="33"/>
      <c r="F273" s="33"/>
      <c r="G273" s="33"/>
      <c r="H273" s="33"/>
      <c r="I273" s="33"/>
      <c r="J273" s="33"/>
      <c r="K273" s="33"/>
      <c r="L273" s="33"/>
      <c r="M273" s="33"/>
      <c r="N273" s="33"/>
      <c r="O273" s="33"/>
      <c r="P273" s="33"/>
      <c r="Q273" s="33"/>
      <c r="R273" s="33"/>
    </row>
    <row r="274">
      <c r="A274" s="33"/>
      <c r="B274" s="33"/>
      <c r="C274" s="33"/>
      <c r="D274" s="33"/>
      <c r="E274" s="33"/>
      <c r="F274" s="33"/>
      <c r="G274" s="33"/>
      <c r="H274" s="33"/>
      <c r="I274" s="33"/>
      <c r="J274" s="33"/>
      <c r="K274" s="33"/>
      <c r="L274" s="33"/>
      <c r="M274" s="33"/>
      <c r="N274" s="33"/>
      <c r="O274" s="33"/>
      <c r="P274" s="33"/>
      <c r="Q274" s="33"/>
      <c r="R274" s="33"/>
    </row>
    <row r="275">
      <c r="A275" s="33"/>
      <c r="B275" s="33"/>
      <c r="C275" s="33"/>
      <c r="D275" s="33"/>
      <c r="E275" s="33"/>
      <c r="F275" s="33"/>
      <c r="G275" s="33"/>
      <c r="H275" s="33"/>
      <c r="I275" s="33"/>
      <c r="J275" s="33"/>
      <c r="K275" s="33"/>
      <c r="L275" s="33"/>
      <c r="M275" s="33"/>
      <c r="N275" s="33"/>
      <c r="O275" s="33"/>
      <c r="P275" s="33"/>
      <c r="Q275" s="33"/>
      <c r="R275" s="33"/>
    </row>
    <row r="276">
      <c r="A276" s="33"/>
      <c r="B276" s="33"/>
      <c r="C276" s="33"/>
      <c r="D276" s="33"/>
      <c r="E276" s="33"/>
      <c r="F276" s="33"/>
      <c r="G276" s="33"/>
      <c r="H276" s="33"/>
      <c r="I276" s="33"/>
      <c r="J276" s="33"/>
      <c r="K276" s="33"/>
      <c r="L276" s="33"/>
      <c r="M276" s="33"/>
      <c r="N276" s="33"/>
      <c r="O276" s="33"/>
      <c r="P276" s="33"/>
      <c r="Q276" s="33"/>
      <c r="R276" s="33"/>
    </row>
    <row r="277">
      <c r="A277" s="33"/>
      <c r="B277" s="33"/>
      <c r="C277" s="33"/>
      <c r="D277" s="33"/>
      <c r="E277" s="33"/>
      <c r="F277" s="33"/>
      <c r="G277" s="33"/>
      <c r="H277" s="33"/>
      <c r="I277" s="33"/>
      <c r="J277" s="33"/>
      <c r="K277" s="33"/>
      <c r="L277" s="33"/>
      <c r="M277" s="33"/>
      <c r="N277" s="33"/>
      <c r="O277" s="33"/>
      <c r="P277" s="33"/>
      <c r="Q277" s="33"/>
      <c r="R277" s="33"/>
    </row>
    <row r="278">
      <c r="A278" s="33"/>
      <c r="B278" s="33"/>
      <c r="C278" s="33"/>
      <c r="D278" s="33"/>
      <c r="E278" s="33"/>
      <c r="F278" s="33"/>
      <c r="G278" s="33"/>
      <c r="H278" s="33"/>
      <c r="I278" s="33"/>
      <c r="J278" s="33"/>
      <c r="K278" s="33"/>
      <c r="L278" s="33"/>
      <c r="M278" s="33"/>
      <c r="N278" s="33"/>
      <c r="O278" s="33"/>
      <c r="P278" s="33"/>
      <c r="Q278" s="33"/>
      <c r="R278" s="33"/>
    </row>
    <row r="279">
      <c r="A279" s="33"/>
      <c r="B279" s="33"/>
      <c r="C279" s="33"/>
      <c r="D279" s="33"/>
      <c r="E279" s="33"/>
      <c r="F279" s="33"/>
      <c r="G279" s="33"/>
      <c r="H279" s="33"/>
      <c r="I279" s="33"/>
      <c r="J279" s="33"/>
      <c r="K279" s="33"/>
      <c r="L279" s="33"/>
      <c r="M279" s="33"/>
      <c r="N279" s="33"/>
      <c r="O279" s="33"/>
      <c r="P279" s="33"/>
      <c r="Q279" s="33"/>
      <c r="R279" s="33"/>
    </row>
    <row r="280">
      <c r="A280" s="33"/>
      <c r="B280" s="33"/>
      <c r="C280" s="33"/>
      <c r="D280" s="33"/>
      <c r="E280" s="33"/>
      <c r="F280" s="33"/>
      <c r="G280" s="33"/>
      <c r="H280" s="33"/>
      <c r="I280" s="33"/>
      <c r="J280" s="33"/>
      <c r="K280" s="33"/>
      <c r="L280" s="33"/>
      <c r="M280" s="33"/>
      <c r="N280" s="33"/>
      <c r="O280" s="33"/>
      <c r="P280" s="33"/>
      <c r="Q280" s="33"/>
      <c r="R280" s="33"/>
    </row>
    <row r="281">
      <c r="A281" s="33"/>
      <c r="B281" s="33"/>
      <c r="C281" s="33"/>
      <c r="D281" s="33"/>
      <c r="E281" s="33"/>
      <c r="F281" s="33"/>
      <c r="G281" s="33"/>
      <c r="H281" s="33"/>
      <c r="I281" s="33"/>
      <c r="J281" s="33"/>
      <c r="K281" s="33"/>
      <c r="L281" s="33"/>
      <c r="M281" s="33"/>
      <c r="N281" s="33"/>
      <c r="O281" s="33"/>
      <c r="P281" s="33"/>
      <c r="Q281" s="33"/>
      <c r="R281" s="33"/>
    </row>
    <row r="282">
      <c r="A282" s="33"/>
      <c r="B282" s="33"/>
      <c r="C282" s="33"/>
      <c r="D282" s="33"/>
      <c r="E282" s="33"/>
      <c r="F282" s="33"/>
      <c r="G282" s="33"/>
      <c r="H282" s="33"/>
      <c r="I282" s="33"/>
      <c r="J282" s="33"/>
      <c r="K282" s="33"/>
      <c r="L282" s="33"/>
      <c r="M282" s="33"/>
      <c r="N282" s="33"/>
      <c r="O282" s="33"/>
      <c r="P282" s="33"/>
      <c r="Q282" s="33"/>
      <c r="R282" s="33"/>
    </row>
    <row r="283">
      <c r="A283" s="33"/>
      <c r="B283" s="33"/>
      <c r="C283" s="33"/>
      <c r="D283" s="33"/>
      <c r="E283" s="33"/>
      <c r="F283" s="33"/>
      <c r="G283" s="33"/>
      <c r="H283" s="33"/>
      <c r="I283" s="33"/>
      <c r="J283" s="33"/>
      <c r="K283" s="33"/>
      <c r="L283" s="33"/>
      <c r="M283" s="33"/>
      <c r="N283" s="33"/>
      <c r="O283" s="33"/>
      <c r="P283" s="33"/>
      <c r="Q283" s="33"/>
      <c r="R283" s="33"/>
    </row>
    <row r="284">
      <c r="A284" s="33"/>
      <c r="B284" s="33"/>
      <c r="C284" s="33"/>
      <c r="D284" s="33"/>
      <c r="E284" s="33"/>
      <c r="F284" s="33"/>
      <c r="G284" s="33"/>
      <c r="H284" s="33"/>
      <c r="I284" s="33"/>
      <c r="J284" s="33"/>
      <c r="K284" s="33"/>
      <c r="L284" s="33"/>
      <c r="M284" s="33"/>
      <c r="N284" s="33"/>
      <c r="O284" s="33"/>
      <c r="P284" s="33"/>
      <c r="Q284" s="33"/>
      <c r="R284" s="33"/>
    </row>
    <row r="285">
      <c r="A285" s="33"/>
      <c r="B285" s="33"/>
      <c r="C285" s="33"/>
      <c r="D285" s="33"/>
      <c r="E285" s="33"/>
      <c r="F285" s="33"/>
      <c r="G285" s="33"/>
      <c r="H285" s="33"/>
      <c r="I285" s="33"/>
      <c r="J285" s="33"/>
      <c r="K285" s="33"/>
      <c r="L285" s="33"/>
      <c r="M285" s="33"/>
      <c r="N285" s="33"/>
      <c r="O285" s="33"/>
      <c r="P285" s="33"/>
      <c r="Q285" s="33"/>
      <c r="R285" s="33"/>
    </row>
    <row r="286">
      <c r="A286" s="33"/>
      <c r="B286" s="33"/>
      <c r="C286" s="33"/>
      <c r="D286" s="33"/>
      <c r="E286" s="33"/>
      <c r="F286" s="33"/>
      <c r="G286" s="33"/>
      <c r="H286" s="33"/>
      <c r="I286" s="33"/>
      <c r="J286" s="33"/>
      <c r="K286" s="33"/>
      <c r="L286" s="33"/>
      <c r="M286" s="33"/>
      <c r="N286" s="33"/>
      <c r="O286" s="33"/>
      <c r="P286" s="33"/>
      <c r="Q286" s="33"/>
      <c r="R286" s="33"/>
    </row>
    <row r="287">
      <c r="A287" s="33"/>
      <c r="B287" s="33"/>
      <c r="C287" s="33"/>
      <c r="D287" s="33"/>
      <c r="E287" s="33"/>
      <c r="F287" s="33"/>
      <c r="G287" s="33"/>
      <c r="H287" s="33"/>
      <c r="I287" s="33"/>
      <c r="J287" s="33"/>
      <c r="K287" s="33"/>
      <c r="L287" s="33"/>
      <c r="M287" s="33"/>
      <c r="N287" s="33"/>
      <c r="O287" s="33"/>
      <c r="P287" s="33"/>
      <c r="Q287" s="33"/>
      <c r="R287" s="33"/>
    </row>
    <row r="288">
      <c r="A288" s="33"/>
      <c r="B288" s="33"/>
      <c r="C288" s="33"/>
      <c r="D288" s="33"/>
      <c r="E288" s="33"/>
      <c r="F288" s="33"/>
      <c r="G288" s="33"/>
      <c r="H288" s="33"/>
      <c r="I288" s="33"/>
      <c r="J288" s="33"/>
      <c r="K288" s="33"/>
      <c r="L288" s="33"/>
      <c r="M288" s="33"/>
      <c r="N288" s="33"/>
      <c r="O288" s="33"/>
      <c r="P288" s="33"/>
      <c r="Q288" s="33"/>
      <c r="R288" s="33"/>
    </row>
    <row r="289">
      <c r="A289" s="33"/>
      <c r="B289" s="33"/>
      <c r="C289" s="33"/>
      <c r="D289" s="33"/>
      <c r="E289" s="33"/>
      <c r="F289" s="33"/>
      <c r="G289" s="33"/>
      <c r="H289" s="33"/>
      <c r="I289" s="33"/>
      <c r="J289" s="33"/>
      <c r="K289" s="33"/>
      <c r="L289" s="33"/>
      <c r="M289" s="33"/>
      <c r="N289" s="33"/>
      <c r="O289" s="33"/>
      <c r="P289" s="33"/>
      <c r="Q289" s="33"/>
      <c r="R289" s="33"/>
    </row>
    <row r="290">
      <c r="A290" s="33"/>
      <c r="B290" s="33"/>
      <c r="C290" s="33"/>
      <c r="D290" s="33"/>
      <c r="E290" s="33"/>
      <c r="F290" s="33"/>
      <c r="G290" s="33"/>
      <c r="H290" s="33"/>
      <c r="I290" s="33"/>
      <c r="J290" s="33"/>
      <c r="K290" s="33"/>
      <c r="L290" s="33"/>
      <c r="M290" s="33"/>
      <c r="N290" s="33"/>
      <c r="O290" s="33"/>
      <c r="P290" s="33"/>
      <c r="Q290" s="33"/>
      <c r="R290" s="33"/>
    </row>
    <row r="291">
      <c r="A291" s="33"/>
      <c r="B291" s="33"/>
      <c r="C291" s="33"/>
      <c r="D291" s="33"/>
      <c r="E291" s="33"/>
      <c r="F291" s="33"/>
      <c r="G291" s="33"/>
      <c r="H291" s="33"/>
      <c r="I291" s="33"/>
      <c r="J291" s="33"/>
      <c r="K291" s="33"/>
      <c r="L291" s="33"/>
      <c r="M291" s="33"/>
      <c r="N291" s="33"/>
      <c r="O291" s="33"/>
      <c r="P291" s="33"/>
      <c r="Q291" s="33"/>
      <c r="R291" s="33"/>
    </row>
    <row r="292">
      <c r="A292" s="33"/>
      <c r="B292" s="33"/>
      <c r="C292" s="33"/>
      <c r="D292" s="33"/>
      <c r="E292" s="33"/>
      <c r="F292" s="33"/>
      <c r="G292" s="33"/>
      <c r="H292" s="33"/>
      <c r="I292" s="33"/>
      <c r="J292" s="33"/>
      <c r="K292" s="33"/>
      <c r="L292" s="33"/>
      <c r="M292" s="33"/>
      <c r="N292" s="33"/>
      <c r="O292" s="33"/>
      <c r="P292" s="33"/>
      <c r="Q292" s="33"/>
      <c r="R292" s="33"/>
    </row>
    <row r="293">
      <c r="A293" s="33"/>
      <c r="B293" s="33"/>
      <c r="C293" s="33"/>
      <c r="D293" s="33"/>
      <c r="E293" s="33"/>
      <c r="F293" s="33"/>
      <c r="G293" s="33"/>
      <c r="H293" s="33"/>
      <c r="I293" s="33"/>
      <c r="J293" s="33"/>
      <c r="K293" s="33"/>
      <c r="L293" s="33"/>
      <c r="M293" s="33"/>
      <c r="N293" s="33"/>
      <c r="O293" s="33"/>
      <c r="P293" s="33"/>
      <c r="Q293" s="33"/>
      <c r="R293" s="33"/>
    </row>
    <row r="294">
      <c r="A294" s="33"/>
      <c r="B294" s="33"/>
      <c r="C294" s="33"/>
      <c r="D294" s="33"/>
      <c r="E294" s="33"/>
      <c r="F294" s="33"/>
      <c r="G294" s="33"/>
      <c r="H294" s="33"/>
      <c r="I294" s="33"/>
      <c r="J294" s="33"/>
      <c r="K294" s="33"/>
      <c r="L294" s="33"/>
      <c r="M294" s="33"/>
      <c r="N294" s="33"/>
      <c r="O294" s="33"/>
      <c r="P294" s="33"/>
      <c r="Q294" s="33"/>
      <c r="R294" s="33"/>
    </row>
    <row r="295">
      <c r="A295" s="33"/>
      <c r="B295" s="33"/>
      <c r="C295" s="33"/>
      <c r="D295" s="33"/>
      <c r="E295" s="33"/>
      <c r="F295" s="33"/>
      <c r="G295" s="33"/>
      <c r="H295" s="33"/>
      <c r="I295" s="33"/>
      <c r="J295" s="33"/>
      <c r="K295" s="33"/>
      <c r="L295" s="33"/>
      <c r="M295" s="33"/>
      <c r="N295" s="33"/>
      <c r="O295" s="33"/>
      <c r="P295" s="33"/>
      <c r="Q295" s="33"/>
      <c r="R295" s="33"/>
    </row>
    <row r="296">
      <c r="A296" s="33"/>
      <c r="B296" s="33"/>
      <c r="C296" s="33"/>
      <c r="D296" s="33"/>
      <c r="E296" s="33"/>
      <c r="F296" s="33"/>
      <c r="G296" s="33"/>
      <c r="H296" s="33"/>
      <c r="I296" s="33"/>
      <c r="J296" s="33"/>
      <c r="K296" s="33"/>
      <c r="L296" s="33"/>
      <c r="M296" s="33"/>
      <c r="N296" s="33"/>
      <c r="O296" s="33"/>
      <c r="P296" s="33"/>
      <c r="Q296" s="33"/>
      <c r="R296" s="33"/>
    </row>
    <row r="297">
      <c r="A297" s="33"/>
      <c r="B297" s="33"/>
      <c r="C297" s="33"/>
      <c r="D297" s="33"/>
      <c r="E297" s="33"/>
      <c r="F297" s="33"/>
      <c r="G297" s="33"/>
      <c r="H297" s="33"/>
      <c r="I297" s="33"/>
      <c r="J297" s="33"/>
      <c r="K297" s="33"/>
      <c r="L297" s="33"/>
      <c r="M297" s="33"/>
      <c r="N297" s="33"/>
      <c r="O297" s="33"/>
      <c r="P297" s="33"/>
      <c r="Q297" s="33"/>
      <c r="R297" s="33"/>
    </row>
    <row r="298">
      <c r="A298" s="33"/>
      <c r="B298" s="33"/>
      <c r="C298" s="33"/>
      <c r="D298" s="33"/>
      <c r="E298" s="33"/>
      <c r="F298" s="33"/>
      <c r="G298" s="33"/>
      <c r="H298" s="33"/>
      <c r="I298" s="33"/>
      <c r="J298" s="33"/>
      <c r="K298" s="33"/>
      <c r="L298" s="33"/>
      <c r="M298" s="33"/>
      <c r="N298" s="33"/>
      <c r="O298" s="33"/>
      <c r="P298" s="33"/>
      <c r="Q298" s="33"/>
      <c r="R298" s="33"/>
    </row>
    <row r="299">
      <c r="A299" s="33"/>
      <c r="B299" s="33"/>
      <c r="C299" s="33"/>
      <c r="D299" s="33"/>
      <c r="E299" s="33"/>
      <c r="F299" s="33"/>
      <c r="G299" s="33"/>
      <c r="H299" s="33"/>
      <c r="I299" s="33"/>
      <c r="J299" s="33"/>
      <c r="K299" s="33"/>
      <c r="L299" s="33"/>
      <c r="M299" s="33"/>
      <c r="N299" s="33"/>
      <c r="O299" s="33"/>
      <c r="P299" s="33"/>
      <c r="Q299" s="33"/>
      <c r="R299" s="33"/>
    </row>
    <row r="300">
      <c r="A300" s="33"/>
      <c r="B300" s="33"/>
      <c r="C300" s="33"/>
      <c r="D300" s="33"/>
      <c r="E300" s="33"/>
      <c r="F300" s="33"/>
      <c r="G300" s="33"/>
      <c r="H300" s="33"/>
      <c r="I300" s="33"/>
      <c r="J300" s="33"/>
      <c r="K300" s="33"/>
      <c r="L300" s="33"/>
      <c r="M300" s="33"/>
      <c r="N300" s="33"/>
      <c r="O300" s="33"/>
      <c r="P300" s="33"/>
      <c r="Q300" s="33"/>
      <c r="R300" s="33"/>
    </row>
    <row r="301">
      <c r="A301" s="33"/>
      <c r="B301" s="33"/>
      <c r="C301" s="33"/>
      <c r="D301" s="33"/>
      <c r="E301" s="33"/>
      <c r="F301" s="33"/>
      <c r="G301" s="33"/>
      <c r="H301" s="33"/>
      <c r="I301" s="33"/>
      <c r="J301" s="33"/>
      <c r="K301" s="33"/>
      <c r="L301" s="33"/>
      <c r="M301" s="33"/>
      <c r="N301" s="33"/>
      <c r="O301" s="33"/>
      <c r="P301" s="33"/>
      <c r="Q301" s="33"/>
      <c r="R301" s="33"/>
    </row>
    <row r="302">
      <c r="A302" s="33"/>
      <c r="B302" s="33"/>
      <c r="C302" s="33"/>
      <c r="D302" s="33"/>
      <c r="E302" s="33"/>
      <c r="F302" s="33"/>
      <c r="G302" s="33"/>
      <c r="H302" s="33"/>
      <c r="I302" s="33"/>
      <c r="J302" s="33"/>
      <c r="K302" s="33"/>
      <c r="L302" s="33"/>
      <c r="M302" s="33"/>
      <c r="N302" s="33"/>
      <c r="O302" s="33"/>
      <c r="P302" s="33"/>
      <c r="Q302" s="33"/>
      <c r="R302" s="33"/>
    </row>
    <row r="303">
      <c r="A303" s="33"/>
      <c r="B303" s="33"/>
      <c r="C303" s="33"/>
      <c r="D303" s="33"/>
      <c r="E303" s="33"/>
      <c r="F303" s="33"/>
      <c r="G303" s="33"/>
      <c r="H303" s="33"/>
      <c r="I303" s="33"/>
      <c r="J303" s="33"/>
      <c r="K303" s="33"/>
      <c r="L303" s="33"/>
      <c r="M303" s="33"/>
      <c r="N303" s="33"/>
      <c r="O303" s="33"/>
      <c r="P303" s="33"/>
      <c r="Q303" s="33"/>
      <c r="R303" s="33"/>
    </row>
    <row r="304">
      <c r="A304" s="33"/>
      <c r="B304" s="33"/>
      <c r="C304" s="33"/>
      <c r="D304" s="33"/>
      <c r="E304" s="33"/>
      <c r="F304" s="33"/>
      <c r="G304" s="33"/>
      <c r="H304" s="33"/>
      <c r="I304" s="33"/>
      <c r="J304" s="33"/>
      <c r="K304" s="33"/>
      <c r="L304" s="33"/>
      <c r="M304" s="33"/>
      <c r="N304" s="33"/>
      <c r="O304" s="33"/>
      <c r="P304" s="33"/>
      <c r="Q304" s="33"/>
      <c r="R304" s="33"/>
    </row>
    <row r="305">
      <c r="A305" s="33"/>
      <c r="B305" s="33"/>
      <c r="C305" s="33"/>
      <c r="D305" s="33"/>
      <c r="E305" s="33"/>
      <c r="F305" s="33"/>
      <c r="G305" s="33"/>
      <c r="H305" s="33"/>
      <c r="I305" s="33"/>
      <c r="J305" s="33"/>
      <c r="K305" s="33"/>
      <c r="L305" s="33"/>
      <c r="M305" s="33"/>
      <c r="N305" s="33"/>
      <c r="O305" s="33"/>
      <c r="P305" s="33"/>
      <c r="Q305" s="33"/>
      <c r="R305" s="33"/>
    </row>
    <row r="306">
      <c r="A306" s="33"/>
      <c r="B306" s="33"/>
      <c r="C306" s="33"/>
      <c r="D306" s="33"/>
      <c r="E306" s="33"/>
      <c r="F306" s="33"/>
      <c r="G306" s="33"/>
      <c r="H306" s="33"/>
      <c r="I306" s="33"/>
      <c r="J306" s="33"/>
      <c r="K306" s="33"/>
      <c r="L306" s="33"/>
      <c r="M306" s="33"/>
      <c r="N306" s="33"/>
      <c r="O306" s="33"/>
      <c r="P306" s="33"/>
      <c r="Q306" s="33"/>
      <c r="R306" s="33"/>
    </row>
    <row r="307">
      <c r="A307" s="33"/>
      <c r="B307" s="33"/>
      <c r="C307" s="33"/>
      <c r="D307" s="33"/>
      <c r="E307" s="33"/>
      <c r="F307" s="33"/>
      <c r="G307" s="33"/>
      <c r="H307" s="33"/>
      <c r="I307" s="33"/>
      <c r="J307" s="33"/>
      <c r="K307" s="33"/>
      <c r="L307" s="33"/>
      <c r="M307" s="33"/>
      <c r="N307" s="33"/>
      <c r="O307" s="33"/>
      <c r="P307" s="33"/>
      <c r="Q307" s="33"/>
      <c r="R307" s="33"/>
    </row>
    <row r="308">
      <c r="A308" s="33"/>
      <c r="B308" s="33"/>
      <c r="C308" s="33"/>
      <c r="D308" s="33"/>
      <c r="E308" s="33"/>
      <c r="F308" s="33"/>
      <c r="G308" s="33"/>
      <c r="H308" s="33"/>
      <c r="I308" s="33"/>
      <c r="J308" s="33"/>
      <c r="K308" s="33"/>
      <c r="L308" s="33"/>
      <c r="M308" s="33"/>
      <c r="N308" s="33"/>
      <c r="O308" s="33"/>
      <c r="P308" s="33"/>
      <c r="Q308" s="33"/>
      <c r="R308" s="33"/>
    </row>
    <row r="309">
      <c r="A309" s="33"/>
      <c r="B309" s="33"/>
      <c r="C309" s="33"/>
      <c r="D309" s="33"/>
      <c r="E309" s="33"/>
      <c r="F309" s="33"/>
      <c r="G309" s="33"/>
      <c r="H309" s="33"/>
      <c r="I309" s="33"/>
      <c r="J309" s="33"/>
      <c r="K309" s="33"/>
      <c r="L309" s="33"/>
      <c r="M309" s="33"/>
      <c r="N309" s="33"/>
      <c r="O309" s="33"/>
      <c r="P309" s="33"/>
      <c r="Q309" s="33"/>
      <c r="R309" s="33"/>
    </row>
    <row r="310">
      <c r="A310" s="33"/>
      <c r="B310" s="33"/>
      <c r="C310" s="33"/>
      <c r="D310" s="33"/>
      <c r="E310" s="33"/>
      <c r="F310" s="33"/>
      <c r="G310" s="33"/>
      <c r="H310" s="33"/>
      <c r="I310" s="33"/>
      <c r="J310" s="33"/>
      <c r="K310" s="33"/>
      <c r="L310" s="33"/>
      <c r="M310" s="33"/>
      <c r="N310" s="33"/>
      <c r="O310" s="33"/>
      <c r="P310" s="33"/>
      <c r="Q310" s="33"/>
      <c r="R310" s="33"/>
    </row>
    <row r="311">
      <c r="A311" s="33"/>
      <c r="B311" s="33"/>
      <c r="C311" s="33"/>
      <c r="D311" s="33"/>
      <c r="E311" s="33"/>
      <c r="F311" s="33"/>
      <c r="G311" s="33"/>
      <c r="H311" s="33"/>
      <c r="I311" s="33"/>
      <c r="J311" s="33"/>
      <c r="K311" s="33"/>
      <c r="L311" s="33"/>
      <c r="M311" s="33"/>
      <c r="N311" s="33"/>
      <c r="O311" s="33"/>
      <c r="P311" s="33"/>
      <c r="Q311" s="33"/>
      <c r="R311" s="33"/>
    </row>
    <row r="312">
      <c r="A312" s="33"/>
      <c r="B312" s="33"/>
      <c r="C312" s="33"/>
      <c r="D312" s="33"/>
      <c r="E312" s="33"/>
      <c r="F312" s="33"/>
      <c r="G312" s="33"/>
      <c r="H312" s="33"/>
      <c r="I312" s="33"/>
      <c r="J312" s="33"/>
      <c r="K312" s="33"/>
      <c r="L312" s="33"/>
      <c r="M312" s="33"/>
      <c r="N312" s="33"/>
      <c r="O312" s="33"/>
      <c r="P312" s="33"/>
      <c r="Q312" s="33"/>
      <c r="R312" s="33"/>
    </row>
    <row r="313">
      <c r="A313" s="33"/>
      <c r="B313" s="33"/>
      <c r="C313" s="33"/>
      <c r="D313" s="33"/>
      <c r="E313" s="33"/>
      <c r="F313" s="33"/>
      <c r="G313" s="33"/>
      <c r="H313" s="33"/>
      <c r="I313" s="33"/>
      <c r="J313" s="33"/>
      <c r="K313" s="33"/>
      <c r="L313" s="33"/>
      <c r="M313" s="33"/>
      <c r="N313" s="33"/>
      <c r="O313" s="33"/>
      <c r="P313" s="33"/>
      <c r="Q313" s="33"/>
      <c r="R313" s="33"/>
    </row>
    <row r="314">
      <c r="A314" s="33"/>
      <c r="B314" s="33"/>
      <c r="C314" s="33"/>
      <c r="D314" s="33"/>
      <c r="E314" s="33"/>
      <c r="F314" s="33"/>
      <c r="G314" s="33"/>
      <c r="H314" s="33"/>
      <c r="I314" s="33"/>
      <c r="J314" s="33"/>
      <c r="K314" s="33"/>
      <c r="L314" s="33"/>
      <c r="M314" s="33"/>
      <c r="N314" s="33"/>
      <c r="O314" s="33"/>
      <c r="P314" s="33"/>
      <c r="Q314" s="33"/>
      <c r="R314" s="33"/>
    </row>
    <row r="315">
      <c r="A315" s="33"/>
      <c r="B315" s="33"/>
      <c r="C315" s="33"/>
      <c r="D315" s="33"/>
      <c r="E315" s="33"/>
      <c r="F315" s="33"/>
      <c r="G315" s="33"/>
      <c r="H315" s="33"/>
      <c r="I315" s="33"/>
      <c r="J315" s="33"/>
      <c r="K315" s="33"/>
      <c r="L315" s="33"/>
      <c r="M315" s="33"/>
      <c r="N315" s="33"/>
      <c r="O315" s="33"/>
      <c r="P315" s="33"/>
      <c r="Q315" s="33"/>
      <c r="R315" s="33"/>
    </row>
    <row r="316">
      <c r="A316" s="33"/>
      <c r="B316" s="33"/>
      <c r="C316" s="33"/>
      <c r="D316" s="33"/>
      <c r="E316" s="33"/>
      <c r="F316" s="33"/>
      <c r="G316" s="33"/>
      <c r="H316" s="33"/>
      <c r="I316" s="33"/>
      <c r="J316" s="33"/>
      <c r="K316" s="33"/>
      <c r="L316" s="33"/>
      <c r="M316" s="33"/>
      <c r="N316" s="33"/>
      <c r="O316" s="33"/>
      <c r="P316" s="33"/>
      <c r="Q316" s="33"/>
      <c r="R316" s="33"/>
    </row>
    <row r="317">
      <c r="A317" s="33"/>
      <c r="B317" s="33"/>
      <c r="C317" s="33"/>
      <c r="D317" s="33"/>
      <c r="E317" s="33"/>
      <c r="F317" s="33"/>
      <c r="G317" s="33"/>
      <c r="H317" s="33"/>
      <c r="I317" s="33"/>
      <c r="J317" s="33"/>
      <c r="K317" s="33"/>
      <c r="L317" s="33"/>
      <c r="M317" s="33"/>
      <c r="N317" s="33"/>
      <c r="O317" s="33"/>
      <c r="P317" s="33"/>
      <c r="Q317" s="33"/>
      <c r="R317" s="33"/>
    </row>
    <row r="318">
      <c r="A318" s="33"/>
      <c r="B318" s="33"/>
      <c r="C318" s="33"/>
      <c r="D318" s="33"/>
      <c r="E318" s="33"/>
      <c r="F318" s="33"/>
      <c r="G318" s="33"/>
      <c r="H318" s="33"/>
      <c r="I318" s="33"/>
      <c r="J318" s="33"/>
      <c r="K318" s="33"/>
      <c r="L318" s="33"/>
      <c r="M318" s="33"/>
      <c r="N318" s="33"/>
      <c r="O318" s="33"/>
      <c r="P318" s="33"/>
      <c r="Q318" s="33"/>
      <c r="R318" s="33"/>
    </row>
    <row r="319">
      <c r="A319" s="33"/>
      <c r="B319" s="33"/>
      <c r="C319" s="33"/>
      <c r="D319" s="33"/>
      <c r="E319" s="33"/>
      <c r="F319" s="33"/>
      <c r="G319" s="33"/>
      <c r="H319" s="33"/>
      <c r="I319" s="33"/>
      <c r="J319" s="33"/>
      <c r="K319" s="33"/>
      <c r="L319" s="33"/>
      <c r="M319" s="33"/>
      <c r="N319" s="33"/>
      <c r="O319" s="33"/>
      <c r="P319" s="33"/>
      <c r="Q319" s="33"/>
      <c r="R319" s="33"/>
    </row>
    <row r="320">
      <c r="A320" s="33"/>
      <c r="B320" s="33"/>
      <c r="C320" s="33"/>
      <c r="D320" s="33"/>
      <c r="E320" s="33"/>
      <c r="F320" s="33"/>
      <c r="G320" s="33"/>
      <c r="H320" s="33"/>
      <c r="I320" s="33"/>
      <c r="J320" s="33"/>
      <c r="K320" s="33"/>
      <c r="L320" s="33"/>
      <c r="M320" s="33"/>
      <c r="N320" s="33"/>
      <c r="O320" s="33"/>
      <c r="P320" s="33"/>
      <c r="Q320" s="33"/>
      <c r="R320" s="33"/>
    </row>
    <row r="321">
      <c r="A321" s="33"/>
      <c r="B321" s="33"/>
      <c r="C321" s="33"/>
      <c r="D321" s="33"/>
      <c r="E321" s="33"/>
      <c r="F321" s="33"/>
      <c r="G321" s="33"/>
      <c r="H321" s="33"/>
      <c r="I321" s="33"/>
      <c r="J321" s="33"/>
      <c r="K321" s="33"/>
      <c r="L321" s="33"/>
      <c r="M321" s="33"/>
      <c r="N321" s="33"/>
      <c r="O321" s="33"/>
      <c r="P321" s="33"/>
      <c r="Q321" s="33"/>
      <c r="R321" s="33"/>
    </row>
    <row r="322">
      <c r="A322" s="33"/>
      <c r="B322" s="33"/>
      <c r="C322" s="33"/>
      <c r="D322" s="33"/>
      <c r="E322" s="33"/>
      <c r="F322" s="33"/>
      <c r="G322" s="33"/>
      <c r="H322" s="33"/>
      <c r="I322" s="33"/>
      <c r="J322" s="33"/>
      <c r="K322" s="33"/>
      <c r="L322" s="33"/>
      <c r="M322" s="33"/>
      <c r="N322" s="33"/>
      <c r="O322" s="33"/>
      <c r="P322" s="33"/>
      <c r="Q322" s="33"/>
      <c r="R322" s="33"/>
    </row>
    <row r="323">
      <c r="A323" s="33"/>
      <c r="B323" s="33"/>
      <c r="C323" s="33"/>
      <c r="D323" s="33"/>
      <c r="E323" s="33"/>
      <c r="F323" s="33"/>
      <c r="G323" s="33"/>
      <c r="H323" s="33"/>
      <c r="I323" s="33"/>
      <c r="J323" s="33"/>
      <c r="K323" s="33"/>
      <c r="L323" s="33"/>
      <c r="M323" s="33"/>
      <c r="N323" s="33"/>
      <c r="O323" s="33"/>
      <c r="P323" s="33"/>
      <c r="Q323" s="33"/>
      <c r="R323" s="33"/>
    </row>
    <row r="324">
      <c r="A324" s="33"/>
      <c r="B324" s="33"/>
      <c r="C324" s="33"/>
      <c r="D324" s="33"/>
      <c r="E324" s="33"/>
      <c r="F324" s="33"/>
      <c r="G324" s="33"/>
      <c r="H324" s="33"/>
      <c r="I324" s="33"/>
      <c r="J324" s="33"/>
      <c r="K324" s="33"/>
      <c r="L324" s="33"/>
      <c r="M324" s="33"/>
      <c r="N324" s="33"/>
      <c r="O324" s="33"/>
      <c r="P324" s="33"/>
      <c r="Q324" s="33"/>
      <c r="R324" s="33"/>
    </row>
    <row r="325">
      <c r="A325" s="33"/>
      <c r="B325" s="33"/>
      <c r="C325" s="33"/>
      <c r="D325" s="33"/>
      <c r="E325" s="33"/>
      <c r="F325" s="33"/>
      <c r="G325" s="33"/>
      <c r="H325" s="33"/>
      <c r="I325" s="33"/>
      <c r="J325" s="33"/>
      <c r="K325" s="33"/>
      <c r="L325" s="33"/>
      <c r="M325" s="33"/>
      <c r="N325" s="33"/>
      <c r="O325" s="33"/>
      <c r="P325" s="33"/>
      <c r="Q325" s="33"/>
      <c r="R325" s="33"/>
    </row>
    <row r="326">
      <c r="A326" s="33"/>
      <c r="B326" s="33"/>
      <c r="C326" s="33"/>
      <c r="D326" s="33"/>
      <c r="E326" s="33"/>
      <c r="F326" s="33"/>
      <c r="G326" s="33"/>
      <c r="H326" s="33"/>
      <c r="I326" s="33"/>
      <c r="J326" s="33"/>
      <c r="K326" s="33"/>
      <c r="L326" s="33"/>
      <c r="M326" s="33"/>
      <c r="N326" s="33"/>
      <c r="O326" s="33"/>
      <c r="P326" s="33"/>
      <c r="Q326" s="33"/>
      <c r="R326" s="33"/>
    </row>
    <row r="327">
      <c r="A327" s="33"/>
      <c r="B327" s="33"/>
      <c r="C327" s="33"/>
      <c r="D327" s="33"/>
      <c r="E327" s="33"/>
      <c r="F327" s="33"/>
      <c r="G327" s="33"/>
      <c r="H327" s="33"/>
      <c r="I327" s="33"/>
      <c r="J327" s="33"/>
      <c r="K327" s="33"/>
      <c r="L327" s="33"/>
      <c r="M327" s="33"/>
      <c r="N327" s="33"/>
      <c r="O327" s="33"/>
      <c r="P327" s="33"/>
      <c r="Q327" s="33"/>
      <c r="R327" s="33"/>
    </row>
    <row r="328">
      <c r="A328" s="33"/>
      <c r="B328" s="33"/>
      <c r="C328" s="33"/>
      <c r="D328" s="33"/>
      <c r="E328" s="33"/>
      <c r="F328" s="33"/>
      <c r="G328" s="33"/>
      <c r="H328" s="33"/>
      <c r="I328" s="33"/>
      <c r="J328" s="33"/>
      <c r="K328" s="33"/>
      <c r="L328" s="33"/>
      <c r="M328" s="33"/>
      <c r="N328" s="33"/>
      <c r="O328" s="33"/>
      <c r="P328" s="33"/>
      <c r="Q328" s="33"/>
      <c r="R328" s="33"/>
    </row>
    <row r="329">
      <c r="A329" s="33"/>
      <c r="B329" s="33"/>
      <c r="C329" s="33"/>
      <c r="D329" s="33"/>
      <c r="E329" s="33"/>
      <c r="F329" s="33"/>
      <c r="G329" s="33"/>
      <c r="H329" s="33"/>
      <c r="I329" s="33"/>
      <c r="J329" s="33"/>
      <c r="K329" s="33"/>
      <c r="L329" s="33"/>
      <c r="M329" s="33"/>
      <c r="N329" s="33"/>
      <c r="O329" s="33"/>
      <c r="P329" s="33"/>
      <c r="Q329" s="33"/>
      <c r="R329" s="33"/>
    </row>
    <row r="330">
      <c r="A330" s="33"/>
      <c r="B330" s="33"/>
      <c r="C330" s="33"/>
      <c r="D330" s="33"/>
      <c r="E330" s="33"/>
      <c r="F330" s="33"/>
      <c r="G330" s="33"/>
      <c r="H330" s="33"/>
      <c r="I330" s="33"/>
      <c r="J330" s="33"/>
      <c r="K330" s="33"/>
      <c r="L330" s="33"/>
      <c r="M330" s="33"/>
      <c r="N330" s="33"/>
      <c r="O330" s="33"/>
      <c r="P330" s="33"/>
      <c r="Q330" s="33"/>
      <c r="R330" s="33"/>
    </row>
    <row r="331">
      <c r="A331" s="33"/>
      <c r="B331" s="33"/>
      <c r="C331" s="33"/>
      <c r="D331" s="33"/>
      <c r="E331" s="33"/>
      <c r="F331" s="33"/>
      <c r="G331" s="33"/>
      <c r="H331" s="33"/>
      <c r="I331" s="33"/>
      <c r="J331" s="33"/>
      <c r="K331" s="33"/>
      <c r="L331" s="33"/>
      <c r="M331" s="33"/>
      <c r="N331" s="33"/>
      <c r="O331" s="33"/>
      <c r="P331" s="33"/>
      <c r="Q331" s="33"/>
      <c r="R331" s="33"/>
    </row>
    <row r="332">
      <c r="A332" s="33"/>
      <c r="B332" s="33"/>
      <c r="C332" s="33"/>
      <c r="D332" s="33"/>
      <c r="E332" s="33"/>
      <c r="F332" s="33"/>
      <c r="G332" s="33"/>
      <c r="H332" s="33"/>
      <c r="I332" s="33"/>
      <c r="J332" s="33"/>
      <c r="K332" s="33"/>
      <c r="L332" s="33"/>
      <c r="M332" s="33"/>
      <c r="N332" s="33"/>
      <c r="O332" s="33"/>
      <c r="P332" s="33"/>
      <c r="Q332" s="33"/>
      <c r="R332" s="33"/>
    </row>
    <row r="333">
      <c r="A333" s="33"/>
      <c r="B333" s="33"/>
      <c r="C333" s="33"/>
      <c r="D333" s="33"/>
      <c r="E333" s="33"/>
      <c r="F333" s="33"/>
      <c r="G333" s="33"/>
      <c r="H333" s="33"/>
      <c r="I333" s="33"/>
      <c r="J333" s="33"/>
      <c r="K333" s="33"/>
      <c r="L333" s="33"/>
      <c r="M333" s="33"/>
      <c r="N333" s="33"/>
      <c r="O333" s="33"/>
      <c r="P333" s="33"/>
      <c r="Q333" s="33"/>
      <c r="R333" s="33"/>
    </row>
    <row r="334">
      <c r="A334" s="33"/>
      <c r="B334" s="33"/>
      <c r="C334" s="33"/>
      <c r="D334" s="33"/>
      <c r="E334" s="33"/>
      <c r="F334" s="33"/>
      <c r="G334" s="33"/>
      <c r="H334" s="33"/>
      <c r="I334" s="33"/>
      <c r="J334" s="33"/>
      <c r="K334" s="33"/>
      <c r="L334" s="33"/>
      <c r="M334" s="33"/>
      <c r="N334" s="33"/>
      <c r="O334" s="33"/>
      <c r="P334" s="33"/>
      <c r="Q334" s="33"/>
      <c r="R334" s="33"/>
    </row>
    <row r="335">
      <c r="A335" s="33"/>
      <c r="B335" s="33"/>
      <c r="C335" s="33"/>
      <c r="D335" s="33"/>
      <c r="E335" s="33"/>
      <c r="F335" s="33"/>
      <c r="G335" s="33"/>
      <c r="H335" s="33"/>
      <c r="I335" s="33"/>
      <c r="J335" s="33"/>
      <c r="K335" s="33"/>
      <c r="L335" s="33"/>
      <c r="M335" s="33"/>
      <c r="N335" s="33"/>
      <c r="O335" s="33"/>
      <c r="P335" s="33"/>
      <c r="Q335" s="33"/>
      <c r="R335" s="33"/>
    </row>
    <row r="336">
      <c r="A336" s="33"/>
      <c r="B336" s="33"/>
      <c r="C336" s="33"/>
      <c r="D336" s="33"/>
      <c r="E336" s="33"/>
      <c r="F336" s="33"/>
      <c r="G336" s="33"/>
      <c r="H336" s="33"/>
      <c r="I336" s="33"/>
      <c r="J336" s="33"/>
      <c r="K336" s="33"/>
      <c r="L336" s="33"/>
      <c r="M336" s="33"/>
      <c r="N336" s="33"/>
      <c r="O336" s="33"/>
      <c r="P336" s="33"/>
      <c r="Q336" s="33"/>
      <c r="R336" s="33"/>
    </row>
    <row r="337">
      <c r="A337" s="33"/>
      <c r="B337" s="33"/>
      <c r="C337" s="33"/>
      <c r="D337" s="33"/>
      <c r="E337" s="33"/>
      <c r="F337" s="33"/>
      <c r="G337" s="33"/>
      <c r="H337" s="33"/>
      <c r="I337" s="33"/>
      <c r="J337" s="33"/>
      <c r="K337" s="33"/>
      <c r="L337" s="33"/>
      <c r="M337" s="33"/>
      <c r="N337" s="33"/>
      <c r="O337" s="33"/>
      <c r="P337" s="33"/>
      <c r="Q337" s="33"/>
      <c r="R337" s="33"/>
    </row>
    <row r="338">
      <c r="A338" s="33"/>
      <c r="B338" s="33"/>
      <c r="C338" s="33"/>
      <c r="D338" s="33"/>
      <c r="E338" s="33"/>
      <c r="F338" s="33"/>
      <c r="G338" s="33"/>
      <c r="H338" s="33"/>
      <c r="I338" s="33"/>
      <c r="J338" s="33"/>
      <c r="K338" s="33"/>
      <c r="L338" s="33"/>
      <c r="M338" s="33"/>
      <c r="N338" s="33"/>
      <c r="O338" s="33"/>
      <c r="P338" s="33"/>
      <c r="Q338" s="33"/>
      <c r="R338" s="33"/>
    </row>
    <row r="339">
      <c r="A339" s="33"/>
      <c r="B339" s="33"/>
      <c r="C339" s="33"/>
      <c r="D339" s="33"/>
      <c r="E339" s="33"/>
      <c r="F339" s="33"/>
      <c r="G339" s="33"/>
      <c r="H339" s="33"/>
      <c r="I339" s="33"/>
      <c r="J339" s="33"/>
      <c r="K339" s="33"/>
      <c r="L339" s="33"/>
      <c r="M339" s="33"/>
      <c r="N339" s="33"/>
      <c r="O339" s="33"/>
      <c r="P339" s="33"/>
      <c r="Q339" s="33"/>
      <c r="R339" s="33"/>
    </row>
    <row r="340">
      <c r="A340" s="33"/>
      <c r="B340" s="33"/>
      <c r="C340" s="33"/>
      <c r="D340" s="33"/>
      <c r="E340" s="33"/>
      <c r="F340" s="33"/>
      <c r="G340" s="33"/>
      <c r="H340" s="33"/>
      <c r="I340" s="33"/>
      <c r="J340" s="33"/>
      <c r="K340" s="33"/>
      <c r="L340" s="33"/>
      <c r="M340" s="33"/>
      <c r="N340" s="33"/>
      <c r="O340" s="33"/>
      <c r="P340" s="33"/>
      <c r="Q340" s="33"/>
      <c r="R340" s="33"/>
    </row>
    <row r="341">
      <c r="A341" s="33"/>
      <c r="B341" s="33"/>
      <c r="C341" s="33"/>
      <c r="D341" s="33"/>
      <c r="E341" s="33"/>
      <c r="F341" s="33"/>
      <c r="G341" s="33"/>
      <c r="H341" s="33"/>
      <c r="I341" s="33"/>
      <c r="J341" s="33"/>
      <c r="K341" s="33"/>
      <c r="L341" s="33"/>
      <c r="M341" s="33"/>
      <c r="N341" s="33"/>
      <c r="O341" s="33"/>
      <c r="P341" s="33"/>
      <c r="Q341" s="33"/>
      <c r="R341" s="33"/>
    </row>
    <row r="342">
      <c r="A342" s="33"/>
      <c r="B342" s="33"/>
      <c r="C342" s="33"/>
      <c r="D342" s="33"/>
      <c r="E342" s="33"/>
      <c r="F342" s="33"/>
      <c r="G342" s="33"/>
      <c r="H342" s="33"/>
      <c r="I342" s="33"/>
      <c r="J342" s="33"/>
      <c r="K342" s="33"/>
      <c r="L342" s="33"/>
      <c r="M342" s="33"/>
      <c r="N342" s="33"/>
      <c r="O342" s="33"/>
      <c r="P342" s="33"/>
      <c r="Q342" s="33"/>
      <c r="R342" s="33"/>
    </row>
    <row r="343">
      <c r="A343" s="33"/>
      <c r="B343" s="33"/>
      <c r="C343" s="33"/>
      <c r="D343" s="33"/>
      <c r="E343" s="33"/>
      <c r="F343" s="33"/>
      <c r="G343" s="33"/>
      <c r="H343" s="33"/>
      <c r="I343" s="33"/>
      <c r="J343" s="33"/>
      <c r="K343" s="33"/>
      <c r="L343" s="33"/>
      <c r="M343" s="33"/>
      <c r="N343" s="33"/>
      <c r="O343" s="33"/>
      <c r="P343" s="33"/>
      <c r="Q343" s="33"/>
      <c r="R343" s="33"/>
    </row>
    <row r="344">
      <c r="A344" s="33"/>
      <c r="B344" s="33"/>
      <c r="C344" s="33"/>
      <c r="D344" s="33"/>
      <c r="E344" s="33"/>
      <c r="F344" s="33"/>
      <c r="G344" s="33"/>
      <c r="H344" s="33"/>
      <c r="I344" s="33"/>
      <c r="J344" s="33"/>
      <c r="K344" s="33"/>
      <c r="L344" s="33"/>
      <c r="M344" s="33"/>
      <c r="N344" s="33"/>
      <c r="O344" s="33"/>
      <c r="P344" s="33"/>
      <c r="Q344" s="33"/>
      <c r="R344" s="33"/>
    </row>
    <row r="345">
      <c r="A345" s="33"/>
      <c r="B345" s="33"/>
      <c r="C345" s="33"/>
      <c r="D345" s="33"/>
      <c r="E345" s="33"/>
      <c r="F345" s="33"/>
      <c r="G345" s="33"/>
      <c r="H345" s="33"/>
      <c r="I345" s="33"/>
      <c r="J345" s="33"/>
      <c r="K345" s="33"/>
      <c r="L345" s="33"/>
      <c r="M345" s="33"/>
      <c r="N345" s="33"/>
      <c r="O345" s="33"/>
      <c r="P345" s="33"/>
      <c r="Q345" s="33"/>
      <c r="R345" s="33"/>
    </row>
    <row r="346">
      <c r="A346" s="33"/>
      <c r="B346" s="33"/>
      <c r="C346" s="33"/>
      <c r="D346" s="33"/>
      <c r="E346" s="33"/>
      <c r="F346" s="33"/>
      <c r="G346" s="33"/>
      <c r="H346" s="33"/>
      <c r="I346" s="33"/>
      <c r="J346" s="33"/>
      <c r="K346" s="33"/>
      <c r="L346" s="33"/>
      <c r="M346" s="33"/>
      <c r="N346" s="33"/>
      <c r="O346" s="33"/>
      <c r="P346" s="33"/>
      <c r="Q346" s="33"/>
      <c r="R346" s="33"/>
    </row>
    <row r="347">
      <c r="A347" s="33"/>
      <c r="B347" s="33"/>
      <c r="C347" s="33"/>
      <c r="D347" s="33"/>
      <c r="E347" s="33"/>
      <c r="F347" s="33"/>
      <c r="G347" s="33"/>
      <c r="H347" s="33"/>
      <c r="I347" s="33"/>
      <c r="J347" s="33"/>
      <c r="K347" s="33"/>
      <c r="L347" s="33"/>
      <c r="M347" s="33"/>
      <c r="N347" s="33"/>
      <c r="O347" s="33"/>
      <c r="P347" s="33"/>
      <c r="Q347" s="33"/>
      <c r="R347" s="33"/>
    </row>
    <row r="348">
      <c r="A348" s="33"/>
      <c r="B348" s="33"/>
      <c r="C348" s="33"/>
      <c r="D348" s="33"/>
      <c r="E348" s="33"/>
      <c r="F348" s="33"/>
      <c r="G348" s="33"/>
      <c r="H348" s="33"/>
      <c r="I348" s="33"/>
      <c r="J348" s="33"/>
      <c r="K348" s="33"/>
      <c r="L348" s="33"/>
      <c r="M348" s="33"/>
      <c r="N348" s="33"/>
      <c r="O348" s="33"/>
      <c r="P348" s="33"/>
      <c r="Q348" s="33"/>
      <c r="R348" s="33"/>
    </row>
    <row r="349">
      <c r="A349" s="33"/>
      <c r="B349" s="33"/>
      <c r="C349" s="33"/>
      <c r="D349" s="33"/>
      <c r="E349" s="33"/>
      <c r="F349" s="33"/>
      <c r="G349" s="33"/>
      <c r="H349" s="33"/>
      <c r="I349" s="33"/>
      <c r="J349" s="33"/>
      <c r="K349" s="33"/>
      <c r="L349" s="33"/>
      <c r="M349" s="33"/>
      <c r="N349" s="33"/>
      <c r="O349" s="33"/>
      <c r="P349" s="33"/>
      <c r="Q349" s="33"/>
      <c r="R349" s="33"/>
    </row>
    <row r="350">
      <c r="A350" s="33"/>
      <c r="B350" s="33"/>
      <c r="C350" s="33"/>
      <c r="D350" s="33"/>
      <c r="E350" s="33"/>
      <c r="F350" s="33"/>
      <c r="G350" s="33"/>
      <c r="H350" s="33"/>
      <c r="I350" s="33"/>
      <c r="J350" s="33"/>
      <c r="K350" s="33"/>
      <c r="L350" s="33"/>
      <c r="M350" s="33"/>
      <c r="N350" s="33"/>
      <c r="O350" s="33"/>
      <c r="P350" s="33"/>
      <c r="Q350" s="33"/>
      <c r="R350" s="33"/>
    </row>
    <row r="351">
      <c r="A351" s="33"/>
      <c r="B351" s="33"/>
      <c r="C351" s="33"/>
      <c r="D351" s="33"/>
      <c r="E351" s="33"/>
      <c r="F351" s="33"/>
      <c r="G351" s="33"/>
      <c r="H351" s="33"/>
      <c r="I351" s="33"/>
      <c r="J351" s="33"/>
      <c r="K351" s="33"/>
      <c r="L351" s="33"/>
      <c r="M351" s="33"/>
      <c r="N351" s="33"/>
      <c r="O351" s="33"/>
      <c r="P351" s="33"/>
      <c r="Q351" s="33"/>
      <c r="R351" s="33"/>
    </row>
    <row r="352">
      <c r="A352" s="33"/>
      <c r="B352" s="33"/>
      <c r="C352" s="33"/>
      <c r="D352" s="33"/>
      <c r="E352" s="33"/>
      <c r="F352" s="33"/>
      <c r="G352" s="33"/>
      <c r="H352" s="33"/>
      <c r="I352" s="33"/>
      <c r="J352" s="33"/>
      <c r="K352" s="33"/>
      <c r="L352" s="33"/>
      <c r="M352" s="33"/>
      <c r="N352" s="33"/>
      <c r="O352" s="33"/>
      <c r="P352" s="33"/>
      <c r="Q352" s="33"/>
      <c r="R352" s="33"/>
    </row>
    <row r="353">
      <c r="A353" s="33"/>
      <c r="B353" s="33"/>
      <c r="C353" s="33"/>
      <c r="D353" s="33"/>
      <c r="E353" s="33"/>
      <c r="F353" s="33"/>
      <c r="G353" s="33"/>
      <c r="H353" s="33"/>
      <c r="I353" s="33"/>
      <c r="J353" s="33"/>
      <c r="K353" s="33"/>
      <c r="L353" s="33"/>
      <c r="M353" s="33"/>
      <c r="N353" s="33"/>
      <c r="O353" s="33"/>
      <c r="P353" s="33"/>
      <c r="Q353" s="33"/>
      <c r="R353" s="33"/>
    </row>
    <row r="354">
      <c r="A354" s="33"/>
      <c r="B354" s="33"/>
      <c r="C354" s="33"/>
      <c r="D354" s="33"/>
      <c r="E354" s="33"/>
      <c r="F354" s="33"/>
      <c r="G354" s="33"/>
      <c r="H354" s="33"/>
      <c r="I354" s="33"/>
      <c r="J354" s="33"/>
      <c r="K354" s="33"/>
      <c r="L354" s="33"/>
      <c r="M354" s="33"/>
      <c r="N354" s="33"/>
      <c r="O354" s="33"/>
      <c r="P354" s="33"/>
      <c r="Q354" s="33"/>
      <c r="R354" s="33"/>
    </row>
    <row r="355">
      <c r="A355" s="33"/>
      <c r="B355" s="33"/>
      <c r="C355" s="33"/>
      <c r="D355" s="33"/>
      <c r="E355" s="33"/>
      <c r="F355" s="33"/>
      <c r="G355" s="33"/>
      <c r="H355" s="33"/>
      <c r="I355" s="33"/>
      <c r="J355" s="33"/>
      <c r="K355" s="33"/>
      <c r="L355" s="33"/>
      <c r="M355" s="33"/>
      <c r="N355" s="33"/>
      <c r="O355" s="33"/>
      <c r="P355" s="33"/>
      <c r="Q355" s="33"/>
      <c r="R355" s="33"/>
    </row>
    <row r="356">
      <c r="A356" s="33"/>
      <c r="B356" s="33"/>
      <c r="C356" s="33"/>
      <c r="D356" s="33"/>
      <c r="E356" s="33"/>
      <c r="F356" s="33"/>
      <c r="G356" s="33"/>
      <c r="H356" s="33"/>
      <c r="I356" s="33"/>
      <c r="J356" s="33"/>
      <c r="K356" s="33"/>
      <c r="L356" s="33"/>
      <c r="M356" s="33"/>
      <c r="N356" s="33"/>
      <c r="O356" s="33"/>
      <c r="P356" s="33"/>
      <c r="Q356" s="33"/>
      <c r="R356" s="33"/>
    </row>
    <row r="357">
      <c r="A357" s="33"/>
      <c r="B357" s="33"/>
      <c r="C357" s="33"/>
      <c r="D357" s="33"/>
      <c r="E357" s="33"/>
      <c r="F357" s="33"/>
      <c r="G357" s="33"/>
      <c r="H357" s="33"/>
      <c r="I357" s="33"/>
      <c r="J357" s="33"/>
      <c r="K357" s="33"/>
      <c r="L357" s="33"/>
      <c r="M357" s="33"/>
      <c r="N357" s="33"/>
      <c r="O357" s="33"/>
      <c r="P357" s="33"/>
      <c r="Q357" s="33"/>
      <c r="R357" s="33"/>
    </row>
    <row r="358">
      <c r="A358" s="33"/>
      <c r="B358" s="33"/>
      <c r="C358" s="33"/>
      <c r="D358" s="33"/>
      <c r="E358" s="33"/>
      <c r="F358" s="33"/>
      <c r="G358" s="33"/>
      <c r="H358" s="33"/>
      <c r="I358" s="33"/>
      <c r="J358" s="33"/>
      <c r="K358" s="33"/>
      <c r="L358" s="33"/>
      <c r="M358" s="33"/>
      <c r="N358" s="33"/>
      <c r="O358" s="33"/>
      <c r="P358" s="33"/>
      <c r="Q358" s="33"/>
      <c r="R358" s="33"/>
    </row>
    <row r="359">
      <c r="A359" s="33"/>
      <c r="B359" s="33"/>
      <c r="C359" s="33"/>
      <c r="D359" s="33"/>
      <c r="E359" s="33"/>
      <c r="F359" s="33"/>
      <c r="G359" s="33"/>
      <c r="H359" s="33"/>
      <c r="I359" s="33"/>
      <c r="J359" s="33"/>
      <c r="K359" s="33"/>
      <c r="L359" s="33"/>
      <c r="M359" s="33"/>
      <c r="N359" s="33"/>
      <c r="O359" s="33"/>
      <c r="P359" s="33"/>
      <c r="Q359" s="33"/>
      <c r="R359" s="33"/>
    </row>
    <row r="360">
      <c r="A360" s="33"/>
      <c r="B360" s="33"/>
      <c r="C360" s="33"/>
      <c r="D360" s="33"/>
      <c r="E360" s="33"/>
      <c r="F360" s="33"/>
      <c r="G360" s="33"/>
      <c r="H360" s="33"/>
      <c r="I360" s="33"/>
      <c r="J360" s="33"/>
      <c r="K360" s="33"/>
      <c r="L360" s="33"/>
      <c r="M360" s="33"/>
      <c r="N360" s="33"/>
      <c r="O360" s="33"/>
      <c r="P360" s="33"/>
      <c r="Q360" s="33"/>
      <c r="R360" s="33"/>
    </row>
    <row r="361">
      <c r="A361" s="33"/>
      <c r="B361" s="33"/>
      <c r="C361" s="33"/>
      <c r="D361" s="33"/>
      <c r="E361" s="33"/>
      <c r="F361" s="33"/>
      <c r="G361" s="33"/>
      <c r="H361" s="33"/>
      <c r="I361" s="33"/>
      <c r="J361" s="33"/>
      <c r="K361" s="33"/>
      <c r="L361" s="33"/>
      <c r="M361" s="33"/>
      <c r="N361" s="33"/>
      <c r="O361" s="33"/>
      <c r="P361" s="33"/>
      <c r="Q361" s="33"/>
      <c r="R361" s="33"/>
    </row>
    <row r="362">
      <c r="A362" s="33"/>
      <c r="B362" s="33"/>
      <c r="C362" s="33"/>
      <c r="D362" s="33"/>
      <c r="E362" s="33"/>
      <c r="F362" s="33"/>
      <c r="G362" s="33"/>
      <c r="H362" s="33"/>
      <c r="I362" s="33"/>
      <c r="J362" s="33"/>
      <c r="K362" s="33"/>
      <c r="L362" s="33"/>
      <c r="M362" s="33"/>
      <c r="N362" s="33"/>
      <c r="O362" s="33"/>
      <c r="P362" s="33"/>
      <c r="Q362" s="33"/>
      <c r="R362" s="33"/>
    </row>
    <row r="363">
      <c r="A363" s="33"/>
      <c r="B363" s="33"/>
      <c r="C363" s="33"/>
      <c r="D363" s="33"/>
      <c r="E363" s="33"/>
      <c r="F363" s="33"/>
      <c r="G363" s="33"/>
      <c r="H363" s="33"/>
      <c r="I363" s="33"/>
      <c r="J363" s="33"/>
      <c r="K363" s="33"/>
      <c r="L363" s="33"/>
      <c r="M363" s="33"/>
      <c r="N363" s="33"/>
      <c r="O363" s="33"/>
      <c r="P363" s="33"/>
      <c r="Q363" s="33"/>
      <c r="R363" s="33"/>
    </row>
    <row r="364">
      <c r="A364" s="33"/>
      <c r="B364" s="33"/>
      <c r="C364" s="33"/>
      <c r="D364" s="33"/>
      <c r="E364" s="33"/>
      <c r="F364" s="33"/>
      <c r="G364" s="33"/>
      <c r="H364" s="33"/>
      <c r="I364" s="33"/>
      <c r="J364" s="33"/>
      <c r="K364" s="33"/>
      <c r="L364" s="33"/>
      <c r="M364" s="33"/>
      <c r="N364" s="33"/>
      <c r="O364" s="33"/>
      <c r="P364" s="33"/>
      <c r="Q364" s="33"/>
      <c r="R364" s="33"/>
    </row>
    <row r="365">
      <c r="A365" s="33"/>
      <c r="B365" s="33"/>
      <c r="C365" s="33"/>
      <c r="D365" s="33"/>
      <c r="E365" s="33"/>
      <c r="F365" s="33"/>
      <c r="G365" s="33"/>
      <c r="H365" s="33"/>
      <c r="I365" s="33"/>
      <c r="J365" s="33"/>
      <c r="K365" s="33"/>
      <c r="L365" s="33"/>
      <c r="M365" s="33"/>
      <c r="N365" s="33"/>
      <c r="O365" s="33"/>
      <c r="P365" s="33"/>
      <c r="Q365" s="33"/>
      <c r="R365" s="33"/>
    </row>
    <row r="366">
      <c r="A366" s="33"/>
      <c r="B366" s="33"/>
      <c r="C366" s="33"/>
      <c r="D366" s="33"/>
      <c r="E366" s="33"/>
      <c r="F366" s="33"/>
      <c r="G366" s="33"/>
      <c r="H366" s="33"/>
      <c r="I366" s="33"/>
      <c r="J366" s="33"/>
      <c r="K366" s="33"/>
      <c r="L366" s="33"/>
      <c r="M366" s="33"/>
      <c r="N366" s="33"/>
      <c r="O366" s="33"/>
      <c r="P366" s="33"/>
      <c r="Q366" s="33"/>
      <c r="R366" s="33"/>
    </row>
    <row r="367">
      <c r="A367" s="33"/>
      <c r="B367" s="33"/>
      <c r="C367" s="33"/>
      <c r="D367" s="33"/>
      <c r="E367" s="33"/>
      <c r="F367" s="33"/>
      <c r="G367" s="33"/>
      <c r="H367" s="33"/>
      <c r="I367" s="33"/>
      <c r="J367" s="33"/>
      <c r="K367" s="33"/>
      <c r="L367" s="33"/>
      <c r="M367" s="33"/>
      <c r="N367" s="33"/>
      <c r="O367" s="33"/>
      <c r="P367" s="33"/>
      <c r="Q367" s="33"/>
      <c r="R367" s="33"/>
    </row>
    <row r="368">
      <c r="A368" s="33"/>
      <c r="B368" s="33"/>
      <c r="C368" s="33"/>
      <c r="D368" s="33"/>
      <c r="E368" s="33"/>
      <c r="F368" s="33"/>
      <c r="G368" s="33"/>
      <c r="H368" s="33"/>
      <c r="I368" s="33"/>
      <c r="J368" s="33"/>
      <c r="K368" s="33"/>
      <c r="L368" s="33"/>
      <c r="M368" s="33"/>
      <c r="N368" s="33"/>
      <c r="O368" s="33"/>
      <c r="P368" s="33"/>
      <c r="Q368" s="33"/>
      <c r="R368" s="33"/>
    </row>
    <row r="369">
      <c r="A369" s="33"/>
      <c r="B369" s="33"/>
      <c r="C369" s="33"/>
      <c r="D369" s="33"/>
      <c r="E369" s="33"/>
      <c r="F369" s="33"/>
      <c r="G369" s="33"/>
      <c r="H369" s="33"/>
      <c r="I369" s="33"/>
      <c r="J369" s="33"/>
      <c r="K369" s="33"/>
      <c r="L369" s="33"/>
      <c r="M369" s="33"/>
      <c r="N369" s="33"/>
      <c r="O369" s="33"/>
      <c r="P369" s="33"/>
      <c r="Q369" s="33"/>
      <c r="R369" s="33"/>
    </row>
    <row r="370">
      <c r="A370" s="33"/>
      <c r="B370" s="33"/>
      <c r="C370" s="33"/>
      <c r="D370" s="33"/>
      <c r="E370" s="33"/>
      <c r="F370" s="33"/>
      <c r="G370" s="33"/>
      <c r="H370" s="33"/>
      <c r="I370" s="33"/>
      <c r="J370" s="33"/>
      <c r="K370" s="33"/>
      <c r="L370" s="33"/>
      <c r="M370" s="33"/>
      <c r="N370" s="33"/>
      <c r="O370" s="33"/>
      <c r="P370" s="33"/>
      <c r="Q370" s="33"/>
      <c r="R370" s="33"/>
    </row>
    <row r="371">
      <c r="A371" s="33"/>
      <c r="B371" s="33"/>
      <c r="C371" s="33"/>
      <c r="D371" s="33"/>
      <c r="E371" s="33"/>
      <c r="F371" s="33"/>
      <c r="G371" s="33"/>
      <c r="H371" s="33"/>
      <c r="I371" s="33"/>
      <c r="J371" s="33"/>
      <c r="K371" s="33"/>
      <c r="L371" s="33"/>
      <c r="M371" s="33"/>
      <c r="N371" s="33"/>
      <c r="O371" s="33"/>
      <c r="P371" s="33"/>
      <c r="Q371" s="33"/>
      <c r="R371" s="33"/>
    </row>
    <row r="372">
      <c r="A372" s="33"/>
      <c r="B372" s="33"/>
      <c r="C372" s="33"/>
      <c r="D372" s="33"/>
      <c r="E372" s="33"/>
      <c r="F372" s="33"/>
      <c r="G372" s="33"/>
      <c r="H372" s="33"/>
      <c r="I372" s="33"/>
      <c r="J372" s="33"/>
      <c r="K372" s="33"/>
      <c r="L372" s="33"/>
      <c r="M372" s="33"/>
      <c r="N372" s="33"/>
      <c r="O372" s="33"/>
      <c r="P372" s="33"/>
      <c r="Q372" s="33"/>
      <c r="R372" s="33"/>
    </row>
    <row r="373">
      <c r="A373" s="33"/>
      <c r="B373" s="33"/>
      <c r="C373" s="33"/>
      <c r="D373" s="33"/>
      <c r="E373" s="33"/>
      <c r="F373" s="33"/>
      <c r="G373" s="33"/>
      <c r="H373" s="33"/>
      <c r="I373" s="33"/>
      <c r="J373" s="33"/>
      <c r="K373" s="33"/>
      <c r="L373" s="33"/>
      <c r="M373" s="33"/>
      <c r="N373" s="33"/>
      <c r="O373" s="33"/>
      <c r="P373" s="33"/>
      <c r="Q373" s="33"/>
      <c r="R373" s="33"/>
    </row>
    <row r="374">
      <c r="A374" s="33"/>
      <c r="B374" s="33"/>
      <c r="C374" s="33"/>
      <c r="D374" s="33"/>
      <c r="E374" s="33"/>
      <c r="F374" s="33"/>
      <c r="G374" s="33"/>
      <c r="H374" s="33"/>
      <c r="I374" s="33"/>
      <c r="J374" s="33"/>
      <c r="K374" s="33"/>
      <c r="L374" s="33"/>
      <c r="M374" s="33"/>
      <c r="N374" s="33"/>
      <c r="O374" s="33"/>
      <c r="P374" s="33"/>
      <c r="Q374" s="33"/>
      <c r="R374" s="33"/>
    </row>
    <row r="375">
      <c r="A375" s="33"/>
      <c r="B375" s="33"/>
      <c r="C375" s="33"/>
      <c r="D375" s="33"/>
      <c r="E375" s="33"/>
      <c r="F375" s="33"/>
      <c r="G375" s="33"/>
      <c r="H375" s="33"/>
      <c r="I375" s="33"/>
      <c r="J375" s="33"/>
      <c r="K375" s="33"/>
      <c r="L375" s="33"/>
      <c r="M375" s="33"/>
      <c r="N375" s="33"/>
      <c r="O375" s="33"/>
      <c r="P375" s="33"/>
      <c r="Q375" s="33"/>
      <c r="R375" s="33"/>
    </row>
    <row r="376">
      <c r="A376" s="33"/>
      <c r="B376" s="33"/>
      <c r="C376" s="33"/>
      <c r="D376" s="33"/>
      <c r="E376" s="33"/>
      <c r="F376" s="33"/>
      <c r="G376" s="33"/>
      <c r="H376" s="33"/>
      <c r="I376" s="33"/>
      <c r="J376" s="33"/>
      <c r="K376" s="33"/>
      <c r="L376" s="33"/>
      <c r="M376" s="33"/>
      <c r="N376" s="33"/>
      <c r="O376" s="33"/>
      <c r="P376" s="33"/>
      <c r="Q376" s="33"/>
      <c r="R376" s="33"/>
    </row>
    <row r="377">
      <c r="A377" s="33"/>
      <c r="B377" s="33"/>
      <c r="C377" s="33"/>
      <c r="D377" s="33"/>
      <c r="E377" s="33"/>
      <c r="F377" s="33"/>
      <c r="G377" s="33"/>
      <c r="H377" s="33"/>
      <c r="I377" s="33"/>
      <c r="J377" s="33"/>
      <c r="K377" s="33"/>
      <c r="L377" s="33"/>
      <c r="M377" s="33"/>
      <c r="N377" s="33"/>
      <c r="O377" s="33"/>
      <c r="P377" s="33"/>
      <c r="Q377" s="33"/>
      <c r="R377" s="33"/>
    </row>
    <row r="378">
      <c r="A378" s="33"/>
      <c r="B378" s="33"/>
      <c r="C378" s="33"/>
      <c r="D378" s="33"/>
      <c r="E378" s="33"/>
      <c r="F378" s="33"/>
      <c r="G378" s="33"/>
      <c r="H378" s="33"/>
      <c r="I378" s="33"/>
      <c r="J378" s="33"/>
      <c r="K378" s="33"/>
      <c r="L378" s="33"/>
      <c r="M378" s="33"/>
      <c r="N378" s="33"/>
      <c r="O378" s="33"/>
      <c r="P378" s="33"/>
      <c r="Q378" s="33"/>
      <c r="R378" s="33"/>
    </row>
    <row r="379">
      <c r="A379" s="33"/>
      <c r="B379" s="33"/>
      <c r="C379" s="33"/>
      <c r="D379" s="33"/>
      <c r="E379" s="33"/>
      <c r="F379" s="33"/>
      <c r="G379" s="33"/>
      <c r="H379" s="33"/>
      <c r="I379" s="33"/>
      <c r="J379" s="33"/>
      <c r="K379" s="33"/>
      <c r="L379" s="33"/>
      <c r="M379" s="33"/>
      <c r="N379" s="33"/>
      <c r="O379" s="33"/>
      <c r="P379" s="33"/>
      <c r="Q379" s="33"/>
      <c r="R379" s="33"/>
    </row>
    <row r="380">
      <c r="A380" s="33"/>
      <c r="B380" s="33"/>
      <c r="C380" s="33"/>
      <c r="D380" s="33"/>
      <c r="E380" s="33"/>
      <c r="F380" s="33"/>
      <c r="G380" s="33"/>
      <c r="H380" s="33"/>
      <c r="I380" s="33"/>
      <c r="J380" s="33"/>
      <c r="K380" s="33"/>
      <c r="L380" s="33"/>
      <c r="M380" s="33"/>
      <c r="N380" s="33"/>
      <c r="O380" s="33"/>
      <c r="P380" s="33"/>
      <c r="Q380" s="33"/>
      <c r="R380" s="33"/>
    </row>
    <row r="381">
      <c r="A381" s="33"/>
      <c r="B381" s="33"/>
      <c r="C381" s="33"/>
      <c r="D381" s="33"/>
      <c r="E381" s="33"/>
      <c r="F381" s="33"/>
      <c r="G381" s="33"/>
      <c r="H381" s="33"/>
      <c r="I381" s="33"/>
      <c r="J381" s="33"/>
      <c r="K381" s="33"/>
      <c r="L381" s="33"/>
      <c r="M381" s="33"/>
      <c r="N381" s="33"/>
      <c r="O381" s="33"/>
      <c r="P381" s="33"/>
      <c r="Q381" s="33"/>
      <c r="R381" s="33"/>
    </row>
    <row r="382">
      <c r="A382" s="33"/>
      <c r="B382" s="33"/>
      <c r="C382" s="33"/>
      <c r="D382" s="33"/>
      <c r="E382" s="33"/>
      <c r="F382" s="33"/>
      <c r="G382" s="33"/>
      <c r="H382" s="33"/>
      <c r="I382" s="33"/>
      <c r="J382" s="33"/>
      <c r="K382" s="33"/>
      <c r="L382" s="33"/>
      <c r="M382" s="33"/>
      <c r="N382" s="33"/>
      <c r="O382" s="33"/>
      <c r="P382" s="33"/>
      <c r="Q382" s="33"/>
      <c r="R382" s="33"/>
    </row>
    <row r="383">
      <c r="A383" s="33"/>
      <c r="B383" s="33"/>
      <c r="C383" s="33"/>
      <c r="D383" s="33"/>
      <c r="E383" s="33"/>
      <c r="F383" s="33"/>
      <c r="G383" s="33"/>
      <c r="H383" s="33"/>
      <c r="I383" s="33"/>
      <c r="J383" s="33"/>
      <c r="K383" s="33"/>
      <c r="L383" s="33"/>
      <c r="M383" s="33"/>
      <c r="N383" s="33"/>
      <c r="O383" s="33"/>
      <c r="P383" s="33"/>
      <c r="Q383" s="33"/>
      <c r="R383" s="33"/>
    </row>
    <row r="384">
      <c r="A384" s="33"/>
      <c r="B384" s="33"/>
      <c r="C384" s="33"/>
      <c r="D384" s="33"/>
      <c r="E384" s="33"/>
      <c r="F384" s="33"/>
      <c r="G384" s="33"/>
      <c r="H384" s="33"/>
      <c r="I384" s="33"/>
      <c r="J384" s="33"/>
      <c r="K384" s="33"/>
      <c r="L384" s="33"/>
      <c r="M384" s="33"/>
      <c r="N384" s="33"/>
      <c r="O384" s="33"/>
      <c r="P384" s="33"/>
      <c r="Q384" s="33"/>
      <c r="R384" s="33"/>
    </row>
    <row r="385">
      <c r="A385" s="33"/>
      <c r="B385" s="33"/>
      <c r="C385" s="33"/>
      <c r="D385" s="33"/>
      <c r="E385" s="33"/>
      <c r="F385" s="33"/>
      <c r="G385" s="33"/>
      <c r="H385" s="33"/>
      <c r="I385" s="33"/>
      <c r="J385" s="33"/>
      <c r="K385" s="33"/>
      <c r="L385" s="33"/>
      <c r="M385" s="33"/>
      <c r="N385" s="33"/>
      <c r="O385" s="33"/>
      <c r="P385" s="33"/>
      <c r="Q385" s="33"/>
      <c r="R385" s="33"/>
    </row>
    <row r="386">
      <c r="A386" s="33"/>
      <c r="B386" s="33"/>
      <c r="C386" s="33"/>
      <c r="D386" s="33"/>
      <c r="E386" s="33"/>
      <c r="F386" s="33"/>
      <c r="G386" s="33"/>
      <c r="H386" s="33"/>
      <c r="I386" s="33"/>
      <c r="J386" s="33"/>
      <c r="K386" s="33"/>
      <c r="L386" s="33"/>
      <c r="M386" s="33"/>
      <c r="N386" s="33"/>
      <c r="O386" s="33"/>
      <c r="P386" s="33"/>
      <c r="Q386" s="33"/>
      <c r="R386" s="33"/>
    </row>
    <row r="387">
      <c r="A387" s="33"/>
      <c r="B387" s="33"/>
      <c r="C387" s="33"/>
      <c r="D387" s="33"/>
      <c r="E387" s="33"/>
      <c r="F387" s="33"/>
      <c r="G387" s="33"/>
      <c r="H387" s="33"/>
      <c r="I387" s="33"/>
      <c r="J387" s="33"/>
      <c r="K387" s="33"/>
      <c r="L387" s="33"/>
      <c r="M387" s="33"/>
      <c r="N387" s="33"/>
      <c r="O387" s="33"/>
      <c r="P387" s="33"/>
      <c r="Q387" s="33"/>
      <c r="R387" s="33"/>
    </row>
    <row r="388">
      <c r="A388" s="33"/>
      <c r="B388" s="33"/>
      <c r="C388" s="33"/>
      <c r="D388" s="33"/>
      <c r="E388" s="33"/>
      <c r="F388" s="33"/>
      <c r="G388" s="33"/>
      <c r="H388" s="33"/>
      <c r="I388" s="33"/>
      <c r="J388" s="33"/>
      <c r="K388" s="33"/>
      <c r="L388" s="33"/>
      <c r="M388" s="33"/>
      <c r="N388" s="33"/>
      <c r="O388" s="33"/>
      <c r="P388" s="33"/>
      <c r="Q388" s="33"/>
      <c r="R388" s="33"/>
    </row>
    <row r="389">
      <c r="A389" s="33"/>
      <c r="B389" s="33"/>
      <c r="C389" s="33"/>
      <c r="D389" s="33"/>
      <c r="E389" s="33"/>
      <c r="F389" s="33"/>
      <c r="G389" s="33"/>
      <c r="H389" s="33"/>
      <c r="I389" s="33"/>
      <c r="J389" s="33"/>
      <c r="K389" s="33"/>
      <c r="L389" s="33"/>
      <c r="M389" s="33"/>
      <c r="N389" s="33"/>
      <c r="O389" s="33"/>
      <c r="P389" s="33"/>
      <c r="Q389" s="33"/>
      <c r="R389" s="33"/>
    </row>
    <row r="390">
      <c r="A390" s="33"/>
      <c r="B390" s="33"/>
      <c r="C390" s="33"/>
      <c r="D390" s="33"/>
      <c r="E390" s="33"/>
      <c r="F390" s="33"/>
      <c r="G390" s="33"/>
      <c r="H390" s="33"/>
      <c r="I390" s="33"/>
      <c r="J390" s="33"/>
      <c r="K390" s="33"/>
      <c r="L390" s="33"/>
      <c r="M390" s="33"/>
      <c r="N390" s="33"/>
      <c r="O390" s="33"/>
      <c r="P390" s="33"/>
      <c r="Q390" s="33"/>
      <c r="R390" s="33"/>
    </row>
    <row r="391">
      <c r="A391" s="33"/>
      <c r="B391" s="33"/>
      <c r="C391" s="33"/>
      <c r="D391" s="33"/>
      <c r="E391" s="33"/>
      <c r="F391" s="33"/>
      <c r="G391" s="33"/>
      <c r="H391" s="33"/>
      <c r="I391" s="33"/>
      <c r="J391" s="33"/>
      <c r="K391" s="33"/>
      <c r="L391" s="33"/>
      <c r="M391" s="33"/>
      <c r="N391" s="33"/>
      <c r="O391" s="33"/>
      <c r="P391" s="33"/>
      <c r="Q391" s="33"/>
      <c r="R391" s="33"/>
    </row>
    <row r="392">
      <c r="A392" s="33"/>
      <c r="B392" s="33"/>
      <c r="C392" s="33"/>
      <c r="D392" s="33"/>
      <c r="E392" s="33"/>
      <c r="F392" s="33"/>
      <c r="G392" s="33"/>
      <c r="H392" s="33"/>
      <c r="I392" s="33"/>
      <c r="J392" s="33"/>
      <c r="K392" s="33"/>
      <c r="L392" s="33"/>
      <c r="M392" s="33"/>
      <c r="N392" s="33"/>
      <c r="O392" s="33"/>
      <c r="P392" s="33"/>
      <c r="Q392" s="33"/>
      <c r="R392" s="33"/>
    </row>
    <row r="393">
      <c r="A393" s="33"/>
      <c r="B393" s="33"/>
      <c r="C393" s="33"/>
      <c r="D393" s="33"/>
      <c r="E393" s="33"/>
      <c r="F393" s="33"/>
      <c r="G393" s="33"/>
      <c r="H393" s="33"/>
      <c r="I393" s="33"/>
      <c r="J393" s="33"/>
      <c r="K393" s="33"/>
      <c r="L393" s="33"/>
      <c r="M393" s="33"/>
      <c r="N393" s="33"/>
      <c r="O393" s="33"/>
      <c r="P393" s="33"/>
      <c r="Q393" s="33"/>
      <c r="R393" s="33"/>
    </row>
    <row r="394">
      <c r="A394" s="33"/>
      <c r="B394" s="33"/>
      <c r="C394" s="33"/>
      <c r="D394" s="33"/>
      <c r="E394" s="33"/>
      <c r="F394" s="33"/>
      <c r="G394" s="33"/>
      <c r="H394" s="33"/>
      <c r="I394" s="33"/>
      <c r="J394" s="33"/>
      <c r="K394" s="33"/>
      <c r="L394" s="33"/>
      <c r="M394" s="33"/>
      <c r="N394" s="33"/>
      <c r="O394" s="33"/>
      <c r="P394" s="33"/>
      <c r="Q394" s="33"/>
      <c r="R394" s="33"/>
    </row>
    <row r="395">
      <c r="A395" s="33"/>
      <c r="B395" s="33"/>
      <c r="C395" s="33"/>
      <c r="D395" s="33"/>
      <c r="E395" s="33"/>
      <c r="F395" s="33"/>
      <c r="G395" s="33"/>
      <c r="H395" s="33"/>
      <c r="I395" s="33"/>
      <c r="J395" s="33"/>
      <c r="K395" s="33"/>
      <c r="L395" s="33"/>
      <c r="M395" s="33"/>
      <c r="N395" s="33"/>
      <c r="O395" s="33"/>
      <c r="P395" s="33"/>
      <c r="Q395" s="33"/>
      <c r="R395" s="33"/>
    </row>
    <row r="396">
      <c r="A396" s="33"/>
      <c r="B396" s="33"/>
      <c r="C396" s="33"/>
      <c r="D396" s="33"/>
      <c r="E396" s="33"/>
      <c r="F396" s="33"/>
      <c r="G396" s="33"/>
      <c r="H396" s="33"/>
      <c r="I396" s="33"/>
      <c r="J396" s="33"/>
      <c r="K396" s="33"/>
      <c r="L396" s="33"/>
      <c r="M396" s="33"/>
      <c r="N396" s="33"/>
      <c r="O396" s="33"/>
      <c r="P396" s="33"/>
      <c r="Q396" s="33"/>
      <c r="R396" s="33"/>
    </row>
    <row r="397">
      <c r="A397" s="33"/>
      <c r="B397" s="33"/>
      <c r="C397" s="33"/>
      <c r="D397" s="33"/>
      <c r="E397" s="33"/>
      <c r="F397" s="33"/>
      <c r="G397" s="33"/>
      <c r="H397" s="33"/>
      <c r="I397" s="33"/>
      <c r="J397" s="33"/>
      <c r="K397" s="33"/>
      <c r="L397" s="33"/>
      <c r="M397" s="33"/>
      <c r="N397" s="33"/>
      <c r="O397" s="33"/>
      <c r="P397" s="33"/>
      <c r="Q397" s="33"/>
      <c r="R397" s="33"/>
    </row>
    <row r="398">
      <c r="A398" s="33"/>
      <c r="B398" s="33"/>
      <c r="C398" s="33"/>
      <c r="D398" s="33"/>
      <c r="E398" s="33"/>
      <c r="F398" s="33"/>
      <c r="G398" s="33"/>
      <c r="H398" s="33"/>
      <c r="I398" s="33"/>
      <c r="J398" s="33"/>
      <c r="K398" s="33"/>
      <c r="L398" s="33"/>
      <c r="M398" s="33"/>
      <c r="N398" s="33"/>
      <c r="O398" s="33"/>
      <c r="P398" s="33"/>
      <c r="Q398" s="33"/>
      <c r="R398" s="33"/>
    </row>
    <row r="399">
      <c r="A399" s="33"/>
      <c r="B399" s="33"/>
      <c r="C399" s="33"/>
      <c r="D399" s="33"/>
      <c r="E399" s="33"/>
      <c r="F399" s="33"/>
      <c r="G399" s="33"/>
      <c r="H399" s="33"/>
      <c r="I399" s="33"/>
      <c r="J399" s="33"/>
      <c r="K399" s="33"/>
      <c r="L399" s="33"/>
      <c r="M399" s="33"/>
      <c r="N399" s="33"/>
      <c r="O399" s="33"/>
      <c r="P399" s="33"/>
      <c r="Q399" s="33"/>
      <c r="R399" s="33"/>
    </row>
    <row r="400">
      <c r="A400" s="33"/>
      <c r="B400" s="33"/>
      <c r="C400" s="33"/>
      <c r="D400" s="33"/>
      <c r="E400" s="33"/>
      <c r="F400" s="33"/>
      <c r="G400" s="33"/>
      <c r="H400" s="33"/>
      <c r="I400" s="33"/>
      <c r="J400" s="33"/>
      <c r="K400" s="33"/>
      <c r="L400" s="33"/>
      <c r="M400" s="33"/>
      <c r="N400" s="33"/>
      <c r="O400" s="33"/>
      <c r="P400" s="33"/>
      <c r="Q400" s="33"/>
      <c r="R400" s="33"/>
    </row>
    <row r="401">
      <c r="A401" s="33"/>
      <c r="B401" s="33"/>
      <c r="C401" s="33"/>
      <c r="D401" s="33"/>
      <c r="E401" s="33"/>
      <c r="F401" s="33"/>
      <c r="G401" s="33"/>
      <c r="H401" s="33"/>
      <c r="I401" s="33"/>
      <c r="J401" s="33"/>
      <c r="K401" s="33"/>
      <c r="L401" s="33"/>
      <c r="M401" s="33"/>
      <c r="N401" s="33"/>
      <c r="O401" s="33"/>
      <c r="P401" s="33"/>
      <c r="Q401" s="33"/>
      <c r="R401" s="33"/>
    </row>
    <row r="402">
      <c r="A402" s="33"/>
      <c r="B402" s="33"/>
      <c r="C402" s="33"/>
      <c r="D402" s="33"/>
      <c r="E402" s="33"/>
      <c r="F402" s="33"/>
      <c r="G402" s="33"/>
      <c r="H402" s="33"/>
      <c r="I402" s="33"/>
      <c r="J402" s="33"/>
      <c r="K402" s="33"/>
      <c r="L402" s="33"/>
      <c r="M402" s="33"/>
      <c r="N402" s="33"/>
      <c r="O402" s="33"/>
      <c r="P402" s="33"/>
      <c r="Q402" s="33"/>
      <c r="R402" s="33"/>
    </row>
    <row r="403">
      <c r="A403" s="33"/>
      <c r="B403" s="33"/>
      <c r="C403" s="33"/>
      <c r="D403" s="33"/>
      <c r="E403" s="33"/>
      <c r="F403" s="33"/>
      <c r="G403" s="33"/>
      <c r="H403" s="33"/>
      <c r="I403" s="33"/>
      <c r="J403" s="33"/>
      <c r="K403" s="33"/>
      <c r="L403" s="33"/>
      <c r="M403" s="33"/>
      <c r="N403" s="33"/>
      <c r="O403" s="33"/>
      <c r="P403" s="33"/>
      <c r="Q403" s="33"/>
      <c r="R403" s="33"/>
    </row>
    <row r="404">
      <c r="A404" s="33"/>
      <c r="B404" s="33"/>
      <c r="C404" s="33"/>
      <c r="D404" s="33"/>
      <c r="E404" s="33"/>
      <c r="F404" s="33"/>
      <c r="G404" s="33"/>
      <c r="H404" s="33"/>
      <c r="I404" s="33"/>
      <c r="J404" s="33"/>
      <c r="K404" s="33"/>
      <c r="L404" s="33"/>
      <c r="M404" s="33"/>
      <c r="N404" s="33"/>
      <c r="O404" s="33"/>
      <c r="P404" s="33"/>
      <c r="Q404" s="33"/>
      <c r="R404" s="33"/>
    </row>
    <row r="405">
      <c r="A405" s="33"/>
      <c r="B405" s="33"/>
      <c r="C405" s="33"/>
      <c r="D405" s="33"/>
      <c r="E405" s="33"/>
      <c r="F405" s="33"/>
      <c r="G405" s="33"/>
      <c r="H405" s="33"/>
      <c r="I405" s="33"/>
      <c r="J405" s="33"/>
      <c r="K405" s="33"/>
      <c r="L405" s="33"/>
      <c r="M405" s="33"/>
      <c r="N405" s="33"/>
      <c r="O405" s="33"/>
      <c r="P405" s="33"/>
      <c r="Q405" s="33"/>
      <c r="R405" s="33"/>
    </row>
    <row r="406">
      <c r="A406" s="33"/>
      <c r="B406" s="33"/>
      <c r="C406" s="33"/>
      <c r="D406" s="33"/>
      <c r="E406" s="33"/>
      <c r="F406" s="33"/>
      <c r="G406" s="33"/>
      <c r="H406" s="33"/>
      <c r="I406" s="33"/>
      <c r="J406" s="33"/>
      <c r="K406" s="33"/>
      <c r="L406" s="33"/>
      <c r="M406" s="33"/>
      <c r="N406" s="33"/>
      <c r="O406" s="33"/>
      <c r="P406" s="33"/>
      <c r="Q406" s="33"/>
      <c r="R406" s="33"/>
    </row>
    <row r="407">
      <c r="A407" s="33"/>
      <c r="B407" s="33"/>
      <c r="C407" s="33"/>
      <c r="D407" s="33"/>
      <c r="E407" s="33"/>
      <c r="F407" s="33"/>
      <c r="G407" s="33"/>
      <c r="H407" s="33"/>
      <c r="I407" s="33"/>
      <c r="J407" s="33"/>
      <c r="K407" s="33"/>
      <c r="L407" s="33"/>
      <c r="M407" s="33"/>
      <c r="N407" s="33"/>
      <c r="O407" s="33"/>
      <c r="P407" s="33"/>
      <c r="Q407" s="33"/>
      <c r="R407" s="33"/>
    </row>
    <row r="408">
      <c r="A408" s="33"/>
      <c r="B408" s="33"/>
      <c r="C408" s="33"/>
      <c r="D408" s="33"/>
      <c r="E408" s="33"/>
      <c r="F408" s="33"/>
      <c r="G408" s="33"/>
      <c r="H408" s="33"/>
      <c r="I408" s="33"/>
      <c r="J408" s="33"/>
      <c r="K408" s="33"/>
      <c r="L408" s="33"/>
      <c r="M408" s="33"/>
      <c r="N408" s="33"/>
      <c r="O408" s="33"/>
      <c r="P408" s="33"/>
      <c r="Q408" s="33"/>
      <c r="R408" s="33"/>
    </row>
    <row r="409">
      <c r="A409" s="33"/>
      <c r="B409" s="33"/>
      <c r="C409" s="33"/>
      <c r="D409" s="33"/>
      <c r="E409" s="33"/>
      <c r="F409" s="33"/>
      <c r="G409" s="33"/>
      <c r="H409" s="33"/>
      <c r="I409" s="33"/>
      <c r="J409" s="33"/>
      <c r="K409" s="33"/>
      <c r="L409" s="33"/>
      <c r="M409" s="33"/>
      <c r="N409" s="33"/>
      <c r="O409" s="33"/>
      <c r="P409" s="33"/>
      <c r="Q409" s="33"/>
      <c r="R409" s="33"/>
    </row>
    <row r="410">
      <c r="A410" s="33"/>
      <c r="B410" s="33"/>
      <c r="C410" s="33"/>
      <c r="D410" s="33"/>
      <c r="E410" s="33"/>
      <c r="F410" s="33"/>
      <c r="G410" s="33"/>
      <c r="H410" s="33"/>
      <c r="I410" s="33"/>
      <c r="J410" s="33"/>
      <c r="K410" s="33"/>
      <c r="L410" s="33"/>
      <c r="M410" s="33"/>
      <c r="N410" s="33"/>
      <c r="O410" s="33"/>
      <c r="P410" s="33"/>
      <c r="Q410" s="33"/>
      <c r="R410" s="33"/>
    </row>
    <row r="411">
      <c r="A411" s="33"/>
      <c r="B411" s="33"/>
      <c r="C411" s="33"/>
      <c r="D411" s="33"/>
      <c r="E411" s="33"/>
      <c r="F411" s="33"/>
      <c r="G411" s="33"/>
      <c r="H411" s="33"/>
      <c r="I411" s="33"/>
      <c r="J411" s="33"/>
      <c r="K411" s="33"/>
      <c r="L411" s="33"/>
      <c r="M411" s="33"/>
      <c r="N411" s="33"/>
      <c r="O411" s="33"/>
      <c r="P411" s="33"/>
      <c r="Q411" s="33"/>
      <c r="R411" s="33"/>
    </row>
    <row r="412">
      <c r="A412" s="33"/>
      <c r="B412" s="33"/>
      <c r="C412" s="33"/>
      <c r="D412" s="33"/>
      <c r="E412" s="33"/>
      <c r="F412" s="33"/>
      <c r="G412" s="33"/>
      <c r="H412" s="33"/>
      <c r="I412" s="33"/>
      <c r="J412" s="33"/>
      <c r="K412" s="33"/>
      <c r="L412" s="33"/>
      <c r="M412" s="33"/>
      <c r="N412" s="33"/>
      <c r="O412" s="33"/>
      <c r="P412" s="33"/>
      <c r="Q412" s="33"/>
      <c r="R412" s="33"/>
    </row>
    <row r="413">
      <c r="A413" s="33"/>
      <c r="B413" s="33"/>
      <c r="C413" s="33"/>
      <c r="D413" s="33"/>
      <c r="E413" s="33"/>
      <c r="F413" s="33"/>
      <c r="G413" s="33"/>
      <c r="H413" s="33"/>
      <c r="I413" s="33"/>
      <c r="J413" s="33"/>
      <c r="K413" s="33"/>
      <c r="L413" s="33"/>
      <c r="M413" s="33"/>
      <c r="N413" s="33"/>
      <c r="O413" s="33"/>
      <c r="P413" s="33"/>
      <c r="Q413" s="33"/>
      <c r="R413" s="33"/>
    </row>
    <row r="414">
      <c r="A414" s="33"/>
      <c r="B414" s="33"/>
      <c r="C414" s="33"/>
      <c r="D414" s="33"/>
      <c r="E414" s="33"/>
      <c r="F414" s="33"/>
      <c r="G414" s="33"/>
      <c r="H414" s="33"/>
      <c r="I414" s="33"/>
      <c r="J414" s="33"/>
      <c r="K414" s="33"/>
      <c r="L414" s="33"/>
      <c r="M414" s="33"/>
      <c r="N414" s="33"/>
      <c r="O414" s="33"/>
      <c r="P414" s="33"/>
      <c r="Q414" s="33"/>
      <c r="R414" s="33"/>
    </row>
    <row r="415">
      <c r="A415" s="33"/>
      <c r="B415" s="33"/>
      <c r="C415" s="33"/>
      <c r="D415" s="33"/>
      <c r="E415" s="33"/>
      <c r="F415" s="33"/>
      <c r="G415" s="33"/>
      <c r="H415" s="33"/>
      <c r="I415" s="33"/>
      <c r="J415" s="33"/>
      <c r="K415" s="33"/>
      <c r="L415" s="33"/>
      <c r="M415" s="33"/>
      <c r="N415" s="33"/>
      <c r="O415" s="33"/>
      <c r="P415" s="33"/>
      <c r="Q415" s="33"/>
      <c r="R415" s="33"/>
    </row>
    <row r="416">
      <c r="A416" s="33"/>
      <c r="B416" s="33"/>
      <c r="C416" s="33"/>
      <c r="D416" s="33"/>
      <c r="E416" s="33"/>
      <c r="F416" s="33"/>
      <c r="G416" s="33"/>
      <c r="H416" s="33"/>
      <c r="I416" s="33"/>
      <c r="J416" s="33"/>
      <c r="K416" s="33"/>
      <c r="L416" s="33"/>
      <c r="M416" s="33"/>
      <c r="N416" s="33"/>
      <c r="O416" s="33"/>
      <c r="P416" s="33"/>
      <c r="Q416" s="33"/>
      <c r="R416" s="33"/>
    </row>
    <row r="417">
      <c r="A417" s="33"/>
      <c r="B417" s="33"/>
      <c r="C417" s="33"/>
      <c r="D417" s="33"/>
      <c r="E417" s="33"/>
      <c r="F417" s="33"/>
      <c r="G417" s="33"/>
      <c r="H417" s="33"/>
      <c r="I417" s="33"/>
      <c r="J417" s="33"/>
      <c r="K417" s="33"/>
      <c r="L417" s="33"/>
      <c r="M417" s="33"/>
      <c r="N417" s="33"/>
      <c r="O417" s="33"/>
      <c r="P417" s="33"/>
      <c r="Q417" s="33"/>
      <c r="R417" s="33"/>
    </row>
    <row r="418">
      <c r="A418" s="33"/>
      <c r="B418" s="33"/>
      <c r="C418" s="33"/>
      <c r="D418" s="33"/>
      <c r="E418" s="33"/>
      <c r="F418" s="33"/>
      <c r="G418" s="33"/>
      <c r="H418" s="33"/>
      <c r="I418" s="33"/>
      <c r="J418" s="33"/>
      <c r="K418" s="33"/>
      <c r="L418" s="33"/>
      <c r="M418" s="33"/>
      <c r="N418" s="33"/>
      <c r="O418" s="33"/>
      <c r="P418" s="33"/>
      <c r="Q418" s="33"/>
      <c r="R418" s="33"/>
    </row>
    <row r="419">
      <c r="A419" s="33"/>
      <c r="B419" s="33"/>
      <c r="C419" s="33"/>
      <c r="D419" s="33"/>
      <c r="E419" s="33"/>
      <c r="F419" s="33"/>
      <c r="G419" s="33"/>
      <c r="H419" s="33"/>
      <c r="I419" s="33"/>
      <c r="J419" s="33"/>
      <c r="K419" s="33"/>
      <c r="L419" s="33"/>
      <c r="M419" s="33"/>
      <c r="N419" s="33"/>
      <c r="O419" s="33"/>
      <c r="P419" s="33"/>
      <c r="Q419" s="33"/>
      <c r="R419" s="33"/>
    </row>
    <row r="420">
      <c r="A420" s="33"/>
      <c r="B420" s="33"/>
      <c r="C420" s="33"/>
      <c r="D420" s="33"/>
      <c r="E420" s="33"/>
      <c r="F420" s="33"/>
      <c r="G420" s="33"/>
      <c r="H420" s="33"/>
      <c r="I420" s="33"/>
      <c r="J420" s="33"/>
      <c r="K420" s="33"/>
      <c r="L420" s="33"/>
      <c r="M420" s="33"/>
      <c r="N420" s="33"/>
      <c r="O420" s="33"/>
      <c r="P420" s="33"/>
      <c r="Q420" s="33"/>
      <c r="R420" s="33"/>
    </row>
    <row r="421">
      <c r="A421" s="33"/>
      <c r="B421" s="33"/>
      <c r="C421" s="33"/>
      <c r="D421" s="33"/>
      <c r="E421" s="33"/>
      <c r="F421" s="33"/>
      <c r="G421" s="33"/>
      <c r="H421" s="33"/>
      <c r="I421" s="33"/>
      <c r="J421" s="33"/>
      <c r="K421" s="33"/>
      <c r="L421" s="33"/>
      <c r="M421" s="33"/>
      <c r="N421" s="33"/>
      <c r="O421" s="33"/>
      <c r="P421" s="33"/>
      <c r="Q421" s="33"/>
      <c r="R421" s="33"/>
    </row>
    <row r="422">
      <c r="A422" s="33"/>
      <c r="B422" s="33"/>
      <c r="C422" s="33"/>
      <c r="D422" s="33"/>
      <c r="E422" s="33"/>
      <c r="F422" s="33"/>
      <c r="G422" s="33"/>
      <c r="H422" s="33"/>
      <c r="I422" s="33"/>
      <c r="J422" s="33"/>
      <c r="K422" s="33"/>
      <c r="L422" s="33"/>
      <c r="M422" s="33"/>
      <c r="N422" s="33"/>
      <c r="O422" s="33"/>
      <c r="P422" s="33"/>
      <c r="Q422" s="33"/>
      <c r="R422" s="33"/>
    </row>
    <row r="423">
      <c r="A423" s="33"/>
      <c r="B423" s="33"/>
      <c r="C423" s="33"/>
      <c r="D423" s="33"/>
      <c r="E423" s="33"/>
      <c r="F423" s="33"/>
      <c r="G423" s="33"/>
      <c r="H423" s="33"/>
      <c r="I423" s="33"/>
      <c r="J423" s="33"/>
      <c r="K423" s="33"/>
      <c r="L423" s="33"/>
      <c r="M423" s="33"/>
      <c r="N423" s="33"/>
      <c r="O423" s="33"/>
      <c r="P423" s="33"/>
      <c r="Q423" s="33"/>
      <c r="R423" s="33"/>
    </row>
    <row r="424">
      <c r="A424" s="33"/>
      <c r="B424" s="33"/>
      <c r="C424" s="33"/>
      <c r="D424" s="33"/>
      <c r="E424" s="33"/>
      <c r="F424" s="33"/>
      <c r="G424" s="33"/>
      <c r="H424" s="33"/>
      <c r="I424" s="33"/>
      <c r="J424" s="33"/>
      <c r="K424" s="33"/>
      <c r="L424" s="33"/>
      <c r="M424" s="33"/>
      <c r="N424" s="33"/>
      <c r="O424" s="33"/>
      <c r="P424" s="33"/>
      <c r="Q424" s="33"/>
      <c r="R424" s="33"/>
    </row>
    <row r="425">
      <c r="A425" s="33"/>
      <c r="B425" s="33"/>
      <c r="C425" s="33"/>
      <c r="D425" s="33"/>
      <c r="E425" s="33"/>
      <c r="F425" s="33"/>
      <c r="G425" s="33"/>
      <c r="H425" s="33"/>
      <c r="I425" s="33"/>
      <c r="J425" s="33"/>
      <c r="K425" s="33"/>
      <c r="L425" s="33"/>
      <c r="M425" s="33"/>
      <c r="N425" s="33"/>
      <c r="O425" s="33"/>
      <c r="P425" s="33"/>
      <c r="Q425" s="33"/>
      <c r="R425" s="33"/>
    </row>
    <row r="426">
      <c r="A426" s="33"/>
      <c r="B426" s="33"/>
      <c r="C426" s="33"/>
      <c r="D426" s="33"/>
      <c r="E426" s="33"/>
      <c r="F426" s="33"/>
      <c r="G426" s="33"/>
      <c r="H426" s="33"/>
      <c r="I426" s="33"/>
      <c r="J426" s="33"/>
      <c r="K426" s="33"/>
      <c r="L426" s="33"/>
      <c r="M426" s="33"/>
      <c r="N426" s="33"/>
      <c r="O426" s="33"/>
      <c r="P426" s="33"/>
      <c r="Q426" s="33"/>
      <c r="R426" s="33"/>
    </row>
    <row r="427">
      <c r="A427" s="33"/>
      <c r="B427" s="33"/>
      <c r="C427" s="33"/>
      <c r="D427" s="33"/>
      <c r="E427" s="33"/>
      <c r="F427" s="33"/>
      <c r="G427" s="33"/>
      <c r="H427" s="33"/>
      <c r="I427" s="33"/>
      <c r="J427" s="33"/>
      <c r="K427" s="33"/>
      <c r="L427" s="33"/>
      <c r="M427" s="33"/>
      <c r="N427" s="33"/>
      <c r="O427" s="33"/>
      <c r="P427" s="33"/>
      <c r="Q427" s="33"/>
      <c r="R427" s="33"/>
    </row>
    <row r="428">
      <c r="A428" s="33"/>
      <c r="B428" s="33"/>
      <c r="C428" s="33"/>
      <c r="D428" s="33"/>
      <c r="E428" s="33"/>
      <c r="F428" s="33"/>
      <c r="G428" s="33"/>
      <c r="H428" s="33"/>
      <c r="I428" s="33"/>
      <c r="J428" s="33"/>
      <c r="K428" s="33"/>
      <c r="L428" s="33"/>
      <c r="M428" s="33"/>
      <c r="N428" s="33"/>
      <c r="O428" s="33"/>
      <c r="P428" s="33"/>
      <c r="Q428" s="33"/>
      <c r="R428" s="33"/>
    </row>
    <row r="429">
      <c r="A429" s="33"/>
      <c r="B429" s="33"/>
      <c r="C429" s="33"/>
      <c r="D429" s="33"/>
      <c r="E429" s="33"/>
      <c r="F429" s="33"/>
      <c r="G429" s="33"/>
      <c r="H429" s="33"/>
      <c r="I429" s="33"/>
      <c r="J429" s="33"/>
      <c r="K429" s="33"/>
      <c r="L429" s="33"/>
      <c r="M429" s="33"/>
      <c r="N429" s="33"/>
      <c r="O429" s="33"/>
      <c r="P429" s="33"/>
      <c r="Q429" s="33"/>
      <c r="R429" s="33"/>
    </row>
    <row r="430">
      <c r="A430" s="33"/>
      <c r="B430" s="33"/>
      <c r="C430" s="33"/>
      <c r="D430" s="33"/>
      <c r="E430" s="33"/>
      <c r="F430" s="33"/>
      <c r="G430" s="33"/>
      <c r="H430" s="33"/>
      <c r="I430" s="33"/>
      <c r="J430" s="33"/>
      <c r="K430" s="33"/>
      <c r="L430" s="33"/>
      <c r="M430" s="33"/>
      <c r="N430" s="33"/>
      <c r="O430" s="33"/>
      <c r="P430" s="33"/>
      <c r="Q430" s="33"/>
      <c r="R430" s="33"/>
    </row>
    <row r="431">
      <c r="A431" s="33"/>
      <c r="B431" s="33"/>
      <c r="C431" s="33"/>
      <c r="D431" s="33"/>
      <c r="E431" s="33"/>
      <c r="F431" s="33"/>
      <c r="G431" s="33"/>
      <c r="H431" s="33"/>
      <c r="I431" s="33"/>
      <c r="J431" s="33"/>
      <c r="K431" s="33"/>
      <c r="L431" s="33"/>
      <c r="M431" s="33"/>
      <c r="N431" s="33"/>
      <c r="O431" s="33"/>
      <c r="P431" s="33"/>
      <c r="Q431" s="33"/>
      <c r="R431" s="33"/>
    </row>
    <row r="432">
      <c r="A432" s="33"/>
      <c r="B432" s="33"/>
      <c r="C432" s="33"/>
      <c r="D432" s="33"/>
      <c r="E432" s="33"/>
      <c r="F432" s="33"/>
      <c r="G432" s="33"/>
      <c r="H432" s="33"/>
      <c r="I432" s="33"/>
      <c r="J432" s="33"/>
      <c r="K432" s="33"/>
      <c r="L432" s="33"/>
      <c r="M432" s="33"/>
      <c r="N432" s="33"/>
      <c r="O432" s="33"/>
      <c r="P432" s="33"/>
      <c r="Q432" s="33"/>
      <c r="R432" s="33"/>
    </row>
    <row r="433">
      <c r="A433" s="33"/>
      <c r="B433" s="33"/>
      <c r="C433" s="33"/>
      <c r="D433" s="33"/>
      <c r="E433" s="33"/>
      <c r="F433" s="33"/>
      <c r="G433" s="33"/>
      <c r="H433" s="33"/>
      <c r="I433" s="33"/>
      <c r="J433" s="33"/>
      <c r="K433" s="33"/>
      <c r="L433" s="33"/>
      <c r="M433" s="33"/>
      <c r="N433" s="33"/>
      <c r="O433" s="33"/>
      <c r="P433" s="33"/>
      <c r="Q433" s="33"/>
      <c r="R433" s="33"/>
    </row>
    <row r="434">
      <c r="A434" s="33"/>
      <c r="B434" s="33"/>
      <c r="C434" s="33"/>
      <c r="D434" s="33"/>
      <c r="E434" s="33"/>
      <c r="F434" s="33"/>
      <c r="G434" s="33"/>
      <c r="H434" s="33"/>
      <c r="I434" s="33"/>
      <c r="J434" s="33"/>
      <c r="K434" s="33"/>
      <c r="L434" s="33"/>
      <c r="M434" s="33"/>
      <c r="N434" s="33"/>
      <c r="O434" s="33"/>
      <c r="P434" s="33"/>
      <c r="Q434" s="33"/>
      <c r="R434" s="33"/>
    </row>
    <row r="435">
      <c r="A435" s="33"/>
      <c r="B435" s="33"/>
      <c r="C435" s="33"/>
      <c r="D435" s="33"/>
      <c r="E435" s="33"/>
      <c r="F435" s="33"/>
      <c r="G435" s="33"/>
      <c r="H435" s="33"/>
      <c r="I435" s="33"/>
      <c r="J435" s="33"/>
      <c r="K435" s="33"/>
      <c r="L435" s="33"/>
      <c r="M435" s="33"/>
      <c r="N435" s="33"/>
      <c r="O435" s="33"/>
      <c r="P435" s="33"/>
      <c r="Q435" s="33"/>
      <c r="R435" s="33"/>
    </row>
    <row r="436">
      <c r="A436" s="33"/>
      <c r="B436" s="33"/>
      <c r="C436" s="33"/>
      <c r="D436" s="33"/>
      <c r="E436" s="33"/>
      <c r="F436" s="33"/>
      <c r="G436" s="33"/>
      <c r="H436" s="33"/>
      <c r="I436" s="33"/>
      <c r="J436" s="33"/>
      <c r="K436" s="33"/>
      <c r="L436" s="33"/>
      <c r="M436" s="33"/>
      <c r="N436" s="33"/>
      <c r="O436" s="33"/>
      <c r="P436" s="33"/>
      <c r="Q436" s="33"/>
      <c r="R436" s="33"/>
    </row>
    <row r="437">
      <c r="A437" s="33"/>
      <c r="B437" s="33"/>
      <c r="C437" s="33"/>
      <c r="D437" s="33"/>
      <c r="E437" s="33"/>
      <c r="F437" s="33"/>
      <c r="G437" s="33"/>
      <c r="H437" s="33"/>
      <c r="I437" s="33"/>
      <c r="J437" s="33"/>
      <c r="K437" s="33"/>
      <c r="L437" s="33"/>
      <c r="M437" s="33"/>
      <c r="N437" s="33"/>
      <c r="O437" s="33"/>
      <c r="P437" s="33"/>
      <c r="Q437" s="33"/>
      <c r="R437" s="33"/>
    </row>
    <row r="438">
      <c r="A438" s="33"/>
      <c r="B438" s="33"/>
      <c r="C438" s="33"/>
      <c r="D438" s="33"/>
      <c r="E438" s="33"/>
      <c r="F438" s="33"/>
      <c r="G438" s="33"/>
      <c r="H438" s="33"/>
      <c r="I438" s="33"/>
      <c r="J438" s="33"/>
      <c r="K438" s="33"/>
      <c r="L438" s="33"/>
      <c r="M438" s="33"/>
      <c r="N438" s="33"/>
      <c r="O438" s="33"/>
      <c r="P438" s="33"/>
      <c r="Q438" s="33"/>
      <c r="R438" s="33"/>
    </row>
    <row r="439">
      <c r="A439" s="33"/>
      <c r="B439" s="33"/>
      <c r="C439" s="33"/>
      <c r="D439" s="33"/>
      <c r="E439" s="33"/>
      <c r="F439" s="33"/>
      <c r="G439" s="33"/>
      <c r="H439" s="33"/>
      <c r="I439" s="33"/>
      <c r="J439" s="33"/>
      <c r="K439" s="33"/>
      <c r="L439" s="33"/>
      <c r="M439" s="33"/>
      <c r="N439" s="33"/>
      <c r="O439" s="33"/>
      <c r="P439" s="33"/>
      <c r="Q439" s="33"/>
      <c r="R439" s="33"/>
    </row>
    <row r="440">
      <c r="A440" s="33"/>
      <c r="B440" s="33"/>
      <c r="C440" s="33"/>
      <c r="D440" s="33"/>
      <c r="E440" s="33"/>
      <c r="F440" s="33"/>
      <c r="G440" s="33"/>
      <c r="H440" s="33"/>
      <c r="I440" s="33"/>
      <c r="J440" s="33"/>
      <c r="K440" s="33"/>
      <c r="L440" s="33"/>
      <c r="M440" s="33"/>
      <c r="N440" s="33"/>
      <c r="O440" s="33"/>
      <c r="P440" s="33"/>
      <c r="Q440" s="33"/>
      <c r="R440" s="33"/>
    </row>
    <row r="441">
      <c r="A441" s="33"/>
      <c r="B441" s="33"/>
      <c r="C441" s="33"/>
      <c r="D441" s="33"/>
      <c r="E441" s="33"/>
      <c r="F441" s="33"/>
      <c r="G441" s="33"/>
      <c r="H441" s="33"/>
      <c r="I441" s="33"/>
      <c r="J441" s="33"/>
      <c r="K441" s="33"/>
      <c r="L441" s="33"/>
      <c r="M441" s="33"/>
      <c r="N441" s="33"/>
      <c r="O441" s="33"/>
      <c r="P441" s="33"/>
      <c r="Q441" s="33"/>
      <c r="R441" s="33"/>
    </row>
    <row r="442">
      <c r="A442" s="33"/>
      <c r="B442" s="33"/>
      <c r="C442" s="33"/>
      <c r="D442" s="33"/>
      <c r="E442" s="33"/>
      <c r="F442" s="33"/>
      <c r="G442" s="33"/>
      <c r="H442" s="33"/>
      <c r="I442" s="33"/>
      <c r="J442" s="33"/>
      <c r="K442" s="33"/>
      <c r="L442" s="33"/>
      <c r="M442" s="33"/>
      <c r="N442" s="33"/>
      <c r="O442" s="33"/>
      <c r="P442" s="33"/>
      <c r="Q442" s="33"/>
      <c r="R442" s="33"/>
    </row>
    <row r="443">
      <c r="A443" s="33"/>
      <c r="B443" s="33"/>
      <c r="C443" s="33"/>
      <c r="D443" s="33"/>
      <c r="E443" s="33"/>
      <c r="F443" s="33"/>
      <c r="G443" s="33"/>
      <c r="H443" s="33"/>
      <c r="I443" s="33"/>
      <c r="J443" s="33"/>
      <c r="K443" s="33"/>
      <c r="L443" s="33"/>
      <c r="M443" s="33"/>
      <c r="N443" s="33"/>
      <c r="O443" s="33"/>
      <c r="P443" s="33"/>
      <c r="Q443" s="33"/>
      <c r="R443" s="33"/>
    </row>
    <row r="444">
      <c r="A444" s="33"/>
      <c r="B444" s="33"/>
      <c r="C444" s="33"/>
      <c r="D444" s="33"/>
      <c r="E444" s="33"/>
      <c r="F444" s="33"/>
      <c r="G444" s="33"/>
      <c r="H444" s="33"/>
      <c r="I444" s="33"/>
      <c r="J444" s="33"/>
      <c r="K444" s="33"/>
      <c r="L444" s="33"/>
      <c r="M444" s="33"/>
      <c r="N444" s="33"/>
      <c r="O444" s="33"/>
      <c r="P444" s="33"/>
      <c r="Q444" s="33"/>
      <c r="R444" s="33"/>
    </row>
    <row r="445">
      <c r="A445" s="33"/>
      <c r="B445" s="33"/>
      <c r="C445" s="33"/>
      <c r="D445" s="33"/>
      <c r="E445" s="33"/>
      <c r="F445" s="33"/>
      <c r="G445" s="33"/>
      <c r="H445" s="33"/>
      <c r="I445" s="33"/>
      <c r="J445" s="33"/>
      <c r="K445" s="33"/>
      <c r="L445" s="33"/>
      <c r="M445" s="33"/>
      <c r="N445" s="33"/>
      <c r="O445" s="33"/>
      <c r="P445" s="33"/>
      <c r="Q445" s="33"/>
      <c r="R445" s="33"/>
    </row>
    <row r="446">
      <c r="A446" s="33"/>
      <c r="B446" s="33"/>
      <c r="C446" s="33"/>
      <c r="D446" s="33"/>
      <c r="E446" s="33"/>
      <c r="F446" s="33"/>
      <c r="G446" s="33"/>
      <c r="H446" s="33"/>
      <c r="I446" s="33"/>
      <c r="J446" s="33"/>
      <c r="K446" s="33"/>
      <c r="L446" s="33"/>
      <c r="M446" s="33"/>
      <c r="N446" s="33"/>
      <c r="O446" s="33"/>
      <c r="P446" s="33"/>
      <c r="Q446" s="33"/>
      <c r="R446" s="33"/>
    </row>
    <row r="447">
      <c r="A447" s="33"/>
      <c r="B447" s="33"/>
      <c r="C447" s="33"/>
      <c r="D447" s="33"/>
      <c r="E447" s="33"/>
      <c r="F447" s="33"/>
      <c r="G447" s="33"/>
      <c r="H447" s="33"/>
      <c r="I447" s="33"/>
      <c r="J447" s="33"/>
      <c r="K447" s="33"/>
      <c r="L447" s="33"/>
      <c r="M447" s="33"/>
      <c r="N447" s="33"/>
      <c r="O447" s="33"/>
      <c r="P447" s="33"/>
      <c r="Q447" s="33"/>
      <c r="R447" s="33"/>
    </row>
    <row r="448">
      <c r="A448" s="33"/>
      <c r="B448" s="33"/>
      <c r="C448" s="33"/>
      <c r="D448" s="33"/>
      <c r="E448" s="33"/>
      <c r="F448" s="33"/>
      <c r="G448" s="33"/>
      <c r="H448" s="33"/>
      <c r="I448" s="33"/>
      <c r="J448" s="33"/>
      <c r="K448" s="33"/>
      <c r="L448" s="33"/>
      <c r="M448" s="33"/>
      <c r="N448" s="33"/>
      <c r="O448" s="33"/>
      <c r="P448" s="33"/>
      <c r="Q448" s="33"/>
      <c r="R448" s="33"/>
    </row>
    <row r="449">
      <c r="A449" s="33"/>
      <c r="B449" s="33"/>
      <c r="C449" s="33"/>
      <c r="D449" s="33"/>
      <c r="E449" s="33"/>
      <c r="F449" s="33"/>
      <c r="G449" s="33"/>
      <c r="H449" s="33"/>
      <c r="I449" s="33"/>
      <c r="J449" s="33"/>
      <c r="K449" s="33"/>
      <c r="L449" s="33"/>
      <c r="M449" s="33"/>
      <c r="N449" s="33"/>
      <c r="O449" s="33"/>
      <c r="P449" s="33"/>
      <c r="Q449" s="33"/>
      <c r="R449" s="33"/>
    </row>
    <row r="450">
      <c r="A450" s="33"/>
      <c r="B450" s="33"/>
      <c r="C450" s="33"/>
      <c r="D450" s="33"/>
      <c r="E450" s="33"/>
      <c r="F450" s="33"/>
      <c r="G450" s="33"/>
      <c r="H450" s="33"/>
      <c r="I450" s="33"/>
      <c r="J450" s="33"/>
      <c r="K450" s="33"/>
      <c r="L450" s="33"/>
      <c r="M450" s="33"/>
      <c r="N450" s="33"/>
      <c r="O450" s="33"/>
      <c r="P450" s="33"/>
      <c r="Q450" s="33"/>
      <c r="R450" s="33"/>
    </row>
    <row r="451">
      <c r="A451" s="33"/>
      <c r="B451" s="33"/>
      <c r="C451" s="33"/>
      <c r="D451" s="33"/>
      <c r="E451" s="33"/>
      <c r="F451" s="33"/>
      <c r="G451" s="33"/>
      <c r="H451" s="33"/>
      <c r="I451" s="33"/>
      <c r="J451" s="33"/>
      <c r="K451" s="33"/>
      <c r="L451" s="33"/>
      <c r="M451" s="33"/>
      <c r="N451" s="33"/>
      <c r="O451" s="33"/>
      <c r="P451" s="33"/>
      <c r="Q451" s="33"/>
      <c r="R451" s="33"/>
    </row>
    <row r="452">
      <c r="A452" s="33"/>
      <c r="B452" s="33"/>
      <c r="C452" s="33"/>
      <c r="D452" s="33"/>
      <c r="E452" s="33"/>
      <c r="F452" s="33"/>
      <c r="G452" s="33"/>
      <c r="H452" s="33"/>
      <c r="I452" s="33"/>
      <c r="J452" s="33"/>
      <c r="K452" s="33"/>
      <c r="L452" s="33"/>
      <c r="M452" s="33"/>
      <c r="N452" s="33"/>
      <c r="O452" s="33"/>
      <c r="P452" s="33"/>
      <c r="Q452" s="33"/>
      <c r="R452" s="33"/>
    </row>
    <row r="453">
      <c r="A453" s="33"/>
      <c r="B453" s="33"/>
      <c r="C453" s="33"/>
      <c r="D453" s="33"/>
      <c r="E453" s="33"/>
      <c r="F453" s="33"/>
      <c r="G453" s="33"/>
      <c r="H453" s="33"/>
      <c r="I453" s="33"/>
      <c r="J453" s="33"/>
      <c r="K453" s="33"/>
      <c r="L453" s="33"/>
      <c r="M453" s="33"/>
      <c r="N453" s="33"/>
      <c r="O453" s="33"/>
      <c r="P453" s="33"/>
      <c r="Q453" s="33"/>
      <c r="R453" s="33"/>
    </row>
    <row r="454">
      <c r="A454" s="33"/>
      <c r="B454" s="33"/>
      <c r="C454" s="33"/>
      <c r="D454" s="33"/>
      <c r="E454" s="33"/>
      <c r="F454" s="33"/>
      <c r="G454" s="33"/>
      <c r="H454" s="33"/>
      <c r="I454" s="33"/>
      <c r="J454" s="33"/>
      <c r="K454" s="33"/>
      <c r="L454" s="33"/>
      <c r="M454" s="33"/>
      <c r="N454" s="33"/>
      <c r="O454" s="33"/>
      <c r="P454" s="33"/>
      <c r="Q454" s="33"/>
      <c r="R454" s="33"/>
    </row>
    <row r="455">
      <c r="A455" s="33"/>
      <c r="B455" s="33"/>
      <c r="C455" s="33"/>
      <c r="D455" s="33"/>
      <c r="E455" s="33"/>
      <c r="F455" s="33"/>
      <c r="G455" s="33"/>
      <c r="H455" s="33"/>
      <c r="I455" s="33"/>
      <c r="J455" s="33"/>
      <c r="K455" s="33"/>
      <c r="L455" s="33"/>
      <c r="M455" s="33"/>
      <c r="N455" s="33"/>
      <c r="O455" s="33"/>
      <c r="P455" s="33"/>
      <c r="Q455" s="33"/>
      <c r="R455" s="33"/>
    </row>
    <row r="456">
      <c r="A456" s="33"/>
      <c r="B456" s="33"/>
      <c r="C456" s="33"/>
      <c r="D456" s="33"/>
      <c r="E456" s="33"/>
      <c r="F456" s="33"/>
      <c r="G456" s="33"/>
      <c r="H456" s="33"/>
      <c r="I456" s="33"/>
      <c r="J456" s="33"/>
      <c r="K456" s="33"/>
      <c r="L456" s="33"/>
      <c r="M456" s="33"/>
      <c r="N456" s="33"/>
      <c r="O456" s="33"/>
      <c r="P456" s="33"/>
      <c r="Q456" s="33"/>
      <c r="R456" s="33"/>
    </row>
    <row r="457">
      <c r="A457" s="33"/>
      <c r="B457" s="33"/>
      <c r="C457" s="33"/>
      <c r="D457" s="33"/>
      <c r="E457" s="33"/>
      <c r="F457" s="33"/>
      <c r="G457" s="33"/>
      <c r="H457" s="33"/>
      <c r="I457" s="33"/>
      <c r="J457" s="33"/>
      <c r="K457" s="33"/>
      <c r="L457" s="33"/>
      <c r="M457" s="33"/>
      <c r="N457" s="33"/>
      <c r="O457" s="33"/>
      <c r="P457" s="33"/>
      <c r="Q457" s="33"/>
      <c r="R457" s="33"/>
    </row>
    <row r="458">
      <c r="A458" s="33"/>
      <c r="B458" s="33"/>
      <c r="C458" s="33"/>
      <c r="D458" s="33"/>
      <c r="E458" s="33"/>
      <c r="F458" s="33"/>
      <c r="G458" s="33"/>
      <c r="H458" s="33"/>
      <c r="I458" s="33"/>
      <c r="J458" s="33"/>
      <c r="K458" s="33"/>
      <c r="L458" s="33"/>
      <c r="M458" s="33"/>
      <c r="N458" s="33"/>
      <c r="O458" s="33"/>
      <c r="P458" s="33"/>
      <c r="Q458" s="33"/>
      <c r="R458" s="33"/>
    </row>
    <row r="459">
      <c r="A459" s="33"/>
      <c r="B459" s="33"/>
      <c r="C459" s="33"/>
      <c r="D459" s="33"/>
      <c r="E459" s="33"/>
      <c r="F459" s="33"/>
      <c r="G459" s="33"/>
      <c r="H459" s="33"/>
      <c r="I459" s="33"/>
      <c r="J459" s="33"/>
      <c r="K459" s="33"/>
      <c r="L459" s="33"/>
      <c r="M459" s="33"/>
      <c r="N459" s="33"/>
      <c r="O459" s="33"/>
      <c r="P459" s="33"/>
      <c r="Q459" s="33"/>
      <c r="R459" s="33"/>
    </row>
    <row r="460">
      <c r="A460" s="33"/>
      <c r="B460" s="33"/>
      <c r="C460" s="33"/>
      <c r="D460" s="33"/>
      <c r="E460" s="33"/>
      <c r="F460" s="33"/>
      <c r="G460" s="33"/>
      <c r="H460" s="33"/>
      <c r="I460" s="33"/>
      <c r="J460" s="33"/>
      <c r="K460" s="33"/>
      <c r="L460" s="33"/>
      <c r="M460" s="33"/>
      <c r="N460" s="33"/>
      <c r="O460" s="33"/>
      <c r="P460" s="33"/>
      <c r="Q460" s="33"/>
      <c r="R460" s="33"/>
    </row>
    <row r="461">
      <c r="A461" s="33"/>
      <c r="B461" s="33"/>
      <c r="C461" s="33"/>
      <c r="D461" s="33"/>
      <c r="E461" s="33"/>
      <c r="F461" s="33"/>
      <c r="G461" s="33"/>
      <c r="H461" s="33"/>
      <c r="I461" s="33"/>
      <c r="J461" s="33"/>
      <c r="K461" s="33"/>
      <c r="L461" s="33"/>
      <c r="M461" s="33"/>
      <c r="N461" s="33"/>
      <c r="O461" s="33"/>
      <c r="P461" s="33"/>
      <c r="Q461" s="33"/>
      <c r="R461" s="33"/>
    </row>
    <row r="462">
      <c r="A462" s="33"/>
      <c r="B462" s="33"/>
      <c r="C462" s="33"/>
      <c r="D462" s="33"/>
      <c r="E462" s="33"/>
      <c r="F462" s="33"/>
      <c r="G462" s="33"/>
      <c r="H462" s="33"/>
      <c r="I462" s="33"/>
      <c r="J462" s="33"/>
      <c r="K462" s="33"/>
      <c r="L462" s="33"/>
      <c r="M462" s="33"/>
      <c r="N462" s="33"/>
      <c r="O462" s="33"/>
      <c r="P462" s="33"/>
      <c r="Q462" s="33"/>
      <c r="R462" s="33"/>
    </row>
    <row r="463">
      <c r="A463" s="33"/>
      <c r="B463" s="33"/>
      <c r="C463" s="33"/>
      <c r="D463" s="33"/>
      <c r="E463" s="33"/>
      <c r="F463" s="33"/>
      <c r="G463" s="33"/>
      <c r="H463" s="33"/>
      <c r="I463" s="33"/>
      <c r="J463" s="33"/>
      <c r="K463" s="33"/>
      <c r="L463" s="33"/>
      <c r="M463" s="33"/>
      <c r="N463" s="33"/>
      <c r="O463" s="33"/>
      <c r="P463" s="33"/>
      <c r="Q463" s="33"/>
      <c r="R463" s="33"/>
    </row>
    <row r="464">
      <c r="A464" s="33"/>
      <c r="B464" s="33"/>
      <c r="C464" s="33"/>
      <c r="D464" s="33"/>
      <c r="E464" s="33"/>
      <c r="F464" s="33"/>
      <c r="G464" s="33"/>
      <c r="H464" s="33"/>
      <c r="I464" s="33"/>
      <c r="J464" s="33"/>
      <c r="K464" s="33"/>
      <c r="L464" s="33"/>
      <c r="M464" s="33"/>
      <c r="N464" s="33"/>
      <c r="O464" s="33"/>
      <c r="P464" s="33"/>
      <c r="Q464" s="33"/>
      <c r="R464" s="33"/>
    </row>
    <row r="465">
      <c r="A465" s="33"/>
      <c r="B465" s="33"/>
      <c r="C465" s="33"/>
      <c r="D465" s="33"/>
      <c r="E465" s="33"/>
      <c r="F465" s="33"/>
      <c r="G465" s="33"/>
      <c r="H465" s="33"/>
      <c r="I465" s="33"/>
      <c r="J465" s="33"/>
      <c r="K465" s="33"/>
      <c r="L465" s="33"/>
      <c r="M465" s="33"/>
      <c r="N465" s="33"/>
      <c r="O465" s="33"/>
      <c r="P465" s="33"/>
      <c r="Q465" s="33"/>
      <c r="R465" s="33"/>
    </row>
    <row r="466">
      <c r="A466" s="33"/>
      <c r="B466" s="33"/>
      <c r="C466" s="33"/>
      <c r="D466" s="33"/>
      <c r="E466" s="33"/>
      <c r="F466" s="33"/>
      <c r="G466" s="33"/>
      <c r="H466" s="33"/>
      <c r="I466" s="33"/>
      <c r="J466" s="33"/>
      <c r="K466" s="33"/>
      <c r="L466" s="33"/>
      <c r="M466" s="33"/>
      <c r="N466" s="33"/>
      <c r="O466" s="33"/>
      <c r="P466" s="33"/>
      <c r="Q466" s="33"/>
      <c r="R466" s="33"/>
    </row>
    <row r="467">
      <c r="A467" s="33"/>
      <c r="B467" s="33"/>
      <c r="C467" s="33"/>
      <c r="D467" s="33"/>
      <c r="E467" s="33"/>
      <c r="F467" s="33"/>
      <c r="G467" s="33"/>
      <c r="H467" s="33"/>
      <c r="I467" s="33"/>
      <c r="J467" s="33"/>
      <c r="K467" s="33"/>
      <c r="L467" s="33"/>
      <c r="M467" s="33"/>
      <c r="N467" s="33"/>
      <c r="O467" s="33"/>
      <c r="P467" s="33"/>
      <c r="Q467" s="33"/>
      <c r="R467" s="33"/>
    </row>
    <row r="468">
      <c r="A468" s="33"/>
      <c r="B468" s="33"/>
      <c r="C468" s="33"/>
      <c r="D468" s="33"/>
      <c r="E468" s="33"/>
      <c r="F468" s="33"/>
      <c r="G468" s="33"/>
      <c r="H468" s="33"/>
      <c r="I468" s="33"/>
      <c r="J468" s="33"/>
      <c r="K468" s="33"/>
      <c r="L468" s="33"/>
      <c r="M468" s="33"/>
      <c r="N468" s="33"/>
      <c r="O468" s="33"/>
      <c r="P468" s="33"/>
      <c r="Q468" s="33"/>
      <c r="R468" s="33"/>
    </row>
    <row r="469">
      <c r="A469" s="33"/>
      <c r="B469" s="33"/>
      <c r="C469" s="33"/>
      <c r="D469" s="33"/>
      <c r="E469" s="33"/>
      <c r="F469" s="33"/>
      <c r="G469" s="33"/>
      <c r="H469" s="33"/>
      <c r="I469" s="33"/>
      <c r="J469" s="33"/>
      <c r="K469" s="33"/>
      <c r="L469" s="33"/>
      <c r="M469" s="33"/>
      <c r="N469" s="33"/>
      <c r="O469" s="33"/>
      <c r="P469" s="33"/>
      <c r="Q469" s="33"/>
      <c r="R469" s="33"/>
    </row>
    <row r="470">
      <c r="A470" s="33"/>
      <c r="B470" s="33"/>
      <c r="C470" s="33"/>
      <c r="D470" s="33"/>
      <c r="E470" s="33"/>
      <c r="F470" s="33"/>
      <c r="G470" s="33"/>
      <c r="H470" s="33"/>
      <c r="I470" s="33"/>
      <c r="J470" s="33"/>
      <c r="K470" s="33"/>
      <c r="L470" s="33"/>
      <c r="M470" s="33"/>
      <c r="N470" s="33"/>
      <c r="O470" s="33"/>
      <c r="P470" s="33"/>
      <c r="Q470" s="33"/>
      <c r="R470" s="33"/>
    </row>
    <row r="471">
      <c r="A471" s="33"/>
      <c r="B471" s="33"/>
      <c r="C471" s="33"/>
      <c r="D471" s="33"/>
      <c r="E471" s="33"/>
      <c r="F471" s="33"/>
      <c r="G471" s="33"/>
      <c r="H471" s="33"/>
      <c r="I471" s="33"/>
      <c r="J471" s="33"/>
      <c r="K471" s="33"/>
      <c r="L471" s="33"/>
      <c r="M471" s="33"/>
      <c r="N471" s="33"/>
      <c r="O471" s="33"/>
      <c r="P471" s="33"/>
      <c r="Q471" s="33"/>
      <c r="R471" s="33"/>
    </row>
    <row r="472">
      <c r="A472" s="33"/>
      <c r="B472" s="33"/>
      <c r="C472" s="33"/>
      <c r="D472" s="33"/>
      <c r="E472" s="33"/>
      <c r="F472" s="33"/>
      <c r="G472" s="33"/>
      <c r="H472" s="33"/>
      <c r="I472" s="33"/>
      <c r="J472" s="33"/>
      <c r="K472" s="33"/>
      <c r="L472" s="33"/>
      <c r="M472" s="33"/>
      <c r="N472" s="33"/>
      <c r="O472" s="33"/>
      <c r="P472" s="33"/>
      <c r="Q472" s="33"/>
      <c r="R472" s="33"/>
    </row>
    <row r="473">
      <c r="A473" s="33"/>
      <c r="B473" s="33"/>
      <c r="C473" s="33"/>
      <c r="D473" s="33"/>
      <c r="E473" s="33"/>
      <c r="F473" s="33"/>
      <c r="G473" s="33"/>
      <c r="H473" s="33"/>
      <c r="I473" s="33"/>
      <c r="J473" s="33"/>
      <c r="K473" s="33"/>
      <c r="L473" s="33"/>
      <c r="M473" s="33"/>
      <c r="N473" s="33"/>
      <c r="O473" s="33"/>
      <c r="P473" s="33"/>
      <c r="Q473" s="33"/>
      <c r="R473" s="33"/>
    </row>
    <row r="474">
      <c r="A474" s="33"/>
      <c r="B474" s="33"/>
      <c r="C474" s="33"/>
      <c r="D474" s="33"/>
      <c r="E474" s="33"/>
      <c r="F474" s="33"/>
      <c r="G474" s="33"/>
      <c r="H474" s="33"/>
      <c r="I474" s="33"/>
      <c r="J474" s="33"/>
      <c r="K474" s="33"/>
      <c r="L474" s="33"/>
      <c r="M474" s="33"/>
      <c r="N474" s="33"/>
      <c r="O474" s="33"/>
      <c r="P474" s="33"/>
      <c r="Q474" s="33"/>
      <c r="R474" s="33"/>
    </row>
    <row r="475">
      <c r="A475" s="33"/>
      <c r="B475" s="33"/>
      <c r="C475" s="33"/>
      <c r="D475" s="33"/>
      <c r="E475" s="33"/>
      <c r="F475" s="33"/>
      <c r="G475" s="33"/>
      <c r="H475" s="33"/>
      <c r="I475" s="33"/>
      <c r="J475" s="33"/>
      <c r="K475" s="33"/>
      <c r="L475" s="33"/>
      <c r="M475" s="33"/>
      <c r="N475" s="33"/>
      <c r="O475" s="33"/>
      <c r="P475" s="33"/>
      <c r="Q475" s="33"/>
      <c r="R475" s="33"/>
    </row>
    <row r="476">
      <c r="A476" s="33"/>
      <c r="B476" s="33"/>
      <c r="C476" s="33"/>
      <c r="D476" s="33"/>
      <c r="E476" s="33"/>
      <c r="F476" s="33"/>
      <c r="G476" s="33"/>
      <c r="H476" s="33"/>
      <c r="I476" s="33"/>
      <c r="J476" s="33"/>
      <c r="K476" s="33"/>
      <c r="L476" s="33"/>
      <c r="M476" s="33"/>
      <c r="N476" s="33"/>
      <c r="O476" s="33"/>
      <c r="P476" s="33"/>
      <c r="Q476" s="33"/>
      <c r="R476" s="33"/>
    </row>
    <row r="477">
      <c r="A477" s="33"/>
      <c r="B477" s="33"/>
      <c r="C477" s="33"/>
      <c r="D477" s="33"/>
      <c r="E477" s="33"/>
      <c r="F477" s="33"/>
      <c r="G477" s="33"/>
      <c r="H477" s="33"/>
      <c r="I477" s="33"/>
      <c r="J477" s="33"/>
      <c r="K477" s="33"/>
      <c r="L477" s="33"/>
      <c r="M477" s="33"/>
      <c r="N477" s="33"/>
      <c r="O477" s="33"/>
      <c r="P477" s="33"/>
      <c r="Q477" s="33"/>
      <c r="R477" s="33"/>
    </row>
    <row r="478">
      <c r="A478" s="33"/>
      <c r="B478" s="33"/>
      <c r="C478" s="33"/>
      <c r="D478" s="33"/>
      <c r="E478" s="33"/>
      <c r="F478" s="33"/>
      <c r="G478" s="33"/>
      <c r="H478" s="33"/>
      <c r="I478" s="33"/>
      <c r="J478" s="33"/>
      <c r="K478" s="33"/>
      <c r="L478" s="33"/>
      <c r="M478" s="33"/>
      <c r="N478" s="33"/>
      <c r="O478" s="33"/>
      <c r="P478" s="33"/>
      <c r="Q478" s="33"/>
      <c r="R478" s="33"/>
    </row>
    <row r="479">
      <c r="A479" s="33"/>
      <c r="B479" s="33"/>
      <c r="C479" s="33"/>
      <c r="D479" s="33"/>
      <c r="E479" s="33"/>
      <c r="F479" s="33"/>
      <c r="G479" s="33"/>
      <c r="H479" s="33"/>
      <c r="I479" s="33"/>
      <c r="J479" s="33"/>
      <c r="K479" s="33"/>
      <c r="L479" s="33"/>
      <c r="M479" s="33"/>
      <c r="N479" s="33"/>
      <c r="O479" s="33"/>
      <c r="P479" s="33"/>
      <c r="Q479" s="33"/>
      <c r="R479" s="33"/>
    </row>
    <row r="480">
      <c r="A480" s="33"/>
      <c r="B480" s="33"/>
      <c r="C480" s="33"/>
      <c r="D480" s="33"/>
      <c r="E480" s="33"/>
      <c r="F480" s="33"/>
      <c r="G480" s="33"/>
      <c r="H480" s="33"/>
      <c r="I480" s="33"/>
      <c r="J480" s="33"/>
      <c r="K480" s="33"/>
      <c r="L480" s="33"/>
      <c r="M480" s="33"/>
      <c r="N480" s="33"/>
      <c r="O480" s="33"/>
      <c r="P480" s="33"/>
      <c r="Q480" s="33"/>
      <c r="R480" s="33"/>
    </row>
    <row r="481">
      <c r="A481" s="33"/>
      <c r="B481" s="33"/>
      <c r="C481" s="33"/>
      <c r="D481" s="33"/>
      <c r="E481" s="33"/>
      <c r="F481" s="33"/>
      <c r="G481" s="33"/>
      <c r="H481" s="33"/>
      <c r="I481" s="33"/>
      <c r="J481" s="33"/>
      <c r="K481" s="33"/>
      <c r="L481" s="33"/>
      <c r="M481" s="33"/>
      <c r="N481" s="33"/>
      <c r="O481" s="33"/>
      <c r="P481" s="33"/>
      <c r="Q481" s="33"/>
      <c r="R481" s="33"/>
    </row>
    <row r="482">
      <c r="A482" s="33"/>
      <c r="B482" s="33"/>
      <c r="C482" s="33"/>
      <c r="D482" s="33"/>
      <c r="E482" s="33"/>
      <c r="F482" s="33"/>
      <c r="G482" s="33"/>
      <c r="H482" s="33"/>
      <c r="I482" s="33"/>
      <c r="J482" s="33"/>
      <c r="K482" s="33"/>
      <c r="L482" s="33"/>
      <c r="M482" s="33"/>
      <c r="N482" s="33"/>
      <c r="O482" s="33"/>
      <c r="P482" s="33"/>
      <c r="Q482" s="33"/>
      <c r="R482" s="33"/>
    </row>
    <row r="483">
      <c r="A483" s="33"/>
      <c r="B483" s="33"/>
      <c r="C483" s="33"/>
      <c r="D483" s="33"/>
      <c r="E483" s="33"/>
      <c r="F483" s="33"/>
      <c r="G483" s="33"/>
      <c r="H483" s="33"/>
      <c r="I483" s="33"/>
      <c r="J483" s="33"/>
      <c r="K483" s="33"/>
      <c r="L483" s="33"/>
      <c r="M483" s="33"/>
      <c r="N483" s="33"/>
      <c r="O483" s="33"/>
      <c r="P483" s="33"/>
      <c r="Q483" s="33"/>
      <c r="R483" s="33"/>
    </row>
    <row r="484">
      <c r="A484" s="33"/>
      <c r="B484" s="33"/>
      <c r="C484" s="33"/>
      <c r="D484" s="33"/>
      <c r="E484" s="33"/>
      <c r="F484" s="33"/>
      <c r="G484" s="33"/>
      <c r="H484" s="33"/>
      <c r="I484" s="33"/>
      <c r="J484" s="33"/>
      <c r="K484" s="33"/>
      <c r="L484" s="33"/>
      <c r="M484" s="33"/>
      <c r="N484" s="33"/>
      <c r="O484" s="33"/>
      <c r="P484" s="33"/>
      <c r="Q484" s="33"/>
      <c r="R484" s="33"/>
    </row>
    <row r="485">
      <c r="A485" s="33"/>
      <c r="B485" s="33"/>
      <c r="C485" s="33"/>
      <c r="D485" s="33"/>
      <c r="E485" s="33"/>
      <c r="F485" s="33"/>
      <c r="G485" s="33"/>
      <c r="H485" s="33"/>
      <c r="I485" s="33"/>
      <c r="J485" s="33"/>
      <c r="K485" s="33"/>
      <c r="L485" s="33"/>
      <c r="M485" s="33"/>
      <c r="N485" s="33"/>
      <c r="O485" s="33"/>
      <c r="P485" s="33"/>
      <c r="Q485" s="33"/>
      <c r="R485" s="33"/>
    </row>
    <row r="486">
      <c r="A486" s="33"/>
      <c r="B486" s="33"/>
      <c r="C486" s="33"/>
      <c r="D486" s="33"/>
      <c r="E486" s="33"/>
      <c r="F486" s="33"/>
      <c r="G486" s="33"/>
      <c r="H486" s="33"/>
      <c r="I486" s="33"/>
      <c r="J486" s="33"/>
      <c r="K486" s="33"/>
      <c r="L486" s="33"/>
      <c r="M486" s="33"/>
      <c r="N486" s="33"/>
      <c r="O486" s="33"/>
      <c r="P486" s="33"/>
      <c r="Q486" s="33"/>
      <c r="R486" s="33"/>
    </row>
    <row r="487">
      <c r="A487" s="33"/>
      <c r="B487" s="33"/>
      <c r="C487" s="33"/>
      <c r="D487" s="33"/>
      <c r="E487" s="33"/>
      <c r="F487" s="33"/>
      <c r="G487" s="33"/>
      <c r="H487" s="33"/>
      <c r="I487" s="33"/>
      <c r="J487" s="33"/>
      <c r="K487" s="33"/>
      <c r="L487" s="33"/>
      <c r="M487" s="33"/>
      <c r="N487" s="33"/>
      <c r="O487" s="33"/>
      <c r="P487" s="33"/>
      <c r="Q487" s="33"/>
      <c r="R487" s="33"/>
    </row>
    <row r="488">
      <c r="A488" s="33"/>
      <c r="B488" s="33"/>
      <c r="C488" s="33"/>
      <c r="D488" s="33"/>
      <c r="E488" s="33"/>
      <c r="F488" s="33"/>
      <c r="G488" s="33"/>
      <c r="H488" s="33"/>
      <c r="I488" s="33"/>
      <c r="J488" s="33"/>
      <c r="K488" s="33"/>
      <c r="L488" s="33"/>
      <c r="M488" s="33"/>
      <c r="N488" s="33"/>
      <c r="O488" s="33"/>
      <c r="P488" s="33"/>
      <c r="Q488" s="33"/>
      <c r="R488" s="33"/>
    </row>
    <row r="489">
      <c r="A489" s="33"/>
      <c r="B489" s="33"/>
      <c r="C489" s="33"/>
      <c r="D489" s="33"/>
      <c r="E489" s="33"/>
      <c r="F489" s="33"/>
      <c r="G489" s="33"/>
      <c r="H489" s="33"/>
      <c r="I489" s="33"/>
      <c r="J489" s="33"/>
      <c r="K489" s="33"/>
      <c r="L489" s="33"/>
      <c r="M489" s="33"/>
      <c r="N489" s="33"/>
      <c r="O489" s="33"/>
      <c r="P489" s="33"/>
      <c r="Q489" s="33"/>
      <c r="R489" s="33"/>
    </row>
    <row r="490">
      <c r="A490" s="33"/>
      <c r="B490" s="33"/>
      <c r="C490" s="33"/>
      <c r="D490" s="33"/>
      <c r="E490" s="33"/>
      <c r="F490" s="33"/>
      <c r="G490" s="33"/>
      <c r="H490" s="33"/>
      <c r="I490" s="33"/>
      <c r="J490" s="33"/>
      <c r="K490" s="33"/>
      <c r="L490" s="33"/>
      <c r="M490" s="33"/>
      <c r="N490" s="33"/>
      <c r="O490" s="33"/>
      <c r="P490" s="33"/>
      <c r="Q490" s="33"/>
      <c r="R490" s="33"/>
    </row>
    <row r="491">
      <c r="A491" s="33"/>
      <c r="B491" s="33"/>
      <c r="C491" s="33"/>
      <c r="D491" s="33"/>
      <c r="E491" s="33"/>
      <c r="F491" s="33"/>
      <c r="G491" s="33"/>
      <c r="H491" s="33"/>
      <c r="I491" s="33"/>
      <c r="J491" s="33"/>
      <c r="K491" s="33"/>
      <c r="L491" s="33"/>
      <c r="M491" s="33"/>
      <c r="N491" s="33"/>
      <c r="O491" s="33"/>
      <c r="P491" s="33"/>
      <c r="Q491" s="33"/>
      <c r="R491" s="33"/>
    </row>
    <row r="492">
      <c r="A492" s="33"/>
      <c r="B492" s="33"/>
      <c r="C492" s="33"/>
      <c r="D492" s="33"/>
      <c r="E492" s="33"/>
      <c r="F492" s="33"/>
      <c r="G492" s="33"/>
      <c r="H492" s="33"/>
      <c r="I492" s="33"/>
      <c r="J492" s="33"/>
      <c r="K492" s="33"/>
      <c r="L492" s="33"/>
      <c r="M492" s="33"/>
      <c r="N492" s="33"/>
      <c r="O492" s="33"/>
      <c r="P492" s="33"/>
      <c r="Q492" s="33"/>
      <c r="R492" s="33"/>
    </row>
    <row r="493">
      <c r="A493" s="33"/>
      <c r="B493" s="33"/>
      <c r="C493" s="33"/>
      <c r="D493" s="33"/>
      <c r="E493" s="33"/>
      <c r="F493" s="33"/>
      <c r="G493" s="33"/>
      <c r="H493" s="33"/>
      <c r="I493" s="33"/>
      <c r="J493" s="33"/>
      <c r="K493" s="33"/>
      <c r="L493" s="33"/>
      <c r="M493" s="33"/>
      <c r="N493" s="33"/>
      <c r="O493" s="33"/>
      <c r="P493" s="33"/>
      <c r="Q493" s="33"/>
      <c r="R493" s="33"/>
    </row>
    <row r="494">
      <c r="A494" s="33"/>
      <c r="B494" s="33"/>
      <c r="C494" s="33"/>
      <c r="D494" s="33"/>
      <c r="E494" s="33"/>
      <c r="F494" s="33"/>
      <c r="G494" s="33"/>
      <c r="H494" s="33"/>
      <c r="I494" s="33"/>
      <c r="J494" s="33"/>
      <c r="K494" s="33"/>
      <c r="L494" s="33"/>
      <c r="M494" s="33"/>
      <c r="N494" s="33"/>
      <c r="O494" s="33"/>
      <c r="P494" s="33"/>
      <c r="Q494" s="33"/>
      <c r="R494" s="33"/>
    </row>
    <row r="495">
      <c r="A495" s="33"/>
      <c r="B495" s="33"/>
      <c r="C495" s="33"/>
      <c r="D495" s="33"/>
      <c r="E495" s="33"/>
      <c r="F495" s="33"/>
      <c r="G495" s="33"/>
      <c r="H495" s="33"/>
      <c r="I495" s="33"/>
      <c r="J495" s="33"/>
      <c r="K495" s="33"/>
      <c r="L495" s="33"/>
      <c r="M495" s="33"/>
      <c r="N495" s="33"/>
      <c r="O495" s="33"/>
      <c r="P495" s="33"/>
      <c r="Q495" s="33"/>
      <c r="R495" s="33"/>
    </row>
    <row r="496">
      <c r="A496" s="33"/>
      <c r="B496" s="33"/>
      <c r="C496" s="33"/>
      <c r="D496" s="33"/>
      <c r="E496" s="33"/>
      <c r="F496" s="33"/>
      <c r="G496" s="33"/>
      <c r="H496" s="33"/>
      <c r="I496" s="33"/>
      <c r="J496" s="33"/>
      <c r="K496" s="33"/>
      <c r="L496" s="33"/>
      <c r="M496" s="33"/>
      <c r="N496" s="33"/>
      <c r="O496" s="33"/>
      <c r="P496" s="33"/>
      <c r="Q496" s="33"/>
      <c r="R496" s="33"/>
    </row>
    <row r="497">
      <c r="A497" s="33"/>
      <c r="B497" s="33"/>
      <c r="C497" s="33"/>
      <c r="D497" s="33"/>
      <c r="E497" s="33"/>
      <c r="F497" s="33"/>
      <c r="G497" s="33"/>
      <c r="H497" s="33"/>
      <c r="I497" s="33"/>
      <c r="J497" s="33"/>
      <c r="K497" s="33"/>
      <c r="L497" s="33"/>
      <c r="M497" s="33"/>
      <c r="N497" s="33"/>
      <c r="O497" s="33"/>
      <c r="P497" s="33"/>
      <c r="Q497" s="33"/>
      <c r="R497" s="33"/>
    </row>
    <row r="498">
      <c r="A498" s="33"/>
      <c r="B498" s="33"/>
      <c r="C498" s="33"/>
      <c r="D498" s="33"/>
      <c r="E498" s="33"/>
      <c r="F498" s="33"/>
      <c r="G498" s="33"/>
      <c r="H498" s="33"/>
      <c r="I498" s="33"/>
      <c r="J498" s="33"/>
      <c r="K498" s="33"/>
      <c r="L498" s="33"/>
      <c r="M498" s="33"/>
      <c r="N498" s="33"/>
      <c r="O498" s="33"/>
      <c r="P498" s="33"/>
      <c r="Q498" s="33"/>
      <c r="R498" s="33"/>
    </row>
    <row r="499">
      <c r="A499" s="33"/>
      <c r="B499" s="33"/>
      <c r="C499" s="33"/>
      <c r="D499" s="33"/>
      <c r="E499" s="33"/>
      <c r="F499" s="33"/>
      <c r="G499" s="33"/>
      <c r="H499" s="33"/>
      <c r="I499" s="33"/>
      <c r="J499" s="33"/>
      <c r="K499" s="33"/>
      <c r="L499" s="33"/>
      <c r="M499" s="33"/>
      <c r="N499" s="33"/>
      <c r="O499" s="33"/>
      <c r="P499" s="33"/>
      <c r="Q499" s="33"/>
      <c r="R499" s="33"/>
    </row>
    <row r="500">
      <c r="A500" s="33"/>
      <c r="B500" s="33"/>
      <c r="C500" s="33"/>
      <c r="D500" s="33"/>
      <c r="E500" s="33"/>
      <c r="F500" s="33"/>
      <c r="G500" s="33"/>
      <c r="H500" s="33"/>
      <c r="I500" s="33"/>
      <c r="J500" s="33"/>
      <c r="K500" s="33"/>
      <c r="L500" s="33"/>
      <c r="M500" s="33"/>
      <c r="N500" s="33"/>
      <c r="O500" s="33"/>
      <c r="P500" s="33"/>
      <c r="Q500" s="33"/>
      <c r="R500" s="33"/>
    </row>
    <row r="501">
      <c r="A501" s="33"/>
      <c r="B501" s="33"/>
      <c r="C501" s="33"/>
      <c r="D501" s="33"/>
      <c r="E501" s="33"/>
      <c r="F501" s="33"/>
      <c r="G501" s="33"/>
      <c r="H501" s="33"/>
      <c r="I501" s="33"/>
      <c r="J501" s="33"/>
      <c r="K501" s="33"/>
      <c r="L501" s="33"/>
      <c r="M501" s="33"/>
      <c r="N501" s="33"/>
      <c r="O501" s="33"/>
      <c r="P501" s="33"/>
      <c r="Q501" s="33"/>
      <c r="R501" s="33"/>
    </row>
    <row r="502">
      <c r="A502" s="33"/>
      <c r="B502" s="33"/>
      <c r="C502" s="33"/>
      <c r="D502" s="33"/>
      <c r="E502" s="33"/>
      <c r="F502" s="33"/>
      <c r="G502" s="33"/>
      <c r="H502" s="33"/>
      <c r="I502" s="33"/>
      <c r="J502" s="33"/>
      <c r="K502" s="33"/>
      <c r="L502" s="33"/>
      <c r="M502" s="33"/>
      <c r="N502" s="33"/>
      <c r="O502" s="33"/>
      <c r="P502" s="33"/>
      <c r="Q502" s="33"/>
      <c r="R502" s="33"/>
    </row>
    <row r="503">
      <c r="A503" s="33"/>
      <c r="B503" s="33"/>
      <c r="C503" s="33"/>
      <c r="D503" s="33"/>
      <c r="E503" s="33"/>
      <c r="F503" s="33"/>
      <c r="G503" s="33"/>
      <c r="H503" s="33"/>
      <c r="I503" s="33"/>
      <c r="J503" s="33"/>
      <c r="K503" s="33"/>
      <c r="L503" s="33"/>
      <c r="M503" s="33"/>
      <c r="N503" s="33"/>
      <c r="O503" s="33"/>
      <c r="P503" s="33"/>
      <c r="Q503" s="33"/>
      <c r="R503" s="33"/>
    </row>
    <row r="504">
      <c r="A504" s="33"/>
      <c r="B504" s="33"/>
      <c r="C504" s="33"/>
      <c r="D504" s="33"/>
      <c r="E504" s="33"/>
      <c r="F504" s="33"/>
      <c r="G504" s="33"/>
      <c r="H504" s="33"/>
      <c r="I504" s="33"/>
      <c r="J504" s="33"/>
      <c r="K504" s="33"/>
      <c r="L504" s="33"/>
      <c r="M504" s="33"/>
      <c r="N504" s="33"/>
      <c r="O504" s="33"/>
      <c r="P504" s="33"/>
      <c r="Q504" s="33"/>
      <c r="R504" s="33"/>
    </row>
    <row r="505">
      <c r="A505" s="33"/>
      <c r="B505" s="33"/>
      <c r="C505" s="33"/>
      <c r="D505" s="33"/>
      <c r="E505" s="33"/>
      <c r="F505" s="33"/>
      <c r="G505" s="33"/>
      <c r="H505" s="33"/>
      <c r="I505" s="33"/>
      <c r="J505" s="33"/>
      <c r="K505" s="33"/>
      <c r="L505" s="33"/>
      <c r="M505" s="33"/>
      <c r="N505" s="33"/>
      <c r="O505" s="33"/>
      <c r="P505" s="33"/>
      <c r="Q505" s="33"/>
      <c r="R505" s="33"/>
    </row>
    <row r="506">
      <c r="A506" s="33"/>
      <c r="B506" s="33"/>
      <c r="C506" s="33"/>
      <c r="D506" s="33"/>
      <c r="E506" s="33"/>
      <c r="F506" s="33"/>
      <c r="G506" s="33"/>
      <c r="H506" s="33"/>
      <c r="I506" s="33"/>
      <c r="J506" s="33"/>
      <c r="K506" s="33"/>
      <c r="L506" s="33"/>
      <c r="M506" s="33"/>
      <c r="N506" s="33"/>
      <c r="O506" s="33"/>
      <c r="P506" s="33"/>
      <c r="Q506" s="33"/>
      <c r="R506" s="33"/>
    </row>
    <row r="507">
      <c r="A507" s="33"/>
      <c r="B507" s="33"/>
      <c r="C507" s="33"/>
      <c r="D507" s="33"/>
      <c r="E507" s="33"/>
      <c r="F507" s="33"/>
      <c r="G507" s="33"/>
      <c r="H507" s="33"/>
      <c r="I507" s="33"/>
      <c r="J507" s="33"/>
      <c r="K507" s="33"/>
      <c r="L507" s="33"/>
      <c r="M507" s="33"/>
      <c r="N507" s="33"/>
      <c r="O507" s="33"/>
      <c r="P507" s="33"/>
      <c r="Q507" s="33"/>
      <c r="R507" s="33"/>
    </row>
    <row r="508">
      <c r="A508" s="33"/>
      <c r="B508" s="33"/>
      <c r="C508" s="33"/>
      <c r="D508" s="33"/>
      <c r="E508" s="33"/>
      <c r="F508" s="33"/>
      <c r="G508" s="33"/>
      <c r="H508" s="33"/>
      <c r="I508" s="33"/>
      <c r="J508" s="33"/>
      <c r="K508" s="33"/>
      <c r="L508" s="33"/>
      <c r="M508" s="33"/>
      <c r="N508" s="33"/>
      <c r="O508" s="33"/>
      <c r="P508" s="33"/>
      <c r="Q508" s="33"/>
      <c r="R508" s="33"/>
    </row>
    <row r="509">
      <c r="A509" s="33"/>
      <c r="B509" s="33"/>
      <c r="C509" s="33"/>
      <c r="D509" s="33"/>
      <c r="E509" s="33"/>
      <c r="F509" s="33"/>
      <c r="G509" s="33"/>
      <c r="H509" s="33"/>
      <c r="I509" s="33"/>
      <c r="J509" s="33"/>
      <c r="K509" s="33"/>
      <c r="L509" s="33"/>
      <c r="M509" s="33"/>
      <c r="N509" s="33"/>
      <c r="O509" s="33"/>
      <c r="P509" s="33"/>
      <c r="Q509" s="33"/>
      <c r="R509" s="33"/>
    </row>
    <row r="510">
      <c r="A510" s="33"/>
      <c r="B510" s="33"/>
      <c r="C510" s="33"/>
      <c r="D510" s="33"/>
      <c r="E510" s="33"/>
      <c r="F510" s="33"/>
      <c r="G510" s="33"/>
      <c r="H510" s="33"/>
      <c r="I510" s="33"/>
      <c r="J510" s="33"/>
      <c r="K510" s="33"/>
      <c r="L510" s="33"/>
      <c r="M510" s="33"/>
      <c r="N510" s="33"/>
      <c r="O510" s="33"/>
      <c r="P510" s="33"/>
      <c r="Q510" s="33"/>
      <c r="R510" s="33"/>
    </row>
    <row r="511">
      <c r="A511" s="33"/>
      <c r="B511" s="33"/>
      <c r="C511" s="33"/>
      <c r="D511" s="33"/>
      <c r="E511" s="33"/>
      <c r="F511" s="33"/>
      <c r="G511" s="33"/>
      <c r="H511" s="33"/>
      <c r="I511" s="33"/>
      <c r="J511" s="33"/>
      <c r="K511" s="33"/>
      <c r="L511" s="33"/>
      <c r="M511" s="33"/>
      <c r="N511" s="33"/>
      <c r="O511" s="33"/>
      <c r="P511" s="33"/>
      <c r="Q511" s="33"/>
      <c r="R511" s="33"/>
    </row>
    <row r="512">
      <c r="A512" s="33"/>
      <c r="B512" s="33"/>
      <c r="C512" s="33"/>
      <c r="D512" s="33"/>
      <c r="E512" s="33"/>
      <c r="F512" s="33"/>
      <c r="G512" s="33"/>
      <c r="H512" s="33"/>
      <c r="I512" s="33"/>
      <c r="J512" s="33"/>
      <c r="K512" s="33"/>
      <c r="L512" s="33"/>
      <c r="M512" s="33"/>
      <c r="N512" s="33"/>
      <c r="O512" s="33"/>
      <c r="P512" s="33"/>
      <c r="Q512" s="33"/>
      <c r="R512" s="33"/>
    </row>
    <row r="513">
      <c r="A513" s="33"/>
      <c r="B513" s="33"/>
      <c r="C513" s="33"/>
      <c r="D513" s="33"/>
      <c r="E513" s="33"/>
      <c r="F513" s="33"/>
      <c r="G513" s="33"/>
      <c r="H513" s="33"/>
      <c r="I513" s="33"/>
      <c r="J513" s="33"/>
      <c r="K513" s="33"/>
      <c r="L513" s="33"/>
      <c r="M513" s="33"/>
      <c r="N513" s="33"/>
      <c r="O513" s="33"/>
      <c r="P513" s="33"/>
      <c r="Q513" s="33"/>
      <c r="R513" s="33"/>
    </row>
    <row r="514">
      <c r="A514" s="33"/>
      <c r="B514" s="33"/>
      <c r="C514" s="33"/>
      <c r="D514" s="33"/>
      <c r="E514" s="33"/>
      <c r="F514" s="33"/>
      <c r="G514" s="33"/>
      <c r="H514" s="33"/>
      <c r="I514" s="33"/>
      <c r="J514" s="33"/>
      <c r="K514" s="33"/>
      <c r="L514" s="33"/>
      <c r="M514" s="33"/>
      <c r="N514" s="33"/>
      <c r="O514" s="33"/>
      <c r="P514" s="33"/>
      <c r="Q514" s="33"/>
      <c r="R514" s="33"/>
    </row>
    <row r="515">
      <c r="A515" s="33"/>
      <c r="B515" s="33"/>
      <c r="C515" s="33"/>
      <c r="D515" s="33"/>
      <c r="E515" s="33"/>
      <c r="F515" s="33"/>
      <c r="G515" s="33"/>
      <c r="H515" s="33"/>
      <c r="I515" s="33"/>
      <c r="J515" s="33"/>
      <c r="K515" s="33"/>
      <c r="L515" s="33"/>
      <c r="M515" s="33"/>
      <c r="N515" s="33"/>
      <c r="O515" s="33"/>
      <c r="P515" s="33"/>
      <c r="Q515" s="33"/>
      <c r="R515" s="33"/>
    </row>
    <row r="516">
      <c r="A516" s="33"/>
      <c r="B516" s="33"/>
      <c r="C516" s="33"/>
      <c r="D516" s="33"/>
      <c r="E516" s="33"/>
      <c r="F516" s="33"/>
      <c r="G516" s="33"/>
      <c r="H516" s="33"/>
      <c r="I516" s="33"/>
      <c r="J516" s="33"/>
      <c r="K516" s="33"/>
      <c r="L516" s="33"/>
      <c r="M516" s="33"/>
      <c r="N516" s="33"/>
      <c r="O516" s="33"/>
      <c r="P516" s="33"/>
      <c r="Q516" s="33"/>
      <c r="R516" s="33"/>
    </row>
    <row r="517">
      <c r="A517" s="33"/>
      <c r="B517" s="33"/>
      <c r="C517" s="33"/>
      <c r="D517" s="33"/>
      <c r="E517" s="33"/>
      <c r="F517" s="33"/>
      <c r="G517" s="33"/>
      <c r="H517" s="33"/>
      <c r="I517" s="33"/>
      <c r="J517" s="33"/>
      <c r="K517" s="33"/>
      <c r="L517" s="33"/>
      <c r="M517" s="33"/>
      <c r="N517" s="33"/>
      <c r="O517" s="33"/>
      <c r="P517" s="33"/>
      <c r="Q517" s="33"/>
      <c r="R517" s="33"/>
    </row>
    <row r="518">
      <c r="A518" s="33"/>
      <c r="B518" s="33"/>
      <c r="C518" s="33"/>
      <c r="D518" s="33"/>
      <c r="E518" s="33"/>
      <c r="F518" s="33"/>
      <c r="G518" s="33"/>
      <c r="H518" s="33"/>
      <c r="I518" s="33"/>
      <c r="J518" s="33"/>
      <c r="K518" s="33"/>
      <c r="L518" s="33"/>
      <c r="M518" s="33"/>
      <c r="N518" s="33"/>
      <c r="O518" s="33"/>
      <c r="P518" s="33"/>
      <c r="Q518" s="33"/>
      <c r="R518" s="33"/>
    </row>
    <row r="519">
      <c r="A519" s="33"/>
      <c r="B519" s="33"/>
      <c r="C519" s="33"/>
      <c r="D519" s="33"/>
      <c r="E519" s="33"/>
      <c r="F519" s="33"/>
      <c r="G519" s="33"/>
      <c r="H519" s="33"/>
      <c r="I519" s="33"/>
      <c r="J519" s="33"/>
      <c r="K519" s="33"/>
      <c r="L519" s="33"/>
      <c r="M519" s="33"/>
      <c r="N519" s="33"/>
      <c r="O519" s="33"/>
      <c r="P519" s="33"/>
      <c r="Q519" s="33"/>
      <c r="R519" s="33"/>
    </row>
    <row r="520">
      <c r="A520" s="33"/>
      <c r="B520" s="33"/>
      <c r="C520" s="33"/>
      <c r="D520" s="33"/>
      <c r="E520" s="33"/>
      <c r="F520" s="33"/>
      <c r="G520" s="33"/>
      <c r="H520" s="33"/>
      <c r="I520" s="33"/>
      <c r="J520" s="33"/>
      <c r="K520" s="33"/>
      <c r="L520" s="33"/>
      <c r="M520" s="33"/>
      <c r="N520" s="33"/>
      <c r="O520" s="33"/>
      <c r="P520" s="33"/>
      <c r="Q520" s="33"/>
      <c r="R520" s="33"/>
    </row>
    <row r="521">
      <c r="A521" s="33"/>
      <c r="B521" s="33"/>
      <c r="C521" s="33"/>
      <c r="D521" s="33"/>
      <c r="E521" s="33"/>
      <c r="F521" s="33"/>
      <c r="G521" s="33"/>
      <c r="H521" s="33"/>
      <c r="I521" s="33"/>
      <c r="J521" s="33"/>
      <c r="K521" s="33"/>
      <c r="L521" s="33"/>
      <c r="M521" s="33"/>
      <c r="N521" s="33"/>
      <c r="O521" s="33"/>
      <c r="P521" s="33"/>
      <c r="Q521" s="33"/>
      <c r="R521" s="33"/>
    </row>
    <row r="522">
      <c r="A522" s="33"/>
      <c r="B522" s="33"/>
      <c r="C522" s="33"/>
      <c r="D522" s="33"/>
      <c r="E522" s="33"/>
      <c r="F522" s="33"/>
      <c r="G522" s="33"/>
      <c r="H522" s="33"/>
      <c r="I522" s="33"/>
      <c r="J522" s="33"/>
      <c r="K522" s="33"/>
      <c r="L522" s="33"/>
      <c r="M522" s="33"/>
      <c r="N522" s="33"/>
      <c r="O522" s="33"/>
      <c r="P522" s="33"/>
      <c r="Q522" s="33"/>
      <c r="R522" s="33"/>
    </row>
    <row r="523">
      <c r="A523" s="33"/>
      <c r="B523" s="33"/>
      <c r="C523" s="33"/>
      <c r="D523" s="33"/>
      <c r="E523" s="33"/>
      <c r="F523" s="33"/>
      <c r="G523" s="33"/>
      <c r="H523" s="33"/>
      <c r="I523" s="33"/>
      <c r="J523" s="33"/>
      <c r="K523" s="33"/>
      <c r="L523" s="33"/>
      <c r="M523" s="33"/>
      <c r="N523" s="33"/>
      <c r="O523" s="33"/>
      <c r="P523" s="33"/>
      <c r="Q523" s="33"/>
      <c r="R523" s="33"/>
    </row>
    <row r="524">
      <c r="A524" s="33"/>
      <c r="B524" s="33"/>
      <c r="C524" s="33"/>
      <c r="D524" s="33"/>
      <c r="E524" s="33"/>
      <c r="F524" s="33"/>
      <c r="G524" s="33"/>
      <c r="H524" s="33"/>
      <c r="I524" s="33"/>
      <c r="J524" s="33"/>
      <c r="K524" s="33"/>
      <c r="L524" s="33"/>
      <c r="M524" s="33"/>
      <c r="N524" s="33"/>
      <c r="O524" s="33"/>
      <c r="P524" s="33"/>
      <c r="Q524" s="33"/>
      <c r="R524" s="33"/>
    </row>
    <row r="525">
      <c r="A525" s="33"/>
      <c r="B525" s="33"/>
      <c r="C525" s="33"/>
      <c r="D525" s="33"/>
      <c r="E525" s="33"/>
      <c r="F525" s="33"/>
      <c r="G525" s="33"/>
      <c r="H525" s="33"/>
      <c r="I525" s="33"/>
      <c r="J525" s="33"/>
      <c r="K525" s="33"/>
      <c r="L525" s="33"/>
      <c r="M525" s="33"/>
      <c r="N525" s="33"/>
      <c r="O525" s="33"/>
      <c r="P525" s="33"/>
      <c r="Q525" s="33"/>
      <c r="R525" s="33"/>
    </row>
    <row r="526">
      <c r="A526" s="33"/>
      <c r="B526" s="33"/>
      <c r="C526" s="33"/>
      <c r="D526" s="33"/>
      <c r="E526" s="33"/>
      <c r="F526" s="33"/>
      <c r="G526" s="33"/>
      <c r="H526" s="33"/>
      <c r="I526" s="33"/>
      <c r="J526" s="33"/>
      <c r="K526" s="33"/>
      <c r="L526" s="33"/>
      <c r="M526" s="33"/>
      <c r="N526" s="33"/>
      <c r="O526" s="33"/>
      <c r="P526" s="33"/>
      <c r="Q526" s="33"/>
      <c r="R526" s="33"/>
    </row>
    <row r="527">
      <c r="A527" s="33"/>
      <c r="B527" s="33"/>
      <c r="C527" s="33"/>
      <c r="D527" s="33"/>
      <c r="E527" s="33"/>
      <c r="F527" s="33"/>
      <c r="G527" s="33"/>
      <c r="H527" s="33"/>
      <c r="I527" s="33"/>
      <c r="J527" s="33"/>
      <c r="K527" s="33"/>
      <c r="L527" s="33"/>
      <c r="M527" s="33"/>
      <c r="N527" s="33"/>
      <c r="O527" s="33"/>
      <c r="P527" s="33"/>
      <c r="Q527" s="33"/>
      <c r="R527" s="33"/>
    </row>
    <row r="528">
      <c r="A528" s="33"/>
      <c r="B528" s="33"/>
      <c r="C528" s="33"/>
      <c r="D528" s="33"/>
      <c r="E528" s="33"/>
      <c r="F528" s="33"/>
      <c r="G528" s="33"/>
      <c r="H528" s="33"/>
      <c r="I528" s="33"/>
      <c r="J528" s="33"/>
      <c r="K528" s="33"/>
      <c r="L528" s="33"/>
      <c r="M528" s="33"/>
      <c r="N528" s="33"/>
      <c r="O528" s="33"/>
      <c r="P528" s="33"/>
      <c r="Q528" s="33"/>
      <c r="R528" s="33"/>
    </row>
    <row r="529">
      <c r="A529" s="33"/>
      <c r="B529" s="33"/>
      <c r="C529" s="33"/>
      <c r="D529" s="33"/>
      <c r="E529" s="33"/>
      <c r="F529" s="33"/>
      <c r="G529" s="33"/>
      <c r="H529" s="33"/>
      <c r="I529" s="33"/>
      <c r="J529" s="33"/>
      <c r="K529" s="33"/>
      <c r="L529" s="33"/>
      <c r="M529" s="33"/>
      <c r="N529" s="33"/>
      <c r="O529" s="33"/>
      <c r="P529" s="33"/>
      <c r="Q529" s="33"/>
      <c r="R529" s="33"/>
    </row>
    <row r="530">
      <c r="A530" s="33"/>
      <c r="B530" s="33"/>
      <c r="C530" s="33"/>
      <c r="D530" s="33"/>
      <c r="E530" s="33"/>
      <c r="F530" s="33"/>
      <c r="G530" s="33"/>
      <c r="H530" s="33"/>
      <c r="I530" s="33"/>
      <c r="J530" s="33"/>
      <c r="K530" s="33"/>
      <c r="L530" s="33"/>
      <c r="M530" s="33"/>
      <c r="N530" s="33"/>
      <c r="O530" s="33"/>
      <c r="P530" s="33"/>
      <c r="Q530" s="33"/>
      <c r="R530" s="33"/>
    </row>
    <row r="531">
      <c r="A531" s="33"/>
      <c r="B531" s="33"/>
      <c r="C531" s="33"/>
      <c r="D531" s="33"/>
      <c r="E531" s="33"/>
      <c r="F531" s="33"/>
      <c r="G531" s="33"/>
      <c r="H531" s="33"/>
      <c r="I531" s="33"/>
      <c r="J531" s="33"/>
      <c r="K531" s="33"/>
      <c r="L531" s="33"/>
      <c r="M531" s="33"/>
      <c r="N531" s="33"/>
      <c r="O531" s="33"/>
      <c r="P531" s="33"/>
      <c r="Q531" s="33"/>
      <c r="R531" s="33"/>
    </row>
    <row r="532">
      <c r="A532" s="33"/>
      <c r="B532" s="33"/>
      <c r="C532" s="33"/>
      <c r="D532" s="33"/>
      <c r="E532" s="33"/>
      <c r="F532" s="33"/>
      <c r="G532" s="33"/>
      <c r="H532" s="33"/>
      <c r="I532" s="33"/>
      <c r="J532" s="33"/>
      <c r="K532" s="33"/>
      <c r="L532" s="33"/>
      <c r="M532" s="33"/>
      <c r="N532" s="33"/>
      <c r="O532" s="33"/>
      <c r="P532" s="33"/>
      <c r="Q532" s="33"/>
      <c r="R532" s="33"/>
    </row>
    <row r="533">
      <c r="A533" s="33"/>
      <c r="B533" s="33"/>
      <c r="C533" s="33"/>
      <c r="D533" s="33"/>
      <c r="E533" s="33"/>
      <c r="F533" s="33"/>
      <c r="G533" s="33"/>
      <c r="H533" s="33"/>
      <c r="I533" s="33"/>
      <c r="J533" s="33"/>
      <c r="K533" s="33"/>
      <c r="L533" s="33"/>
      <c r="M533" s="33"/>
      <c r="N533" s="33"/>
      <c r="O533" s="33"/>
      <c r="P533" s="33"/>
      <c r="Q533" s="33"/>
      <c r="R533" s="33"/>
    </row>
    <row r="534">
      <c r="A534" s="33"/>
      <c r="B534" s="33"/>
      <c r="C534" s="33"/>
      <c r="D534" s="33"/>
      <c r="E534" s="33"/>
      <c r="F534" s="33"/>
      <c r="G534" s="33"/>
      <c r="H534" s="33"/>
      <c r="I534" s="33"/>
      <c r="J534" s="33"/>
      <c r="K534" s="33"/>
      <c r="L534" s="33"/>
      <c r="M534" s="33"/>
      <c r="N534" s="33"/>
      <c r="O534" s="33"/>
      <c r="P534" s="33"/>
      <c r="Q534" s="33"/>
      <c r="R534" s="33"/>
    </row>
    <row r="535">
      <c r="A535" s="33"/>
      <c r="B535" s="33"/>
      <c r="C535" s="33"/>
      <c r="D535" s="33"/>
      <c r="E535" s="33"/>
      <c r="F535" s="33"/>
      <c r="G535" s="33"/>
      <c r="H535" s="33"/>
      <c r="I535" s="33"/>
      <c r="J535" s="33"/>
      <c r="K535" s="33"/>
      <c r="L535" s="33"/>
      <c r="M535" s="33"/>
      <c r="N535" s="33"/>
      <c r="O535" s="33"/>
      <c r="P535" s="33"/>
      <c r="Q535" s="33"/>
      <c r="R535" s="33"/>
    </row>
    <row r="536">
      <c r="A536" s="33"/>
      <c r="B536" s="33"/>
      <c r="C536" s="33"/>
      <c r="D536" s="33"/>
      <c r="E536" s="33"/>
      <c r="F536" s="33"/>
      <c r="G536" s="33"/>
      <c r="H536" s="33"/>
      <c r="I536" s="33"/>
      <c r="J536" s="33"/>
      <c r="K536" s="33"/>
      <c r="L536" s="33"/>
      <c r="M536" s="33"/>
      <c r="N536" s="33"/>
      <c r="O536" s="33"/>
      <c r="P536" s="33"/>
      <c r="Q536" s="33"/>
      <c r="R536" s="33"/>
    </row>
    <row r="537">
      <c r="A537" s="33"/>
      <c r="B537" s="33"/>
      <c r="C537" s="33"/>
      <c r="D537" s="33"/>
      <c r="E537" s="33"/>
      <c r="F537" s="33"/>
      <c r="G537" s="33"/>
      <c r="H537" s="33"/>
      <c r="I537" s="33"/>
      <c r="J537" s="33"/>
      <c r="K537" s="33"/>
      <c r="L537" s="33"/>
      <c r="M537" s="33"/>
      <c r="N537" s="33"/>
      <c r="O537" s="33"/>
      <c r="P537" s="33"/>
      <c r="Q537" s="33"/>
      <c r="R537" s="33"/>
    </row>
    <row r="538">
      <c r="A538" s="33"/>
      <c r="B538" s="33"/>
      <c r="C538" s="33"/>
      <c r="D538" s="33"/>
      <c r="E538" s="33"/>
      <c r="F538" s="33"/>
      <c r="G538" s="33"/>
      <c r="H538" s="33"/>
      <c r="I538" s="33"/>
      <c r="J538" s="33"/>
      <c r="K538" s="33"/>
      <c r="L538" s="33"/>
      <c r="M538" s="33"/>
      <c r="N538" s="33"/>
      <c r="O538" s="33"/>
      <c r="P538" s="33"/>
      <c r="Q538" s="33"/>
      <c r="R538" s="33"/>
    </row>
    <row r="539">
      <c r="A539" s="33"/>
      <c r="B539" s="33"/>
      <c r="C539" s="33"/>
      <c r="D539" s="33"/>
      <c r="E539" s="33"/>
      <c r="F539" s="33"/>
      <c r="G539" s="33"/>
      <c r="H539" s="33"/>
      <c r="I539" s="33"/>
      <c r="J539" s="33"/>
      <c r="K539" s="33"/>
      <c r="L539" s="33"/>
      <c r="M539" s="33"/>
      <c r="N539" s="33"/>
      <c r="O539" s="33"/>
      <c r="P539" s="33"/>
      <c r="Q539" s="33"/>
      <c r="R539" s="33"/>
    </row>
    <row r="540">
      <c r="A540" s="33"/>
      <c r="B540" s="33"/>
      <c r="C540" s="33"/>
      <c r="D540" s="33"/>
      <c r="E540" s="33"/>
      <c r="F540" s="33"/>
      <c r="G540" s="33"/>
      <c r="H540" s="33"/>
      <c r="I540" s="33"/>
      <c r="J540" s="33"/>
      <c r="K540" s="33"/>
      <c r="L540" s="33"/>
      <c r="M540" s="33"/>
      <c r="N540" s="33"/>
      <c r="O540" s="33"/>
      <c r="P540" s="33"/>
      <c r="Q540" s="33"/>
      <c r="R540" s="33"/>
    </row>
    <row r="541">
      <c r="A541" s="33"/>
      <c r="B541" s="33"/>
      <c r="C541" s="33"/>
      <c r="D541" s="33"/>
      <c r="E541" s="33"/>
      <c r="F541" s="33"/>
      <c r="G541" s="33"/>
      <c r="H541" s="33"/>
      <c r="I541" s="33"/>
      <c r="J541" s="33"/>
      <c r="K541" s="33"/>
      <c r="L541" s="33"/>
      <c r="M541" s="33"/>
      <c r="N541" s="33"/>
      <c r="O541" s="33"/>
      <c r="P541" s="33"/>
      <c r="Q541" s="33"/>
      <c r="R541" s="33"/>
    </row>
    <row r="542">
      <c r="A542" s="33"/>
      <c r="B542" s="33"/>
      <c r="C542" s="33"/>
      <c r="D542" s="33"/>
      <c r="E542" s="33"/>
      <c r="F542" s="33"/>
      <c r="G542" s="33"/>
      <c r="H542" s="33"/>
      <c r="I542" s="33"/>
      <c r="J542" s="33"/>
      <c r="K542" s="33"/>
      <c r="L542" s="33"/>
      <c r="M542" s="33"/>
      <c r="N542" s="33"/>
      <c r="O542" s="33"/>
      <c r="P542" s="33"/>
      <c r="Q542" s="33"/>
      <c r="R542" s="33"/>
    </row>
    <row r="543">
      <c r="A543" s="33"/>
      <c r="B543" s="33"/>
      <c r="C543" s="33"/>
      <c r="D543" s="33"/>
      <c r="E543" s="33"/>
      <c r="F543" s="33"/>
      <c r="G543" s="33"/>
      <c r="H543" s="33"/>
      <c r="I543" s="33"/>
      <c r="J543" s="33"/>
      <c r="K543" s="33"/>
      <c r="L543" s="33"/>
      <c r="M543" s="33"/>
      <c r="N543" s="33"/>
      <c r="O543" s="33"/>
      <c r="P543" s="33"/>
      <c r="Q543" s="33"/>
      <c r="R543" s="33"/>
    </row>
    <row r="544">
      <c r="A544" s="33"/>
      <c r="B544" s="33"/>
      <c r="C544" s="33"/>
      <c r="D544" s="33"/>
      <c r="E544" s="33"/>
      <c r="F544" s="33"/>
      <c r="G544" s="33"/>
      <c r="H544" s="33"/>
      <c r="I544" s="33"/>
      <c r="J544" s="33"/>
      <c r="K544" s="33"/>
      <c r="L544" s="33"/>
      <c r="M544" s="33"/>
      <c r="N544" s="33"/>
      <c r="O544" s="33"/>
      <c r="P544" s="33"/>
      <c r="Q544" s="33"/>
      <c r="R544" s="33"/>
    </row>
    <row r="545">
      <c r="A545" s="33"/>
      <c r="B545" s="33"/>
      <c r="C545" s="33"/>
      <c r="D545" s="33"/>
      <c r="E545" s="33"/>
      <c r="F545" s="33"/>
      <c r="G545" s="33"/>
      <c r="H545" s="33"/>
      <c r="I545" s="33"/>
      <c r="J545" s="33"/>
      <c r="K545" s="33"/>
      <c r="L545" s="33"/>
      <c r="M545" s="33"/>
      <c r="N545" s="33"/>
      <c r="O545" s="33"/>
      <c r="P545" s="33"/>
      <c r="Q545" s="33"/>
      <c r="R545" s="33"/>
    </row>
    <row r="546">
      <c r="A546" s="33"/>
      <c r="B546" s="33"/>
      <c r="C546" s="33"/>
      <c r="D546" s="33"/>
      <c r="E546" s="33"/>
      <c r="F546" s="33"/>
      <c r="G546" s="33"/>
      <c r="H546" s="33"/>
      <c r="I546" s="33"/>
      <c r="J546" s="33"/>
      <c r="K546" s="33"/>
      <c r="L546" s="33"/>
      <c r="M546" s="33"/>
      <c r="N546" s="33"/>
      <c r="O546" s="33"/>
      <c r="P546" s="33"/>
      <c r="Q546" s="33"/>
      <c r="R546" s="33"/>
    </row>
    <row r="547">
      <c r="A547" s="33"/>
      <c r="B547" s="33"/>
      <c r="C547" s="33"/>
      <c r="D547" s="33"/>
      <c r="E547" s="33"/>
      <c r="F547" s="33"/>
      <c r="G547" s="33"/>
      <c r="H547" s="33"/>
      <c r="I547" s="33"/>
      <c r="J547" s="33"/>
      <c r="K547" s="33"/>
      <c r="L547" s="33"/>
      <c r="M547" s="33"/>
      <c r="N547" s="33"/>
      <c r="O547" s="33"/>
      <c r="P547" s="33"/>
      <c r="Q547" s="33"/>
      <c r="R547" s="33"/>
    </row>
    <row r="548">
      <c r="A548" s="33"/>
      <c r="B548" s="33"/>
      <c r="C548" s="33"/>
      <c r="D548" s="33"/>
      <c r="E548" s="33"/>
      <c r="F548" s="33"/>
      <c r="G548" s="33"/>
      <c r="H548" s="33"/>
      <c r="I548" s="33"/>
      <c r="J548" s="33"/>
      <c r="K548" s="33"/>
      <c r="L548" s="33"/>
      <c r="M548" s="33"/>
      <c r="N548" s="33"/>
      <c r="O548" s="33"/>
      <c r="P548" s="33"/>
      <c r="Q548" s="33"/>
      <c r="R548" s="33"/>
    </row>
    <row r="549">
      <c r="A549" s="33"/>
      <c r="B549" s="33"/>
      <c r="C549" s="33"/>
      <c r="D549" s="33"/>
      <c r="E549" s="33"/>
      <c r="F549" s="33"/>
      <c r="G549" s="33"/>
      <c r="H549" s="33"/>
      <c r="I549" s="33"/>
      <c r="J549" s="33"/>
      <c r="K549" s="33"/>
      <c r="L549" s="33"/>
      <c r="M549" s="33"/>
      <c r="N549" s="33"/>
      <c r="O549" s="33"/>
      <c r="P549" s="33"/>
      <c r="Q549" s="33"/>
      <c r="R549" s="33"/>
    </row>
    <row r="550">
      <c r="A550" s="33"/>
      <c r="B550" s="33"/>
      <c r="C550" s="33"/>
      <c r="D550" s="33"/>
      <c r="E550" s="33"/>
      <c r="F550" s="33"/>
      <c r="G550" s="33"/>
      <c r="H550" s="33"/>
      <c r="I550" s="33"/>
      <c r="J550" s="33"/>
      <c r="K550" s="33"/>
      <c r="L550" s="33"/>
      <c r="M550" s="33"/>
      <c r="N550" s="33"/>
      <c r="O550" s="33"/>
      <c r="P550" s="33"/>
      <c r="Q550" s="33"/>
      <c r="R550" s="33"/>
    </row>
    <row r="551">
      <c r="A551" s="33"/>
      <c r="B551" s="33"/>
      <c r="C551" s="33"/>
      <c r="D551" s="33"/>
      <c r="E551" s="33"/>
      <c r="F551" s="33"/>
      <c r="G551" s="33"/>
      <c r="H551" s="33"/>
      <c r="I551" s="33"/>
      <c r="J551" s="33"/>
      <c r="K551" s="33"/>
      <c r="L551" s="33"/>
      <c r="M551" s="33"/>
      <c r="N551" s="33"/>
      <c r="O551" s="33"/>
      <c r="P551" s="33"/>
      <c r="Q551" s="33"/>
      <c r="R551" s="33"/>
    </row>
    <row r="552">
      <c r="A552" s="33"/>
      <c r="B552" s="33"/>
      <c r="C552" s="33"/>
      <c r="D552" s="33"/>
      <c r="E552" s="33"/>
      <c r="F552" s="33"/>
      <c r="G552" s="33"/>
      <c r="H552" s="33"/>
      <c r="I552" s="33"/>
      <c r="J552" s="33"/>
      <c r="K552" s="33"/>
      <c r="L552" s="33"/>
      <c r="M552" s="33"/>
      <c r="N552" s="33"/>
      <c r="O552" s="33"/>
      <c r="P552" s="33"/>
      <c r="Q552" s="33"/>
      <c r="R552" s="33"/>
    </row>
    <row r="553">
      <c r="A553" s="33"/>
      <c r="B553" s="33"/>
      <c r="C553" s="33"/>
      <c r="D553" s="33"/>
      <c r="E553" s="33"/>
      <c r="F553" s="33"/>
      <c r="G553" s="33"/>
      <c r="H553" s="33"/>
      <c r="I553" s="33"/>
      <c r="J553" s="33"/>
      <c r="K553" s="33"/>
      <c r="L553" s="33"/>
      <c r="M553" s="33"/>
      <c r="N553" s="33"/>
      <c r="O553" s="33"/>
      <c r="P553" s="33"/>
      <c r="Q553" s="33"/>
      <c r="R553" s="33"/>
    </row>
    <row r="554">
      <c r="A554" s="33"/>
      <c r="B554" s="33"/>
      <c r="C554" s="33"/>
      <c r="D554" s="33"/>
      <c r="E554" s="33"/>
      <c r="F554" s="33"/>
      <c r="G554" s="33"/>
      <c r="H554" s="33"/>
      <c r="I554" s="33"/>
      <c r="J554" s="33"/>
      <c r="K554" s="33"/>
      <c r="L554" s="33"/>
      <c r="M554" s="33"/>
      <c r="N554" s="33"/>
      <c r="O554" s="33"/>
      <c r="P554" s="33"/>
      <c r="Q554" s="33"/>
      <c r="R554" s="33"/>
    </row>
    <row r="555">
      <c r="A555" s="33"/>
      <c r="B555" s="33"/>
      <c r="C555" s="33"/>
      <c r="D555" s="33"/>
      <c r="E555" s="33"/>
      <c r="F555" s="33"/>
      <c r="G555" s="33"/>
      <c r="H555" s="33"/>
      <c r="I555" s="33"/>
      <c r="J555" s="33"/>
      <c r="K555" s="33"/>
      <c r="L555" s="33"/>
      <c r="M555" s="33"/>
      <c r="N555" s="33"/>
      <c r="O555" s="33"/>
      <c r="P555" s="33"/>
      <c r="Q555" s="33"/>
      <c r="R555" s="33"/>
    </row>
    <row r="556">
      <c r="A556" s="33"/>
      <c r="B556" s="33"/>
      <c r="C556" s="33"/>
      <c r="D556" s="33"/>
      <c r="E556" s="33"/>
      <c r="F556" s="33"/>
      <c r="G556" s="33"/>
      <c r="H556" s="33"/>
      <c r="I556" s="33"/>
      <c r="J556" s="33"/>
      <c r="K556" s="33"/>
      <c r="L556" s="33"/>
      <c r="M556" s="33"/>
      <c r="N556" s="33"/>
      <c r="O556" s="33"/>
      <c r="P556" s="33"/>
      <c r="Q556" s="33"/>
      <c r="R556" s="33"/>
    </row>
    <row r="557">
      <c r="A557" s="33"/>
      <c r="B557" s="33"/>
      <c r="C557" s="33"/>
      <c r="D557" s="33"/>
      <c r="E557" s="33"/>
      <c r="F557" s="33"/>
      <c r="G557" s="33"/>
      <c r="H557" s="33"/>
      <c r="I557" s="33"/>
      <c r="J557" s="33"/>
      <c r="K557" s="33"/>
      <c r="L557" s="33"/>
      <c r="M557" s="33"/>
      <c r="N557" s="33"/>
      <c r="O557" s="33"/>
      <c r="P557" s="33"/>
      <c r="Q557" s="33"/>
      <c r="R557" s="33"/>
    </row>
    <row r="558">
      <c r="A558" s="33"/>
      <c r="B558" s="33"/>
      <c r="C558" s="33"/>
      <c r="D558" s="33"/>
      <c r="E558" s="33"/>
      <c r="F558" s="33"/>
      <c r="G558" s="33"/>
      <c r="H558" s="33"/>
      <c r="I558" s="33"/>
      <c r="J558" s="33"/>
      <c r="K558" s="33"/>
      <c r="L558" s="33"/>
      <c r="M558" s="33"/>
      <c r="N558" s="33"/>
      <c r="O558" s="33"/>
      <c r="P558" s="33"/>
      <c r="Q558" s="33"/>
      <c r="R558" s="33"/>
    </row>
    <row r="559">
      <c r="A559" s="33"/>
      <c r="B559" s="33"/>
      <c r="C559" s="33"/>
      <c r="D559" s="33"/>
      <c r="E559" s="33"/>
      <c r="F559" s="33"/>
      <c r="G559" s="33"/>
      <c r="H559" s="33"/>
      <c r="I559" s="33"/>
      <c r="J559" s="33"/>
      <c r="K559" s="33"/>
      <c r="L559" s="33"/>
      <c r="M559" s="33"/>
      <c r="N559" s="33"/>
      <c r="O559" s="33"/>
      <c r="P559" s="33"/>
      <c r="Q559" s="33"/>
      <c r="R559" s="33"/>
    </row>
    <row r="560">
      <c r="A560" s="33"/>
      <c r="B560" s="33"/>
      <c r="C560" s="33"/>
      <c r="D560" s="33"/>
      <c r="E560" s="33"/>
      <c r="F560" s="33"/>
      <c r="G560" s="33"/>
      <c r="H560" s="33"/>
      <c r="I560" s="33"/>
      <c r="J560" s="33"/>
      <c r="K560" s="33"/>
      <c r="L560" s="33"/>
      <c r="M560" s="33"/>
      <c r="N560" s="33"/>
      <c r="O560" s="33"/>
      <c r="P560" s="33"/>
      <c r="Q560" s="33"/>
      <c r="R560" s="33"/>
    </row>
    <row r="561">
      <c r="A561" s="33"/>
      <c r="B561" s="33"/>
      <c r="C561" s="33"/>
      <c r="D561" s="33"/>
      <c r="E561" s="33"/>
      <c r="F561" s="33"/>
      <c r="G561" s="33"/>
      <c r="H561" s="33"/>
      <c r="I561" s="33"/>
      <c r="J561" s="33"/>
      <c r="K561" s="33"/>
      <c r="L561" s="33"/>
      <c r="M561" s="33"/>
      <c r="N561" s="33"/>
      <c r="O561" s="33"/>
      <c r="P561" s="33"/>
      <c r="Q561" s="33"/>
      <c r="R561" s="33"/>
    </row>
    <row r="562">
      <c r="A562" s="33"/>
      <c r="B562" s="33"/>
      <c r="C562" s="33"/>
      <c r="D562" s="33"/>
      <c r="E562" s="33"/>
      <c r="F562" s="33"/>
      <c r="G562" s="33"/>
      <c r="H562" s="33"/>
      <c r="I562" s="33"/>
      <c r="J562" s="33"/>
      <c r="K562" s="33"/>
      <c r="L562" s="33"/>
      <c r="M562" s="33"/>
      <c r="N562" s="33"/>
      <c r="O562" s="33"/>
      <c r="P562" s="33"/>
      <c r="Q562" s="33"/>
      <c r="R562" s="33"/>
    </row>
    <row r="563">
      <c r="A563" s="33"/>
      <c r="B563" s="33"/>
      <c r="C563" s="33"/>
      <c r="D563" s="33"/>
      <c r="E563" s="33"/>
      <c r="F563" s="33"/>
      <c r="G563" s="33"/>
      <c r="H563" s="33"/>
      <c r="I563" s="33"/>
      <c r="J563" s="33"/>
      <c r="K563" s="33"/>
      <c r="L563" s="33"/>
      <c r="M563" s="33"/>
      <c r="N563" s="33"/>
      <c r="O563" s="33"/>
      <c r="P563" s="33"/>
      <c r="Q563" s="33"/>
      <c r="R563" s="33"/>
    </row>
    <row r="564">
      <c r="A564" s="33"/>
      <c r="B564" s="33"/>
      <c r="C564" s="33"/>
      <c r="D564" s="33"/>
      <c r="E564" s="33"/>
      <c r="F564" s="33"/>
      <c r="G564" s="33"/>
      <c r="H564" s="33"/>
      <c r="I564" s="33"/>
      <c r="J564" s="33"/>
      <c r="K564" s="33"/>
      <c r="L564" s="33"/>
      <c r="M564" s="33"/>
      <c r="N564" s="33"/>
      <c r="O564" s="33"/>
      <c r="P564" s="33"/>
      <c r="Q564" s="33"/>
      <c r="R564" s="33"/>
    </row>
    <row r="565">
      <c r="A565" s="33"/>
      <c r="B565" s="33"/>
      <c r="C565" s="33"/>
      <c r="D565" s="33"/>
      <c r="E565" s="33"/>
      <c r="F565" s="33"/>
      <c r="G565" s="33"/>
      <c r="H565" s="33"/>
      <c r="I565" s="33"/>
      <c r="J565" s="33"/>
      <c r="K565" s="33"/>
      <c r="L565" s="33"/>
      <c r="M565" s="33"/>
      <c r="N565" s="33"/>
      <c r="O565" s="33"/>
      <c r="P565" s="33"/>
      <c r="Q565" s="33"/>
      <c r="R565" s="33"/>
    </row>
    <row r="566">
      <c r="A566" s="33"/>
      <c r="B566" s="33"/>
      <c r="C566" s="33"/>
      <c r="D566" s="33"/>
      <c r="E566" s="33"/>
      <c r="F566" s="33"/>
      <c r="G566" s="33"/>
      <c r="H566" s="33"/>
      <c r="I566" s="33"/>
      <c r="J566" s="33"/>
      <c r="K566" s="33"/>
      <c r="L566" s="33"/>
      <c r="M566" s="33"/>
      <c r="N566" s="33"/>
      <c r="O566" s="33"/>
      <c r="P566" s="33"/>
      <c r="Q566" s="33"/>
      <c r="R566" s="33"/>
    </row>
    <row r="567">
      <c r="A567" s="33"/>
      <c r="B567" s="33"/>
      <c r="C567" s="33"/>
      <c r="D567" s="33"/>
      <c r="E567" s="33"/>
      <c r="F567" s="33"/>
      <c r="G567" s="33"/>
      <c r="H567" s="33"/>
      <c r="I567" s="33"/>
      <c r="J567" s="33"/>
      <c r="K567" s="33"/>
      <c r="L567" s="33"/>
      <c r="M567" s="33"/>
      <c r="N567" s="33"/>
      <c r="O567" s="33"/>
      <c r="P567" s="33"/>
      <c r="Q567" s="33"/>
      <c r="R567" s="33"/>
    </row>
    <row r="568">
      <c r="A568" s="33"/>
      <c r="B568" s="33"/>
      <c r="C568" s="33"/>
      <c r="D568" s="33"/>
      <c r="E568" s="33"/>
      <c r="F568" s="33"/>
      <c r="G568" s="33"/>
      <c r="H568" s="33"/>
      <c r="I568" s="33"/>
      <c r="J568" s="33"/>
      <c r="K568" s="33"/>
      <c r="L568" s="33"/>
      <c r="M568" s="33"/>
      <c r="N568" s="33"/>
      <c r="O568" s="33"/>
      <c r="P568" s="33"/>
      <c r="Q568" s="33"/>
      <c r="R568" s="33"/>
    </row>
    <row r="569">
      <c r="A569" s="33"/>
      <c r="B569" s="33"/>
      <c r="C569" s="33"/>
      <c r="D569" s="33"/>
      <c r="E569" s="33"/>
      <c r="F569" s="33"/>
      <c r="G569" s="33"/>
      <c r="H569" s="33"/>
      <c r="I569" s="33"/>
      <c r="J569" s="33"/>
      <c r="K569" s="33"/>
      <c r="L569" s="33"/>
      <c r="M569" s="33"/>
      <c r="N569" s="33"/>
      <c r="O569" s="33"/>
      <c r="P569" s="33"/>
      <c r="Q569" s="33"/>
      <c r="R569" s="33"/>
    </row>
    <row r="570">
      <c r="A570" s="33"/>
      <c r="B570" s="33"/>
      <c r="C570" s="33"/>
      <c r="D570" s="33"/>
      <c r="E570" s="33"/>
      <c r="F570" s="33"/>
      <c r="G570" s="33"/>
      <c r="H570" s="33"/>
      <c r="I570" s="33"/>
      <c r="J570" s="33"/>
      <c r="K570" s="33"/>
      <c r="L570" s="33"/>
      <c r="M570" s="33"/>
      <c r="N570" s="33"/>
      <c r="O570" s="33"/>
      <c r="P570" s="33"/>
      <c r="Q570" s="33"/>
      <c r="R570" s="33"/>
    </row>
    <row r="571">
      <c r="A571" s="33"/>
      <c r="B571" s="33"/>
      <c r="C571" s="33"/>
      <c r="D571" s="33"/>
      <c r="E571" s="33"/>
      <c r="F571" s="33"/>
      <c r="G571" s="33"/>
      <c r="H571" s="33"/>
      <c r="I571" s="33"/>
      <c r="J571" s="33"/>
      <c r="K571" s="33"/>
      <c r="L571" s="33"/>
      <c r="M571" s="33"/>
      <c r="N571" s="33"/>
      <c r="O571" s="33"/>
      <c r="P571" s="33"/>
      <c r="Q571" s="33"/>
      <c r="R571" s="33"/>
    </row>
    <row r="572">
      <c r="A572" s="33"/>
      <c r="B572" s="33"/>
      <c r="C572" s="33"/>
      <c r="D572" s="33"/>
      <c r="E572" s="33"/>
      <c r="F572" s="33"/>
      <c r="G572" s="33"/>
      <c r="H572" s="33"/>
      <c r="I572" s="33"/>
      <c r="J572" s="33"/>
      <c r="K572" s="33"/>
      <c r="L572" s="33"/>
      <c r="M572" s="33"/>
      <c r="N572" s="33"/>
      <c r="O572" s="33"/>
      <c r="P572" s="33"/>
      <c r="Q572" s="33"/>
      <c r="R572" s="33"/>
    </row>
    <row r="573">
      <c r="A573" s="33"/>
      <c r="B573" s="33"/>
      <c r="C573" s="33"/>
      <c r="D573" s="33"/>
      <c r="E573" s="33"/>
      <c r="F573" s="33"/>
      <c r="G573" s="33"/>
      <c r="H573" s="33"/>
      <c r="I573" s="33"/>
      <c r="J573" s="33"/>
      <c r="K573" s="33"/>
      <c r="L573" s="33"/>
      <c r="M573" s="33"/>
      <c r="N573" s="33"/>
      <c r="O573" s="33"/>
      <c r="P573" s="33"/>
      <c r="Q573" s="33"/>
      <c r="R573" s="33"/>
    </row>
    <row r="574">
      <c r="A574" s="33"/>
      <c r="B574" s="33"/>
      <c r="C574" s="33"/>
      <c r="D574" s="33"/>
      <c r="E574" s="33"/>
      <c r="F574" s="33"/>
      <c r="G574" s="33"/>
      <c r="H574" s="33"/>
      <c r="I574" s="33"/>
      <c r="J574" s="33"/>
      <c r="K574" s="33"/>
      <c r="L574" s="33"/>
      <c r="M574" s="33"/>
      <c r="N574" s="33"/>
      <c r="O574" s="33"/>
      <c r="P574" s="33"/>
      <c r="Q574" s="33"/>
      <c r="R574" s="33"/>
    </row>
    <row r="575">
      <c r="A575" s="33"/>
      <c r="B575" s="33"/>
      <c r="C575" s="33"/>
      <c r="D575" s="33"/>
      <c r="E575" s="33"/>
      <c r="F575" s="33"/>
      <c r="G575" s="33"/>
      <c r="H575" s="33"/>
      <c r="I575" s="33"/>
      <c r="J575" s="33"/>
      <c r="K575" s="33"/>
      <c r="L575" s="33"/>
      <c r="M575" s="33"/>
      <c r="N575" s="33"/>
      <c r="O575" s="33"/>
      <c r="P575" s="33"/>
      <c r="Q575" s="33"/>
      <c r="R575" s="33"/>
    </row>
    <row r="576">
      <c r="A576" s="33"/>
      <c r="B576" s="33"/>
      <c r="C576" s="33"/>
      <c r="D576" s="33"/>
      <c r="E576" s="33"/>
      <c r="F576" s="33"/>
      <c r="G576" s="33"/>
      <c r="H576" s="33"/>
      <c r="I576" s="33"/>
      <c r="J576" s="33"/>
      <c r="K576" s="33"/>
      <c r="L576" s="33"/>
      <c r="M576" s="33"/>
      <c r="N576" s="33"/>
      <c r="O576" s="33"/>
      <c r="P576" s="33"/>
      <c r="Q576" s="33"/>
      <c r="R576" s="33"/>
    </row>
    <row r="577">
      <c r="A577" s="33"/>
      <c r="B577" s="33"/>
      <c r="C577" s="33"/>
      <c r="D577" s="33"/>
      <c r="E577" s="33"/>
      <c r="F577" s="33"/>
      <c r="G577" s="33"/>
      <c r="H577" s="33"/>
      <c r="I577" s="33"/>
      <c r="J577" s="33"/>
      <c r="K577" s="33"/>
      <c r="L577" s="33"/>
      <c r="M577" s="33"/>
      <c r="N577" s="33"/>
      <c r="O577" s="33"/>
      <c r="P577" s="33"/>
      <c r="Q577" s="33"/>
      <c r="R577" s="33"/>
    </row>
    <row r="578">
      <c r="A578" s="33"/>
      <c r="B578" s="33"/>
      <c r="C578" s="33"/>
      <c r="D578" s="33"/>
      <c r="E578" s="33"/>
      <c r="F578" s="33"/>
      <c r="G578" s="33"/>
      <c r="H578" s="33"/>
      <c r="I578" s="33"/>
      <c r="J578" s="33"/>
      <c r="K578" s="33"/>
      <c r="L578" s="33"/>
      <c r="M578" s="33"/>
      <c r="N578" s="33"/>
      <c r="O578" s="33"/>
      <c r="P578" s="33"/>
      <c r="Q578" s="33"/>
      <c r="R578" s="33"/>
    </row>
    <row r="579">
      <c r="A579" s="33"/>
      <c r="B579" s="33"/>
      <c r="C579" s="33"/>
      <c r="D579" s="33"/>
      <c r="E579" s="33"/>
      <c r="F579" s="33"/>
      <c r="G579" s="33"/>
      <c r="H579" s="33"/>
      <c r="I579" s="33"/>
      <c r="J579" s="33"/>
      <c r="K579" s="33"/>
      <c r="L579" s="33"/>
      <c r="M579" s="33"/>
      <c r="N579" s="33"/>
      <c r="O579" s="33"/>
      <c r="P579" s="33"/>
      <c r="Q579" s="33"/>
      <c r="R579" s="33"/>
    </row>
    <row r="580">
      <c r="A580" s="33"/>
      <c r="B580" s="33"/>
      <c r="C580" s="33"/>
      <c r="D580" s="33"/>
      <c r="E580" s="33"/>
      <c r="F580" s="33"/>
      <c r="G580" s="33"/>
      <c r="H580" s="33"/>
      <c r="I580" s="33"/>
      <c r="J580" s="33"/>
      <c r="K580" s="33"/>
      <c r="L580" s="33"/>
      <c r="M580" s="33"/>
      <c r="N580" s="33"/>
      <c r="O580" s="33"/>
      <c r="P580" s="33"/>
      <c r="Q580" s="33"/>
      <c r="R580" s="33"/>
    </row>
    <row r="581">
      <c r="A581" s="33"/>
      <c r="B581" s="33"/>
      <c r="C581" s="33"/>
      <c r="D581" s="33"/>
      <c r="E581" s="33"/>
      <c r="F581" s="33"/>
      <c r="G581" s="33"/>
      <c r="H581" s="33"/>
      <c r="I581" s="33"/>
      <c r="J581" s="33"/>
      <c r="K581" s="33"/>
      <c r="L581" s="33"/>
      <c r="M581" s="33"/>
      <c r="N581" s="33"/>
      <c r="O581" s="33"/>
      <c r="P581" s="33"/>
      <c r="Q581" s="33"/>
      <c r="R581" s="33"/>
    </row>
    <row r="582">
      <c r="A582" s="33"/>
      <c r="B582" s="33"/>
      <c r="C582" s="33"/>
      <c r="D582" s="33"/>
      <c r="E582" s="33"/>
      <c r="F582" s="33"/>
      <c r="G582" s="33"/>
      <c r="H582" s="33"/>
      <c r="I582" s="33"/>
      <c r="J582" s="33"/>
      <c r="K582" s="33"/>
      <c r="L582" s="33"/>
      <c r="M582" s="33"/>
      <c r="N582" s="33"/>
      <c r="O582" s="33"/>
      <c r="P582" s="33"/>
      <c r="Q582" s="33"/>
      <c r="R582" s="33"/>
    </row>
    <row r="583">
      <c r="A583" s="33"/>
      <c r="B583" s="33"/>
      <c r="C583" s="33"/>
      <c r="D583" s="33"/>
      <c r="E583" s="33"/>
      <c r="F583" s="33"/>
      <c r="G583" s="33"/>
      <c r="H583" s="33"/>
      <c r="I583" s="33"/>
      <c r="J583" s="33"/>
      <c r="K583" s="33"/>
      <c r="L583" s="33"/>
      <c r="M583" s="33"/>
      <c r="N583" s="33"/>
      <c r="O583" s="33"/>
      <c r="P583" s="33"/>
      <c r="Q583" s="33"/>
      <c r="R583" s="33"/>
    </row>
    <row r="584">
      <c r="A584" s="33"/>
      <c r="B584" s="33"/>
      <c r="C584" s="33"/>
      <c r="D584" s="33"/>
      <c r="E584" s="33"/>
      <c r="F584" s="33"/>
      <c r="G584" s="33"/>
      <c r="H584" s="33"/>
      <c r="I584" s="33"/>
      <c r="J584" s="33"/>
      <c r="K584" s="33"/>
      <c r="L584" s="33"/>
      <c r="M584" s="33"/>
      <c r="N584" s="33"/>
      <c r="O584" s="33"/>
      <c r="P584" s="33"/>
      <c r="Q584" s="33"/>
      <c r="R584" s="33"/>
    </row>
    <row r="585">
      <c r="A585" s="33"/>
      <c r="B585" s="33"/>
      <c r="C585" s="33"/>
      <c r="D585" s="33"/>
      <c r="E585" s="33"/>
      <c r="F585" s="33"/>
      <c r="G585" s="33"/>
      <c r="H585" s="33"/>
      <c r="I585" s="33"/>
      <c r="J585" s="33"/>
      <c r="K585" s="33"/>
      <c r="L585" s="33"/>
      <c r="M585" s="33"/>
      <c r="N585" s="33"/>
      <c r="O585" s="33"/>
      <c r="P585" s="33"/>
      <c r="Q585" s="33"/>
      <c r="R585" s="33"/>
    </row>
    <row r="586">
      <c r="A586" s="33"/>
      <c r="B586" s="33"/>
      <c r="C586" s="33"/>
      <c r="D586" s="33"/>
      <c r="E586" s="33"/>
      <c r="F586" s="33"/>
      <c r="G586" s="33"/>
      <c r="H586" s="33"/>
      <c r="I586" s="33"/>
      <c r="J586" s="33"/>
      <c r="K586" s="33"/>
      <c r="L586" s="33"/>
      <c r="M586" s="33"/>
      <c r="N586" s="33"/>
      <c r="O586" s="33"/>
      <c r="P586" s="33"/>
      <c r="Q586" s="33"/>
      <c r="R586" s="33"/>
    </row>
    <row r="587">
      <c r="A587" s="33"/>
      <c r="B587" s="33"/>
      <c r="C587" s="33"/>
      <c r="D587" s="33"/>
      <c r="E587" s="33"/>
      <c r="F587" s="33"/>
      <c r="G587" s="33"/>
      <c r="H587" s="33"/>
      <c r="I587" s="33"/>
      <c r="J587" s="33"/>
      <c r="K587" s="33"/>
      <c r="L587" s="33"/>
      <c r="M587" s="33"/>
      <c r="N587" s="33"/>
      <c r="O587" s="33"/>
      <c r="P587" s="33"/>
      <c r="Q587" s="33"/>
      <c r="R587" s="33"/>
    </row>
    <row r="588">
      <c r="A588" s="33"/>
      <c r="B588" s="33"/>
      <c r="C588" s="33"/>
      <c r="D588" s="33"/>
      <c r="E588" s="33"/>
      <c r="F588" s="33"/>
      <c r="G588" s="33"/>
      <c r="H588" s="33"/>
      <c r="I588" s="33"/>
      <c r="J588" s="33"/>
      <c r="K588" s="33"/>
      <c r="L588" s="33"/>
      <c r="M588" s="33"/>
      <c r="N588" s="33"/>
      <c r="O588" s="33"/>
      <c r="P588" s="33"/>
      <c r="Q588" s="33"/>
      <c r="R588" s="33"/>
    </row>
    <row r="589">
      <c r="A589" s="33"/>
      <c r="B589" s="33"/>
      <c r="C589" s="33"/>
      <c r="D589" s="33"/>
      <c r="E589" s="33"/>
      <c r="F589" s="33"/>
      <c r="G589" s="33"/>
      <c r="H589" s="33"/>
      <c r="I589" s="33"/>
      <c r="J589" s="33"/>
      <c r="K589" s="33"/>
      <c r="L589" s="33"/>
      <c r="M589" s="33"/>
      <c r="N589" s="33"/>
      <c r="O589" s="33"/>
      <c r="P589" s="33"/>
      <c r="Q589" s="33"/>
      <c r="R589" s="33"/>
    </row>
    <row r="590">
      <c r="A590" s="33"/>
      <c r="B590" s="33"/>
      <c r="C590" s="33"/>
      <c r="D590" s="33"/>
      <c r="E590" s="33"/>
      <c r="F590" s="33"/>
      <c r="G590" s="33"/>
      <c r="H590" s="33"/>
      <c r="I590" s="33"/>
      <c r="J590" s="33"/>
      <c r="K590" s="33"/>
      <c r="L590" s="33"/>
      <c r="M590" s="33"/>
      <c r="N590" s="33"/>
      <c r="O590" s="33"/>
      <c r="P590" s="33"/>
      <c r="Q590" s="33"/>
      <c r="R590" s="33"/>
    </row>
    <row r="591">
      <c r="A591" s="33"/>
      <c r="B591" s="33"/>
      <c r="C591" s="33"/>
      <c r="D591" s="33"/>
      <c r="E591" s="33"/>
      <c r="F591" s="33"/>
      <c r="G591" s="33"/>
      <c r="H591" s="33"/>
      <c r="I591" s="33"/>
      <c r="J591" s="33"/>
      <c r="K591" s="33"/>
      <c r="L591" s="33"/>
      <c r="M591" s="33"/>
      <c r="N591" s="33"/>
      <c r="O591" s="33"/>
      <c r="P591" s="33"/>
      <c r="Q591" s="33"/>
      <c r="R591" s="33"/>
    </row>
    <row r="592">
      <c r="A592" s="33"/>
      <c r="B592" s="33"/>
      <c r="C592" s="33"/>
      <c r="D592" s="33"/>
      <c r="E592" s="33"/>
      <c r="F592" s="33"/>
      <c r="G592" s="33"/>
      <c r="H592" s="33"/>
      <c r="I592" s="33"/>
      <c r="J592" s="33"/>
      <c r="K592" s="33"/>
      <c r="L592" s="33"/>
      <c r="M592" s="33"/>
      <c r="N592" s="33"/>
      <c r="O592" s="33"/>
      <c r="P592" s="33"/>
      <c r="Q592" s="33"/>
      <c r="R592" s="33"/>
    </row>
    <row r="593">
      <c r="A593" s="33"/>
      <c r="B593" s="33"/>
      <c r="C593" s="33"/>
      <c r="D593" s="33"/>
      <c r="E593" s="33"/>
      <c r="F593" s="33"/>
      <c r="G593" s="33"/>
      <c r="H593" s="33"/>
      <c r="I593" s="33"/>
      <c r="J593" s="33"/>
      <c r="K593" s="33"/>
      <c r="L593" s="33"/>
      <c r="M593" s="33"/>
      <c r="N593" s="33"/>
      <c r="O593" s="33"/>
      <c r="P593" s="33"/>
      <c r="Q593" s="33"/>
      <c r="R593" s="33"/>
    </row>
    <row r="594">
      <c r="A594" s="33"/>
      <c r="B594" s="33"/>
      <c r="C594" s="33"/>
      <c r="D594" s="33"/>
      <c r="E594" s="33"/>
      <c r="F594" s="33"/>
      <c r="G594" s="33"/>
      <c r="H594" s="33"/>
      <c r="I594" s="33"/>
      <c r="J594" s="33"/>
      <c r="K594" s="33"/>
      <c r="L594" s="33"/>
      <c r="M594" s="33"/>
      <c r="N594" s="33"/>
      <c r="O594" s="33"/>
      <c r="P594" s="33"/>
      <c r="Q594" s="33"/>
      <c r="R594" s="33"/>
    </row>
    <row r="595">
      <c r="A595" s="33"/>
      <c r="B595" s="33"/>
      <c r="C595" s="33"/>
      <c r="D595" s="33"/>
      <c r="E595" s="33"/>
      <c r="F595" s="33"/>
      <c r="G595" s="33"/>
      <c r="H595" s="33"/>
      <c r="I595" s="33"/>
      <c r="J595" s="33"/>
      <c r="K595" s="33"/>
      <c r="L595" s="33"/>
      <c r="M595" s="33"/>
      <c r="N595" s="33"/>
      <c r="O595" s="33"/>
      <c r="P595" s="33"/>
      <c r="Q595" s="33"/>
      <c r="R595" s="33"/>
    </row>
    <row r="596">
      <c r="A596" s="33"/>
      <c r="B596" s="33"/>
      <c r="C596" s="33"/>
      <c r="D596" s="33"/>
      <c r="E596" s="33"/>
      <c r="F596" s="33"/>
      <c r="G596" s="33"/>
      <c r="H596" s="33"/>
      <c r="I596" s="33"/>
      <c r="J596" s="33"/>
      <c r="K596" s="33"/>
      <c r="L596" s="33"/>
      <c r="M596" s="33"/>
      <c r="N596" s="33"/>
      <c r="O596" s="33"/>
      <c r="P596" s="33"/>
      <c r="Q596" s="33"/>
      <c r="R596" s="33"/>
    </row>
    <row r="597">
      <c r="A597" s="33"/>
      <c r="B597" s="33"/>
      <c r="C597" s="33"/>
      <c r="D597" s="33"/>
      <c r="E597" s="33"/>
      <c r="F597" s="33"/>
      <c r="G597" s="33"/>
      <c r="H597" s="33"/>
      <c r="I597" s="33"/>
      <c r="J597" s="33"/>
      <c r="K597" s="33"/>
      <c r="L597" s="33"/>
      <c r="M597" s="33"/>
      <c r="N597" s="33"/>
      <c r="O597" s="33"/>
      <c r="P597" s="33"/>
      <c r="Q597" s="33"/>
      <c r="R597" s="33"/>
    </row>
    <row r="598">
      <c r="A598" s="33"/>
      <c r="B598" s="33"/>
      <c r="C598" s="33"/>
      <c r="D598" s="33"/>
      <c r="E598" s="33"/>
      <c r="F598" s="33"/>
      <c r="G598" s="33"/>
      <c r="H598" s="33"/>
      <c r="I598" s="33"/>
      <c r="J598" s="33"/>
      <c r="K598" s="33"/>
      <c r="L598" s="33"/>
      <c r="M598" s="33"/>
      <c r="N598" s="33"/>
      <c r="O598" s="33"/>
      <c r="P598" s="33"/>
      <c r="Q598" s="33"/>
      <c r="R598" s="33"/>
    </row>
    <row r="599">
      <c r="A599" s="33"/>
      <c r="B599" s="33"/>
      <c r="C599" s="33"/>
      <c r="D599" s="33"/>
      <c r="E599" s="33"/>
      <c r="F599" s="33"/>
      <c r="G599" s="33"/>
      <c r="H599" s="33"/>
      <c r="I599" s="33"/>
      <c r="J599" s="33"/>
      <c r="K599" s="33"/>
      <c r="L599" s="33"/>
      <c r="M599" s="33"/>
      <c r="N599" s="33"/>
      <c r="O599" s="33"/>
      <c r="P599" s="33"/>
      <c r="Q599" s="33"/>
      <c r="R599" s="33"/>
    </row>
    <row r="600">
      <c r="A600" s="33"/>
      <c r="B600" s="33"/>
      <c r="C600" s="33"/>
      <c r="D600" s="33"/>
      <c r="E600" s="33"/>
      <c r="F600" s="33"/>
      <c r="G600" s="33"/>
      <c r="H600" s="33"/>
      <c r="I600" s="33"/>
      <c r="J600" s="33"/>
      <c r="K600" s="33"/>
      <c r="L600" s="33"/>
      <c r="M600" s="33"/>
      <c r="N600" s="33"/>
      <c r="O600" s="33"/>
      <c r="P600" s="33"/>
      <c r="Q600" s="33"/>
      <c r="R600" s="33"/>
    </row>
    <row r="601">
      <c r="A601" s="33"/>
      <c r="B601" s="33"/>
      <c r="C601" s="33"/>
      <c r="D601" s="33"/>
      <c r="E601" s="33"/>
      <c r="F601" s="33"/>
      <c r="G601" s="33"/>
      <c r="H601" s="33"/>
      <c r="I601" s="33"/>
      <c r="J601" s="33"/>
      <c r="K601" s="33"/>
      <c r="L601" s="33"/>
      <c r="M601" s="33"/>
      <c r="N601" s="33"/>
      <c r="O601" s="33"/>
      <c r="P601" s="33"/>
      <c r="Q601" s="33"/>
      <c r="R601" s="33"/>
    </row>
    <row r="602">
      <c r="A602" s="33"/>
      <c r="B602" s="33"/>
      <c r="C602" s="33"/>
      <c r="D602" s="33"/>
      <c r="E602" s="33"/>
      <c r="F602" s="33"/>
      <c r="G602" s="33"/>
      <c r="H602" s="33"/>
      <c r="I602" s="33"/>
      <c r="J602" s="33"/>
      <c r="K602" s="33"/>
      <c r="L602" s="33"/>
      <c r="M602" s="33"/>
      <c r="N602" s="33"/>
      <c r="O602" s="33"/>
      <c r="P602" s="33"/>
      <c r="Q602" s="33"/>
      <c r="R602" s="33"/>
    </row>
    <row r="603">
      <c r="A603" s="33"/>
      <c r="B603" s="33"/>
      <c r="C603" s="33"/>
      <c r="D603" s="33"/>
      <c r="E603" s="33"/>
      <c r="F603" s="33"/>
      <c r="G603" s="33"/>
      <c r="H603" s="33"/>
      <c r="I603" s="33"/>
      <c r="J603" s="33"/>
      <c r="K603" s="33"/>
      <c r="L603" s="33"/>
      <c r="M603" s="33"/>
      <c r="N603" s="33"/>
      <c r="O603" s="33"/>
      <c r="P603" s="33"/>
      <c r="Q603" s="33"/>
      <c r="R603" s="33"/>
    </row>
    <row r="604">
      <c r="A604" s="33"/>
      <c r="B604" s="33"/>
      <c r="C604" s="33"/>
      <c r="D604" s="33"/>
      <c r="E604" s="33"/>
      <c r="F604" s="33"/>
      <c r="G604" s="33"/>
      <c r="H604" s="33"/>
      <c r="I604" s="33"/>
      <c r="J604" s="33"/>
      <c r="K604" s="33"/>
      <c r="L604" s="33"/>
      <c r="M604" s="33"/>
      <c r="N604" s="33"/>
      <c r="O604" s="33"/>
      <c r="P604" s="33"/>
      <c r="Q604" s="33"/>
      <c r="R604" s="33"/>
    </row>
    <row r="605">
      <c r="A605" s="33"/>
      <c r="B605" s="33"/>
      <c r="C605" s="33"/>
      <c r="D605" s="33"/>
      <c r="E605" s="33"/>
      <c r="F605" s="33"/>
      <c r="G605" s="33"/>
      <c r="H605" s="33"/>
      <c r="I605" s="33"/>
      <c r="J605" s="33"/>
      <c r="K605" s="33"/>
      <c r="L605" s="33"/>
      <c r="M605" s="33"/>
      <c r="N605" s="33"/>
      <c r="O605" s="33"/>
      <c r="P605" s="33"/>
      <c r="Q605" s="33"/>
      <c r="R605" s="33"/>
    </row>
    <row r="606">
      <c r="A606" s="33"/>
      <c r="B606" s="33"/>
      <c r="C606" s="33"/>
      <c r="D606" s="33"/>
      <c r="E606" s="33"/>
      <c r="F606" s="33"/>
      <c r="G606" s="33"/>
      <c r="H606" s="33"/>
      <c r="I606" s="33"/>
      <c r="J606" s="33"/>
      <c r="K606" s="33"/>
      <c r="L606" s="33"/>
      <c r="M606" s="33"/>
      <c r="N606" s="33"/>
      <c r="O606" s="33"/>
      <c r="P606" s="33"/>
      <c r="Q606" s="33"/>
      <c r="R606" s="33"/>
    </row>
    <row r="607">
      <c r="A607" s="33"/>
      <c r="B607" s="33"/>
      <c r="C607" s="33"/>
      <c r="D607" s="33"/>
      <c r="E607" s="33"/>
      <c r="F607" s="33"/>
      <c r="G607" s="33"/>
      <c r="H607" s="33"/>
      <c r="I607" s="33"/>
      <c r="J607" s="33"/>
      <c r="K607" s="33"/>
      <c r="L607" s="33"/>
      <c r="M607" s="33"/>
      <c r="N607" s="33"/>
      <c r="O607" s="33"/>
      <c r="P607" s="33"/>
      <c r="Q607" s="33"/>
      <c r="R607" s="33"/>
    </row>
    <row r="608">
      <c r="A608" s="33"/>
      <c r="B608" s="33"/>
      <c r="C608" s="33"/>
      <c r="D608" s="33"/>
      <c r="E608" s="33"/>
      <c r="F608" s="33"/>
      <c r="G608" s="33"/>
      <c r="H608" s="33"/>
      <c r="I608" s="33"/>
      <c r="J608" s="33"/>
      <c r="K608" s="33"/>
      <c r="L608" s="33"/>
      <c r="M608" s="33"/>
      <c r="N608" s="33"/>
      <c r="O608" s="33"/>
      <c r="P608" s="33"/>
      <c r="Q608" s="33"/>
      <c r="R608" s="33"/>
    </row>
    <row r="609">
      <c r="A609" s="33"/>
      <c r="B609" s="33"/>
      <c r="C609" s="33"/>
      <c r="D609" s="33"/>
      <c r="E609" s="33"/>
      <c r="F609" s="33"/>
      <c r="G609" s="33"/>
      <c r="H609" s="33"/>
      <c r="I609" s="33"/>
      <c r="J609" s="33"/>
      <c r="K609" s="33"/>
      <c r="L609" s="33"/>
      <c r="M609" s="33"/>
      <c r="N609" s="33"/>
      <c r="O609" s="33"/>
      <c r="P609" s="33"/>
      <c r="Q609" s="33"/>
      <c r="R609" s="33"/>
    </row>
    <row r="610">
      <c r="A610" s="33"/>
      <c r="B610" s="33"/>
      <c r="C610" s="33"/>
      <c r="D610" s="33"/>
      <c r="E610" s="33"/>
      <c r="F610" s="33"/>
      <c r="G610" s="33"/>
      <c r="H610" s="33"/>
      <c r="I610" s="33"/>
      <c r="J610" s="33"/>
      <c r="K610" s="33"/>
      <c r="L610" s="33"/>
      <c r="M610" s="33"/>
      <c r="N610" s="33"/>
      <c r="O610" s="33"/>
      <c r="P610" s="33"/>
      <c r="Q610" s="33"/>
      <c r="R610" s="33"/>
    </row>
    <row r="611">
      <c r="A611" s="33"/>
      <c r="B611" s="33"/>
      <c r="C611" s="33"/>
      <c r="D611" s="33"/>
      <c r="E611" s="33"/>
      <c r="F611" s="33"/>
      <c r="G611" s="33"/>
      <c r="H611" s="33"/>
      <c r="I611" s="33"/>
      <c r="J611" s="33"/>
      <c r="K611" s="33"/>
      <c r="L611" s="33"/>
      <c r="M611" s="33"/>
      <c r="N611" s="33"/>
      <c r="O611" s="33"/>
      <c r="P611" s="33"/>
      <c r="Q611" s="33"/>
      <c r="R611" s="33"/>
    </row>
    <row r="612">
      <c r="A612" s="33"/>
      <c r="B612" s="33"/>
      <c r="C612" s="33"/>
      <c r="D612" s="33"/>
      <c r="E612" s="33"/>
      <c r="F612" s="33"/>
      <c r="G612" s="33"/>
      <c r="H612" s="33"/>
      <c r="I612" s="33"/>
      <c r="J612" s="33"/>
      <c r="K612" s="33"/>
      <c r="L612" s="33"/>
      <c r="M612" s="33"/>
      <c r="N612" s="33"/>
      <c r="O612" s="33"/>
      <c r="P612" s="33"/>
      <c r="Q612" s="33"/>
      <c r="R612" s="33"/>
    </row>
    <row r="613">
      <c r="A613" s="33"/>
      <c r="B613" s="33"/>
      <c r="C613" s="33"/>
      <c r="D613" s="33"/>
      <c r="E613" s="33"/>
      <c r="F613" s="33"/>
      <c r="G613" s="33"/>
      <c r="H613" s="33"/>
      <c r="I613" s="33"/>
      <c r="J613" s="33"/>
      <c r="K613" s="33"/>
      <c r="L613" s="33"/>
      <c r="M613" s="33"/>
      <c r="N613" s="33"/>
      <c r="O613" s="33"/>
      <c r="P613" s="33"/>
      <c r="Q613" s="33"/>
      <c r="R613" s="33"/>
    </row>
    <row r="614">
      <c r="A614" s="33"/>
      <c r="B614" s="33"/>
      <c r="C614" s="33"/>
      <c r="D614" s="33"/>
      <c r="E614" s="33"/>
      <c r="F614" s="33"/>
      <c r="G614" s="33"/>
      <c r="H614" s="33"/>
      <c r="I614" s="33"/>
      <c r="J614" s="33"/>
      <c r="K614" s="33"/>
      <c r="L614" s="33"/>
      <c r="M614" s="33"/>
      <c r="N614" s="33"/>
      <c r="O614" s="33"/>
      <c r="P614" s="33"/>
      <c r="Q614" s="33"/>
      <c r="R614" s="33"/>
    </row>
    <row r="615">
      <c r="A615" s="33"/>
      <c r="B615" s="33"/>
      <c r="C615" s="33"/>
      <c r="D615" s="33"/>
      <c r="E615" s="33"/>
      <c r="F615" s="33"/>
      <c r="G615" s="33"/>
      <c r="H615" s="33"/>
      <c r="I615" s="33"/>
      <c r="J615" s="33"/>
      <c r="K615" s="33"/>
      <c r="L615" s="33"/>
      <c r="M615" s="33"/>
      <c r="N615" s="33"/>
      <c r="O615" s="33"/>
      <c r="P615" s="33"/>
      <c r="Q615" s="33"/>
      <c r="R615" s="33"/>
    </row>
    <row r="616">
      <c r="A616" s="33"/>
      <c r="B616" s="33"/>
      <c r="C616" s="33"/>
      <c r="D616" s="33"/>
      <c r="E616" s="33"/>
      <c r="F616" s="33"/>
      <c r="G616" s="33"/>
      <c r="H616" s="33"/>
      <c r="I616" s="33"/>
      <c r="J616" s="33"/>
      <c r="K616" s="33"/>
      <c r="L616" s="33"/>
      <c r="M616" s="33"/>
      <c r="N616" s="33"/>
      <c r="O616" s="33"/>
      <c r="P616" s="33"/>
      <c r="Q616" s="33"/>
      <c r="R616" s="33"/>
    </row>
    <row r="617">
      <c r="A617" s="33"/>
      <c r="B617" s="33"/>
      <c r="C617" s="33"/>
      <c r="D617" s="33"/>
      <c r="E617" s="33"/>
      <c r="F617" s="33"/>
      <c r="G617" s="33"/>
      <c r="H617" s="33"/>
      <c r="I617" s="33"/>
      <c r="J617" s="33"/>
      <c r="K617" s="33"/>
      <c r="L617" s="33"/>
      <c r="M617" s="33"/>
      <c r="N617" s="33"/>
      <c r="O617" s="33"/>
      <c r="P617" s="33"/>
      <c r="Q617" s="33"/>
      <c r="R617" s="33"/>
    </row>
    <row r="618">
      <c r="A618" s="33"/>
      <c r="B618" s="33"/>
      <c r="C618" s="33"/>
      <c r="D618" s="33"/>
      <c r="E618" s="33"/>
      <c r="F618" s="33"/>
      <c r="G618" s="33"/>
      <c r="H618" s="33"/>
      <c r="I618" s="33"/>
      <c r="J618" s="33"/>
      <c r="K618" s="33"/>
      <c r="L618" s="33"/>
      <c r="M618" s="33"/>
      <c r="N618" s="33"/>
      <c r="O618" s="33"/>
      <c r="P618" s="33"/>
      <c r="Q618" s="33"/>
      <c r="R618" s="33"/>
    </row>
    <row r="619">
      <c r="A619" s="33"/>
      <c r="B619" s="33"/>
      <c r="C619" s="33"/>
      <c r="D619" s="33"/>
      <c r="E619" s="33"/>
      <c r="F619" s="33"/>
      <c r="G619" s="33"/>
      <c r="H619" s="33"/>
      <c r="I619" s="33"/>
      <c r="J619" s="33"/>
      <c r="K619" s="33"/>
      <c r="L619" s="33"/>
      <c r="M619" s="33"/>
      <c r="N619" s="33"/>
      <c r="O619" s="33"/>
      <c r="P619" s="33"/>
      <c r="Q619" s="33"/>
      <c r="R619" s="33"/>
    </row>
    <row r="620">
      <c r="A620" s="33"/>
      <c r="B620" s="33"/>
      <c r="C620" s="33"/>
      <c r="D620" s="33"/>
      <c r="E620" s="33"/>
      <c r="F620" s="33"/>
      <c r="G620" s="33"/>
      <c r="H620" s="33"/>
      <c r="I620" s="33"/>
      <c r="J620" s="33"/>
      <c r="K620" s="33"/>
      <c r="L620" s="33"/>
      <c r="M620" s="33"/>
      <c r="N620" s="33"/>
      <c r="O620" s="33"/>
      <c r="P620" s="33"/>
      <c r="Q620" s="33"/>
      <c r="R620" s="33"/>
    </row>
    <row r="621">
      <c r="A621" s="33"/>
      <c r="B621" s="33"/>
      <c r="C621" s="33"/>
      <c r="D621" s="33"/>
      <c r="E621" s="33"/>
      <c r="F621" s="33"/>
      <c r="G621" s="33"/>
      <c r="H621" s="33"/>
      <c r="I621" s="33"/>
      <c r="J621" s="33"/>
      <c r="K621" s="33"/>
      <c r="L621" s="33"/>
      <c r="M621" s="33"/>
      <c r="N621" s="33"/>
      <c r="O621" s="33"/>
      <c r="P621" s="33"/>
      <c r="Q621" s="33"/>
      <c r="R621" s="33"/>
    </row>
    <row r="622">
      <c r="A622" s="33"/>
      <c r="B622" s="33"/>
      <c r="C622" s="33"/>
      <c r="D622" s="33"/>
      <c r="E622" s="33"/>
      <c r="F622" s="33"/>
      <c r="G622" s="33"/>
      <c r="H622" s="33"/>
      <c r="I622" s="33"/>
      <c r="J622" s="33"/>
      <c r="K622" s="33"/>
      <c r="L622" s="33"/>
      <c r="M622" s="33"/>
      <c r="N622" s="33"/>
      <c r="O622" s="33"/>
      <c r="P622" s="33"/>
      <c r="Q622" s="33"/>
      <c r="R622" s="33"/>
    </row>
    <row r="623">
      <c r="A623" s="33"/>
      <c r="B623" s="33"/>
      <c r="C623" s="33"/>
      <c r="D623" s="33"/>
      <c r="E623" s="33"/>
      <c r="F623" s="33"/>
      <c r="G623" s="33"/>
      <c r="H623" s="33"/>
      <c r="I623" s="33"/>
      <c r="J623" s="33"/>
      <c r="K623" s="33"/>
      <c r="L623" s="33"/>
      <c r="M623" s="33"/>
      <c r="N623" s="33"/>
      <c r="O623" s="33"/>
      <c r="P623" s="33"/>
      <c r="Q623" s="33"/>
      <c r="R623" s="33"/>
    </row>
    <row r="624">
      <c r="A624" s="33"/>
      <c r="B624" s="33"/>
      <c r="C624" s="33"/>
      <c r="D624" s="33"/>
      <c r="E624" s="33"/>
      <c r="F624" s="33"/>
      <c r="G624" s="33"/>
      <c r="H624" s="33"/>
      <c r="I624" s="33"/>
      <c r="J624" s="33"/>
      <c r="K624" s="33"/>
      <c r="L624" s="33"/>
      <c r="M624" s="33"/>
      <c r="N624" s="33"/>
      <c r="O624" s="33"/>
      <c r="P624" s="33"/>
      <c r="Q624" s="33"/>
      <c r="R624" s="33"/>
    </row>
    <row r="625">
      <c r="A625" s="33"/>
      <c r="B625" s="33"/>
      <c r="C625" s="33"/>
      <c r="D625" s="33"/>
      <c r="E625" s="33"/>
      <c r="F625" s="33"/>
      <c r="G625" s="33"/>
      <c r="H625" s="33"/>
      <c r="I625" s="33"/>
      <c r="J625" s="33"/>
      <c r="K625" s="33"/>
      <c r="L625" s="33"/>
      <c r="M625" s="33"/>
      <c r="N625" s="33"/>
      <c r="O625" s="33"/>
      <c r="P625" s="33"/>
      <c r="Q625" s="33"/>
      <c r="R625" s="33"/>
    </row>
    <row r="626">
      <c r="A626" s="33"/>
      <c r="B626" s="33"/>
      <c r="C626" s="33"/>
      <c r="D626" s="33"/>
      <c r="E626" s="33"/>
      <c r="F626" s="33"/>
      <c r="G626" s="33"/>
      <c r="H626" s="33"/>
      <c r="I626" s="33"/>
      <c r="J626" s="33"/>
      <c r="K626" s="33"/>
      <c r="L626" s="33"/>
      <c r="M626" s="33"/>
      <c r="N626" s="33"/>
      <c r="O626" s="33"/>
      <c r="P626" s="33"/>
      <c r="Q626" s="33"/>
      <c r="R626" s="33"/>
    </row>
    <row r="627">
      <c r="A627" s="33"/>
      <c r="B627" s="33"/>
      <c r="C627" s="33"/>
      <c r="D627" s="33"/>
      <c r="E627" s="33"/>
      <c r="F627" s="33"/>
      <c r="G627" s="33"/>
      <c r="H627" s="33"/>
      <c r="I627" s="33"/>
      <c r="J627" s="33"/>
      <c r="K627" s="33"/>
      <c r="L627" s="33"/>
      <c r="M627" s="33"/>
      <c r="N627" s="33"/>
      <c r="O627" s="33"/>
      <c r="P627" s="33"/>
      <c r="Q627" s="33"/>
      <c r="R627" s="33"/>
    </row>
    <row r="628">
      <c r="A628" s="33"/>
      <c r="B628" s="33"/>
      <c r="C628" s="33"/>
      <c r="D628" s="33"/>
      <c r="E628" s="33"/>
      <c r="F628" s="33"/>
      <c r="G628" s="33"/>
      <c r="H628" s="33"/>
      <c r="I628" s="33"/>
      <c r="J628" s="33"/>
      <c r="K628" s="33"/>
      <c r="L628" s="33"/>
      <c r="M628" s="33"/>
      <c r="N628" s="33"/>
      <c r="O628" s="33"/>
      <c r="P628" s="33"/>
      <c r="Q628" s="33"/>
      <c r="R628" s="33"/>
    </row>
    <row r="629">
      <c r="A629" s="33"/>
      <c r="B629" s="33"/>
      <c r="C629" s="33"/>
      <c r="D629" s="33"/>
      <c r="E629" s="33"/>
      <c r="F629" s="33"/>
      <c r="G629" s="33"/>
      <c r="H629" s="33"/>
      <c r="I629" s="33"/>
      <c r="J629" s="33"/>
      <c r="K629" s="33"/>
      <c r="L629" s="33"/>
      <c r="M629" s="33"/>
      <c r="N629" s="33"/>
      <c r="O629" s="33"/>
      <c r="P629" s="33"/>
      <c r="Q629" s="33"/>
      <c r="R629" s="33"/>
    </row>
    <row r="630">
      <c r="A630" s="33"/>
      <c r="B630" s="33"/>
      <c r="C630" s="33"/>
      <c r="D630" s="33"/>
      <c r="E630" s="33"/>
      <c r="F630" s="33"/>
      <c r="G630" s="33"/>
      <c r="H630" s="33"/>
      <c r="I630" s="33"/>
      <c r="J630" s="33"/>
      <c r="K630" s="33"/>
      <c r="L630" s="33"/>
      <c r="M630" s="33"/>
      <c r="N630" s="33"/>
      <c r="O630" s="33"/>
      <c r="P630" s="33"/>
      <c r="Q630" s="33"/>
      <c r="R630" s="33"/>
    </row>
    <row r="631">
      <c r="A631" s="33"/>
      <c r="B631" s="33"/>
      <c r="C631" s="33"/>
      <c r="D631" s="33"/>
      <c r="E631" s="33"/>
      <c r="F631" s="33"/>
      <c r="G631" s="33"/>
      <c r="H631" s="33"/>
      <c r="I631" s="33"/>
      <c r="J631" s="33"/>
      <c r="K631" s="33"/>
      <c r="L631" s="33"/>
      <c r="M631" s="33"/>
      <c r="N631" s="33"/>
      <c r="O631" s="33"/>
      <c r="P631" s="33"/>
      <c r="Q631" s="33"/>
      <c r="R631" s="33"/>
    </row>
    <row r="632">
      <c r="A632" s="33"/>
      <c r="B632" s="33"/>
      <c r="C632" s="33"/>
      <c r="D632" s="33"/>
      <c r="E632" s="33"/>
      <c r="F632" s="33"/>
      <c r="G632" s="33"/>
      <c r="H632" s="33"/>
      <c r="I632" s="33"/>
      <c r="J632" s="33"/>
      <c r="K632" s="33"/>
      <c r="L632" s="33"/>
      <c r="M632" s="33"/>
      <c r="N632" s="33"/>
      <c r="O632" s="33"/>
      <c r="P632" s="33"/>
      <c r="Q632" s="33"/>
      <c r="R632" s="33"/>
    </row>
    <row r="633">
      <c r="A633" s="33"/>
      <c r="B633" s="33"/>
      <c r="C633" s="33"/>
      <c r="D633" s="33"/>
      <c r="E633" s="33"/>
      <c r="F633" s="33"/>
      <c r="G633" s="33"/>
      <c r="H633" s="33"/>
      <c r="I633" s="33"/>
      <c r="J633" s="33"/>
      <c r="K633" s="33"/>
      <c r="L633" s="33"/>
      <c r="M633" s="33"/>
      <c r="N633" s="33"/>
      <c r="O633" s="33"/>
      <c r="P633" s="33"/>
      <c r="Q633" s="33"/>
      <c r="R633" s="33"/>
    </row>
    <row r="634">
      <c r="A634" s="33"/>
      <c r="B634" s="33"/>
      <c r="C634" s="33"/>
      <c r="D634" s="33"/>
      <c r="E634" s="33"/>
      <c r="F634" s="33"/>
      <c r="G634" s="33"/>
      <c r="H634" s="33"/>
      <c r="I634" s="33"/>
      <c r="J634" s="33"/>
      <c r="K634" s="33"/>
      <c r="L634" s="33"/>
      <c r="M634" s="33"/>
      <c r="N634" s="33"/>
      <c r="O634" s="33"/>
      <c r="P634" s="33"/>
      <c r="Q634" s="33"/>
      <c r="R634" s="33"/>
    </row>
    <row r="635">
      <c r="A635" s="33"/>
      <c r="B635" s="33"/>
      <c r="C635" s="33"/>
      <c r="D635" s="33"/>
      <c r="E635" s="33"/>
      <c r="F635" s="33"/>
      <c r="G635" s="33"/>
      <c r="H635" s="33"/>
      <c r="I635" s="33"/>
      <c r="J635" s="33"/>
      <c r="K635" s="33"/>
      <c r="L635" s="33"/>
      <c r="M635" s="33"/>
      <c r="N635" s="33"/>
      <c r="O635" s="33"/>
      <c r="P635" s="33"/>
      <c r="Q635" s="33"/>
      <c r="R635" s="33"/>
    </row>
    <row r="636">
      <c r="A636" s="33"/>
      <c r="B636" s="33"/>
      <c r="C636" s="33"/>
      <c r="D636" s="33"/>
      <c r="E636" s="33"/>
      <c r="F636" s="33"/>
      <c r="G636" s="33"/>
      <c r="H636" s="33"/>
      <c r="I636" s="33"/>
      <c r="J636" s="33"/>
      <c r="K636" s="33"/>
      <c r="L636" s="33"/>
      <c r="M636" s="33"/>
      <c r="N636" s="33"/>
      <c r="O636" s="33"/>
      <c r="P636" s="33"/>
      <c r="Q636" s="33"/>
      <c r="R636" s="33"/>
    </row>
    <row r="637">
      <c r="A637" s="33"/>
      <c r="B637" s="33"/>
      <c r="C637" s="33"/>
      <c r="D637" s="33"/>
      <c r="E637" s="33"/>
      <c r="F637" s="33"/>
      <c r="G637" s="33"/>
      <c r="H637" s="33"/>
      <c r="I637" s="33"/>
      <c r="J637" s="33"/>
      <c r="K637" s="33"/>
      <c r="L637" s="33"/>
      <c r="M637" s="33"/>
      <c r="N637" s="33"/>
      <c r="O637" s="33"/>
      <c r="P637" s="33"/>
      <c r="Q637" s="33"/>
      <c r="R637" s="33"/>
    </row>
    <row r="638">
      <c r="A638" s="33"/>
      <c r="B638" s="33"/>
      <c r="C638" s="33"/>
      <c r="D638" s="33"/>
      <c r="E638" s="33"/>
      <c r="F638" s="33"/>
      <c r="G638" s="33"/>
      <c r="H638" s="33"/>
      <c r="I638" s="33"/>
      <c r="J638" s="33"/>
      <c r="K638" s="33"/>
      <c r="L638" s="33"/>
      <c r="M638" s="33"/>
      <c r="N638" s="33"/>
      <c r="O638" s="33"/>
      <c r="P638" s="33"/>
      <c r="Q638" s="33"/>
      <c r="R638" s="33"/>
    </row>
    <row r="639">
      <c r="A639" s="33"/>
      <c r="B639" s="33"/>
      <c r="C639" s="33"/>
      <c r="D639" s="33"/>
      <c r="E639" s="33"/>
      <c r="F639" s="33"/>
      <c r="G639" s="33"/>
      <c r="H639" s="33"/>
      <c r="I639" s="33"/>
      <c r="J639" s="33"/>
      <c r="K639" s="33"/>
      <c r="L639" s="33"/>
      <c r="M639" s="33"/>
      <c r="N639" s="33"/>
      <c r="O639" s="33"/>
      <c r="P639" s="33"/>
      <c r="Q639" s="33"/>
      <c r="R639" s="33"/>
    </row>
    <row r="640">
      <c r="A640" s="33"/>
      <c r="B640" s="33"/>
      <c r="C640" s="33"/>
      <c r="D640" s="33"/>
      <c r="E640" s="33"/>
      <c r="F640" s="33"/>
      <c r="G640" s="33"/>
      <c r="H640" s="33"/>
      <c r="I640" s="33"/>
      <c r="J640" s="33"/>
      <c r="K640" s="33"/>
      <c r="L640" s="33"/>
      <c r="M640" s="33"/>
      <c r="N640" s="33"/>
      <c r="O640" s="33"/>
      <c r="P640" s="33"/>
      <c r="Q640" s="33"/>
      <c r="R640" s="33"/>
    </row>
    <row r="641">
      <c r="A641" s="33"/>
      <c r="B641" s="33"/>
      <c r="C641" s="33"/>
      <c r="D641" s="33"/>
      <c r="E641" s="33"/>
      <c r="F641" s="33"/>
      <c r="G641" s="33"/>
      <c r="H641" s="33"/>
      <c r="I641" s="33"/>
      <c r="J641" s="33"/>
      <c r="K641" s="33"/>
      <c r="L641" s="33"/>
      <c r="M641" s="33"/>
      <c r="N641" s="33"/>
      <c r="O641" s="33"/>
      <c r="P641" s="33"/>
      <c r="Q641" s="33"/>
      <c r="R641" s="33"/>
    </row>
    <row r="642">
      <c r="A642" s="33"/>
      <c r="B642" s="33"/>
      <c r="C642" s="33"/>
      <c r="D642" s="33"/>
      <c r="E642" s="33"/>
      <c r="F642" s="33"/>
      <c r="G642" s="33"/>
      <c r="H642" s="33"/>
      <c r="I642" s="33"/>
      <c r="J642" s="33"/>
      <c r="K642" s="33"/>
      <c r="L642" s="33"/>
      <c r="M642" s="33"/>
      <c r="N642" s="33"/>
      <c r="O642" s="33"/>
      <c r="P642" s="33"/>
      <c r="Q642" s="33"/>
      <c r="R642" s="33"/>
    </row>
    <row r="643">
      <c r="A643" s="33"/>
      <c r="B643" s="33"/>
      <c r="C643" s="33"/>
      <c r="D643" s="33"/>
      <c r="E643" s="33"/>
      <c r="F643" s="33"/>
      <c r="G643" s="33"/>
      <c r="H643" s="33"/>
      <c r="I643" s="33"/>
      <c r="J643" s="33"/>
      <c r="K643" s="33"/>
      <c r="L643" s="33"/>
      <c r="M643" s="33"/>
      <c r="N643" s="33"/>
      <c r="O643" s="33"/>
      <c r="P643" s="33"/>
      <c r="Q643" s="33"/>
      <c r="R643" s="33"/>
    </row>
    <row r="644">
      <c r="A644" s="33"/>
      <c r="B644" s="33"/>
      <c r="C644" s="33"/>
      <c r="D644" s="33"/>
      <c r="E644" s="33"/>
      <c r="F644" s="33"/>
      <c r="G644" s="33"/>
      <c r="H644" s="33"/>
      <c r="I644" s="33"/>
      <c r="J644" s="33"/>
      <c r="K644" s="33"/>
      <c r="L644" s="33"/>
      <c r="M644" s="33"/>
      <c r="N644" s="33"/>
      <c r="O644" s="33"/>
      <c r="P644" s="33"/>
      <c r="Q644" s="33"/>
      <c r="R644" s="33"/>
    </row>
    <row r="645">
      <c r="A645" s="33"/>
      <c r="B645" s="33"/>
      <c r="C645" s="33"/>
      <c r="D645" s="33"/>
      <c r="E645" s="33"/>
      <c r="F645" s="33"/>
      <c r="G645" s="33"/>
      <c r="H645" s="33"/>
      <c r="I645" s="33"/>
      <c r="J645" s="33"/>
      <c r="K645" s="33"/>
      <c r="L645" s="33"/>
      <c r="M645" s="33"/>
      <c r="N645" s="33"/>
      <c r="O645" s="33"/>
      <c r="P645" s="33"/>
      <c r="Q645" s="33"/>
      <c r="R645" s="33"/>
    </row>
    <row r="646">
      <c r="A646" s="33"/>
      <c r="B646" s="33"/>
      <c r="C646" s="33"/>
      <c r="D646" s="33"/>
      <c r="E646" s="33"/>
      <c r="F646" s="33"/>
      <c r="G646" s="33"/>
      <c r="H646" s="33"/>
      <c r="I646" s="33"/>
      <c r="J646" s="33"/>
      <c r="K646" s="33"/>
      <c r="L646" s="33"/>
      <c r="M646" s="33"/>
      <c r="N646" s="33"/>
      <c r="O646" s="33"/>
      <c r="P646" s="33"/>
      <c r="Q646" s="33"/>
      <c r="R646" s="33"/>
    </row>
    <row r="647">
      <c r="A647" s="33"/>
      <c r="B647" s="33"/>
      <c r="C647" s="33"/>
      <c r="D647" s="33"/>
      <c r="E647" s="33"/>
      <c r="F647" s="33"/>
      <c r="G647" s="33"/>
      <c r="H647" s="33"/>
      <c r="I647" s="33"/>
      <c r="J647" s="33"/>
      <c r="K647" s="33"/>
      <c r="L647" s="33"/>
      <c r="M647" s="33"/>
      <c r="N647" s="33"/>
      <c r="O647" s="33"/>
      <c r="P647" s="33"/>
      <c r="Q647" s="33"/>
      <c r="R647" s="33"/>
    </row>
    <row r="648">
      <c r="A648" s="33"/>
      <c r="B648" s="33"/>
      <c r="C648" s="33"/>
      <c r="D648" s="33"/>
      <c r="E648" s="33"/>
      <c r="F648" s="33"/>
      <c r="G648" s="33"/>
      <c r="H648" s="33"/>
      <c r="I648" s="33"/>
      <c r="J648" s="33"/>
      <c r="K648" s="33"/>
      <c r="L648" s="33"/>
      <c r="M648" s="33"/>
      <c r="N648" s="33"/>
      <c r="O648" s="33"/>
      <c r="P648" s="33"/>
      <c r="Q648" s="33"/>
      <c r="R648" s="33"/>
    </row>
    <row r="649">
      <c r="A649" s="33"/>
      <c r="B649" s="33"/>
      <c r="C649" s="33"/>
      <c r="D649" s="33"/>
      <c r="E649" s="33"/>
      <c r="F649" s="33"/>
      <c r="G649" s="33"/>
      <c r="H649" s="33"/>
      <c r="I649" s="33"/>
      <c r="J649" s="33"/>
      <c r="K649" s="33"/>
      <c r="L649" s="33"/>
      <c r="M649" s="33"/>
      <c r="N649" s="33"/>
      <c r="O649" s="33"/>
      <c r="P649" s="33"/>
      <c r="Q649" s="33"/>
      <c r="R649" s="33"/>
    </row>
    <row r="650">
      <c r="A650" s="33"/>
      <c r="B650" s="33"/>
      <c r="C650" s="33"/>
      <c r="D650" s="33"/>
      <c r="E650" s="33"/>
      <c r="F650" s="33"/>
      <c r="G650" s="33"/>
      <c r="H650" s="33"/>
      <c r="I650" s="33"/>
      <c r="J650" s="33"/>
      <c r="K650" s="33"/>
      <c r="L650" s="33"/>
      <c r="M650" s="33"/>
      <c r="N650" s="33"/>
      <c r="O650" s="33"/>
      <c r="P650" s="33"/>
      <c r="Q650" s="33"/>
      <c r="R650" s="33"/>
    </row>
    <row r="651">
      <c r="A651" s="33"/>
      <c r="B651" s="33"/>
      <c r="C651" s="33"/>
      <c r="D651" s="33"/>
      <c r="E651" s="33"/>
      <c r="F651" s="33"/>
      <c r="G651" s="33"/>
      <c r="H651" s="33"/>
      <c r="I651" s="33"/>
      <c r="J651" s="33"/>
      <c r="K651" s="33"/>
      <c r="L651" s="33"/>
      <c r="M651" s="33"/>
      <c r="N651" s="33"/>
      <c r="O651" s="33"/>
      <c r="P651" s="33"/>
      <c r="Q651" s="33"/>
      <c r="R651" s="33"/>
    </row>
    <row r="652">
      <c r="A652" s="33"/>
      <c r="B652" s="33"/>
      <c r="C652" s="33"/>
      <c r="D652" s="33"/>
      <c r="E652" s="33"/>
      <c r="F652" s="33"/>
      <c r="G652" s="33"/>
      <c r="H652" s="33"/>
      <c r="I652" s="33"/>
      <c r="J652" s="33"/>
      <c r="K652" s="33"/>
      <c r="L652" s="33"/>
      <c r="M652" s="33"/>
      <c r="N652" s="33"/>
      <c r="O652" s="33"/>
      <c r="P652" s="33"/>
      <c r="Q652" s="33"/>
      <c r="R652" s="33"/>
    </row>
    <row r="653">
      <c r="A653" s="33"/>
      <c r="B653" s="33"/>
      <c r="C653" s="33"/>
      <c r="D653" s="33"/>
      <c r="E653" s="33"/>
      <c r="F653" s="33"/>
      <c r="G653" s="33"/>
      <c r="H653" s="33"/>
      <c r="I653" s="33"/>
      <c r="J653" s="33"/>
      <c r="K653" s="33"/>
      <c r="L653" s="33"/>
      <c r="M653" s="33"/>
      <c r="N653" s="33"/>
      <c r="O653" s="33"/>
      <c r="P653" s="33"/>
      <c r="Q653" s="33"/>
      <c r="R653" s="33"/>
    </row>
    <row r="654">
      <c r="A654" s="33"/>
      <c r="B654" s="33"/>
      <c r="C654" s="33"/>
      <c r="D654" s="33"/>
      <c r="E654" s="33"/>
      <c r="F654" s="33"/>
      <c r="G654" s="33"/>
      <c r="H654" s="33"/>
      <c r="I654" s="33"/>
      <c r="J654" s="33"/>
      <c r="K654" s="33"/>
      <c r="L654" s="33"/>
      <c r="M654" s="33"/>
      <c r="N654" s="33"/>
      <c r="O654" s="33"/>
      <c r="P654" s="33"/>
      <c r="Q654" s="33"/>
      <c r="R654" s="33"/>
    </row>
    <row r="655">
      <c r="A655" s="33"/>
      <c r="B655" s="33"/>
      <c r="C655" s="33"/>
      <c r="D655" s="33"/>
      <c r="E655" s="33"/>
      <c r="F655" s="33"/>
      <c r="G655" s="33"/>
      <c r="H655" s="33"/>
      <c r="I655" s="33"/>
      <c r="J655" s="33"/>
      <c r="K655" s="33"/>
      <c r="L655" s="33"/>
      <c r="M655" s="33"/>
      <c r="N655" s="33"/>
      <c r="O655" s="33"/>
      <c r="P655" s="33"/>
      <c r="Q655" s="33"/>
      <c r="R655" s="33"/>
    </row>
    <row r="656">
      <c r="A656" s="33"/>
      <c r="B656" s="33"/>
      <c r="C656" s="33"/>
      <c r="D656" s="33"/>
      <c r="E656" s="33"/>
      <c r="F656" s="33"/>
      <c r="G656" s="33"/>
      <c r="H656" s="33"/>
      <c r="I656" s="33"/>
      <c r="J656" s="33"/>
      <c r="K656" s="33"/>
      <c r="L656" s="33"/>
      <c r="M656" s="33"/>
      <c r="N656" s="33"/>
      <c r="O656" s="33"/>
      <c r="P656" s="33"/>
      <c r="Q656" s="33"/>
      <c r="R656" s="33"/>
    </row>
    <row r="657">
      <c r="A657" s="33"/>
      <c r="B657" s="33"/>
      <c r="C657" s="33"/>
      <c r="D657" s="33"/>
      <c r="E657" s="33"/>
      <c r="F657" s="33"/>
      <c r="G657" s="33"/>
      <c r="H657" s="33"/>
      <c r="I657" s="33"/>
      <c r="J657" s="33"/>
      <c r="K657" s="33"/>
      <c r="L657" s="33"/>
      <c r="M657" s="33"/>
      <c r="N657" s="33"/>
      <c r="O657" s="33"/>
      <c r="P657" s="33"/>
      <c r="Q657" s="33"/>
      <c r="R657" s="33"/>
    </row>
    <row r="658">
      <c r="A658" s="33"/>
      <c r="B658" s="33"/>
      <c r="C658" s="33"/>
      <c r="D658" s="33"/>
      <c r="E658" s="33"/>
      <c r="F658" s="33"/>
      <c r="G658" s="33"/>
      <c r="H658" s="33"/>
      <c r="I658" s="33"/>
      <c r="J658" s="33"/>
      <c r="K658" s="33"/>
      <c r="L658" s="33"/>
      <c r="M658" s="33"/>
      <c r="N658" s="33"/>
      <c r="O658" s="33"/>
      <c r="P658" s="33"/>
      <c r="Q658" s="33"/>
      <c r="R658" s="33"/>
    </row>
    <row r="659">
      <c r="A659" s="33"/>
      <c r="B659" s="33"/>
      <c r="C659" s="33"/>
      <c r="D659" s="33"/>
      <c r="E659" s="33"/>
      <c r="F659" s="33"/>
      <c r="G659" s="33"/>
      <c r="H659" s="33"/>
      <c r="I659" s="33"/>
      <c r="J659" s="33"/>
      <c r="K659" s="33"/>
      <c r="L659" s="33"/>
      <c r="M659" s="33"/>
      <c r="N659" s="33"/>
      <c r="O659" s="33"/>
      <c r="P659" s="33"/>
      <c r="Q659" s="33"/>
      <c r="R659" s="33"/>
    </row>
    <row r="660">
      <c r="A660" s="33"/>
      <c r="B660" s="33"/>
      <c r="C660" s="33"/>
      <c r="D660" s="33"/>
      <c r="E660" s="33"/>
      <c r="F660" s="33"/>
      <c r="G660" s="33"/>
      <c r="H660" s="33"/>
      <c r="I660" s="33"/>
      <c r="J660" s="33"/>
      <c r="K660" s="33"/>
      <c r="L660" s="33"/>
      <c r="M660" s="33"/>
      <c r="N660" s="33"/>
      <c r="O660" s="33"/>
      <c r="P660" s="33"/>
      <c r="Q660" s="33"/>
      <c r="R660" s="33"/>
    </row>
    <row r="661">
      <c r="A661" s="33"/>
      <c r="B661" s="33"/>
      <c r="C661" s="33"/>
      <c r="D661" s="33"/>
      <c r="E661" s="33"/>
      <c r="F661" s="33"/>
      <c r="G661" s="33"/>
      <c r="H661" s="33"/>
      <c r="I661" s="33"/>
      <c r="J661" s="33"/>
      <c r="K661" s="33"/>
      <c r="L661" s="33"/>
      <c r="M661" s="33"/>
      <c r="N661" s="33"/>
      <c r="O661" s="33"/>
      <c r="P661" s="33"/>
      <c r="Q661" s="33"/>
      <c r="R661" s="33"/>
    </row>
    <row r="662">
      <c r="A662" s="33"/>
      <c r="B662" s="33"/>
      <c r="C662" s="33"/>
      <c r="D662" s="33"/>
      <c r="E662" s="33"/>
      <c r="F662" s="33"/>
      <c r="G662" s="33"/>
      <c r="H662" s="33"/>
      <c r="I662" s="33"/>
      <c r="J662" s="33"/>
      <c r="K662" s="33"/>
      <c r="L662" s="33"/>
      <c r="M662" s="33"/>
      <c r="N662" s="33"/>
      <c r="O662" s="33"/>
      <c r="P662" s="33"/>
      <c r="Q662" s="33"/>
      <c r="R662" s="33"/>
    </row>
    <row r="663">
      <c r="A663" s="33"/>
      <c r="B663" s="33"/>
      <c r="C663" s="33"/>
      <c r="D663" s="33"/>
      <c r="E663" s="33"/>
      <c r="F663" s="33"/>
      <c r="G663" s="33"/>
      <c r="H663" s="33"/>
      <c r="I663" s="33"/>
      <c r="J663" s="33"/>
      <c r="K663" s="33"/>
      <c r="L663" s="33"/>
      <c r="M663" s="33"/>
      <c r="N663" s="33"/>
      <c r="O663" s="33"/>
      <c r="P663" s="33"/>
      <c r="Q663" s="33"/>
      <c r="R663" s="33"/>
    </row>
    <row r="664">
      <c r="A664" s="33"/>
      <c r="B664" s="33"/>
      <c r="C664" s="33"/>
      <c r="D664" s="33"/>
      <c r="E664" s="33"/>
      <c r="F664" s="33"/>
      <c r="G664" s="33"/>
      <c r="H664" s="33"/>
      <c r="I664" s="33"/>
      <c r="J664" s="33"/>
      <c r="K664" s="33"/>
      <c r="L664" s="33"/>
      <c r="M664" s="33"/>
      <c r="N664" s="33"/>
      <c r="O664" s="33"/>
      <c r="P664" s="33"/>
      <c r="Q664" s="33"/>
      <c r="R664" s="33"/>
    </row>
    <row r="665">
      <c r="A665" s="33"/>
      <c r="B665" s="33"/>
      <c r="C665" s="33"/>
      <c r="D665" s="33"/>
      <c r="E665" s="33"/>
      <c r="F665" s="33"/>
      <c r="G665" s="33"/>
      <c r="H665" s="33"/>
      <c r="I665" s="33"/>
      <c r="J665" s="33"/>
      <c r="K665" s="33"/>
      <c r="L665" s="33"/>
      <c r="M665" s="33"/>
      <c r="N665" s="33"/>
      <c r="O665" s="33"/>
      <c r="P665" s="33"/>
      <c r="Q665" s="33"/>
      <c r="R665" s="33"/>
    </row>
    <row r="666">
      <c r="A666" s="33"/>
      <c r="B666" s="33"/>
      <c r="C666" s="33"/>
      <c r="D666" s="33"/>
      <c r="E666" s="33"/>
      <c r="F666" s="33"/>
      <c r="G666" s="33"/>
      <c r="H666" s="33"/>
      <c r="I666" s="33"/>
      <c r="J666" s="33"/>
      <c r="K666" s="33"/>
      <c r="L666" s="33"/>
      <c r="M666" s="33"/>
      <c r="N666" s="33"/>
      <c r="O666" s="33"/>
      <c r="P666" s="33"/>
      <c r="Q666" s="33"/>
      <c r="R666" s="33"/>
    </row>
    <row r="667">
      <c r="A667" s="33"/>
      <c r="B667" s="33"/>
      <c r="C667" s="33"/>
      <c r="D667" s="33"/>
      <c r="E667" s="33"/>
      <c r="F667" s="33"/>
      <c r="G667" s="33"/>
      <c r="H667" s="33"/>
      <c r="I667" s="33"/>
      <c r="J667" s="33"/>
      <c r="K667" s="33"/>
      <c r="L667" s="33"/>
      <c r="M667" s="33"/>
      <c r="N667" s="33"/>
      <c r="O667" s="33"/>
      <c r="P667" s="33"/>
      <c r="Q667" s="33"/>
      <c r="R667" s="33"/>
    </row>
    <row r="668">
      <c r="A668" s="33"/>
      <c r="B668" s="33"/>
      <c r="C668" s="33"/>
      <c r="D668" s="33"/>
      <c r="E668" s="33"/>
      <c r="F668" s="33"/>
      <c r="G668" s="33"/>
      <c r="H668" s="33"/>
      <c r="I668" s="33"/>
      <c r="J668" s="33"/>
      <c r="K668" s="33"/>
      <c r="L668" s="33"/>
      <c r="M668" s="33"/>
      <c r="N668" s="33"/>
      <c r="O668" s="33"/>
      <c r="P668" s="33"/>
      <c r="Q668" s="33"/>
      <c r="R668" s="33"/>
    </row>
    <row r="669">
      <c r="A669" s="33"/>
      <c r="B669" s="33"/>
      <c r="C669" s="33"/>
      <c r="D669" s="33"/>
      <c r="E669" s="33"/>
      <c r="F669" s="33"/>
      <c r="G669" s="33"/>
      <c r="H669" s="33"/>
      <c r="I669" s="33"/>
      <c r="J669" s="33"/>
      <c r="K669" s="33"/>
      <c r="L669" s="33"/>
      <c r="M669" s="33"/>
      <c r="N669" s="33"/>
      <c r="O669" s="33"/>
      <c r="P669" s="33"/>
      <c r="Q669" s="33"/>
      <c r="R669" s="33"/>
    </row>
    <row r="670">
      <c r="A670" s="33"/>
      <c r="B670" s="33"/>
      <c r="C670" s="33"/>
      <c r="D670" s="33"/>
      <c r="E670" s="33"/>
      <c r="F670" s="33"/>
      <c r="G670" s="33"/>
      <c r="H670" s="33"/>
      <c r="I670" s="33"/>
      <c r="J670" s="33"/>
      <c r="K670" s="33"/>
      <c r="L670" s="33"/>
      <c r="M670" s="33"/>
      <c r="N670" s="33"/>
      <c r="O670" s="33"/>
      <c r="P670" s="33"/>
      <c r="Q670" s="33"/>
      <c r="R670" s="33"/>
    </row>
    <row r="671">
      <c r="A671" s="33"/>
      <c r="B671" s="33"/>
      <c r="C671" s="33"/>
      <c r="D671" s="33"/>
      <c r="E671" s="33"/>
      <c r="F671" s="33"/>
      <c r="G671" s="33"/>
      <c r="H671" s="33"/>
      <c r="I671" s="33"/>
      <c r="J671" s="33"/>
      <c r="K671" s="33"/>
      <c r="L671" s="33"/>
      <c r="M671" s="33"/>
      <c r="N671" s="33"/>
      <c r="O671" s="33"/>
      <c r="P671" s="33"/>
      <c r="Q671" s="33"/>
      <c r="R671" s="33"/>
    </row>
    <row r="672">
      <c r="A672" s="33"/>
      <c r="B672" s="33"/>
      <c r="C672" s="33"/>
      <c r="D672" s="33"/>
      <c r="E672" s="33"/>
      <c r="F672" s="33"/>
      <c r="G672" s="33"/>
      <c r="H672" s="33"/>
      <c r="I672" s="33"/>
      <c r="J672" s="33"/>
      <c r="K672" s="33"/>
      <c r="L672" s="33"/>
      <c r="M672" s="33"/>
      <c r="N672" s="33"/>
      <c r="O672" s="33"/>
      <c r="P672" s="33"/>
      <c r="Q672" s="33"/>
      <c r="R672" s="33"/>
    </row>
    <row r="673">
      <c r="A673" s="33"/>
      <c r="B673" s="33"/>
      <c r="C673" s="33"/>
      <c r="D673" s="33"/>
      <c r="E673" s="33"/>
      <c r="F673" s="33"/>
      <c r="G673" s="33"/>
      <c r="H673" s="33"/>
      <c r="I673" s="33"/>
      <c r="J673" s="33"/>
      <c r="K673" s="33"/>
      <c r="L673" s="33"/>
      <c r="M673" s="33"/>
      <c r="N673" s="33"/>
      <c r="O673" s="33"/>
      <c r="P673" s="33"/>
      <c r="Q673" s="33"/>
      <c r="R673" s="33"/>
    </row>
    <row r="674">
      <c r="A674" s="33"/>
      <c r="B674" s="33"/>
      <c r="C674" s="33"/>
      <c r="D674" s="33"/>
      <c r="E674" s="33"/>
      <c r="F674" s="33"/>
      <c r="G674" s="33"/>
      <c r="H674" s="33"/>
      <c r="I674" s="33"/>
      <c r="J674" s="33"/>
      <c r="K674" s="33"/>
      <c r="L674" s="33"/>
      <c r="M674" s="33"/>
      <c r="N674" s="33"/>
      <c r="O674" s="33"/>
      <c r="P674" s="33"/>
      <c r="Q674" s="33"/>
      <c r="R674" s="33"/>
    </row>
    <row r="675">
      <c r="A675" s="33"/>
      <c r="B675" s="33"/>
      <c r="C675" s="33"/>
      <c r="D675" s="33"/>
      <c r="E675" s="33"/>
      <c r="F675" s="33"/>
      <c r="G675" s="33"/>
      <c r="H675" s="33"/>
      <c r="I675" s="33"/>
      <c r="J675" s="33"/>
      <c r="K675" s="33"/>
      <c r="L675" s="33"/>
      <c r="M675" s="33"/>
      <c r="N675" s="33"/>
      <c r="O675" s="33"/>
      <c r="P675" s="33"/>
      <c r="Q675" s="33"/>
      <c r="R675" s="33"/>
    </row>
    <row r="676">
      <c r="A676" s="33"/>
      <c r="B676" s="33"/>
      <c r="C676" s="33"/>
      <c r="D676" s="33"/>
      <c r="E676" s="33"/>
      <c r="F676" s="33"/>
      <c r="G676" s="33"/>
      <c r="H676" s="33"/>
      <c r="I676" s="33"/>
      <c r="J676" s="33"/>
      <c r="K676" s="33"/>
      <c r="L676" s="33"/>
      <c r="M676" s="33"/>
      <c r="N676" s="33"/>
      <c r="O676" s="33"/>
      <c r="P676" s="33"/>
      <c r="Q676" s="33"/>
      <c r="R676" s="33"/>
    </row>
    <row r="677">
      <c r="A677" s="33"/>
      <c r="B677" s="33"/>
      <c r="C677" s="33"/>
      <c r="D677" s="33"/>
      <c r="E677" s="33"/>
      <c r="F677" s="33"/>
      <c r="G677" s="33"/>
      <c r="H677" s="33"/>
      <c r="I677" s="33"/>
      <c r="J677" s="33"/>
      <c r="K677" s="33"/>
      <c r="L677" s="33"/>
      <c r="M677" s="33"/>
      <c r="N677" s="33"/>
      <c r="O677" s="33"/>
      <c r="P677" s="33"/>
      <c r="Q677" s="33"/>
      <c r="R677" s="33"/>
    </row>
    <row r="678">
      <c r="A678" s="33"/>
      <c r="B678" s="33"/>
      <c r="C678" s="33"/>
      <c r="D678" s="33"/>
      <c r="E678" s="33"/>
      <c r="F678" s="33"/>
      <c r="G678" s="33"/>
      <c r="H678" s="33"/>
      <c r="I678" s="33"/>
      <c r="J678" s="33"/>
      <c r="K678" s="33"/>
      <c r="L678" s="33"/>
      <c r="M678" s="33"/>
      <c r="N678" s="33"/>
      <c r="O678" s="33"/>
      <c r="P678" s="33"/>
      <c r="Q678" s="33"/>
      <c r="R678" s="33"/>
    </row>
    <row r="679">
      <c r="A679" s="33"/>
      <c r="B679" s="33"/>
      <c r="C679" s="33"/>
      <c r="D679" s="33"/>
      <c r="E679" s="33"/>
      <c r="F679" s="33"/>
      <c r="G679" s="33"/>
      <c r="H679" s="33"/>
      <c r="I679" s="33"/>
      <c r="J679" s="33"/>
      <c r="K679" s="33"/>
      <c r="L679" s="33"/>
      <c r="M679" s="33"/>
      <c r="N679" s="33"/>
      <c r="O679" s="33"/>
      <c r="P679" s="33"/>
      <c r="Q679" s="33"/>
      <c r="R679" s="33"/>
    </row>
    <row r="680">
      <c r="A680" s="33"/>
      <c r="B680" s="33"/>
      <c r="C680" s="33"/>
      <c r="D680" s="33"/>
      <c r="E680" s="33"/>
      <c r="F680" s="33"/>
      <c r="G680" s="33"/>
      <c r="H680" s="33"/>
      <c r="I680" s="33"/>
      <c r="J680" s="33"/>
      <c r="K680" s="33"/>
      <c r="L680" s="33"/>
      <c r="M680" s="33"/>
      <c r="N680" s="33"/>
      <c r="O680" s="33"/>
      <c r="P680" s="33"/>
      <c r="Q680" s="33"/>
      <c r="R680" s="33"/>
    </row>
    <row r="681">
      <c r="A681" s="33"/>
      <c r="B681" s="33"/>
      <c r="C681" s="33"/>
      <c r="D681" s="33"/>
      <c r="E681" s="33"/>
      <c r="F681" s="33"/>
      <c r="G681" s="33"/>
      <c r="H681" s="33"/>
      <c r="I681" s="33"/>
      <c r="J681" s="33"/>
      <c r="K681" s="33"/>
      <c r="L681" s="33"/>
      <c r="M681" s="33"/>
      <c r="N681" s="33"/>
      <c r="O681" s="33"/>
      <c r="P681" s="33"/>
      <c r="Q681" s="33"/>
      <c r="R681" s="33"/>
    </row>
    <row r="682">
      <c r="A682" s="33"/>
      <c r="B682" s="33"/>
      <c r="C682" s="33"/>
      <c r="D682" s="33"/>
      <c r="E682" s="33"/>
      <c r="F682" s="33"/>
      <c r="G682" s="33"/>
      <c r="H682" s="33"/>
      <c r="I682" s="33"/>
      <c r="J682" s="33"/>
      <c r="K682" s="33"/>
      <c r="L682" s="33"/>
      <c r="M682" s="33"/>
      <c r="N682" s="33"/>
      <c r="O682" s="33"/>
      <c r="P682" s="33"/>
      <c r="Q682" s="33"/>
      <c r="R682" s="33"/>
    </row>
    <row r="683">
      <c r="A683" s="33"/>
      <c r="B683" s="33"/>
      <c r="C683" s="33"/>
      <c r="D683" s="33"/>
      <c r="E683" s="33"/>
      <c r="F683" s="33"/>
      <c r="G683" s="33"/>
      <c r="H683" s="33"/>
      <c r="I683" s="33"/>
      <c r="J683" s="33"/>
      <c r="K683" s="33"/>
      <c r="L683" s="33"/>
      <c r="M683" s="33"/>
      <c r="N683" s="33"/>
      <c r="O683" s="33"/>
      <c r="P683" s="33"/>
      <c r="Q683" s="33"/>
      <c r="R683" s="33"/>
    </row>
    <row r="684">
      <c r="A684" s="33"/>
      <c r="B684" s="33"/>
      <c r="C684" s="33"/>
      <c r="D684" s="33"/>
      <c r="E684" s="33"/>
      <c r="F684" s="33"/>
      <c r="G684" s="33"/>
      <c r="H684" s="33"/>
      <c r="I684" s="33"/>
      <c r="J684" s="33"/>
      <c r="K684" s="33"/>
      <c r="L684" s="33"/>
      <c r="M684" s="33"/>
      <c r="N684" s="33"/>
      <c r="O684" s="33"/>
      <c r="P684" s="33"/>
      <c r="Q684" s="33"/>
      <c r="R684" s="33"/>
    </row>
    <row r="685">
      <c r="A685" s="33"/>
      <c r="B685" s="33"/>
      <c r="C685" s="33"/>
      <c r="D685" s="33"/>
      <c r="E685" s="33"/>
      <c r="F685" s="33"/>
      <c r="G685" s="33"/>
      <c r="H685" s="33"/>
      <c r="I685" s="33"/>
      <c r="J685" s="33"/>
      <c r="K685" s="33"/>
      <c r="L685" s="33"/>
      <c r="M685" s="33"/>
      <c r="N685" s="33"/>
      <c r="O685" s="33"/>
      <c r="P685" s="33"/>
      <c r="Q685" s="33"/>
      <c r="R685" s="33"/>
    </row>
    <row r="686">
      <c r="A686" s="33"/>
      <c r="B686" s="33"/>
      <c r="C686" s="33"/>
      <c r="D686" s="33"/>
      <c r="E686" s="33"/>
      <c r="F686" s="33"/>
      <c r="G686" s="33"/>
      <c r="H686" s="33"/>
      <c r="I686" s="33"/>
      <c r="J686" s="33"/>
      <c r="K686" s="33"/>
      <c r="L686" s="33"/>
      <c r="M686" s="33"/>
      <c r="N686" s="33"/>
      <c r="O686" s="33"/>
      <c r="P686" s="33"/>
      <c r="Q686" s="33"/>
      <c r="R686" s="33"/>
    </row>
    <row r="687">
      <c r="A687" s="33"/>
      <c r="B687" s="33"/>
      <c r="C687" s="33"/>
      <c r="D687" s="33"/>
      <c r="E687" s="33"/>
      <c r="F687" s="33"/>
      <c r="G687" s="33"/>
      <c r="H687" s="33"/>
      <c r="I687" s="33"/>
      <c r="J687" s="33"/>
      <c r="K687" s="33"/>
      <c r="L687" s="33"/>
      <c r="M687" s="33"/>
      <c r="N687" s="33"/>
      <c r="O687" s="33"/>
      <c r="P687" s="33"/>
      <c r="Q687" s="33"/>
      <c r="R687" s="33"/>
    </row>
    <row r="688">
      <c r="A688" s="33"/>
      <c r="B688" s="33"/>
      <c r="C688" s="33"/>
      <c r="D688" s="33"/>
      <c r="E688" s="33"/>
      <c r="F688" s="33"/>
      <c r="G688" s="33"/>
      <c r="H688" s="33"/>
      <c r="I688" s="33"/>
      <c r="J688" s="33"/>
      <c r="K688" s="33"/>
      <c r="L688" s="33"/>
      <c r="M688" s="33"/>
      <c r="N688" s="33"/>
      <c r="O688" s="33"/>
      <c r="P688" s="33"/>
      <c r="Q688" s="33"/>
      <c r="R688" s="33"/>
    </row>
    <row r="689">
      <c r="A689" s="33"/>
      <c r="B689" s="33"/>
      <c r="C689" s="33"/>
      <c r="D689" s="33"/>
      <c r="E689" s="33"/>
      <c r="F689" s="33"/>
      <c r="G689" s="33"/>
      <c r="H689" s="33"/>
      <c r="I689" s="33"/>
      <c r="J689" s="33"/>
      <c r="K689" s="33"/>
      <c r="L689" s="33"/>
      <c r="M689" s="33"/>
      <c r="N689" s="33"/>
      <c r="O689" s="33"/>
      <c r="P689" s="33"/>
      <c r="Q689" s="33"/>
      <c r="R689" s="33"/>
    </row>
    <row r="690">
      <c r="A690" s="33"/>
      <c r="B690" s="33"/>
      <c r="C690" s="33"/>
      <c r="D690" s="33"/>
      <c r="E690" s="33"/>
      <c r="F690" s="33"/>
      <c r="G690" s="33"/>
      <c r="H690" s="33"/>
      <c r="I690" s="33"/>
      <c r="J690" s="33"/>
      <c r="K690" s="33"/>
      <c r="L690" s="33"/>
      <c r="M690" s="33"/>
      <c r="N690" s="33"/>
      <c r="O690" s="33"/>
      <c r="P690" s="33"/>
      <c r="Q690" s="33"/>
      <c r="R690" s="33"/>
    </row>
    <row r="691">
      <c r="A691" s="33"/>
      <c r="B691" s="33"/>
      <c r="C691" s="33"/>
      <c r="D691" s="33"/>
      <c r="E691" s="33"/>
      <c r="F691" s="33"/>
      <c r="G691" s="33"/>
      <c r="H691" s="33"/>
      <c r="I691" s="33"/>
      <c r="J691" s="33"/>
      <c r="K691" s="33"/>
      <c r="L691" s="33"/>
      <c r="M691" s="33"/>
      <c r="N691" s="33"/>
      <c r="O691" s="33"/>
      <c r="P691" s="33"/>
      <c r="Q691" s="33"/>
      <c r="R691" s="33"/>
    </row>
    <row r="692">
      <c r="A692" s="33"/>
      <c r="B692" s="33"/>
      <c r="C692" s="33"/>
      <c r="D692" s="33"/>
      <c r="E692" s="33"/>
      <c r="F692" s="33"/>
      <c r="G692" s="33"/>
      <c r="H692" s="33"/>
      <c r="I692" s="33"/>
      <c r="J692" s="33"/>
      <c r="K692" s="33"/>
      <c r="L692" s="33"/>
      <c r="M692" s="33"/>
      <c r="N692" s="33"/>
      <c r="O692" s="33"/>
      <c r="P692" s="33"/>
      <c r="Q692" s="33"/>
      <c r="R692" s="33"/>
    </row>
    <row r="693">
      <c r="A693" s="33"/>
      <c r="B693" s="33"/>
      <c r="C693" s="33"/>
      <c r="D693" s="33"/>
      <c r="E693" s="33"/>
      <c r="F693" s="33"/>
      <c r="G693" s="33"/>
      <c r="H693" s="33"/>
      <c r="I693" s="33"/>
      <c r="J693" s="33"/>
      <c r="K693" s="33"/>
      <c r="L693" s="33"/>
      <c r="M693" s="33"/>
      <c r="N693" s="33"/>
      <c r="O693" s="33"/>
      <c r="P693" s="33"/>
      <c r="Q693" s="33"/>
      <c r="R693" s="33"/>
    </row>
    <row r="694">
      <c r="A694" s="33"/>
      <c r="B694" s="33"/>
      <c r="C694" s="33"/>
      <c r="D694" s="33"/>
      <c r="E694" s="33"/>
      <c r="F694" s="33"/>
      <c r="G694" s="33"/>
      <c r="H694" s="33"/>
      <c r="I694" s="33"/>
      <c r="J694" s="33"/>
      <c r="K694" s="33"/>
      <c r="L694" s="33"/>
      <c r="M694" s="33"/>
      <c r="N694" s="33"/>
      <c r="O694" s="33"/>
      <c r="P694" s="33"/>
      <c r="Q694" s="33"/>
      <c r="R694" s="33"/>
    </row>
    <row r="695">
      <c r="A695" s="33"/>
      <c r="B695" s="33"/>
      <c r="C695" s="33"/>
      <c r="D695" s="33"/>
      <c r="E695" s="33"/>
      <c r="F695" s="33"/>
      <c r="G695" s="33"/>
      <c r="H695" s="33"/>
      <c r="I695" s="33"/>
      <c r="J695" s="33"/>
      <c r="K695" s="33"/>
      <c r="L695" s="33"/>
      <c r="M695" s="33"/>
      <c r="N695" s="33"/>
      <c r="O695" s="33"/>
      <c r="P695" s="33"/>
      <c r="Q695" s="33"/>
      <c r="R695" s="33"/>
    </row>
    <row r="696">
      <c r="A696" s="33"/>
      <c r="B696" s="33"/>
      <c r="C696" s="33"/>
      <c r="D696" s="33"/>
      <c r="E696" s="33"/>
      <c r="F696" s="33"/>
      <c r="G696" s="33"/>
      <c r="H696" s="33"/>
      <c r="I696" s="33"/>
      <c r="J696" s="33"/>
      <c r="K696" s="33"/>
      <c r="L696" s="33"/>
      <c r="M696" s="33"/>
      <c r="N696" s="33"/>
      <c r="O696" s="33"/>
      <c r="P696" s="33"/>
      <c r="Q696" s="33"/>
      <c r="R696" s="33"/>
    </row>
    <row r="697">
      <c r="A697" s="33"/>
      <c r="B697" s="33"/>
      <c r="C697" s="33"/>
      <c r="D697" s="33"/>
      <c r="E697" s="33"/>
      <c r="F697" s="33"/>
      <c r="G697" s="33"/>
      <c r="H697" s="33"/>
      <c r="I697" s="33"/>
      <c r="J697" s="33"/>
      <c r="K697" s="33"/>
      <c r="L697" s="33"/>
      <c r="M697" s="33"/>
      <c r="N697" s="33"/>
      <c r="O697" s="33"/>
      <c r="P697" s="33"/>
      <c r="Q697" s="33"/>
      <c r="R697" s="33"/>
    </row>
    <row r="698">
      <c r="A698" s="33"/>
      <c r="B698" s="33"/>
      <c r="C698" s="33"/>
      <c r="D698" s="33"/>
      <c r="E698" s="33"/>
      <c r="F698" s="33"/>
      <c r="G698" s="33"/>
      <c r="H698" s="33"/>
      <c r="I698" s="33"/>
      <c r="J698" s="33"/>
      <c r="K698" s="33"/>
      <c r="L698" s="33"/>
      <c r="M698" s="33"/>
      <c r="N698" s="33"/>
      <c r="O698" s="33"/>
      <c r="P698" s="33"/>
      <c r="Q698" s="33"/>
      <c r="R698" s="33"/>
    </row>
    <row r="699">
      <c r="A699" s="33"/>
      <c r="B699" s="33"/>
      <c r="C699" s="33"/>
      <c r="D699" s="33"/>
      <c r="E699" s="33"/>
      <c r="F699" s="33"/>
      <c r="G699" s="33"/>
      <c r="H699" s="33"/>
      <c r="I699" s="33"/>
      <c r="J699" s="33"/>
      <c r="K699" s="33"/>
      <c r="L699" s="33"/>
      <c r="M699" s="33"/>
      <c r="N699" s="33"/>
      <c r="O699" s="33"/>
      <c r="P699" s="33"/>
      <c r="Q699" s="33"/>
      <c r="R699" s="33"/>
    </row>
    <row r="700">
      <c r="A700" s="33"/>
      <c r="B700" s="33"/>
      <c r="C700" s="33"/>
      <c r="D700" s="33"/>
      <c r="E700" s="33"/>
      <c r="F700" s="33"/>
      <c r="G700" s="33"/>
      <c r="H700" s="33"/>
      <c r="I700" s="33"/>
      <c r="J700" s="33"/>
      <c r="K700" s="33"/>
      <c r="L700" s="33"/>
      <c r="M700" s="33"/>
      <c r="N700" s="33"/>
      <c r="O700" s="33"/>
      <c r="P700" s="33"/>
      <c r="Q700" s="33"/>
      <c r="R700" s="33"/>
    </row>
    <row r="701">
      <c r="A701" s="33"/>
      <c r="B701" s="33"/>
      <c r="C701" s="33"/>
      <c r="D701" s="33"/>
      <c r="E701" s="33"/>
      <c r="F701" s="33"/>
      <c r="G701" s="33"/>
      <c r="H701" s="33"/>
      <c r="I701" s="33"/>
      <c r="J701" s="33"/>
      <c r="K701" s="33"/>
      <c r="L701" s="33"/>
      <c r="M701" s="33"/>
      <c r="N701" s="33"/>
      <c r="O701" s="33"/>
      <c r="P701" s="33"/>
      <c r="Q701" s="33"/>
      <c r="R701" s="33"/>
    </row>
    <row r="702">
      <c r="A702" s="33"/>
      <c r="B702" s="33"/>
      <c r="C702" s="33"/>
      <c r="D702" s="33"/>
      <c r="E702" s="33"/>
      <c r="F702" s="33"/>
      <c r="G702" s="33"/>
      <c r="H702" s="33"/>
      <c r="I702" s="33"/>
      <c r="J702" s="33"/>
      <c r="K702" s="33"/>
      <c r="L702" s="33"/>
      <c r="M702" s="33"/>
      <c r="N702" s="33"/>
      <c r="O702" s="33"/>
      <c r="P702" s="33"/>
      <c r="Q702" s="33"/>
      <c r="R702" s="33"/>
    </row>
    <row r="703">
      <c r="A703" s="33"/>
      <c r="B703" s="33"/>
      <c r="C703" s="33"/>
      <c r="D703" s="33"/>
      <c r="E703" s="33"/>
      <c r="F703" s="33"/>
      <c r="G703" s="33"/>
      <c r="H703" s="33"/>
      <c r="I703" s="33"/>
      <c r="J703" s="33"/>
      <c r="K703" s="33"/>
      <c r="L703" s="33"/>
      <c r="M703" s="33"/>
      <c r="N703" s="33"/>
      <c r="O703" s="33"/>
      <c r="P703" s="33"/>
      <c r="Q703" s="33"/>
      <c r="R703" s="33"/>
    </row>
    <row r="704">
      <c r="A704" s="33"/>
      <c r="B704" s="33"/>
      <c r="C704" s="33"/>
      <c r="D704" s="33"/>
      <c r="E704" s="33"/>
      <c r="F704" s="33"/>
      <c r="G704" s="33"/>
      <c r="H704" s="33"/>
      <c r="I704" s="33"/>
      <c r="J704" s="33"/>
      <c r="K704" s="33"/>
      <c r="L704" s="33"/>
      <c r="M704" s="33"/>
      <c r="N704" s="33"/>
      <c r="O704" s="33"/>
      <c r="P704" s="33"/>
      <c r="Q704" s="33"/>
      <c r="R704" s="33"/>
    </row>
    <row r="705">
      <c r="A705" s="33"/>
      <c r="B705" s="33"/>
      <c r="C705" s="33"/>
      <c r="D705" s="33"/>
      <c r="E705" s="33"/>
      <c r="F705" s="33"/>
      <c r="G705" s="33"/>
      <c r="H705" s="33"/>
      <c r="I705" s="33"/>
      <c r="J705" s="33"/>
      <c r="K705" s="33"/>
      <c r="L705" s="33"/>
      <c r="M705" s="33"/>
      <c r="N705" s="33"/>
      <c r="O705" s="33"/>
      <c r="P705" s="33"/>
      <c r="Q705" s="33"/>
      <c r="R705" s="33"/>
    </row>
    <row r="706">
      <c r="A706" s="33"/>
      <c r="B706" s="33"/>
      <c r="C706" s="33"/>
      <c r="D706" s="33"/>
      <c r="E706" s="33"/>
      <c r="F706" s="33"/>
      <c r="G706" s="33"/>
      <c r="H706" s="33"/>
      <c r="I706" s="33"/>
      <c r="J706" s="33"/>
      <c r="K706" s="33"/>
      <c r="L706" s="33"/>
      <c r="M706" s="33"/>
      <c r="N706" s="33"/>
      <c r="O706" s="33"/>
      <c r="P706" s="33"/>
      <c r="Q706" s="33"/>
      <c r="R706" s="33"/>
    </row>
    <row r="707">
      <c r="A707" s="33"/>
      <c r="B707" s="33"/>
      <c r="C707" s="33"/>
      <c r="D707" s="33"/>
      <c r="E707" s="33"/>
      <c r="F707" s="33"/>
      <c r="G707" s="33"/>
      <c r="H707" s="33"/>
      <c r="I707" s="33"/>
      <c r="J707" s="33"/>
      <c r="K707" s="33"/>
      <c r="L707" s="33"/>
      <c r="M707" s="33"/>
      <c r="N707" s="33"/>
      <c r="O707" s="33"/>
      <c r="P707" s="33"/>
      <c r="Q707" s="33"/>
      <c r="R707" s="33"/>
    </row>
    <row r="708">
      <c r="A708" s="33"/>
      <c r="B708" s="33"/>
      <c r="C708" s="33"/>
      <c r="D708" s="33"/>
      <c r="E708" s="33"/>
      <c r="F708" s="33"/>
      <c r="G708" s="33"/>
      <c r="H708" s="33"/>
      <c r="I708" s="33"/>
      <c r="J708" s="33"/>
      <c r="K708" s="33"/>
      <c r="L708" s="33"/>
      <c r="M708" s="33"/>
      <c r="N708" s="33"/>
      <c r="O708" s="33"/>
      <c r="P708" s="33"/>
      <c r="Q708" s="33"/>
      <c r="R708" s="33"/>
    </row>
    <row r="709">
      <c r="A709" s="33"/>
      <c r="B709" s="33"/>
      <c r="C709" s="33"/>
      <c r="D709" s="33"/>
      <c r="E709" s="33"/>
      <c r="F709" s="33"/>
      <c r="G709" s="33"/>
      <c r="H709" s="33"/>
      <c r="I709" s="33"/>
      <c r="J709" s="33"/>
      <c r="K709" s="33"/>
      <c r="L709" s="33"/>
      <c r="M709" s="33"/>
      <c r="N709" s="33"/>
      <c r="O709" s="33"/>
      <c r="P709" s="33"/>
      <c r="Q709" s="33"/>
      <c r="R709" s="33"/>
    </row>
    <row r="710">
      <c r="A710" s="33"/>
      <c r="B710" s="33"/>
      <c r="C710" s="33"/>
      <c r="D710" s="33"/>
      <c r="E710" s="33"/>
      <c r="F710" s="33"/>
      <c r="G710" s="33"/>
      <c r="H710" s="33"/>
      <c r="I710" s="33"/>
      <c r="J710" s="33"/>
      <c r="K710" s="33"/>
      <c r="L710" s="33"/>
      <c r="M710" s="33"/>
      <c r="N710" s="33"/>
      <c r="O710" s="33"/>
      <c r="P710" s="33"/>
      <c r="Q710" s="33"/>
      <c r="R710" s="33"/>
    </row>
    <row r="711">
      <c r="A711" s="33"/>
      <c r="B711" s="33"/>
      <c r="C711" s="33"/>
      <c r="D711" s="33"/>
      <c r="E711" s="33"/>
      <c r="F711" s="33"/>
      <c r="G711" s="33"/>
      <c r="H711" s="33"/>
      <c r="I711" s="33"/>
      <c r="J711" s="33"/>
      <c r="K711" s="33"/>
      <c r="L711" s="33"/>
      <c r="M711" s="33"/>
      <c r="N711" s="33"/>
      <c r="O711" s="33"/>
      <c r="P711" s="33"/>
      <c r="Q711" s="33"/>
      <c r="R711" s="33"/>
    </row>
    <row r="712">
      <c r="A712" s="33"/>
      <c r="B712" s="33"/>
      <c r="C712" s="33"/>
      <c r="D712" s="33"/>
      <c r="E712" s="33"/>
      <c r="F712" s="33"/>
      <c r="G712" s="33"/>
      <c r="H712" s="33"/>
      <c r="I712" s="33"/>
      <c r="J712" s="33"/>
      <c r="K712" s="33"/>
      <c r="L712" s="33"/>
      <c r="M712" s="33"/>
      <c r="N712" s="33"/>
      <c r="O712" s="33"/>
      <c r="P712" s="33"/>
      <c r="Q712" s="33"/>
      <c r="R712" s="33"/>
    </row>
    <row r="713">
      <c r="A713" s="33"/>
      <c r="B713" s="33"/>
      <c r="C713" s="33"/>
      <c r="D713" s="33"/>
      <c r="E713" s="33"/>
      <c r="F713" s="33"/>
      <c r="G713" s="33"/>
      <c r="H713" s="33"/>
      <c r="I713" s="33"/>
      <c r="J713" s="33"/>
      <c r="K713" s="33"/>
      <c r="L713" s="33"/>
      <c r="M713" s="33"/>
      <c r="N713" s="33"/>
      <c r="O713" s="33"/>
      <c r="P713" s="33"/>
      <c r="Q713" s="33"/>
      <c r="R713" s="33"/>
    </row>
    <row r="714">
      <c r="A714" s="33"/>
      <c r="B714" s="33"/>
      <c r="C714" s="33"/>
      <c r="D714" s="33"/>
      <c r="E714" s="33"/>
      <c r="F714" s="33"/>
      <c r="G714" s="33"/>
      <c r="H714" s="33"/>
      <c r="I714" s="33"/>
      <c r="J714" s="33"/>
      <c r="K714" s="33"/>
      <c r="L714" s="33"/>
      <c r="M714" s="33"/>
      <c r="N714" s="33"/>
      <c r="O714" s="33"/>
      <c r="P714" s="33"/>
      <c r="Q714" s="33"/>
      <c r="R714" s="33"/>
    </row>
    <row r="715">
      <c r="A715" s="33"/>
      <c r="B715" s="33"/>
      <c r="C715" s="33"/>
      <c r="D715" s="33"/>
      <c r="E715" s="33"/>
      <c r="F715" s="33"/>
      <c r="G715" s="33"/>
      <c r="H715" s="33"/>
      <c r="I715" s="33"/>
      <c r="J715" s="33"/>
      <c r="K715" s="33"/>
      <c r="L715" s="33"/>
      <c r="M715" s="33"/>
      <c r="N715" s="33"/>
      <c r="O715" s="33"/>
      <c r="P715" s="33"/>
      <c r="Q715" s="33"/>
      <c r="R715" s="33"/>
    </row>
    <row r="716">
      <c r="A716" s="33"/>
      <c r="B716" s="33"/>
      <c r="C716" s="33"/>
      <c r="D716" s="33"/>
      <c r="E716" s="33"/>
      <c r="F716" s="33"/>
      <c r="G716" s="33"/>
      <c r="H716" s="33"/>
      <c r="I716" s="33"/>
      <c r="J716" s="33"/>
      <c r="K716" s="33"/>
      <c r="L716" s="33"/>
      <c r="M716" s="33"/>
      <c r="N716" s="33"/>
      <c r="O716" s="33"/>
      <c r="P716" s="33"/>
      <c r="Q716" s="33"/>
      <c r="R716" s="33"/>
    </row>
    <row r="717">
      <c r="A717" s="33"/>
      <c r="B717" s="33"/>
      <c r="C717" s="33"/>
      <c r="D717" s="33"/>
      <c r="E717" s="33"/>
      <c r="F717" s="33"/>
      <c r="G717" s="33"/>
      <c r="H717" s="33"/>
      <c r="I717" s="33"/>
      <c r="J717" s="33"/>
      <c r="K717" s="33"/>
      <c r="L717" s="33"/>
      <c r="M717" s="33"/>
      <c r="N717" s="33"/>
      <c r="O717" s="33"/>
      <c r="P717" s="33"/>
      <c r="Q717" s="33"/>
      <c r="R717" s="33"/>
    </row>
    <row r="718">
      <c r="A718" s="33"/>
      <c r="B718" s="33"/>
      <c r="C718" s="33"/>
      <c r="D718" s="33"/>
      <c r="E718" s="33"/>
      <c r="F718" s="33"/>
      <c r="G718" s="33"/>
      <c r="H718" s="33"/>
      <c r="I718" s="33"/>
      <c r="J718" s="33"/>
      <c r="K718" s="33"/>
      <c r="L718" s="33"/>
      <c r="M718" s="33"/>
      <c r="N718" s="33"/>
      <c r="O718" s="33"/>
      <c r="P718" s="33"/>
      <c r="Q718" s="33"/>
      <c r="R718" s="33"/>
    </row>
    <row r="719">
      <c r="A719" s="33"/>
      <c r="B719" s="33"/>
      <c r="C719" s="33"/>
      <c r="D719" s="33"/>
      <c r="E719" s="33"/>
      <c r="F719" s="33"/>
      <c r="G719" s="33"/>
      <c r="H719" s="33"/>
      <c r="I719" s="33"/>
      <c r="J719" s="33"/>
      <c r="K719" s="33"/>
      <c r="L719" s="33"/>
      <c r="M719" s="33"/>
      <c r="N719" s="33"/>
      <c r="O719" s="33"/>
      <c r="P719" s="33"/>
      <c r="Q719" s="33"/>
      <c r="R719" s="33"/>
    </row>
    <row r="720">
      <c r="A720" s="33"/>
      <c r="B720" s="33"/>
      <c r="C720" s="33"/>
      <c r="D720" s="33"/>
      <c r="E720" s="33"/>
      <c r="F720" s="33"/>
      <c r="G720" s="33"/>
      <c r="H720" s="33"/>
      <c r="I720" s="33"/>
      <c r="J720" s="33"/>
      <c r="K720" s="33"/>
      <c r="L720" s="33"/>
      <c r="M720" s="33"/>
      <c r="N720" s="33"/>
      <c r="O720" s="33"/>
      <c r="P720" s="33"/>
      <c r="Q720" s="33"/>
      <c r="R720" s="33"/>
    </row>
    <row r="721">
      <c r="A721" s="33"/>
      <c r="B721" s="33"/>
      <c r="C721" s="33"/>
      <c r="D721" s="33"/>
      <c r="E721" s="33"/>
      <c r="F721" s="33"/>
      <c r="G721" s="33"/>
      <c r="H721" s="33"/>
      <c r="I721" s="33"/>
      <c r="J721" s="33"/>
      <c r="K721" s="33"/>
      <c r="L721" s="33"/>
      <c r="M721" s="33"/>
      <c r="N721" s="33"/>
      <c r="O721" s="33"/>
      <c r="P721" s="33"/>
      <c r="Q721" s="33"/>
      <c r="R721" s="33"/>
    </row>
    <row r="722">
      <c r="A722" s="33"/>
      <c r="B722" s="33"/>
      <c r="C722" s="33"/>
      <c r="D722" s="33"/>
      <c r="E722" s="33"/>
      <c r="F722" s="33"/>
      <c r="G722" s="33"/>
      <c r="H722" s="33"/>
      <c r="I722" s="33"/>
      <c r="J722" s="33"/>
      <c r="K722" s="33"/>
      <c r="L722" s="33"/>
      <c r="M722" s="33"/>
      <c r="N722" s="33"/>
      <c r="O722" s="33"/>
      <c r="P722" s="33"/>
      <c r="Q722" s="33"/>
      <c r="R722" s="33"/>
    </row>
    <row r="723">
      <c r="A723" s="33"/>
      <c r="B723" s="33"/>
      <c r="C723" s="33"/>
      <c r="D723" s="33"/>
      <c r="E723" s="33"/>
      <c r="F723" s="33"/>
      <c r="G723" s="33"/>
      <c r="H723" s="33"/>
      <c r="I723" s="33"/>
      <c r="J723" s="33"/>
      <c r="K723" s="33"/>
      <c r="L723" s="33"/>
      <c r="M723" s="33"/>
      <c r="N723" s="33"/>
      <c r="O723" s="33"/>
      <c r="P723" s="33"/>
      <c r="Q723" s="33"/>
      <c r="R723" s="33"/>
    </row>
    <row r="724">
      <c r="A724" s="33"/>
      <c r="B724" s="33"/>
      <c r="C724" s="33"/>
      <c r="D724" s="33"/>
      <c r="E724" s="33"/>
      <c r="F724" s="33"/>
      <c r="G724" s="33"/>
      <c r="H724" s="33"/>
      <c r="I724" s="33"/>
      <c r="J724" s="33"/>
      <c r="K724" s="33"/>
      <c r="L724" s="33"/>
      <c r="M724" s="33"/>
      <c r="N724" s="33"/>
      <c r="O724" s="33"/>
      <c r="P724" s="33"/>
      <c r="Q724" s="33"/>
      <c r="R724" s="33"/>
    </row>
    <row r="725">
      <c r="A725" s="33"/>
      <c r="B725" s="33"/>
      <c r="C725" s="33"/>
      <c r="D725" s="33"/>
      <c r="E725" s="33"/>
      <c r="F725" s="33"/>
      <c r="G725" s="33"/>
      <c r="H725" s="33"/>
      <c r="I725" s="33"/>
      <c r="J725" s="33"/>
      <c r="K725" s="33"/>
      <c r="L725" s="33"/>
      <c r="M725" s="33"/>
      <c r="N725" s="33"/>
      <c r="O725" s="33"/>
      <c r="P725" s="33"/>
      <c r="Q725" s="33"/>
      <c r="R725" s="33"/>
    </row>
    <row r="726">
      <c r="A726" s="33"/>
      <c r="B726" s="33"/>
      <c r="C726" s="33"/>
      <c r="D726" s="33"/>
      <c r="E726" s="33"/>
      <c r="F726" s="33"/>
      <c r="G726" s="33"/>
      <c r="H726" s="33"/>
      <c r="I726" s="33"/>
      <c r="J726" s="33"/>
      <c r="K726" s="33"/>
      <c r="L726" s="33"/>
      <c r="M726" s="33"/>
      <c r="N726" s="33"/>
      <c r="O726" s="33"/>
      <c r="P726" s="33"/>
      <c r="Q726" s="33"/>
      <c r="R726" s="33"/>
    </row>
    <row r="727">
      <c r="A727" s="33"/>
      <c r="B727" s="33"/>
      <c r="C727" s="33"/>
      <c r="D727" s="33"/>
      <c r="E727" s="33"/>
      <c r="F727" s="33"/>
      <c r="G727" s="33"/>
      <c r="H727" s="33"/>
      <c r="I727" s="33"/>
      <c r="J727" s="33"/>
      <c r="K727" s="33"/>
      <c r="L727" s="33"/>
      <c r="M727" s="33"/>
      <c r="N727" s="33"/>
      <c r="O727" s="33"/>
      <c r="P727" s="33"/>
      <c r="Q727" s="33"/>
      <c r="R727" s="33"/>
    </row>
    <row r="728">
      <c r="A728" s="33"/>
      <c r="B728" s="33"/>
      <c r="C728" s="33"/>
      <c r="D728" s="33"/>
      <c r="E728" s="33"/>
      <c r="F728" s="33"/>
      <c r="G728" s="33"/>
      <c r="H728" s="33"/>
      <c r="I728" s="33"/>
      <c r="J728" s="33"/>
      <c r="K728" s="33"/>
      <c r="L728" s="33"/>
      <c r="M728" s="33"/>
      <c r="N728" s="33"/>
      <c r="O728" s="33"/>
      <c r="P728" s="33"/>
      <c r="Q728" s="33"/>
      <c r="R728" s="33"/>
    </row>
    <row r="729">
      <c r="A729" s="33"/>
      <c r="B729" s="33"/>
      <c r="C729" s="33"/>
      <c r="D729" s="33"/>
      <c r="E729" s="33"/>
      <c r="F729" s="33"/>
      <c r="G729" s="33"/>
      <c r="H729" s="33"/>
      <c r="I729" s="33"/>
      <c r="J729" s="33"/>
      <c r="K729" s="33"/>
      <c r="L729" s="33"/>
      <c r="M729" s="33"/>
      <c r="N729" s="33"/>
      <c r="O729" s="33"/>
      <c r="P729" s="33"/>
      <c r="Q729" s="33"/>
      <c r="R729" s="33"/>
    </row>
    <row r="730">
      <c r="A730" s="33"/>
      <c r="B730" s="33"/>
      <c r="C730" s="33"/>
      <c r="D730" s="33"/>
      <c r="E730" s="33"/>
      <c r="F730" s="33"/>
      <c r="G730" s="33"/>
      <c r="H730" s="33"/>
      <c r="I730" s="33"/>
      <c r="J730" s="33"/>
      <c r="K730" s="33"/>
      <c r="L730" s="33"/>
      <c r="M730" s="33"/>
      <c r="N730" s="33"/>
      <c r="O730" s="33"/>
      <c r="P730" s="33"/>
      <c r="Q730" s="33"/>
      <c r="R730" s="33"/>
    </row>
    <row r="731">
      <c r="A731" s="33"/>
      <c r="B731" s="33"/>
      <c r="C731" s="33"/>
      <c r="D731" s="33"/>
      <c r="E731" s="33"/>
      <c r="F731" s="33"/>
      <c r="G731" s="33"/>
      <c r="H731" s="33"/>
      <c r="I731" s="33"/>
      <c r="J731" s="33"/>
      <c r="K731" s="33"/>
      <c r="L731" s="33"/>
      <c r="M731" s="33"/>
      <c r="N731" s="33"/>
      <c r="O731" s="33"/>
      <c r="P731" s="33"/>
      <c r="Q731" s="33"/>
      <c r="R731" s="33"/>
    </row>
    <row r="732">
      <c r="A732" s="33"/>
      <c r="B732" s="33"/>
      <c r="C732" s="33"/>
      <c r="D732" s="33"/>
      <c r="E732" s="33"/>
      <c r="F732" s="33"/>
      <c r="G732" s="33"/>
      <c r="H732" s="33"/>
      <c r="I732" s="33"/>
      <c r="J732" s="33"/>
      <c r="K732" s="33"/>
      <c r="L732" s="33"/>
      <c r="M732" s="33"/>
      <c r="N732" s="33"/>
      <c r="O732" s="33"/>
      <c r="P732" s="33"/>
      <c r="Q732" s="33"/>
      <c r="R732" s="33"/>
    </row>
    <row r="733">
      <c r="A733" s="33"/>
      <c r="B733" s="33"/>
      <c r="C733" s="33"/>
      <c r="D733" s="33"/>
      <c r="E733" s="33"/>
      <c r="F733" s="33"/>
      <c r="G733" s="33"/>
      <c r="H733" s="33"/>
      <c r="I733" s="33"/>
      <c r="J733" s="33"/>
      <c r="K733" s="33"/>
      <c r="L733" s="33"/>
      <c r="M733" s="33"/>
      <c r="N733" s="33"/>
      <c r="O733" s="33"/>
      <c r="P733" s="33"/>
      <c r="Q733" s="33"/>
      <c r="R733" s="33"/>
    </row>
    <row r="734">
      <c r="A734" s="33"/>
      <c r="B734" s="33"/>
      <c r="C734" s="33"/>
      <c r="D734" s="33"/>
      <c r="E734" s="33"/>
      <c r="F734" s="33"/>
      <c r="G734" s="33"/>
      <c r="H734" s="33"/>
      <c r="I734" s="33"/>
      <c r="J734" s="33"/>
      <c r="K734" s="33"/>
      <c r="L734" s="33"/>
      <c r="M734" s="33"/>
      <c r="N734" s="33"/>
      <c r="O734" s="33"/>
      <c r="P734" s="33"/>
      <c r="Q734" s="33"/>
      <c r="R734" s="33"/>
    </row>
    <row r="735">
      <c r="A735" s="33"/>
      <c r="B735" s="33"/>
      <c r="C735" s="33"/>
      <c r="D735" s="33"/>
      <c r="E735" s="33"/>
      <c r="F735" s="33"/>
      <c r="G735" s="33"/>
      <c r="H735" s="33"/>
      <c r="I735" s="33"/>
      <c r="J735" s="33"/>
      <c r="K735" s="33"/>
      <c r="L735" s="33"/>
      <c r="M735" s="33"/>
      <c r="N735" s="33"/>
      <c r="O735" s="33"/>
      <c r="P735" s="33"/>
      <c r="Q735" s="33"/>
      <c r="R735" s="33"/>
    </row>
    <row r="736">
      <c r="A736" s="33"/>
      <c r="B736" s="33"/>
      <c r="C736" s="33"/>
      <c r="D736" s="33"/>
      <c r="E736" s="33"/>
      <c r="F736" s="33"/>
      <c r="G736" s="33"/>
      <c r="H736" s="33"/>
      <c r="I736" s="33"/>
      <c r="J736" s="33"/>
      <c r="K736" s="33"/>
      <c r="L736" s="33"/>
      <c r="M736" s="33"/>
      <c r="N736" s="33"/>
      <c r="O736" s="33"/>
      <c r="P736" s="33"/>
      <c r="Q736" s="33"/>
      <c r="R736" s="33"/>
    </row>
    <row r="737">
      <c r="A737" s="33"/>
      <c r="B737" s="33"/>
      <c r="C737" s="33"/>
      <c r="D737" s="33"/>
      <c r="E737" s="33"/>
      <c r="F737" s="33"/>
      <c r="G737" s="33"/>
      <c r="H737" s="33"/>
      <c r="I737" s="33"/>
      <c r="J737" s="33"/>
      <c r="K737" s="33"/>
      <c r="L737" s="33"/>
      <c r="M737" s="33"/>
      <c r="N737" s="33"/>
      <c r="O737" s="33"/>
      <c r="P737" s="33"/>
      <c r="Q737" s="33"/>
      <c r="R737" s="33"/>
    </row>
    <row r="738">
      <c r="A738" s="33"/>
      <c r="B738" s="33"/>
      <c r="C738" s="33"/>
      <c r="D738" s="33"/>
      <c r="E738" s="33"/>
      <c r="F738" s="33"/>
      <c r="G738" s="33"/>
      <c r="H738" s="33"/>
      <c r="I738" s="33"/>
      <c r="J738" s="33"/>
      <c r="K738" s="33"/>
      <c r="L738" s="33"/>
      <c r="M738" s="33"/>
      <c r="N738" s="33"/>
      <c r="O738" s="33"/>
      <c r="P738" s="33"/>
      <c r="Q738" s="33"/>
      <c r="R738" s="33"/>
    </row>
    <row r="739">
      <c r="A739" s="33"/>
      <c r="B739" s="33"/>
      <c r="C739" s="33"/>
      <c r="D739" s="33"/>
      <c r="E739" s="33"/>
      <c r="F739" s="33"/>
      <c r="G739" s="33"/>
      <c r="H739" s="33"/>
      <c r="I739" s="33"/>
      <c r="J739" s="33"/>
      <c r="K739" s="33"/>
      <c r="L739" s="33"/>
      <c r="M739" s="33"/>
      <c r="N739" s="33"/>
      <c r="O739" s="33"/>
      <c r="P739" s="33"/>
      <c r="Q739" s="33"/>
      <c r="R739" s="33"/>
    </row>
    <row r="740">
      <c r="A740" s="33"/>
      <c r="B740" s="33"/>
      <c r="C740" s="33"/>
      <c r="D740" s="33"/>
      <c r="E740" s="33"/>
      <c r="F740" s="33"/>
      <c r="G740" s="33"/>
      <c r="H740" s="33"/>
      <c r="I740" s="33"/>
      <c r="J740" s="33"/>
      <c r="K740" s="33"/>
      <c r="L740" s="33"/>
      <c r="M740" s="33"/>
      <c r="N740" s="33"/>
      <c r="O740" s="33"/>
      <c r="P740" s="33"/>
      <c r="Q740" s="33"/>
      <c r="R740" s="33"/>
    </row>
    <row r="741">
      <c r="A741" s="33"/>
      <c r="B741" s="33"/>
      <c r="C741" s="33"/>
      <c r="D741" s="33"/>
      <c r="E741" s="33"/>
      <c r="F741" s="33"/>
      <c r="G741" s="33"/>
      <c r="H741" s="33"/>
      <c r="I741" s="33"/>
      <c r="J741" s="33"/>
      <c r="K741" s="33"/>
      <c r="L741" s="33"/>
      <c r="M741" s="33"/>
      <c r="N741" s="33"/>
      <c r="O741" s="33"/>
      <c r="P741" s="33"/>
      <c r="Q741" s="33"/>
      <c r="R741" s="33"/>
    </row>
    <row r="742">
      <c r="A742" s="33"/>
      <c r="B742" s="33"/>
      <c r="C742" s="33"/>
      <c r="D742" s="33"/>
      <c r="E742" s="33"/>
      <c r="F742" s="33"/>
      <c r="G742" s="33"/>
      <c r="H742" s="33"/>
      <c r="I742" s="33"/>
      <c r="J742" s="33"/>
      <c r="K742" s="33"/>
      <c r="L742" s="33"/>
      <c r="M742" s="33"/>
      <c r="N742" s="33"/>
      <c r="O742" s="33"/>
      <c r="P742" s="33"/>
      <c r="Q742" s="33"/>
      <c r="R742" s="33"/>
    </row>
    <row r="743">
      <c r="A743" s="33"/>
      <c r="B743" s="33"/>
      <c r="C743" s="33"/>
      <c r="D743" s="33"/>
      <c r="E743" s="33"/>
      <c r="F743" s="33"/>
      <c r="G743" s="33"/>
      <c r="H743" s="33"/>
      <c r="I743" s="33"/>
      <c r="J743" s="33"/>
      <c r="K743" s="33"/>
      <c r="L743" s="33"/>
      <c r="M743" s="33"/>
      <c r="N743" s="33"/>
      <c r="O743" s="33"/>
      <c r="P743" s="33"/>
      <c r="Q743" s="33"/>
      <c r="R743" s="33"/>
    </row>
    <row r="744">
      <c r="A744" s="33"/>
      <c r="B744" s="33"/>
      <c r="C744" s="33"/>
      <c r="D744" s="33"/>
      <c r="E744" s="33"/>
      <c r="F744" s="33"/>
      <c r="G744" s="33"/>
      <c r="H744" s="33"/>
      <c r="I744" s="33"/>
      <c r="J744" s="33"/>
      <c r="K744" s="33"/>
      <c r="L744" s="33"/>
      <c r="M744" s="33"/>
      <c r="N744" s="33"/>
      <c r="O744" s="33"/>
      <c r="P744" s="33"/>
      <c r="Q744" s="33"/>
      <c r="R744" s="33"/>
    </row>
    <row r="745">
      <c r="A745" s="33"/>
      <c r="B745" s="33"/>
      <c r="C745" s="33"/>
      <c r="D745" s="33"/>
      <c r="E745" s="33"/>
      <c r="F745" s="33"/>
      <c r="G745" s="33"/>
      <c r="H745" s="33"/>
      <c r="I745" s="33"/>
      <c r="J745" s="33"/>
      <c r="K745" s="33"/>
      <c r="L745" s="33"/>
      <c r="M745" s="33"/>
      <c r="N745" s="33"/>
      <c r="O745" s="33"/>
      <c r="P745" s="33"/>
      <c r="Q745" s="33"/>
      <c r="R745" s="33"/>
    </row>
    <row r="746">
      <c r="A746" s="33"/>
      <c r="B746" s="33"/>
      <c r="C746" s="33"/>
      <c r="D746" s="33"/>
      <c r="E746" s="33"/>
      <c r="F746" s="33"/>
      <c r="G746" s="33"/>
      <c r="H746" s="33"/>
      <c r="I746" s="33"/>
      <c r="J746" s="33"/>
      <c r="K746" s="33"/>
      <c r="L746" s="33"/>
      <c r="M746" s="33"/>
      <c r="N746" s="33"/>
      <c r="O746" s="33"/>
      <c r="P746" s="33"/>
      <c r="Q746" s="33"/>
      <c r="R746" s="33"/>
    </row>
    <row r="747">
      <c r="A747" s="33"/>
      <c r="B747" s="33"/>
      <c r="C747" s="33"/>
      <c r="D747" s="33"/>
      <c r="E747" s="33"/>
      <c r="F747" s="33"/>
      <c r="G747" s="33"/>
      <c r="H747" s="33"/>
      <c r="I747" s="33"/>
      <c r="J747" s="33"/>
      <c r="K747" s="33"/>
      <c r="L747" s="33"/>
      <c r="M747" s="33"/>
      <c r="N747" s="33"/>
      <c r="O747" s="33"/>
      <c r="P747" s="33"/>
      <c r="Q747" s="33"/>
      <c r="R747" s="33"/>
    </row>
    <row r="748">
      <c r="A748" s="33"/>
      <c r="B748" s="33"/>
      <c r="C748" s="33"/>
      <c r="D748" s="33"/>
      <c r="E748" s="33"/>
      <c r="F748" s="33"/>
      <c r="G748" s="33"/>
      <c r="H748" s="33"/>
      <c r="I748" s="33"/>
      <c r="J748" s="33"/>
      <c r="K748" s="33"/>
      <c r="L748" s="33"/>
      <c r="M748" s="33"/>
      <c r="N748" s="33"/>
      <c r="O748" s="33"/>
      <c r="P748" s="33"/>
      <c r="Q748" s="33"/>
      <c r="R748" s="33"/>
    </row>
    <row r="749">
      <c r="A749" s="33"/>
      <c r="B749" s="33"/>
      <c r="C749" s="33"/>
      <c r="D749" s="33"/>
      <c r="E749" s="33"/>
      <c r="F749" s="33"/>
      <c r="G749" s="33"/>
      <c r="H749" s="33"/>
      <c r="I749" s="33"/>
      <c r="J749" s="33"/>
      <c r="K749" s="33"/>
      <c r="L749" s="33"/>
      <c r="M749" s="33"/>
      <c r="N749" s="33"/>
      <c r="O749" s="33"/>
      <c r="P749" s="33"/>
      <c r="Q749" s="33"/>
      <c r="R749" s="33"/>
    </row>
    <row r="750">
      <c r="A750" s="33"/>
      <c r="B750" s="33"/>
      <c r="C750" s="33"/>
      <c r="D750" s="33"/>
      <c r="E750" s="33"/>
      <c r="F750" s="33"/>
      <c r="G750" s="33"/>
      <c r="H750" s="33"/>
      <c r="I750" s="33"/>
      <c r="J750" s="33"/>
      <c r="K750" s="33"/>
      <c r="L750" s="33"/>
      <c r="M750" s="33"/>
      <c r="N750" s="33"/>
      <c r="O750" s="33"/>
      <c r="P750" s="33"/>
      <c r="Q750" s="33"/>
      <c r="R750" s="33"/>
    </row>
    <row r="751">
      <c r="A751" s="33"/>
      <c r="B751" s="33"/>
      <c r="C751" s="33"/>
      <c r="D751" s="33"/>
      <c r="E751" s="33"/>
      <c r="F751" s="33"/>
      <c r="G751" s="33"/>
      <c r="H751" s="33"/>
      <c r="I751" s="33"/>
      <c r="J751" s="33"/>
      <c r="K751" s="33"/>
      <c r="L751" s="33"/>
      <c r="M751" s="33"/>
      <c r="N751" s="33"/>
      <c r="O751" s="33"/>
      <c r="P751" s="33"/>
      <c r="Q751" s="33"/>
      <c r="R751" s="33"/>
    </row>
    <row r="752">
      <c r="A752" s="33"/>
      <c r="B752" s="33"/>
      <c r="C752" s="33"/>
      <c r="D752" s="33"/>
      <c r="E752" s="33"/>
      <c r="F752" s="33"/>
      <c r="G752" s="33"/>
      <c r="H752" s="33"/>
      <c r="I752" s="33"/>
      <c r="J752" s="33"/>
      <c r="K752" s="33"/>
      <c r="L752" s="33"/>
      <c r="M752" s="33"/>
      <c r="N752" s="33"/>
      <c r="O752" s="33"/>
      <c r="P752" s="33"/>
      <c r="Q752" s="33"/>
      <c r="R752" s="33"/>
    </row>
    <row r="753">
      <c r="A753" s="33"/>
      <c r="B753" s="33"/>
      <c r="C753" s="33"/>
      <c r="D753" s="33"/>
      <c r="E753" s="33"/>
      <c r="F753" s="33"/>
      <c r="G753" s="33"/>
      <c r="H753" s="33"/>
      <c r="I753" s="33"/>
      <c r="J753" s="33"/>
      <c r="K753" s="33"/>
      <c r="L753" s="33"/>
      <c r="M753" s="33"/>
      <c r="N753" s="33"/>
      <c r="O753" s="33"/>
      <c r="P753" s="33"/>
      <c r="Q753" s="33"/>
      <c r="R753" s="33"/>
    </row>
    <row r="754">
      <c r="A754" s="33"/>
      <c r="B754" s="33"/>
      <c r="C754" s="33"/>
      <c r="D754" s="33"/>
      <c r="E754" s="33"/>
      <c r="F754" s="33"/>
      <c r="G754" s="33"/>
      <c r="H754" s="33"/>
      <c r="I754" s="33"/>
      <c r="J754" s="33"/>
      <c r="K754" s="33"/>
      <c r="L754" s="33"/>
      <c r="M754" s="33"/>
      <c r="N754" s="33"/>
      <c r="O754" s="33"/>
      <c r="P754" s="33"/>
      <c r="Q754" s="33"/>
      <c r="R754" s="33"/>
    </row>
    <row r="755">
      <c r="A755" s="33"/>
      <c r="B755" s="33"/>
      <c r="C755" s="33"/>
      <c r="D755" s="33"/>
      <c r="E755" s="33"/>
      <c r="F755" s="33"/>
      <c r="G755" s="33"/>
      <c r="H755" s="33"/>
      <c r="I755" s="33"/>
      <c r="J755" s="33"/>
      <c r="K755" s="33"/>
      <c r="L755" s="33"/>
      <c r="M755" s="33"/>
      <c r="N755" s="33"/>
      <c r="O755" s="33"/>
      <c r="P755" s="33"/>
      <c r="Q755" s="33"/>
      <c r="R755" s="33"/>
    </row>
    <row r="756">
      <c r="A756" s="33"/>
      <c r="B756" s="33"/>
      <c r="C756" s="33"/>
      <c r="D756" s="33"/>
      <c r="E756" s="33"/>
      <c r="F756" s="33"/>
      <c r="G756" s="33"/>
      <c r="H756" s="33"/>
      <c r="I756" s="33"/>
      <c r="J756" s="33"/>
      <c r="K756" s="33"/>
      <c r="L756" s="33"/>
      <c r="M756" s="33"/>
      <c r="N756" s="33"/>
      <c r="O756" s="33"/>
      <c r="P756" s="33"/>
      <c r="Q756" s="33"/>
      <c r="R756" s="33"/>
    </row>
    <row r="757">
      <c r="A757" s="33"/>
      <c r="B757" s="33"/>
      <c r="C757" s="33"/>
      <c r="D757" s="33"/>
      <c r="E757" s="33"/>
      <c r="F757" s="33"/>
      <c r="G757" s="33"/>
      <c r="H757" s="33"/>
      <c r="I757" s="33"/>
      <c r="J757" s="33"/>
      <c r="K757" s="33"/>
      <c r="L757" s="33"/>
      <c r="M757" s="33"/>
      <c r="N757" s="33"/>
      <c r="O757" s="33"/>
      <c r="P757" s="33"/>
      <c r="Q757" s="33"/>
      <c r="R757" s="33"/>
    </row>
    <row r="758">
      <c r="A758" s="33"/>
      <c r="B758" s="33"/>
      <c r="C758" s="33"/>
      <c r="D758" s="33"/>
      <c r="E758" s="33"/>
      <c r="F758" s="33"/>
      <c r="G758" s="33"/>
      <c r="H758" s="33"/>
      <c r="I758" s="33"/>
      <c r="J758" s="33"/>
      <c r="K758" s="33"/>
      <c r="L758" s="33"/>
      <c r="M758" s="33"/>
      <c r="N758" s="33"/>
      <c r="O758" s="33"/>
      <c r="P758" s="33"/>
      <c r="Q758" s="33"/>
      <c r="R758" s="33"/>
    </row>
    <row r="759">
      <c r="A759" s="33"/>
      <c r="B759" s="33"/>
      <c r="C759" s="33"/>
      <c r="D759" s="33"/>
      <c r="E759" s="33"/>
      <c r="F759" s="33"/>
      <c r="G759" s="33"/>
      <c r="H759" s="33"/>
      <c r="I759" s="33"/>
      <c r="J759" s="33"/>
      <c r="K759" s="33"/>
      <c r="L759" s="33"/>
      <c r="M759" s="33"/>
      <c r="N759" s="33"/>
      <c r="O759" s="33"/>
      <c r="P759" s="33"/>
      <c r="Q759" s="33"/>
      <c r="R759" s="33"/>
    </row>
    <row r="760">
      <c r="A760" s="33"/>
      <c r="B760" s="33"/>
      <c r="C760" s="33"/>
      <c r="D760" s="33"/>
      <c r="E760" s="33"/>
      <c r="F760" s="33"/>
      <c r="G760" s="33"/>
      <c r="H760" s="33"/>
      <c r="I760" s="33"/>
      <c r="J760" s="33"/>
      <c r="K760" s="33"/>
      <c r="L760" s="33"/>
      <c r="M760" s="33"/>
      <c r="N760" s="33"/>
      <c r="O760" s="33"/>
      <c r="P760" s="33"/>
      <c r="Q760" s="33"/>
      <c r="R760" s="33"/>
    </row>
    <row r="761">
      <c r="A761" s="33"/>
      <c r="B761" s="33"/>
      <c r="C761" s="33"/>
      <c r="D761" s="33"/>
      <c r="E761" s="33"/>
      <c r="F761" s="33"/>
      <c r="G761" s="33"/>
      <c r="H761" s="33"/>
      <c r="I761" s="33"/>
      <c r="J761" s="33"/>
      <c r="K761" s="33"/>
      <c r="L761" s="33"/>
      <c r="M761" s="33"/>
      <c r="N761" s="33"/>
      <c r="O761" s="33"/>
      <c r="P761" s="33"/>
      <c r="Q761" s="33"/>
      <c r="R761" s="33"/>
    </row>
    <row r="762">
      <c r="A762" s="33"/>
      <c r="B762" s="33"/>
      <c r="C762" s="33"/>
      <c r="D762" s="33"/>
      <c r="E762" s="33"/>
      <c r="F762" s="33"/>
      <c r="G762" s="33"/>
      <c r="H762" s="33"/>
      <c r="I762" s="33"/>
      <c r="J762" s="33"/>
      <c r="K762" s="33"/>
      <c r="L762" s="33"/>
      <c r="M762" s="33"/>
      <c r="N762" s="33"/>
      <c r="O762" s="33"/>
      <c r="P762" s="33"/>
      <c r="Q762" s="33"/>
      <c r="R762" s="33"/>
    </row>
    <row r="763">
      <c r="A763" s="33"/>
      <c r="B763" s="33"/>
      <c r="C763" s="33"/>
      <c r="D763" s="33"/>
      <c r="E763" s="33"/>
      <c r="F763" s="33"/>
      <c r="G763" s="33"/>
      <c r="H763" s="33"/>
      <c r="I763" s="33"/>
      <c r="J763" s="33"/>
      <c r="K763" s="33"/>
      <c r="L763" s="33"/>
      <c r="M763" s="33"/>
      <c r="N763" s="33"/>
      <c r="O763" s="33"/>
      <c r="P763" s="33"/>
      <c r="Q763" s="33"/>
      <c r="R763" s="33"/>
    </row>
    <row r="764">
      <c r="A764" s="33"/>
      <c r="B764" s="33"/>
      <c r="C764" s="33"/>
      <c r="D764" s="33"/>
      <c r="E764" s="33"/>
      <c r="F764" s="33"/>
      <c r="G764" s="33"/>
      <c r="H764" s="33"/>
      <c r="I764" s="33"/>
      <c r="J764" s="33"/>
      <c r="K764" s="33"/>
      <c r="L764" s="33"/>
      <c r="M764" s="33"/>
      <c r="N764" s="33"/>
      <c r="O764" s="33"/>
      <c r="P764" s="33"/>
      <c r="Q764" s="33"/>
      <c r="R764" s="33"/>
    </row>
    <row r="765">
      <c r="A765" s="33"/>
      <c r="B765" s="33"/>
      <c r="C765" s="33"/>
      <c r="D765" s="33"/>
      <c r="E765" s="33"/>
      <c r="F765" s="33"/>
      <c r="G765" s="33"/>
      <c r="H765" s="33"/>
      <c r="I765" s="33"/>
      <c r="J765" s="33"/>
      <c r="K765" s="33"/>
      <c r="L765" s="33"/>
      <c r="M765" s="33"/>
      <c r="N765" s="33"/>
      <c r="O765" s="33"/>
      <c r="P765" s="33"/>
      <c r="Q765" s="33"/>
      <c r="R765" s="33"/>
    </row>
    <row r="766">
      <c r="A766" s="33"/>
      <c r="B766" s="33"/>
      <c r="C766" s="33"/>
      <c r="D766" s="33"/>
      <c r="E766" s="33"/>
      <c r="F766" s="33"/>
      <c r="G766" s="33"/>
      <c r="H766" s="33"/>
      <c r="I766" s="33"/>
      <c r="J766" s="33"/>
      <c r="K766" s="33"/>
      <c r="L766" s="33"/>
      <c r="M766" s="33"/>
      <c r="N766" s="33"/>
      <c r="O766" s="33"/>
      <c r="P766" s="33"/>
      <c r="Q766" s="33"/>
      <c r="R766" s="33"/>
    </row>
    <row r="767">
      <c r="A767" s="33"/>
      <c r="B767" s="33"/>
      <c r="C767" s="33"/>
      <c r="D767" s="33"/>
      <c r="E767" s="33"/>
      <c r="F767" s="33"/>
      <c r="G767" s="33"/>
      <c r="H767" s="33"/>
      <c r="I767" s="33"/>
      <c r="J767" s="33"/>
      <c r="K767" s="33"/>
      <c r="L767" s="33"/>
      <c r="M767" s="33"/>
      <c r="N767" s="33"/>
      <c r="O767" s="33"/>
      <c r="P767" s="33"/>
      <c r="Q767" s="33"/>
      <c r="R767" s="33"/>
    </row>
    <row r="768">
      <c r="A768" s="33"/>
      <c r="B768" s="33"/>
      <c r="C768" s="33"/>
      <c r="D768" s="33"/>
      <c r="E768" s="33"/>
      <c r="F768" s="33"/>
      <c r="G768" s="33"/>
      <c r="H768" s="33"/>
      <c r="I768" s="33"/>
      <c r="J768" s="33"/>
      <c r="K768" s="33"/>
      <c r="L768" s="33"/>
      <c r="M768" s="33"/>
      <c r="N768" s="33"/>
      <c r="O768" s="33"/>
      <c r="P768" s="33"/>
      <c r="Q768" s="33"/>
      <c r="R768" s="33"/>
    </row>
    <row r="769">
      <c r="A769" s="33"/>
      <c r="B769" s="33"/>
      <c r="C769" s="33"/>
      <c r="D769" s="33"/>
      <c r="E769" s="33"/>
      <c r="F769" s="33"/>
      <c r="G769" s="33"/>
      <c r="H769" s="33"/>
      <c r="I769" s="33"/>
      <c r="J769" s="33"/>
      <c r="K769" s="33"/>
      <c r="L769" s="33"/>
      <c r="M769" s="33"/>
      <c r="N769" s="33"/>
      <c r="O769" s="33"/>
      <c r="P769" s="33"/>
      <c r="Q769" s="33"/>
      <c r="R769" s="33"/>
    </row>
    <row r="770">
      <c r="A770" s="33"/>
      <c r="B770" s="33"/>
      <c r="C770" s="33"/>
      <c r="D770" s="33"/>
      <c r="E770" s="33"/>
      <c r="F770" s="33"/>
      <c r="G770" s="33"/>
      <c r="H770" s="33"/>
      <c r="I770" s="33"/>
      <c r="J770" s="33"/>
      <c r="K770" s="33"/>
      <c r="L770" s="33"/>
      <c r="M770" s="33"/>
      <c r="N770" s="33"/>
      <c r="O770" s="33"/>
      <c r="P770" s="33"/>
      <c r="Q770" s="33"/>
      <c r="R770" s="33"/>
    </row>
    <row r="771">
      <c r="A771" s="33"/>
      <c r="B771" s="33"/>
      <c r="C771" s="33"/>
      <c r="D771" s="33"/>
      <c r="E771" s="33"/>
      <c r="F771" s="33"/>
      <c r="G771" s="33"/>
      <c r="H771" s="33"/>
      <c r="I771" s="33"/>
      <c r="J771" s="33"/>
      <c r="K771" s="33"/>
      <c r="L771" s="33"/>
      <c r="M771" s="33"/>
      <c r="N771" s="33"/>
      <c r="O771" s="33"/>
      <c r="P771" s="33"/>
      <c r="Q771" s="33"/>
      <c r="R771" s="33"/>
    </row>
    <row r="772">
      <c r="A772" s="33"/>
      <c r="B772" s="33"/>
      <c r="C772" s="33"/>
      <c r="D772" s="33"/>
      <c r="E772" s="33"/>
      <c r="F772" s="33"/>
      <c r="G772" s="33"/>
      <c r="H772" s="33"/>
      <c r="I772" s="33"/>
      <c r="J772" s="33"/>
      <c r="K772" s="33"/>
      <c r="L772" s="33"/>
      <c r="M772" s="33"/>
      <c r="N772" s="33"/>
      <c r="O772" s="33"/>
      <c r="P772" s="33"/>
      <c r="Q772" s="33"/>
      <c r="R772" s="33"/>
    </row>
    <row r="773">
      <c r="A773" s="33"/>
      <c r="B773" s="33"/>
      <c r="C773" s="33"/>
      <c r="D773" s="33"/>
      <c r="E773" s="33"/>
      <c r="F773" s="33"/>
      <c r="G773" s="33"/>
      <c r="H773" s="33"/>
      <c r="I773" s="33"/>
      <c r="J773" s="33"/>
      <c r="K773" s="33"/>
      <c r="L773" s="33"/>
      <c r="M773" s="33"/>
      <c r="N773" s="33"/>
      <c r="O773" s="33"/>
      <c r="P773" s="33"/>
      <c r="Q773" s="33"/>
      <c r="R773" s="33"/>
    </row>
    <row r="774">
      <c r="A774" s="33"/>
      <c r="B774" s="33"/>
      <c r="C774" s="33"/>
      <c r="D774" s="33"/>
      <c r="E774" s="33"/>
      <c r="F774" s="33"/>
      <c r="G774" s="33"/>
      <c r="H774" s="33"/>
      <c r="I774" s="33"/>
      <c r="J774" s="33"/>
      <c r="K774" s="33"/>
      <c r="L774" s="33"/>
      <c r="M774" s="33"/>
      <c r="N774" s="33"/>
      <c r="O774" s="33"/>
      <c r="P774" s="33"/>
      <c r="Q774" s="33"/>
      <c r="R774" s="33"/>
    </row>
    <row r="775">
      <c r="A775" s="33"/>
      <c r="B775" s="33"/>
      <c r="C775" s="33"/>
      <c r="D775" s="33"/>
      <c r="E775" s="33"/>
      <c r="F775" s="33"/>
      <c r="G775" s="33"/>
      <c r="H775" s="33"/>
      <c r="I775" s="33"/>
      <c r="J775" s="33"/>
      <c r="K775" s="33"/>
      <c r="L775" s="33"/>
      <c r="M775" s="33"/>
      <c r="N775" s="33"/>
      <c r="O775" s="33"/>
      <c r="P775" s="33"/>
      <c r="Q775" s="33"/>
      <c r="R775" s="33"/>
    </row>
    <row r="776">
      <c r="A776" s="33"/>
      <c r="B776" s="33"/>
      <c r="C776" s="33"/>
      <c r="D776" s="33"/>
      <c r="E776" s="33"/>
      <c r="F776" s="33"/>
      <c r="G776" s="33"/>
      <c r="H776" s="33"/>
      <c r="I776" s="33"/>
      <c r="J776" s="33"/>
      <c r="K776" s="33"/>
      <c r="L776" s="33"/>
      <c r="M776" s="33"/>
      <c r="N776" s="33"/>
      <c r="O776" s="33"/>
      <c r="P776" s="33"/>
      <c r="Q776" s="33"/>
      <c r="R776" s="33"/>
    </row>
    <row r="777">
      <c r="A777" s="33"/>
      <c r="B777" s="33"/>
      <c r="C777" s="33"/>
      <c r="D777" s="33"/>
      <c r="E777" s="33"/>
      <c r="F777" s="33"/>
      <c r="G777" s="33"/>
      <c r="H777" s="33"/>
      <c r="I777" s="33"/>
      <c r="J777" s="33"/>
      <c r="K777" s="33"/>
      <c r="L777" s="33"/>
      <c r="M777" s="33"/>
      <c r="N777" s="33"/>
      <c r="O777" s="33"/>
      <c r="P777" s="33"/>
      <c r="Q777" s="33"/>
      <c r="R777" s="33"/>
    </row>
    <row r="778">
      <c r="A778" s="33"/>
      <c r="B778" s="33"/>
      <c r="C778" s="33"/>
      <c r="D778" s="33"/>
      <c r="E778" s="33"/>
      <c r="F778" s="33"/>
      <c r="G778" s="33"/>
      <c r="H778" s="33"/>
      <c r="I778" s="33"/>
      <c r="J778" s="33"/>
      <c r="K778" s="33"/>
      <c r="L778" s="33"/>
      <c r="M778" s="33"/>
      <c r="N778" s="33"/>
      <c r="O778" s="33"/>
      <c r="P778" s="33"/>
      <c r="Q778" s="33"/>
      <c r="R778" s="33"/>
    </row>
    <row r="779">
      <c r="A779" s="33"/>
      <c r="B779" s="33"/>
      <c r="C779" s="33"/>
      <c r="D779" s="33"/>
      <c r="E779" s="33"/>
      <c r="F779" s="33"/>
      <c r="G779" s="33"/>
      <c r="H779" s="33"/>
      <c r="I779" s="33"/>
      <c r="J779" s="33"/>
      <c r="K779" s="33"/>
      <c r="L779" s="33"/>
      <c r="M779" s="33"/>
      <c r="N779" s="33"/>
      <c r="O779" s="33"/>
      <c r="P779" s="33"/>
      <c r="Q779" s="33"/>
      <c r="R779" s="33"/>
    </row>
    <row r="780">
      <c r="A780" s="33"/>
      <c r="B780" s="33"/>
      <c r="C780" s="33"/>
      <c r="D780" s="33"/>
      <c r="E780" s="33"/>
      <c r="F780" s="33"/>
      <c r="G780" s="33"/>
      <c r="H780" s="33"/>
      <c r="I780" s="33"/>
      <c r="J780" s="33"/>
      <c r="K780" s="33"/>
      <c r="L780" s="33"/>
      <c r="M780" s="33"/>
      <c r="N780" s="33"/>
      <c r="O780" s="33"/>
      <c r="P780" s="33"/>
      <c r="Q780" s="33"/>
      <c r="R780" s="33"/>
    </row>
    <row r="781">
      <c r="A781" s="33"/>
      <c r="B781" s="33"/>
      <c r="C781" s="33"/>
      <c r="D781" s="33"/>
      <c r="E781" s="33"/>
      <c r="F781" s="33"/>
      <c r="G781" s="33"/>
      <c r="H781" s="33"/>
      <c r="I781" s="33"/>
      <c r="J781" s="33"/>
      <c r="K781" s="33"/>
      <c r="L781" s="33"/>
      <c r="M781" s="33"/>
      <c r="N781" s="33"/>
      <c r="O781" s="33"/>
      <c r="P781" s="33"/>
      <c r="Q781" s="33"/>
      <c r="R781" s="33"/>
    </row>
    <row r="782">
      <c r="A782" s="33"/>
      <c r="B782" s="33"/>
      <c r="C782" s="33"/>
      <c r="D782" s="33"/>
      <c r="E782" s="33"/>
      <c r="F782" s="33"/>
      <c r="G782" s="33"/>
      <c r="H782" s="33"/>
      <c r="I782" s="33"/>
      <c r="J782" s="33"/>
      <c r="K782" s="33"/>
      <c r="L782" s="33"/>
      <c r="M782" s="33"/>
      <c r="N782" s="33"/>
      <c r="O782" s="33"/>
      <c r="P782" s="33"/>
      <c r="Q782" s="33"/>
      <c r="R782" s="33"/>
    </row>
    <row r="783">
      <c r="A783" s="33"/>
      <c r="B783" s="33"/>
      <c r="C783" s="33"/>
      <c r="D783" s="33"/>
      <c r="E783" s="33"/>
      <c r="F783" s="33"/>
      <c r="G783" s="33"/>
      <c r="H783" s="33"/>
      <c r="I783" s="33"/>
      <c r="J783" s="33"/>
      <c r="K783" s="33"/>
      <c r="L783" s="33"/>
      <c r="M783" s="33"/>
      <c r="N783" s="33"/>
      <c r="O783" s="33"/>
      <c r="P783" s="33"/>
      <c r="Q783" s="33"/>
      <c r="R783" s="33"/>
    </row>
    <row r="784">
      <c r="A784" s="33"/>
      <c r="B784" s="33"/>
      <c r="C784" s="33"/>
      <c r="D784" s="33"/>
      <c r="E784" s="33"/>
      <c r="F784" s="33"/>
      <c r="G784" s="33"/>
      <c r="H784" s="33"/>
      <c r="I784" s="33"/>
      <c r="J784" s="33"/>
      <c r="K784" s="33"/>
      <c r="L784" s="33"/>
      <c r="M784" s="33"/>
      <c r="N784" s="33"/>
      <c r="O784" s="33"/>
      <c r="P784" s="33"/>
      <c r="Q784" s="33"/>
      <c r="R784" s="33"/>
    </row>
    <row r="785">
      <c r="A785" s="33"/>
      <c r="B785" s="33"/>
      <c r="C785" s="33"/>
      <c r="D785" s="33"/>
      <c r="E785" s="33"/>
      <c r="F785" s="33"/>
      <c r="G785" s="33"/>
      <c r="H785" s="33"/>
      <c r="I785" s="33"/>
      <c r="J785" s="33"/>
      <c r="K785" s="33"/>
      <c r="L785" s="33"/>
      <c r="M785" s="33"/>
      <c r="N785" s="33"/>
      <c r="O785" s="33"/>
      <c r="P785" s="33"/>
      <c r="Q785" s="33"/>
      <c r="R785" s="33"/>
    </row>
    <row r="786">
      <c r="A786" s="33"/>
      <c r="B786" s="33"/>
      <c r="C786" s="33"/>
      <c r="D786" s="33"/>
      <c r="E786" s="33"/>
      <c r="F786" s="33"/>
      <c r="G786" s="33"/>
      <c r="H786" s="33"/>
      <c r="I786" s="33"/>
      <c r="J786" s="33"/>
      <c r="K786" s="33"/>
      <c r="L786" s="33"/>
      <c r="M786" s="33"/>
      <c r="N786" s="33"/>
      <c r="O786" s="33"/>
      <c r="P786" s="33"/>
      <c r="Q786" s="33"/>
      <c r="R786" s="33"/>
    </row>
    <row r="787">
      <c r="A787" s="33"/>
      <c r="B787" s="33"/>
      <c r="C787" s="33"/>
      <c r="D787" s="33"/>
      <c r="E787" s="33"/>
      <c r="F787" s="33"/>
      <c r="G787" s="33"/>
      <c r="H787" s="33"/>
      <c r="I787" s="33"/>
      <c r="J787" s="33"/>
      <c r="K787" s="33"/>
      <c r="L787" s="33"/>
      <c r="M787" s="33"/>
      <c r="N787" s="33"/>
      <c r="O787" s="33"/>
      <c r="P787" s="33"/>
      <c r="Q787" s="33"/>
      <c r="R787" s="33"/>
    </row>
    <row r="788">
      <c r="A788" s="33"/>
      <c r="B788" s="33"/>
      <c r="C788" s="33"/>
      <c r="D788" s="33"/>
      <c r="E788" s="33"/>
      <c r="F788" s="33"/>
      <c r="G788" s="33"/>
      <c r="H788" s="33"/>
      <c r="I788" s="33"/>
      <c r="J788" s="33"/>
      <c r="K788" s="33"/>
      <c r="L788" s="33"/>
      <c r="M788" s="33"/>
      <c r="N788" s="33"/>
      <c r="O788" s="33"/>
      <c r="P788" s="33"/>
      <c r="Q788" s="33"/>
      <c r="R788" s="33"/>
    </row>
    <row r="789">
      <c r="A789" s="33"/>
      <c r="B789" s="33"/>
      <c r="C789" s="33"/>
      <c r="D789" s="33"/>
      <c r="E789" s="33"/>
      <c r="F789" s="33"/>
      <c r="G789" s="33"/>
      <c r="H789" s="33"/>
      <c r="I789" s="33"/>
      <c r="J789" s="33"/>
      <c r="K789" s="33"/>
      <c r="L789" s="33"/>
      <c r="M789" s="33"/>
      <c r="N789" s="33"/>
      <c r="O789" s="33"/>
      <c r="P789" s="33"/>
      <c r="Q789" s="33"/>
      <c r="R789" s="33"/>
    </row>
    <row r="790">
      <c r="A790" s="33"/>
      <c r="B790" s="33"/>
      <c r="C790" s="33"/>
      <c r="D790" s="33"/>
      <c r="E790" s="33"/>
      <c r="F790" s="33"/>
      <c r="G790" s="33"/>
      <c r="H790" s="33"/>
      <c r="I790" s="33"/>
      <c r="J790" s="33"/>
      <c r="K790" s="33"/>
      <c r="L790" s="33"/>
      <c r="M790" s="33"/>
      <c r="N790" s="33"/>
      <c r="O790" s="33"/>
      <c r="P790" s="33"/>
      <c r="Q790" s="33"/>
      <c r="R790" s="33"/>
    </row>
    <row r="791">
      <c r="A791" s="33"/>
      <c r="B791" s="33"/>
      <c r="C791" s="33"/>
      <c r="D791" s="33"/>
      <c r="E791" s="33"/>
      <c r="F791" s="33"/>
      <c r="G791" s="33"/>
      <c r="H791" s="33"/>
      <c r="I791" s="33"/>
      <c r="J791" s="33"/>
      <c r="K791" s="33"/>
      <c r="L791" s="33"/>
      <c r="M791" s="33"/>
      <c r="N791" s="33"/>
      <c r="O791" s="33"/>
      <c r="P791" s="33"/>
      <c r="Q791" s="33"/>
      <c r="R791" s="33"/>
    </row>
    <row r="792">
      <c r="A792" s="33"/>
      <c r="B792" s="33"/>
      <c r="C792" s="33"/>
      <c r="D792" s="33"/>
      <c r="E792" s="33"/>
      <c r="F792" s="33"/>
      <c r="G792" s="33"/>
      <c r="H792" s="33"/>
      <c r="I792" s="33"/>
      <c r="J792" s="33"/>
      <c r="K792" s="33"/>
      <c r="L792" s="33"/>
      <c r="M792" s="33"/>
      <c r="N792" s="33"/>
      <c r="O792" s="33"/>
      <c r="P792" s="33"/>
      <c r="Q792" s="33"/>
      <c r="R792" s="33"/>
    </row>
    <row r="793">
      <c r="A793" s="33"/>
      <c r="B793" s="33"/>
      <c r="C793" s="33"/>
      <c r="D793" s="33"/>
      <c r="E793" s="33"/>
      <c r="F793" s="33"/>
      <c r="G793" s="33"/>
      <c r="H793" s="33"/>
      <c r="I793" s="33"/>
      <c r="J793" s="33"/>
      <c r="K793" s="33"/>
      <c r="L793" s="33"/>
      <c r="M793" s="33"/>
      <c r="N793" s="33"/>
      <c r="O793" s="33"/>
      <c r="P793" s="33"/>
      <c r="Q793" s="33"/>
      <c r="R793" s="33"/>
    </row>
    <row r="794">
      <c r="A794" s="33"/>
      <c r="B794" s="33"/>
      <c r="C794" s="33"/>
      <c r="D794" s="33"/>
      <c r="E794" s="33"/>
      <c r="F794" s="33"/>
      <c r="G794" s="33"/>
      <c r="H794" s="33"/>
      <c r="I794" s="33"/>
      <c r="J794" s="33"/>
      <c r="K794" s="33"/>
      <c r="L794" s="33"/>
      <c r="M794" s="33"/>
      <c r="N794" s="33"/>
      <c r="O794" s="33"/>
      <c r="P794" s="33"/>
      <c r="Q794" s="33"/>
      <c r="R794" s="33"/>
    </row>
    <row r="795">
      <c r="A795" s="33"/>
      <c r="B795" s="33"/>
      <c r="C795" s="33"/>
      <c r="D795" s="33"/>
      <c r="E795" s="33"/>
      <c r="F795" s="33"/>
      <c r="G795" s="33"/>
      <c r="H795" s="33"/>
      <c r="I795" s="33"/>
      <c r="J795" s="33"/>
      <c r="K795" s="33"/>
      <c r="L795" s="33"/>
      <c r="M795" s="33"/>
      <c r="N795" s="33"/>
      <c r="O795" s="33"/>
      <c r="P795" s="33"/>
      <c r="Q795" s="33"/>
      <c r="R795" s="33"/>
    </row>
    <row r="796">
      <c r="A796" s="33"/>
      <c r="B796" s="33"/>
      <c r="C796" s="33"/>
      <c r="D796" s="33"/>
      <c r="E796" s="33"/>
      <c r="F796" s="33"/>
      <c r="G796" s="33"/>
      <c r="H796" s="33"/>
      <c r="I796" s="33"/>
      <c r="J796" s="33"/>
      <c r="K796" s="33"/>
      <c r="L796" s="33"/>
      <c r="M796" s="33"/>
      <c r="N796" s="33"/>
      <c r="O796" s="33"/>
      <c r="P796" s="33"/>
      <c r="Q796" s="33"/>
      <c r="R796" s="33"/>
    </row>
    <row r="797">
      <c r="A797" s="33"/>
      <c r="B797" s="33"/>
      <c r="C797" s="33"/>
      <c r="D797" s="33"/>
      <c r="E797" s="33"/>
      <c r="F797" s="33"/>
      <c r="G797" s="33"/>
      <c r="H797" s="33"/>
      <c r="I797" s="33"/>
      <c r="J797" s="33"/>
      <c r="K797" s="33"/>
      <c r="L797" s="33"/>
      <c r="M797" s="33"/>
      <c r="N797" s="33"/>
      <c r="O797" s="33"/>
      <c r="P797" s="33"/>
      <c r="Q797" s="33"/>
      <c r="R797" s="33"/>
    </row>
    <row r="798">
      <c r="A798" s="33"/>
      <c r="B798" s="33"/>
      <c r="C798" s="33"/>
      <c r="D798" s="33"/>
      <c r="E798" s="33"/>
      <c r="F798" s="33"/>
      <c r="G798" s="33"/>
      <c r="H798" s="33"/>
      <c r="I798" s="33"/>
      <c r="J798" s="33"/>
      <c r="K798" s="33"/>
      <c r="L798" s="33"/>
      <c r="M798" s="33"/>
      <c r="N798" s="33"/>
      <c r="O798" s="33"/>
      <c r="P798" s="33"/>
      <c r="Q798" s="33"/>
      <c r="R798" s="33"/>
    </row>
    <row r="799">
      <c r="A799" s="33"/>
      <c r="B799" s="33"/>
      <c r="C799" s="33"/>
      <c r="D799" s="33"/>
      <c r="E799" s="33"/>
      <c r="F799" s="33"/>
      <c r="G799" s="33"/>
      <c r="H799" s="33"/>
      <c r="I799" s="33"/>
      <c r="J799" s="33"/>
      <c r="K799" s="33"/>
      <c r="L799" s="33"/>
      <c r="M799" s="33"/>
      <c r="N799" s="33"/>
      <c r="O799" s="33"/>
      <c r="P799" s="33"/>
      <c r="Q799" s="33"/>
      <c r="R799" s="33"/>
    </row>
    <row r="800">
      <c r="A800" s="33"/>
      <c r="B800" s="33"/>
      <c r="C800" s="33"/>
      <c r="D800" s="33"/>
      <c r="E800" s="33"/>
      <c r="F800" s="33"/>
      <c r="G800" s="33"/>
      <c r="H800" s="33"/>
      <c r="I800" s="33"/>
      <c r="J800" s="33"/>
      <c r="K800" s="33"/>
      <c r="L800" s="33"/>
      <c r="M800" s="33"/>
      <c r="N800" s="33"/>
      <c r="O800" s="33"/>
      <c r="P800" s="33"/>
      <c r="Q800" s="33"/>
      <c r="R800" s="33"/>
    </row>
    <row r="801">
      <c r="A801" s="33"/>
      <c r="B801" s="33"/>
      <c r="C801" s="33"/>
      <c r="D801" s="33"/>
      <c r="E801" s="33"/>
      <c r="F801" s="33"/>
      <c r="G801" s="33"/>
      <c r="H801" s="33"/>
      <c r="I801" s="33"/>
      <c r="J801" s="33"/>
      <c r="K801" s="33"/>
      <c r="L801" s="33"/>
      <c r="M801" s="33"/>
      <c r="N801" s="33"/>
      <c r="O801" s="33"/>
      <c r="P801" s="33"/>
      <c r="Q801" s="33"/>
      <c r="R801" s="33"/>
    </row>
    <row r="802">
      <c r="A802" s="33"/>
      <c r="B802" s="33"/>
      <c r="C802" s="33"/>
      <c r="D802" s="33"/>
      <c r="E802" s="33"/>
      <c r="F802" s="33"/>
      <c r="G802" s="33"/>
      <c r="H802" s="33"/>
      <c r="I802" s="33"/>
      <c r="J802" s="33"/>
      <c r="K802" s="33"/>
      <c r="L802" s="33"/>
      <c r="M802" s="33"/>
      <c r="N802" s="33"/>
      <c r="O802" s="33"/>
      <c r="P802" s="33"/>
      <c r="Q802" s="33"/>
      <c r="R802" s="33"/>
    </row>
    <row r="803">
      <c r="A803" s="33"/>
      <c r="B803" s="33"/>
      <c r="C803" s="33"/>
      <c r="D803" s="33"/>
      <c r="E803" s="33"/>
      <c r="F803" s="33"/>
      <c r="G803" s="33"/>
      <c r="H803" s="33"/>
      <c r="I803" s="33"/>
      <c r="J803" s="33"/>
      <c r="K803" s="33"/>
      <c r="L803" s="33"/>
      <c r="M803" s="33"/>
      <c r="N803" s="33"/>
      <c r="O803" s="33"/>
      <c r="P803" s="33"/>
      <c r="Q803" s="33"/>
      <c r="R803" s="33"/>
    </row>
    <row r="804">
      <c r="A804" s="33"/>
      <c r="B804" s="33"/>
      <c r="C804" s="33"/>
      <c r="D804" s="33"/>
      <c r="E804" s="33"/>
      <c r="F804" s="33"/>
      <c r="G804" s="33"/>
      <c r="H804" s="33"/>
      <c r="I804" s="33"/>
      <c r="J804" s="33"/>
      <c r="K804" s="33"/>
      <c r="L804" s="33"/>
      <c r="M804" s="33"/>
      <c r="N804" s="33"/>
      <c r="O804" s="33"/>
      <c r="P804" s="33"/>
      <c r="Q804" s="33"/>
      <c r="R804" s="33"/>
    </row>
    <row r="805">
      <c r="A805" s="33"/>
      <c r="B805" s="33"/>
      <c r="C805" s="33"/>
      <c r="D805" s="33"/>
      <c r="E805" s="33"/>
      <c r="F805" s="33"/>
      <c r="G805" s="33"/>
      <c r="H805" s="33"/>
      <c r="I805" s="33"/>
      <c r="J805" s="33"/>
      <c r="K805" s="33"/>
      <c r="L805" s="33"/>
      <c r="M805" s="33"/>
      <c r="N805" s="33"/>
      <c r="O805" s="33"/>
      <c r="P805" s="33"/>
      <c r="Q805" s="33"/>
      <c r="R805" s="33"/>
    </row>
    <row r="806">
      <c r="A806" s="33"/>
      <c r="B806" s="33"/>
      <c r="C806" s="33"/>
      <c r="D806" s="33"/>
      <c r="E806" s="33"/>
      <c r="F806" s="33"/>
      <c r="G806" s="33"/>
      <c r="H806" s="33"/>
      <c r="I806" s="33"/>
      <c r="J806" s="33"/>
      <c r="K806" s="33"/>
      <c r="L806" s="33"/>
      <c r="M806" s="33"/>
      <c r="N806" s="33"/>
      <c r="O806" s="33"/>
      <c r="P806" s="33"/>
      <c r="Q806" s="33"/>
      <c r="R806" s="33"/>
    </row>
    <row r="807">
      <c r="A807" s="33"/>
      <c r="B807" s="33"/>
      <c r="C807" s="33"/>
      <c r="D807" s="33"/>
      <c r="E807" s="33"/>
      <c r="F807" s="33"/>
      <c r="G807" s="33"/>
      <c r="H807" s="33"/>
      <c r="I807" s="33"/>
      <c r="J807" s="33"/>
      <c r="K807" s="33"/>
      <c r="L807" s="33"/>
      <c r="M807" s="33"/>
      <c r="N807" s="33"/>
      <c r="O807" s="33"/>
      <c r="P807" s="33"/>
      <c r="Q807" s="33"/>
      <c r="R807" s="33"/>
    </row>
    <row r="808">
      <c r="A808" s="33"/>
      <c r="B808" s="33"/>
      <c r="C808" s="33"/>
      <c r="D808" s="33"/>
      <c r="E808" s="33"/>
      <c r="F808" s="33"/>
      <c r="G808" s="33"/>
      <c r="H808" s="33"/>
      <c r="I808" s="33"/>
      <c r="J808" s="33"/>
      <c r="K808" s="33"/>
      <c r="L808" s="33"/>
      <c r="M808" s="33"/>
      <c r="N808" s="33"/>
      <c r="O808" s="33"/>
      <c r="P808" s="33"/>
      <c r="Q808" s="33"/>
      <c r="R808" s="33"/>
    </row>
    <row r="809">
      <c r="A809" s="33"/>
      <c r="B809" s="33"/>
      <c r="C809" s="33"/>
      <c r="D809" s="33"/>
      <c r="E809" s="33"/>
      <c r="F809" s="33"/>
      <c r="G809" s="33"/>
      <c r="H809" s="33"/>
      <c r="I809" s="33"/>
      <c r="J809" s="33"/>
      <c r="K809" s="33"/>
      <c r="L809" s="33"/>
      <c r="M809" s="33"/>
      <c r="N809" s="33"/>
      <c r="O809" s="33"/>
      <c r="P809" s="33"/>
      <c r="Q809" s="33"/>
      <c r="R809" s="33"/>
    </row>
    <row r="810">
      <c r="A810" s="33"/>
      <c r="B810" s="33"/>
      <c r="C810" s="33"/>
      <c r="D810" s="33"/>
      <c r="E810" s="33"/>
      <c r="F810" s="33"/>
      <c r="G810" s="33"/>
      <c r="H810" s="33"/>
      <c r="I810" s="33"/>
      <c r="J810" s="33"/>
      <c r="K810" s="33"/>
      <c r="L810" s="33"/>
      <c r="M810" s="33"/>
      <c r="N810" s="33"/>
      <c r="O810" s="33"/>
      <c r="P810" s="33"/>
      <c r="Q810" s="33"/>
      <c r="R810" s="33"/>
    </row>
    <row r="811">
      <c r="A811" s="33"/>
      <c r="B811" s="33"/>
      <c r="C811" s="33"/>
      <c r="D811" s="33"/>
      <c r="E811" s="33"/>
      <c r="F811" s="33"/>
      <c r="G811" s="33"/>
      <c r="H811" s="33"/>
      <c r="I811" s="33"/>
      <c r="J811" s="33"/>
      <c r="K811" s="33"/>
      <c r="L811" s="33"/>
      <c r="M811" s="33"/>
      <c r="N811" s="33"/>
      <c r="O811" s="33"/>
      <c r="P811" s="33"/>
      <c r="Q811" s="33"/>
      <c r="R811" s="33"/>
    </row>
    <row r="812">
      <c r="A812" s="33"/>
      <c r="B812" s="33"/>
      <c r="C812" s="33"/>
      <c r="D812" s="33"/>
      <c r="E812" s="33"/>
      <c r="F812" s="33"/>
      <c r="G812" s="33"/>
      <c r="H812" s="33"/>
      <c r="I812" s="33"/>
      <c r="J812" s="33"/>
      <c r="K812" s="33"/>
      <c r="L812" s="33"/>
      <c r="M812" s="33"/>
      <c r="N812" s="33"/>
      <c r="O812" s="33"/>
      <c r="P812" s="33"/>
      <c r="Q812" s="33"/>
      <c r="R812" s="33"/>
    </row>
    <row r="813">
      <c r="A813" s="33"/>
      <c r="B813" s="33"/>
      <c r="C813" s="33"/>
      <c r="D813" s="33"/>
      <c r="E813" s="33"/>
      <c r="F813" s="33"/>
      <c r="G813" s="33"/>
      <c r="H813" s="33"/>
      <c r="I813" s="33"/>
      <c r="J813" s="33"/>
      <c r="K813" s="33"/>
      <c r="L813" s="33"/>
      <c r="M813" s="33"/>
      <c r="N813" s="33"/>
      <c r="O813" s="33"/>
      <c r="P813" s="33"/>
      <c r="Q813" s="33"/>
      <c r="R813" s="33"/>
    </row>
    <row r="814">
      <c r="A814" s="33"/>
      <c r="B814" s="33"/>
      <c r="C814" s="33"/>
      <c r="D814" s="33"/>
      <c r="E814" s="33"/>
      <c r="F814" s="33"/>
      <c r="G814" s="33"/>
      <c r="H814" s="33"/>
      <c r="I814" s="33"/>
      <c r="J814" s="33"/>
      <c r="K814" s="33"/>
      <c r="L814" s="33"/>
      <c r="M814" s="33"/>
      <c r="N814" s="33"/>
      <c r="O814" s="33"/>
      <c r="P814" s="33"/>
      <c r="Q814" s="33"/>
      <c r="R814" s="33"/>
    </row>
    <row r="815">
      <c r="A815" s="33"/>
      <c r="B815" s="33"/>
      <c r="C815" s="33"/>
      <c r="D815" s="33"/>
      <c r="E815" s="33"/>
      <c r="F815" s="33"/>
      <c r="G815" s="33"/>
      <c r="H815" s="33"/>
      <c r="I815" s="33"/>
      <c r="J815" s="33"/>
      <c r="K815" s="33"/>
      <c r="L815" s="33"/>
      <c r="M815" s="33"/>
      <c r="N815" s="33"/>
      <c r="O815" s="33"/>
      <c r="P815" s="33"/>
      <c r="Q815" s="33"/>
      <c r="R815" s="33"/>
    </row>
    <row r="816">
      <c r="A816" s="33"/>
      <c r="B816" s="33"/>
      <c r="C816" s="33"/>
      <c r="D816" s="33"/>
      <c r="E816" s="33"/>
      <c r="F816" s="33"/>
      <c r="G816" s="33"/>
      <c r="H816" s="33"/>
      <c r="I816" s="33"/>
      <c r="J816" s="33"/>
      <c r="K816" s="33"/>
      <c r="L816" s="33"/>
      <c r="M816" s="33"/>
      <c r="N816" s="33"/>
      <c r="O816" s="33"/>
      <c r="P816" s="33"/>
      <c r="Q816" s="33"/>
      <c r="R816" s="33"/>
    </row>
    <row r="817">
      <c r="A817" s="33"/>
      <c r="B817" s="33"/>
      <c r="C817" s="33"/>
      <c r="D817" s="33"/>
      <c r="E817" s="33"/>
      <c r="F817" s="33"/>
      <c r="G817" s="33"/>
      <c r="H817" s="33"/>
      <c r="I817" s="33"/>
      <c r="J817" s="33"/>
      <c r="K817" s="33"/>
      <c r="L817" s="33"/>
      <c r="M817" s="33"/>
      <c r="N817" s="33"/>
      <c r="O817" s="33"/>
      <c r="P817" s="33"/>
      <c r="Q817" s="33"/>
      <c r="R817" s="33"/>
    </row>
    <row r="818">
      <c r="A818" s="33"/>
      <c r="B818" s="33"/>
      <c r="C818" s="33"/>
      <c r="D818" s="33"/>
      <c r="E818" s="33"/>
      <c r="F818" s="33"/>
      <c r="G818" s="33"/>
      <c r="H818" s="33"/>
      <c r="I818" s="33"/>
      <c r="J818" s="33"/>
      <c r="K818" s="33"/>
      <c r="L818" s="33"/>
      <c r="M818" s="33"/>
      <c r="N818" s="33"/>
      <c r="O818" s="33"/>
      <c r="P818" s="33"/>
      <c r="Q818" s="33"/>
      <c r="R818" s="33"/>
    </row>
    <row r="819">
      <c r="A819" s="33"/>
      <c r="B819" s="33"/>
      <c r="C819" s="33"/>
      <c r="D819" s="33"/>
      <c r="E819" s="33"/>
      <c r="F819" s="33"/>
      <c r="G819" s="33"/>
      <c r="H819" s="33"/>
      <c r="I819" s="33"/>
      <c r="J819" s="33"/>
      <c r="K819" s="33"/>
      <c r="L819" s="33"/>
      <c r="M819" s="33"/>
      <c r="N819" s="33"/>
      <c r="O819" s="33"/>
      <c r="P819" s="33"/>
      <c r="Q819" s="33"/>
      <c r="R819" s="33"/>
    </row>
    <row r="820">
      <c r="A820" s="33"/>
      <c r="B820" s="33"/>
      <c r="C820" s="33"/>
      <c r="D820" s="33"/>
      <c r="E820" s="33"/>
      <c r="F820" s="33"/>
      <c r="G820" s="33"/>
      <c r="H820" s="33"/>
      <c r="I820" s="33"/>
      <c r="J820" s="33"/>
      <c r="K820" s="33"/>
      <c r="L820" s="33"/>
      <c r="M820" s="33"/>
      <c r="N820" s="33"/>
      <c r="O820" s="33"/>
      <c r="P820" s="33"/>
      <c r="Q820" s="33"/>
      <c r="R820" s="33"/>
    </row>
    <row r="821">
      <c r="A821" s="33"/>
      <c r="B821" s="33"/>
      <c r="C821" s="33"/>
      <c r="D821" s="33"/>
      <c r="E821" s="33"/>
      <c r="F821" s="33"/>
      <c r="G821" s="33"/>
      <c r="H821" s="33"/>
      <c r="I821" s="33"/>
      <c r="J821" s="33"/>
      <c r="K821" s="33"/>
      <c r="L821" s="33"/>
      <c r="M821" s="33"/>
      <c r="N821" s="33"/>
      <c r="O821" s="33"/>
      <c r="P821" s="33"/>
      <c r="Q821" s="33"/>
      <c r="R821" s="33"/>
    </row>
    <row r="822">
      <c r="A822" s="33"/>
      <c r="B822" s="33"/>
      <c r="C822" s="33"/>
      <c r="D822" s="33"/>
      <c r="E822" s="33"/>
      <c r="F822" s="33"/>
      <c r="G822" s="33"/>
      <c r="H822" s="33"/>
      <c r="I822" s="33"/>
      <c r="J822" s="33"/>
      <c r="K822" s="33"/>
      <c r="L822" s="33"/>
      <c r="M822" s="33"/>
      <c r="N822" s="33"/>
      <c r="O822" s="33"/>
      <c r="P822" s="33"/>
      <c r="Q822" s="33"/>
      <c r="R822" s="33"/>
    </row>
    <row r="823">
      <c r="A823" s="33"/>
      <c r="B823" s="33"/>
      <c r="C823" s="33"/>
      <c r="D823" s="33"/>
      <c r="E823" s="33"/>
      <c r="F823" s="33"/>
      <c r="G823" s="33"/>
      <c r="H823" s="33"/>
      <c r="I823" s="33"/>
      <c r="J823" s="33"/>
      <c r="K823" s="33"/>
      <c r="L823" s="33"/>
      <c r="M823" s="33"/>
      <c r="N823" s="33"/>
      <c r="O823" s="33"/>
      <c r="P823" s="33"/>
      <c r="Q823" s="33"/>
      <c r="R823" s="33"/>
    </row>
    <row r="824">
      <c r="A824" s="33"/>
      <c r="B824" s="33"/>
      <c r="C824" s="33"/>
      <c r="D824" s="33"/>
      <c r="E824" s="33"/>
      <c r="F824" s="33"/>
      <c r="G824" s="33"/>
      <c r="H824" s="33"/>
      <c r="I824" s="33"/>
      <c r="J824" s="33"/>
      <c r="K824" s="33"/>
      <c r="L824" s="33"/>
      <c r="M824" s="33"/>
      <c r="N824" s="33"/>
      <c r="O824" s="33"/>
      <c r="P824" s="33"/>
      <c r="Q824" s="33"/>
      <c r="R824" s="33"/>
    </row>
    <row r="825">
      <c r="A825" s="33"/>
      <c r="B825" s="33"/>
      <c r="C825" s="33"/>
      <c r="D825" s="33"/>
      <c r="E825" s="33"/>
      <c r="F825" s="33"/>
      <c r="G825" s="33"/>
      <c r="H825" s="33"/>
      <c r="I825" s="33"/>
      <c r="J825" s="33"/>
      <c r="K825" s="33"/>
      <c r="L825" s="33"/>
      <c r="M825" s="33"/>
      <c r="N825" s="33"/>
      <c r="O825" s="33"/>
      <c r="P825" s="33"/>
      <c r="Q825" s="33"/>
      <c r="R825" s="33"/>
    </row>
    <row r="826">
      <c r="A826" s="33"/>
      <c r="B826" s="33"/>
      <c r="C826" s="33"/>
      <c r="D826" s="33"/>
      <c r="E826" s="33"/>
      <c r="F826" s="33"/>
      <c r="G826" s="33"/>
      <c r="H826" s="33"/>
      <c r="I826" s="33"/>
      <c r="J826" s="33"/>
      <c r="K826" s="33"/>
      <c r="L826" s="33"/>
      <c r="M826" s="33"/>
      <c r="N826" s="33"/>
      <c r="O826" s="33"/>
      <c r="P826" s="33"/>
      <c r="Q826" s="33"/>
      <c r="R826" s="33"/>
    </row>
    <row r="827">
      <c r="A827" s="33"/>
      <c r="B827" s="33"/>
      <c r="C827" s="33"/>
      <c r="D827" s="33"/>
      <c r="E827" s="33"/>
      <c r="F827" s="33"/>
      <c r="G827" s="33"/>
      <c r="H827" s="33"/>
      <c r="I827" s="33"/>
      <c r="J827" s="33"/>
      <c r="K827" s="33"/>
      <c r="L827" s="33"/>
      <c r="M827" s="33"/>
      <c r="N827" s="33"/>
      <c r="O827" s="33"/>
      <c r="P827" s="33"/>
      <c r="Q827" s="33"/>
      <c r="R827" s="33"/>
    </row>
    <row r="828">
      <c r="A828" s="33"/>
      <c r="B828" s="33"/>
      <c r="C828" s="33"/>
      <c r="D828" s="33"/>
      <c r="E828" s="33"/>
      <c r="F828" s="33"/>
      <c r="G828" s="33"/>
      <c r="H828" s="33"/>
      <c r="I828" s="33"/>
      <c r="J828" s="33"/>
      <c r="K828" s="33"/>
      <c r="L828" s="33"/>
      <c r="M828" s="33"/>
      <c r="N828" s="33"/>
      <c r="O828" s="33"/>
      <c r="P828" s="33"/>
      <c r="Q828" s="33"/>
      <c r="R828" s="33"/>
    </row>
    <row r="829">
      <c r="A829" s="33"/>
      <c r="B829" s="33"/>
      <c r="C829" s="33"/>
      <c r="D829" s="33"/>
      <c r="E829" s="33"/>
      <c r="F829" s="33"/>
      <c r="G829" s="33"/>
      <c r="H829" s="33"/>
      <c r="I829" s="33"/>
      <c r="J829" s="33"/>
      <c r="K829" s="33"/>
      <c r="L829" s="33"/>
      <c r="M829" s="33"/>
      <c r="N829" s="33"/>
      <c r="O829" s="33"/>
      <c r="P829" s="33"/>
      <c r="Q829" s="33"/>
      <c r="R829" s="33"/>
    </row>
    <row r="830">
      <c r="A830" s="33"/>
      <c r="B830" s="33"/>
      <c r="C830" s="33"/>
      <c r="D830" s="33"/>
      <c r="E830" s="33"/>
      <c r="F830" s="33"/>
      <c r="G830" s="33"/>
      <c r="H830" s="33"/>
      <c r="I830" s="33"/>
      <c r="J830" s="33"/>
      <c r="K830" s="33"/>
      <c r="L830" s="33"/>
      <c r="M830" s="33"/>
      <c r="N830" s="33"/>
      <c r="O830" s="33"/>
      <c r="P830" s="33"/>
      <c r="Q830" s="33"/>
      <c r="R830" s="33"/>
    </row>
    <row r="831">
      <c r="A831" s="33"/>
      <c r="B831" s="33"/>
      <c r="C831" s="33"/>
      <c r="D831" s="33"/>
      <c r="E831" s="33"/>
      <c r="F831" s="33"/>
      <c r="G831" s="33"/>
      <c r="H831" s="33"/>
      <c r="I831" s="33"/>
      <c r="J831" s="33"/>
      <c r="K831" s="33"/>
      <c r="L831" s="33"/>
      <c r="M831" s="33"/>
      <c r="N831" s="33"/>
      <c r="O831" s="33"/>
      <c r="P831" s="33"/>
      <c r="Q831" s="33"/>
      <c r="R831" s="33"/>
    </row>
    <row r="832">
      <c r="A832" s="33"/>
      <c r="B832" s="33"/>
      <c r="C832" s="33"/>
      <c r="D832" s="33"/>
      <c r="E832" s="33"/>
      <c r="F832" s="33"/>
      <c r="G832" s="33"/>
      <c r="H832" s="33"/>
      <c r="I832" s="33"/>
      <c r="J832" s="33"/>
      <c r="K832" s="33"/>
      <c r="L832" s="33"/>
      <c r="M832" s="33"/>
      <c r="N832" s="33"/>
      <c r="O832" s="33"/>
      <c r="P832" s="33"/>
      <c r="Q832" s="33"/>
      <c r="R832" s="33"/>
    </row>
    <row r="833">
      <c r="A833" s="33"/>
      <c r="B833" s="33"/>
      <c r="C833" s="33"/>
      <c r="D833" s="33"/>
      <c r="E833" s="33"/>
      <c r="F833" s="33"/>
      <c r="G833" s="33"/>
      <c r="H833" s="33"/>
      <c r="I833" s="33"/>
      <c r="J833" s="33"/>
      <c r="K833" s="33"/>
      <c r="L833" s="33"/>
      <c r="M833" s="33"/>
      <c r="N833" s="33"/>
      <c r="O833" s="33"/>
      <c r="P833" s="33"/>
      <c r="Q833" s="33"/>
      <c r="R833" s="33"/>
    </row>
    <row r="834">
      <c r="A834" s="33"/>
      <c r="B834" s="33"/>
      <c r="C834" s="33"/>
      <c r="D834" s="33"/>
      <c r="E834" s="33"/>
      <c r="F834" s="33"/>
      <c r="G834" s="33"/>
      <c r="H834" s="33"/>
      <c r="I834" s="33"/>
      <c r="J834" s="33"/>
      <c r="K834" s="33"/>
      <c r="L834" s="33"/>
      <c r="M834" s="33"/>
      <c r="N834" s="33"/>
      <c r="O834" s="33"/>
      <c r="P834" s="33"/>
      <c r="Q834" s="33"/>
      <c r="R834" s="33"/>
    </row>
    <row r="835">
      <c r="A835" s="33"/>
      <c r="B835" s="33"/>
      <c r="C835" s="33"/>
      <c r="D835" s="33"/>
      <c r="E835" s="33"/>
      <c r="F835" s="33"/>
      <c r="G835" s="33"/>
      <c r="H835" s="33"/>
      <c r="I835" s="33"/>
      <c r="J835" s="33"/>
      <c r="K835" s="33"/>
      <c r="L835" s="33"/>
      <c r="M835" s="33"/>
      <c r="N835" s="33"/>
      <c r="O835" s="33"/>
      <c r="P835" s="33"/>
      <c r="Q835" s="33"/>
      <c r="R835" s="33"/>
    </row>
    <row r="836">
      <c r="A836" s="33"/>
      <c r="B836" s="33"/>
      <c r="C836" s="33"/>
      <c r="D836" s="33"/>
      <c r="E836" s="33"/>
      <c r="F836" s="33"/>
      <c r="G836" s="33"/>
      <c r="H836" s="33"/>
      <c r="I836" s="33"/>
      <c r="J836" s="33"/>
      <c r="K836" s="33"/>
      <c r="L836" s="33"/>
      <c r="M836" s="33"/>
      <c r="N836" s="33"/>
      <c r="O836" s="33"/>
      <c r="P836" s="33"/>
      <c r="Q836" s="33"/>
      <c r="R836" s="33"/>
    </row>
    <row r="837">
      <c r="A837" s="33"/>
      <c r="B837" s="33"/>
      <c r="C837" s="33"/>
      <c r="D837" s="33"/>
      <c r="E837" s="33"/>
      <c r="F837" s="33"/>
      <c r="G837" s="33"/>
      <c r="H837" s="33"/>
      <c r="I837" s="33"/>
      <c r="J837" s="33"/>
      <c r="K837" s="33"/>
      <c r="L837" s="33"/>
      <c r="M837" s="33"/>
      <c r="N837" s="33"/>
      <c r="O837" s="33"/>
      <c r="P837" s="33"/>
      <c r="Q837" s="33"/>
      <c r="R837" s="33"/>
    </row>
    <row r="838">
      <c r="A838" s="33"/>
      <c r="B838" s="33"/>
      <c r="C838" s="33"/>
      <c r="D838" s="33"/>
      <c r="E838" s="33"/>
      <c r="F838" s="33"/>
      <c r="G838" s="33"/>
      <c r="H838" s="33"/>
      <c r="I838" s="33"/>
      <c r="J838" s="33"/>
      <c r="K838" s="33"/>
      <c r="L838" s="33"/>
      <c r="M838" s="33"/>
      <c r="N838" s="33"/>
      <c r="O838" s="33"/>
      <c r="P838" s="33"/>
      <c r="Q838" s="33"/>
      <c r="R838" s="33"/>
    </row>
    <row r="839">
      <c r="A839" s="33"/>
      <c r="B839" s="33"/>
      <c r="C839" s="33"/>
      <c r="D839" s="33"/>
      <c r="E839" s="33"/>
      <c r="F839" s="33"/>
      <c r="G839" s="33"/>
      <c r="H839" s="33"/>
      <c r="I839" s="33"/>
      <c r="J839" s="33"/>
      <c r="K839" s="33"/>
      <c r="L839" s="33"/>
      <c r="M839" s="33"/>
      <c r="N839" s="33"/>
      <c r="O839" s="33"/>
      <c r="P839" s="33"/>
      <c r="Q839" s="33"/>
      <c r="R839" s="33"/>
    </row>
    <row r="840">
      <c r="A840" s="33"/>
      <c r="B840" s="33"/>
      <c r="C840" s="33"/>
      <c r="D840" s="33"/>
      <c r="E840" s="33"/>
      <c r="F840" s="33"/>
      <c r="G840" s="33"/>
      <c r="H840" s="33"/>
      <c r="I840" s="33"/>
      <c r="J840" s="33"/>
      <c r="K840" s="33"/>
      <c r="L840" s="33"/>
      <c r="M840" s="33"/>
      <c r="N840" s="33"/>
      <c r="O840" s="33"/>
      <c r="P840" s="33"/>
      <c r="Q840" s="33"/>
      <c r="R840" s="33"/>
    </row>
    <row r="841">
      <c r="A841" s="33"/>
      <c r="B841" s="33"/>
      <c r="C841" s="33"/>
      <c r="D841" s="33"/>
      <c r="E841" s="33"/>
      <c r="F841" s="33"/>
      <c r="G841" s="33"/>
      <c r="H841" s="33"/>
      <c r="I841" s="33"/>
      <c r="J841" s="33"/>
      <c r="K841" s="33"/>
      <c r="L841" s="33"/>
      <c r="M841" s="33"/>
      <c r="N841" s="33"/>
      <c r="O841" s="33"/>
      <c r="P841" s="33"/>
      <c r="Q841" s="33"/>
      <c r="R841" s="33"/>
    </row>
    <row r="842">
      <c r="A842" s="33"/>
      <c r="B842" s="33"/>
      <c r="C842" s="33"/>
      <c r="D842" s="33"/>
      <c r="E842" s="33"/>
      <c r="F842" s="33"/>
      <c r="G842" s="33"/>
      <c r="H842" s="33"/>
      <c r="I842" s="33"/>
      <c r="J842" s="33"/>
      <c r="K842" s="33"/>
      <c r="L842" s="33"/>
      <c r="M842" s="33"/>
      <c r="N842" s="33"/>
      <c r="O842" s="33"/>
      <c r="P842" s="33"/>
      <c r="Q842" s="33"/>
      <c r="R842" s="33"/>
    </row>
    <row r="843">
      <c r="A843" s="33"/>
      <c r="B843" s="33"/>
      <c r="C843" s="33"/>
      <c r="D843" s="33"/>
      <c r="E843" s="33"/>
      <c r="F843" s="33"/>
      <c r="G843" s="33"/>
      <c r="H843" s="33"/>
      <c r="I843" s="33"/>
      <c r="J843" s="33"/>
      <c r="K843" s="33"/>
      <c r="L843" s="33"/>
      <c r="M843" s="33"/>
      <c r="N843" s="33"/>
      <c r="O843" s="33"/>
      <c r="P843" s="33"/>
      <c r="Q843" s="33"/>
      <c r="R843" s="33"/>
    </row>
    <row r="844">
      <c r="A844" s="33"/>
      <c r="B844" s="33"/>
      <c r="C844" s="33"/>
      <c r="D844" s="33"/>
      <c r="E844" s="33"/>
      <c r="F844" s="33"/>
      <c r="G844" s="33"/>
      <c r="H844" s="33"/>
      <c r="I844" s="33"/>
      <c r="J844" s="33"/>
      <c r="K844" s="33"/>
      <c r="L844" s="33"/>
      <c r="M844" s="33"/>
      <c r="N844" s="33"/>
      <c r="O844" s="33"/>
      <c r="P844" s="33"/>
      <c r="Q844" s="33"/>
      <c r="R844" s="33"/>
    </row>
    <row r="845">
      <c r="A845" s="33"/>
      <c r="B845" s="33"/>
      <c r="C845" s="33"/>
      <c r="D845" s="33"/>
      <c r="E845" s="33"/>
      <c r="F845" s="33"/>
      <c r="G845" s="33"/>
      <c r="H845" s="33"/>
      <c r="I845" s="33"/>
      <c r="J845" s="33"/>
      <c r="K845" s="33"/>
      <c r="L845" s="33"/>
      <c r="M845" s="33"/>
      <c r="N845" s="33"/>
      <c r="O845" s="33"/>
      <c r="P845" s="33"/>
      <c r="Q845" s="33"/>
      <c r="R845" s="33"/>
    </row>
    <row r="846">
      <c r="A846" s="33"/>
      <c r="B846" s="33"/>
      <c r="C846" s="33"/>
      <c r="D846" s="33"/>
      <c r="E846" s="33"/>
      <c r="F846" s="33"/>
      <c r="G846" s="33"/>
      <c r="H846" s="33"/>
      <c r="I846" s="33"/>
      <c r="J846" s="33"/>
      <c r="K846" s="33"/>
      <c r="L846" s="33"/>
      <c r="M846" s="33"/>
      <c r="N846" s="33"/>
      <c r="O846" s="33"/>
      <c r="P846" s="33"/>
      <c r="Q846" s="33"/>
      <c r="R846" s="33"/>
    </row>
    <row r="847">
      <c r="A847" s="33"/>
      <c r="B847" s="33"/>
      <c r="C847" s="33"/>
      <c r="D847" s="33"/>
      <c r="E847" s="33"/>
      <c r="F847" s="33"/>
      <c r="G847" s="33"/>
      <c r="H847" s="33"/>
      <c r="I847" s="33"/>
      <c r="J847" s="33"/>
      <c r="K847" s="33"/>
      <c r="L847" s="33"/>
      <c r="M847" s="33"/>
      <c r="N847" s="33"/>
      <c r="O847" s="33"/>
      <c r="P847" s="33"/>
      <c r="Q847" s="33"/>
      <c r="R847" s="33"/>
    </row>
    <row r="848">
      <c r="A848" s="33"/>
      <c r="B848" s="33"/>
      <c r="C848" s="33"/>
      <c r="D848" s="33"/>
      <c r="E848" s="33"/>
      <c r="F848" s="33"/>
      <c r="G848" s="33"/>
      <c r="H848" s="33"/>
      <c r="I848" s="33"/>
      <c r="J848" s="33"/>
      <c r="K848" s="33"/>
      <c r="L848" s="33"/>
      <c r="M848" s="33"/>
      <c r="N848" s="33"/>
      <c r="O848" s="33"/>
      <c r="P848" s="33"/>
      <c r="Q848" s="33"/>
      <c r="R848" s="33"/>
    </row>
    <row r="849">
      <c r="A849" s="33"/>
      <c r="B849" s="33"/>
      <c r="C849" s="33"/>
      <c r="D849" s="33"/>
      <c r="E849" s="33"/>
      <c r="F849" s="33"/>
      <c r="G849" s="33"/>
      <c r="H849" s="33"/>
      <c r="I849" s="33"/>
      <c r="J849" s="33"/>
      <c r="K849" s="33"/>
      <c r="L849" s="33"/>
      <c r="M849" s="33"/>
      <c r="N849" s="33"/>
      <c r="O849" s="33"/>
      <c r="P849" s="33"/>
      <c r="Q849" s="33"/>
      <c r="R849" s="33"/>
    </row>
    <row r="850">
      <c r="A850" s="33"/>
      <c r="B850" s="33"/>
      <c r="C850" s="33"/>
      <c r="D850" s="33"/>
      <c r="E850" s="33"/>
      <c r="F850" s="33"/>
      <c r="G850" s="33"/>
      <c r="H850" s="33"/>
      <c r="I850" s="33"/>
      <c r="J850" s="33"/>
      <c r="K850" s="33"/>
      <c r="L850" s="33"/>
      <c r="M850" s="33"/>
      <c r="N850" s="33"/>
      <c r="O850" s="33"/>
      <c r="P850" s="33"/>
      <c r="Q850" s="33"/>
      <c r="R850" s="33"/>
    </row>
    <row r="851">
      <c r="A851" s="33"/>
      <c r="B851" s="33"/>
      <c r="C851" s="33"/>
      <c r="D851" s="33"/>
      <c r="E851" s="33"/>
      <c r="F851" s="33"/>
      <c r="G851" s="33"/>
      <c r="H851" s="33"/>
      <c r="I851" s="33"/>
      <c r="J851" s="33"/>
      <c r="K851" s="33"/>
      <c r="L851" s="33"/>
      <c r="M851" s="33"/>
      <c r="N851" s="33"/>
      <c r="O851" s="33"/>
      <c r="P851" s="33"/>
      <c r="Q851" s="33"/>
      <c r="R851" s="33"/>
    </row>
    <row r="852">
      <c r="A852" s="33"/>
      <c r="B852" s="33"/>
      <c r="C852" s="33"/>
      <c r="D852" s="33"/>
      <c r="E852" s="33"/>
      <c r="F852" s="33"/>
      <c r="G852" s="33"/>
      <c r="H852" s="33"/>
      <c r="I852" s="33"/>
      <c r="J852" s="33"/>
      <c r="K852" s="33"/>
      <c r="L852" s="33"/>
      <c r="M852" s="33"/>
      <c r="N852" s="33"/>
      <c r="O852" s="33"/>
      <c r="P852" s="33"/>
      <c r="Q852" s="33"/>
      <c r="R852" s="33"/>
    </row>
    <row r="853">
      <c r="A853" s="33"/>
      <c r="B853" s="33"/>
      <c r="C853" s="33"/>
      <c r="D853" s="33"/>
      <c r="E853" s="33"/>
      <c r="F853" s="33"/>
      <c r="G853" s="33"/>
      <c r="H853" s="33"/>
      <c r="I853" s="33"/>
      <c r="J853" s="33"/>
      <c r="K853" s="33"/>
      <c r="L853" s="33"/>
      <c r="M853" s="33"/>
      <c r="N853" s="33"/>
      <c r="O853" s="33"/>
      <c r="P853" s="33"/>
      <c r="Q853" s="33"/>
      <c r="R853" s="33"/>
    </row>
    <row r="854">
      <c r="A854" s="33"/>
      <c r="B854" s="33"/>
      <c r="C854" s="33"/>
      <c r="D854" s="33"/>
      <c r="E854" s="33"/>
      <c r="F854" s="33"/>
      <c r="G854" s="33"/>
      <c r="H854" s="33"/>
      <c r="I854" s="33"/>
      <c r="J854" s="33"/>
      <c r="K854" s="33"/>
      <c r="L854" s="33"/>
      <c r="M854" s="33"/>
      <c r="N854" s="33"/>
      <c r="O854" s="33"/>
      <c r="P854" s="33"/>
      <c r="Q854" s="33"/>
      <c r="R854" s="33"/>
    </row>
    <row r="855">
      <c r="A855" s="33"/>
      <c r="B855" s="33"/>
      <c r="C855" s="33"/>
      <c r="D855" s="33"/>
      <c r="E855" s="33"/>
      <c r="F855" s="33"/>
      <c r="G855" s="33"/>
      <c r="H855" s="33"/>
      <c r="I855" s="33"/>
      <c r="J855" s="33"/>
      <c r="K855" s="33"/>
      <c r="L855" s="33"/>
      <c r="M855" s="33"/>
      <c r="N855" s="33"/>
      <c r="O855" s="33"/>
      <c r="P855" s="33"/>
      <c r="Q855" s="33"/>
      <c r="R855" s="33"/>
    </row>
    <row r="856">
      <c r="A856" s="33"/>
      <c r="B856" s="33"/>
      <c r="C856" s="33"/>
      <c r="D856" s="33"/>
      <c r="E856" s="33"/>
      <c r="F856" s="33"/>
      <c r="G856" s="33"/>
      <c r="H856" s="33"/>
      <c r="I856" s="33"/>
      <c r="J856" s="33"/>
      <c r="K856" s="33"/>
      <c r="L856" s="33"/>
      <c r="M856" s="33"/>
      <c r="N856" s="33"/>
      <c r="O856" s="33"/>
      <c r="P856" s="33"/>
      <c r="Q856" s="33"/>
      <c r="R856" s="33"/>
    </row>
    <row r="857">
      <c r="A857" s="33"/>
      <c r="B857" s="33"/>
      <c r="C857" s="33"/>
      <c r="D857" s="33"/>
      <c r="E857" s="33"/>
      <c r="F857" s="33"/>
      <c r="G857" s="33"/>
      <c r="H857" s="33"/>
      <c r="I857" s="33"/>
      <c r="J857" s="33"/>
      <c r="K857" s="33"/>
      <c r="L857" s="33"/>
      <c r="M857" s="33"/>
      <c r="N857" s="33"/>
      <c r="O857" s="33"/>
      <c r="P857" s="33"/>
      <c r="Q857" s="33"/>
      <c r="R857" s="33"/>
    </row>
    <row r="858">
      <c r="A858" s="33"/>
      <c r="B858" s="33"/>
      <c r="C858" s="33"/>
      <c r="D858" s="33"/>
      <c r="E858" s="33"/>
      <c r="F858" s="33"/>
      <c r="G858" s="33"/>
      <c r="H858" s="33"/>
      <c r="I858" s="33"/>
      <c r="J858" s="33"/>
      <c r="K858" s="33"/>
      <c r="L858" s="33"/>
      <c r="M858" s="33"/>
      <c r="N858" s="33"/>
      <c r="O858" s="33"/>
      <c r="P858" s="33"/>
      <c r="Q858" s="33"/>
      <c r="R858" s="33"/>
    </row>
    <row r="859">
      <c r="A859" s="33"/>
      <c r="B859" s="33"/>
      <c r="C859" s="33"/>
      <c r="D859" s="33"/>
      <c r="E859" s="33"/>
      <c r="F859" s="33"/>
      <c r="G859" s="33"/>
      <c r="H859" s="33"/>
      <c r="I859" s="33"/>
      <c r="J859" s="33"/>
      <c r="K859" s="33"/>
      <c r="L859" s="33"/>
      <c r="M859" s="33"/>
      <c r="N859" s="33"/>
      <c r="O859" s="33"/>
      <c r="P859" s="33"/>
      <c r="Q859" s="33"/>
      <c r="R859" s="33"/>
    </row>
    <row r="860">
      <c r="A860" s="33"/>
      <c r="B860" s="33"/>
      <c r="C860" s="33"/>
      <c r="D860" s="33"/>
      <c r="E860" s="33"/>
      <c r="F860" s="33"/>
      <c r="G860" s="33"/>
      <c r="H860" s="33"/>
      <c r="I860" s="33"/>
      <c r="J860" s="33"/>
      <c r="K860" s="33"/>
      <c r="L860" s="33"/>
      <c r="M860" s="33"/>
      <c r="N860" s="33"/>
      <c r="O860" s="33"/>
      <c r="P860" s="33"/>
      <c r="Q860" s="33"/>
      <c r="R860" s="33"/>
    </row>
    <row r="861">
      <c r="A861" s="33"/>
      <c r="B861" s="33"/>
      <c r="C861" s="33"/>
      <c r="D861" s="33"/>
      <c r="E861" s="33"/>
      <c r="F861" s="33"/>
      <c r="G861" s="33"/>
      <c r="H861" s="33"/>
      <c r="I861" s="33"/>
      <c r="J861" s="33"/>
      <c r="K861" s="33"/>
      <c r="L861" s="33"/>
      <c r="M861" s="33"/>
      <c r="N861" s="33"/>
      <c r="O861" s="33"/>
      <c r="P861" s="33"/>
      <c r="Q861" s="33"/>
      <c r="R861" s="33"/>
    </row>
    <row r="862">
      <c r="A862" s="33"/>
      <c r="B862" s="33"/>
      <c r="C862" s="33"/>
      <c r="D862" s="33"/>
      <c r="E862" s="33"/>
      <c r="F862" s="33"/>
      <c r="G862" s="33"/>
      <c r="H862" s="33"/>
      <c r="I862" s="33"/>
      <c r="J862" s="33"/>
      <c r="K862" s="33"/>
      <c r="L862" s="33"/>
      <c r="M862" s="33"/>
      <c r="N862" s="33"/>
      <c r="O862" s="33"/>
      <c r="P862" s="33"/>
      <c r="Q862" s="33"/>
      <c r="R862" s="33"/>
    </row>
    <row r="863">
      <c r="A863" s="33"/>
      <c r="B863" s="33"/>
      <c r="C863" s="33"/>
      <c r="D863" s="33"/>
      <c r="E863" s="33"/>
      <c r="F863" s="33"/>
      <c r="G863" s="33"/>
      <c r="H863" s="33"/>
      <c r="I863" s="33"/>
      <c r="J863" s="33"/>
      <c r="K863" s="33"/>
      <c r="L863" s="33"/>
      <c r="M863" s="33"/>
      <c r="N863" s="33"/>
      <c r="O863" s="33"/>
      <c r="P863" s="33"/>
      <c r="Q863" s="33"/>
      <c r="R863" s="33"/>
    </row>
    <row r="864">
      <c r="A864" s="33"/>
      <c r="B864" s="33"/>
      <c r="C864" s="33"/>
      <c r="D864" s="33"/>
      <c r="E864" s="33"/>
      <c r="F864" s="33"/>
      <c r="G864" s="33"/>
      <c r="H864" s="33"/>
      <c r="I864" s="33"/>
      <c r="J864" s="33"/>
      <c r="K864" s="33"/>
      <c r="L864" s="33"/>
      <c r="M864" s="33"/>
      <c r="N864" s="33"/>
      <c r="O864" s="33"/>
      <c r="P864" s="33"/>
      <c r="Q864" s="33"/>
      <c r="R864" s="33"/>
    </row>
    <row r="865">
      <c r="A865" s="33"/>
      <c r="B865" s="33"/>
      <c r="C865" s="33"/>
      <c r="D865" s="33"/>
      <c r="E865" s="33"/>
      <c r="F865" s="33"/>
      <c r="G865" s="33"/>
      <c r="H865" s="33"/>
      <c r="I865" s="33"/>
      <c r="J865" s="33"/>
      <c r="K865" s="33"/>
      <c r="L865" s="33"/>
      <c r="M865" s="33"/>
      <c r="N865" s="33"/>
      <c r="O865" s="33"/>
      <c r="P865" s="33"/>
      <c r="Q865" s="33"/>
      <c r="R865" s="33"/>
    </row>
    <row r="866">
      <c r="A866" s="33"/>
      <c r="B866" s="33"/>
      <c r="C866" s="33"/>
      <c r="D866" s="33"/>
      <c r="E866" s="33"/>
      <c r="F866" s="33"/>
      <c r="G866" s="33"/>
      <c r="H866" s="33"/>
      <c r="I866" s="33"/>
      <c r="J866" s="33"/>
      <c r="K866" s="33"/>
      <c r="L866" s="33"/>
      <c r="M866" s="33"/>
      <c r="N866" s="33"/>
      <c r="O866" s="33"/>
      <c r="P866" s="33"/>
      <c r="Q866" s="33"/>
      <c r="R866" s="33"/>
    </row>
    <row r="867">
      <c r="A867" s="33"/>
      <c r="B867" s="33"/>
      <c r="C867" s="33"/>
      <c r="D867" s="33"/>
      <c r="E867" s="33"/>
      <c r="F867" s="33"/>
      <c r="G867" s="33"/>
      <c r="H867" s="33"/>
      <c r="I867" s="33"/>
      <c r="J867" s="33"/>
      <c r="K867" s="33"/>
      <c r="L867" s="33"/>
      <c r="M867" s="33"/>
      <c r="N867" s="33"/>
      <c r="O867" s="33"/>
      <c r="P867" s="33"/>
      <c r="Q867" s="33"/>
      <c r="R867" s="33"/>
    </row>
    <row r="868">
      <c r="A868" s="33"/>
      <c r="B868" s="33"/>
      <c r="C868" s="33"/>
      <c r="D868" s="33"/>
      <c r="E868" s="33"/>
      <c r="F868" s="33"/>
      <c r="G868" s="33"/>
      <c r="H868" s="33"/>
      <c r="I868" s="33"/>
      <c r="J868" s="33"/>
      <c r="K868" s="33"/>
      <c r="L868" s="33"/>
      <c r="M868" s="33"/>
      <c r="N868" s="33"/>
      <c r="O868" s="33"/>
      <c r="P868" s="33"/>
      <c r="Q868" s="33"/>
      <c r="R868" s="33"/>
    </row>
    <row r="869">
      <c r="A869" s="33"/>
      <c r="B869" s="33"/>
      <c r="C869" s="33"/>
      <c r="D869" s="33"/>
      <c r="E869" s="33"/>
      <c r="F869" s="33"/>
      <c r="G869" s="33"/>
      <c r="H869" s="33"/>
      <c r="I869" s="33"/>
      <c r="J869" s="33"/>
      <c r="K869" s="33"/>
      <c r="L869" s="33"/>
      <c r="M869" s="33"/>
      <c r="N869" s="33"/>
      <c r="O869" s="33"/>
      <c r="P869" s="33"/>
      <c r="Q869" s="33"/>
      <c r="R869" s="33"/>
    </row>
    <row r="870">
      <c r="A870" s="33"/>
      <c r="B870" s="33"/>
      <c r="C870" s="33"/>
      <c r="D870" s="33"/>
      <c r="E870" s="33"/>
      <c r="F870" s="33"/>
      <c r="G870" s="33"/>
      <c r="H870" s="33"/>
      <c r="I870" s="33"/>
      <c r="J870" s="33"/>
      <c r="K870" s="33"/>
      <c r="L870" s="33"/>
      <c r="M870" s="33"/>
      <c r="N870" s="33"/>
      <c r="O870" s="33"/>
      <c r="P870" s="33"/>
      <c r="Q870" s="33"/>
      <c r="R870" s="33"/>
    </row>
    <row r="871">
      <c r="A871" s="33"/>
      <c r="B871" s="33"/>
      <c r="C871" s="33"/>
      <c r="D871" s="33"/>
      <c r="E871" s="33"/>
      <c r="F871" s="33"/>
      <c r="G871" s="33"/>
      <c r="H871" s="33"/>
      <c r="I871" s="33"/>
      <c r="J871" s="33"/>
      <c r="K871" s="33"/>
      <c r="L871" s="33"/>
      <c r="M871" s="33"/>
      <c r="N871" s="33"/>
      <c r="O871" s="33"/>
      <c r="P871" s="33"/>
      <c r="Q871" s="33"/>
      <c r="R871" s="33"/>
    </row>
    <row r="872">
      <c r="A872" s="33"/>
      <c r="B872" s="33"/>
      <c r="C872" s="33"/>
      <c r="D872" s="33"/>
      <c r="E872" s="33"/>
      <c r="F872" s="33"/>
      <c r="G872" s="33"/>
      <c r="H872" s="33"/>
      <c r="I872" s="33"/>
      <c r="J872" s="33"/>
      <c r="K872" s="33"/>
      <c r="L872" s="33"/>
      <c r="M872" s="33"/>
      <c r="N872" s="33"/>
      <c r="O872" s="33"/>
      <c r="P872" s="33"/>
      <c r="Q872" s="33"/>
      <c r="R872" s="33"/>
    </row>
    <row r="873">
      <c r="A873" s="33"/>
      <c r="B873" s="33"/>
      <c r="C873" s="33"/>
      <c r="D873" s="33"/>
      <c r="E873" s="33"/>
      <c r="F873" s="33"/>
      <c r="G873" s="33"/>
      <c r="H873" s="33"/>
      <c r="I873" s="33"/>
      <c r="J873" s="33"/>
      <c r="K873" s="33"/>
      <c r="L873" s="33"/>
      <c r="M873" s="33"/>
      <c r="N873" s="33"/>
      <c r="O873" s="33"/>
      <c r="P873" s="33"/>
      <c r="Q873" s="33"/>
      <c r="R873" s="33"/>
    </row>
    <row r="874">
      <c r="A874" s="33"/>
      <c r="B874" s="33"/>
      <c r="C874" s="33"/>
      <c r="D874" s="33"/>
      <c r="E874" s="33"/>
      <c r="F874" s="33"/>
      <c r="G874" s="33"/>
      <c r="H874" s="33"/>
      <c r="I874" s="33"/>
      <c r="J874" s="33"/>
      <c r="K874" s="33"/>
      <c r="L874" s="33"/>
      <c r="M874" s="33"/>
      <c r="N874" s="33"/>
      <c r="O874" s="33"/>
      <c r="P874" s="33"/>
      <c r="Q874" s="33"/>
      <c r="R874" s="33"/>
    </row>
    <row r="875">
      <c r="A875" s="33"/>
      <c r="B875" s="33"/>
      <c r="C875" s="33"/>
      <c r="D875" s="33"/>
      <c r="E875" s="33"/>
      <c r="F875" s="33"/>
      <c r="G875" s="33"/>
      <c r="H875" s="33"/>
      <c r="I875" s="33"/>
      <c r="J875" s="33"/>
      <c r="K875" s="33"/>
      <c r="L875" s="33"/>
      <c r="M875" s="33"/>
      <c r="N875" s="33"/>
      <c r="O875" s="33"/>
      <c r="P875" s="33"/>
      <c r="Q875" s="33"/>
      <c r="R875" s="33"/>
    </row>
    <row r="876">
      <c r="A876" s="33"/>
      <c r="B876" s="33"/>
      <c r="C876" s="33"/>
      <c r="D876" s="33"/>
      <c r="E876" s="33"/>
      <c r="F876" s="33"/>
      <c r="G876" s="33"/>
      <c r="H876" s="33"/>
      <c r="I876" s="33"/>
      <c r="J876" s="33"/>
      <c r="K876" s="33"/>
      <c r="L876" s="33"/>
      <c r="M876" s="33"/>
      <c r="N876" s="33"/>
      <c r="O876" s="33"/>
      <c r="P876" s="33"/>
      <c r="Q876" s="33"/>
      <c r="R876" s="33"/>
    </row>
    <row r="877">
      <c r="A877" s="33"/>
      <c r="B877" s="33"/>
      <c r="C877" s="33"/>
      <c r="D877" s="33"/>
      <c r="E877" s="33"/>
      <c r="F877" s="33"/>
      <c r="G877" s="33"/>
      <c r="H877" s="33"/>
      <c r="I877" s="33"/>
      <c r="J877" s="33"/>
      <c r="K877" s="33"/>
      <c r="L877" s="33"/>
      <c r="M877" s="33"/>
      <c r="N877" s="33"/>
      <c r="O877" s="33"/>
      <c r="P877" s="33"/>
      <c r="Q877" s="33"/>
      <c r="R877" s="33"/>
    </row>
    <row r="878">
      <c r="A878" s="33"/>
      <c r="B878" s="33"/>
      <c r="C878" s="33"/>
      <c r="D878" s="33"/>
      <c r="E878" s="33"/>
      <c r="F878" s="33"/>
      <c r="G878" s="33"/>
      <c r="H878" s="33"/>
      <c r="I878" s="33"/>
      <c r="J878" s="33"/>
      <c r="K878" s="33"/>
      <c r="L878" s="33"/>
      <c r="M878" s="33"/>
      <c r="N878" s="33"/>
      <c r="O878" s="33"/>
      <c r="P878" s="33"/>
      <c r="Q878" s="33"/>
      <c r="R878" s="33"/>
    </row>
    <row r="879">
      <c r="A879" s="33"/>
      <c r="B879" s="33"/>
      <c r="C879" s="33"/>
      <c r="D879" s="33"/>
      <c r="E879" s="33"/>
      <c r="F879" s="33"/>
      <c r="G879" s="33"/>
      <c r="H879" s="33"/>
      <c r="I879" s="33"/>
      <c r="J879" s="33"/>
      <c r="K879" s="33"/>
      <c r="L879" s="33"/>
      <c r="M879" s="33"/>
      <c r="N879" s="33"/>
      <c r="O879" s="33"/>
      <c r="P879" s="33"/>
      <c r="Q879" s="33"/>
      <c r="R879" s="33"/>
    </row>
    <row r="880">
      <c r="A880" s="33"/>
      <c r="B880" s="33"/>
      <c r="C880" s="33"/>
      <c r="D880" s="33"/>
      <c r="E880" s="33"/>
      <c r="F880" s="33"/>
      <c r="G880" s="33"/>
      <c r="H880" s="33"/>
      <c r="I880" s="33"/>
      <c r="J880" s="33"/>
      <c r="K880" s="33"/>
      <c r="L880" s="33"/>
      <c r="M880" s="33"/>
      <c r="N880" s="33"/>
      <c r="O880" s="33"/>
      <c r="P880" s="33"/>
      <c r="Q880" s="33"/>
      <c r="R880" s="33"/>
    </row>
    <row r="881">
      <c r="A881" s="33"/>
      <c r="B881" s="33"/>
      <c r="C881" s="33"/>
      <c r="D881" s="33"/>
      <c r="E881" s="33"/>
      <c r="F881" s="33"/>
      <c r="G881" s="33"/>
      <c r="H881" s="33"/>
      <c r="I881" s="33"/>
      <c r="J881" s="33"/>
      <c r="K881" s="33"/>
      <c r="L881" s="33"/>
      <c r="M881" s="33"/>
      <c r="N881" s="33"/>
      <c r="O881" s="33"/>
      <c r="P881" s="33"/>
      <c r="Q881" s="33"/>
      <c r="R881" s="33"/>
    </row>
    <row r="882">
      <c r="A882" s="33"/>
      <c r="B882" s="33"/>
      <c r="C882" s="33"/>
      <c r="D882" s="33"/>
      <c r="E882" s="33"/>
      <c r="F882" s="33"/>
      <c r="G882" s="33"/>
      <c r="H882" s="33"/>
      <c r="I882" s="33"/>
      <c r="J882" s="33"/>
      <c r="K882" s="33"/>
      <c r="L882" s="33"/>
      <c r="M882" s="33"/>
      <c r="N882" s="33"/>
      <c r="O882" s="33"/>
      <c r="P882" s="33"/>
      <c r="Q882" s="33"/>
      <c r="R882" s="33"/>
    </row>
    <row r="883">
      <c r="A883" s="33"/>
      <c r="B883" s="33"/>
      <c r="C883" s="33"/>
      <c r="D883" s="33"/>
      <c r="E883" s="33"/>
      <c r="F883" s="33"/>
      <c r="G883" s="33"/>
      <c r="H883" s="33"/>
      <c r="I883" s="33"/>
      <c r="J883" s="33"/>
      <c r="K883" s="33"/>
      <c r="L883" s="33"/>
      <c r="M883" s="33"/>
      <c r="N883" s="33"/>
      <c r="O883" s="33"/>
      <c r="P883" s="33"/>
      <c r="Q883" s="33"/>
      <c r="R883" s="33"/>
    </row>
    <row r="884">
      <c r="A884" s="33"/>
      <c r="B884" s="33"/>
      <c r="C884" s="33"/>
      <c r="D884" s="33"/>
      <c r="E884" s="33"/>
      <c r="F884" s="33"/>
      <c r="G884" s="33"/>
      <c r="H884" s="33"/>
      <c r="I884" s="33"/>
      <c r="J884" s="33"/>
      <c r="K884" s="33"/>
      <c r="L884" s="33"/>
      <c r="M884" s="33"/>
      <c r="N884" s="33"/>
      <c r="O884" s="33"/>
      <c r="P884" s="33"/>
      <c r="Q884" s="33"/>
      <c r="R884" s="33"/>
    </row>
    <row r="885">
      <c r="A885" s="33"/>
      <c r="B885" s="33"/>
      <c r="C885" s="33"/>
      <c r="D885" s="33"/>
      <c r="E885" s="33"/>
      <c r="F885" s="33"/>
      <c r="G885" s="33"/>
      <c r="H885" s="33"/>
      <c r="I885" s="33"/>
      <c r="J885" s="33"/>
      <c r="K885" s="33"/>
      <c r="L885" s="33"/>
      <c r="M885" s="33"/>
      <c r="N885" s="33"/>
      <c r="O885" s="33"/>
      <c r="P885" s="33"/>
      <c r="Q885" s="33"/>
      <c r="R885" s="33"/>
    </row>
    <row r="886">
      <c r="A886" s="33"/>
      <c r="B886" s="33"/>
      <c r="C886" s="33"/>
      <c r="D886" s="33"/>
      <c r="E886" s="33"/>
      <c r="F886" s="33"/>
      <c r="G886" s="33"/>
      <c r="H886" s="33"/>
      <c r="I886" s="33"/>
      <c r="J886" s="33"/>
      <c r="K886" s="33"/>
      <c r="L886" s="33"/>
      <c r="M886" s="33"/>
      <c r="N886" s="33"/>
      <c r="O886" s="33"/>
      <c r="P886" s="33"/>
      <c r="Q886" s="33"/>
      <c r="R886" s="33"/>
    </row>
    <row r="887">
      <c r="A887" s="33"/>
      <c r="B887" s="33"/>
      <c r="C887" s="33"/>
      <c r="D887" s="33"/>
      <c r="E887" s="33"/>
      <c r="F887" s="33"/>
      <c r="G887" s="33"/>
      <c r="H887" s="33"/>
      <c r="I887" s="33"/>
      <c r="J887" s="33"/>
      <c r="K887" s="33"/>
      <c r="L887" s="33"/>
      <c r="M887" s="33"/>
      <c r="N887" s="33"/>
      <c r="O887" s="33"/>
      <c r="P887" s="33"/>
      <c r="Q887" s="33"/>
      <c r="R887" s="33"/>
    </row>
    <row r="888">
      <c r="A888" s="33"/>
      <c r="B888" s="33"/>
      <c r="C888" s="33"/>
      <c r="D888" s="33"/>
      <c r="E888" s="33"/>
      <c r="F888" s="33"/>
      <c r="G888" s="33"/>
      <c r="H888" s="33"/>
      <c r="I888" s="33"/>
      <c r="J888" s="33"/>
      <c r="K888" s="33"/>
      <c r="L888" s="33"/>
      <c r="M888" s="33"/>
      <c r="N888" s="33"/>
      <c r="O888" s="33"/>
      <c r="P888" s="33"/>
      <c r="Q888" s="33"/>
      <c r="R888" s="33"/>
    </row>
    <row r="889">
      <c r="A889" s="33"/>
      <c r="B889" s="33"/>
      <c r="C889" s="33"/>
      <c r="D889" s="33"/>
      <c r="E889" s="33"/>
      <c r="F889" s="33"/>
      <c r="G889" s="33"/>
      <c r="H889" s="33"/>
      <c r="I889" s="33"/>
      <c r="J889" s="33"/>
      <c r="K889" s="33"/>
      <c r="L889" s="33"/>
      <c r="M889" s="33"/>
      <c r="N889" s="33"/>
      <c r="O889" s="33"/>
      <c r="P889" s="33"/>
      <c r="Q889" s="33"/>
      <c r="R889" s="33"/>
    </row>
    <row r="890">
      <c r="A890" s="33"/>
      <c r="B890" s="33"/>
      <c r="C890" s="33"/>
      <c r="D890" s="33"/>
      <c r="E890" s="33"/>
      <c r="F890" s="33"/>
      <c r="G890" s="33"/>
      <c r="H890" s="33"/>
      <c r="I890" s="33"/>
      <c r="J890" s="33"/>
      <c r="K890" s="33"/>
      <c r="L890" s="33"/>
      <c r="M890" s="33"/>
      <c r="N890" s="33"/>
      <c r="O890" s="33"/>
      <c r="P890" s="33"/>
      <c r="Q890" s="33"/>
      <c r="R890" s="33"/>
    </row>
    <row r="891">
      <c r="A891" s="33"/>
      <c r="B891" s="33"/>
      <c r="C891" s="33"/>
      <c r="D891" s="33"/>
      <c r="E891" s="33"/>
      <c r="F891" s="33"/>
      <c r="G891" s="33"/>
      <c r="H891" s="33"/>
      <c r="I891" s="33"/>
      <c r="J891" s="33"/>
      <c r="K891" s="33"/>
      <c r="L891" s="33"/>
      <c r="M891" s="33"/>
      <c r="N891" s="33"/>
      <c r="O891" s="33"/>
      <c r="P891" s="33"/>
      <c r="Q891" s="33"/>
      <c r="R891" s="33"/>
    </row>
    <row r="892">
      <c r="A892" s="33"/>
      <c r="B892" s="33"/>
      <c r="C892" s="33"/>
      <c r="D892" s="33"/>
      <c r="E892" s="33"/>
      <c r="F892" s="33"/>
      <c r="G892" s="33"/>
      <c r="H892" s="33"/>
      <c r="I892" s="33"/>
      <c r="J892" s="33"/>
      <c r="K892" s="33"/>
      <c r="L892" s="33"/>
      <c r="M892" s="33"/>
      <c r="N892" s="33"/>
      <c r="O892" s="33"/>
      <c r="P892" s="33"/>
      <c r="Q892" s="33"/>
      <c r="R892" s="33"/>
    </row>
    <row r="893">
      <c r="A893" s="33"/>
      <c r="B893" s="33"/>
      <c r="C893" s="33"/>
      <c r="D893" s="33"/>
      <c r="E893" s="33"/>
      <c r="F893" s="33"/>
      <c r="G893" s="33"/>
      <c r="H893" s="33"/>
      <c r="I893" s="33"/>
      <c r="J893" s="33"/>
      <c r="K893" s="33"/>
      <c r="L893" s="33"/>
      <c r="M893" s="33"/>
      <c r="N893" s="33"/>
      <c r="O893" s="33"/>
      <c r="P893" s="33"/>
      <c r="Q893" s="33"/>
      <c r="R893" s="33"/>
    </row>
    <row r="894">
      <c r="A894" s="33"/>
      <c r="B894" s="33"/>
      <c r="C894" s="33"/>
      <c r="D894" s="33"/>
      <c r="E894" s="33"/>
      <c r="F894" s="33"/>
      <c r="G894" s="33"/>
      <c r="H894" s="33"/>
      <c r="I894" s="33"/>
      <c r="J894" s="33"/>
      <c r="K894" s="33"/>
      <c r="L894" s="33"/>
      <c r="M894" s="33"/>
      <c r="N894" s="33"/>
      <c r="O894" s="33"/>
      <c r="P894" s="33"/>
      <c r="Q894" s="33"/>
      <c r="R894" s="33"/>
    </row>
    <row r="895">
      <c r="A895" s="33"/>
      <c r="B895" s="33"/>
      <c r="C895" s="33"/>
      <c r="D895" s="33"/>
      <c r="E895" s="33"/>
      <c r="F895" s="33"/>
      <c r="G895" s="33"/>
      <c r="H895" s="33"/>
      <c r="I895" s="33"/>
      <c r="J895" s="33"/>
      <c r="K895" s="33"/>
      <c r="L895" s="33"/>
      <c r="M895" s="33"/>
      <c r="N895" s="33"/>
      <c r="O895" s="33"/>
      <c r="P895" s="33"/>
      <c r="Q895" s="33"/>
      <c r="R895" s="33"/>
    </row>
    <row r="896">
      <c r="A896" s="33"/>
      <c r="B896" s="33"/>
      <c r="C896" s="33"/>
      <c r="D896" s="33"/>
      <c r="E896" s="33"/>
      <c r="F896" s="33"/>
      <c r="G896" s="33"/>
      <c r="H896" s="33"/>
      <c r="I896" s="33"/>
      <c r="J896" s="33"/>
      <c r="K896" s="33"/>
      <c r="L896" s="33"/>
      <c r="M896" s="33"/>
      <c r="N896" s="33"/>
      <c r="O896" s="33"/>
      <c r="P896" s="33"/>
      <c r="Q896" s="33"/>
      <c r="R896" s="33"/>
    </row>
    <row r="897">
      <c r="A897" s="33"/>
      <c r="B897" s="33"/>
      <c r="C897" s="33"/>
      <c r="D897" s="33"/>
      <c r="E897" s="33"/>
      <c r="F897" s="33"/>
      <c r="G897" s="33"/>
      <c r="H897" s="33"/>
      <c r="I897" s="33"/>
      <c r="J897" s="33"/>
      <c r="K897" s="33"/>
      <c r="L897" s="33"/>
      <c r="M897" s="33"/>
      <c r="N897" s="33"/>
      <c r="O897" s="33"/>
      <c r="P897" s="33"/>
      <c r="Q897" s="33"/>
      <c r="R897" s="33"/>
    </row>
    <row r="898">
      <c r="A898" s="33"/>
      <c r="B898" s="33"/>
      <c r="C898" s="33"/>
      <c r="D898" s="33"/>
      <c r="E898" s="33"/>
      <c r="F898" s="33"/>
      <c r="G898" s="33"/>
      <c r="H898" s="33"/>
      <c r="I898" s="33"/>
      <c r="J898" s="33"/>
      <c r="K898" s="33"/>
      <c r="L898" s="33"/>
      <c r="M898" s="33"/>
      <c r="N898" s="33"/>
      <c r="O898" s="33"/>
      <c r="P898" s="33"/>
      <c r="Q898" s="33"/>
      <c r="R898" s="33"/>
    </row>
    <row r="899">
      <c r="A899" s="33"/>
      <c r="B899" s="33"/>
      <c r="C899" s="33"/>
      <c r="D899" s="33"/>
      <c r="E899" s="33"/>
      <c r="F899" s="33"/>
      <c r="G899" s="33"/>
      <c r="H899" s="33"/>
      <c r="I899" s="33"/>
      <c r="J899" s="33"/>
      <c r="K899" s="33"/>
      <c r="L899" s="33"/>
      <c r="M899" s="33"/>
      <c r="N899" s="33"/>
      <c r="O899" s="33"/>
      <c r="P899" s="33"/>
      <c r="Q899" s="33"/>
      <c r="R899" s="33"/>
    </row>
    <row r="900">
      <c r="A900" s="33"/>
      <c r="B900" s="33"/>
      <c r="C900" s="33"/>
      <c r="D900" s="33"/>
      <c r="E900" s="33"/>
      <c r="F900" s="33"/>
      <c r="G900" s="33"/>
      <c r="H900" s="33"/>
      <c r="I900" s="33"/>
      <c r="J900" s="33"/>
      <c r="K900" s="33"/>
      <c r="L900" s="33"/>
      <c r="M900" s="33"/>
      <c r="N900" s="33"/>
      <c r="O900" s="33"/>
      <c r="P900" s="33"/>
      <c r="Q900" s="33"/>
      <c r="R900" s="33"/>
    </row>
    <row r="901">
      <c r="A901" s="33"/>
      <c r="B901" s="33"/>
      <c r="C901" s="33"/>
      <c r="D901" s="33"/>
      <c r="E901" s="33"/>
      <c r="F901" s="33"/>
      <c r="G901" s="33"/>
      <c r="H901" s="33"/>
      <c r="I901" s="33"/>
      <c r="J901" s="33"/>
      <c r="K901" s="33"/>
      <c r="L901" s="33"/>
      <c r="M901" s="33"/>
      <c r="N901" s="33"/>
      <c r="O901" s="33"/>
      <c r="P901" s="33"/>
      <c r="Q901" s="33"/>
      <c r="R901" s="33"/>
    </row>
    <row r="902">
      <c r="A902" s="33"/>
      <c r="B902" s="33"/>
      <c r="C902" s="33"/>
      <c r="D902" s="33"/>
      <c r="E902" s="33"/>
      <c r="F902" s="33"/>
      <c r="G902" s="33"/>
      <c r="H902" s="33"/>
      <c r="I902" s="33"/>
      <c r="J902" s="33"/>
      <c r="K902" s="33"/>
      <c r="L902" s="33"/>
      <c r="M902" s="33"/>
      <c r="N902" s="33"/>
      <c r="O902" s="33"/>
      <c r="P902" s="33"/>
      <c r="Q902" s="33"/>
      <c r="R902" s="33"/>
    </row>
    <row r="903">
      <c r="A903" s="33"/>
      <c r="B903" s="33"/>
      <c r="C903" s="33"/>
      <c r="D903" s="33"/>
      <c r="E903" s="33"/>
      <c r="F903" s="33"/>
      <c r="G903" s="33"/>
      <c r="H903" s="33"/>
      <c r="I903" s="33"/>
      <c r="J903" s="33"/>
      <c r="K903" s="33"/>
      <c r="L903" s="33"/>
      <c r="M903" s="33"/>
      <c r="N903" s="33"/>
      <c r="O903" s="33"/>
      <c r="P903" s="33"/>
      <c r="Q903" s="33"/>
      <c r="R903" s="33"/>
    </row>
    <row r="904">
      <c r="A904" s="33"/>
      <c r="B904" s="33"/>
      <c r="C904" s="33"/>
      <c r="D904" s="33"/>
      <c r="E904" s="33"/>
      <c r="F904" s="33"/>
      <c r="G904" s="33"/>
      <c r="H904" s="33"/>
      <c r="I904" s="33"/>
      <c r="J904" s="33"/>
      <c r="K904" s="33"/>
      <c r="L904" s="33"/>
      <c r="M904" s="33"/>
      <c r="N904" s="33"/>
      <c r="O904" s="33"/>
      <c r="P904" s="33"/>
      <c r="Q904" s="33"/>
      <c r="R904" s="33"/>
    </row>
    <row r="905">
      <c r="A905" s="33"/>
      <c r="B905" s="33"/>
      <c r="C905" s="33"/>
      <c r="D905" s="33"/>
      <c r="E905" s="33"/>
      <c r="F905" s="33"/>
      <c r="G905" s="33"/>
      <c r="H905" s="33"/>
      <c r="I905" s="33"/>
      <c r="J905" s="33"/>
      <c r="K905" s="33"/>
      <c r="L905" s="33"/>
      <c r="M905" s="33"/>
      <c r="N905" s="33"/>
      <c r="O905" s="33"/>
      <c r="P905" s="33"/>
      <c r="Q905" s="33"/>
      <c r="R905" s="33"/>
    </row>
    <row r="906">
      <c r="A906" s="33"/>
      <c r="B906" s="33"/>
      <c r="C906" s="33"/>
      <c r="D906" s="33"/>
      <c r="E906" s="33"/>
      <c r="F906" s="33"/>
      <c r="G906" s="33"/>
      <c r="H906" s="33"/>
      <c r="I906" s="33"/>
      <c r="J906" s="33"/>
      <c r="K906" s="33"/>
      <c r="L906" s="33"/>
      <c r="M906" s="33"/>
      <c r="N906" s="33"/>
      <c r="O906" s="33"/>
      <c r="P906" s="33"/>
      <c r="Q906" s="33"/>
      <c r="R906" s="33"/>
    </row>
    <row r="907">
      <c r="A907" s="33"/>
      <c r="B907" s="33"/>
      <c r="C907" s="33"/>
      <c r="D907" s="33"/>
      <c r="E907" s="33"/>
      <c r="F907" s="33"/>
      <c r="G907" s="33"/>
      <c r="H907" s="33"/>
      <c r="I907" s="33"/>
      <c r="J907" s="33"/>
      <c r="K907" s="33"/>
      <c r="L907" s="33"/>
      <c r="M907" s="33"/>
      <c r="N907" s="33"/>
      <c r="O907" s="33"/>
      <c r="P907" s="33"/>
      <c r="Q907" s="33"/>
      <c r="R907" s="33"/>
    </row>
    <row r="908">
      <c r="A908" s="33"/>
      <c r="B908" s="33"/>
      <c r="C908" s="33"/>
      <c r="D908" s="33"/>
      <c r="E908" s="33"/>
      <c r="F908" s="33"/>
      <c r="G908" s="33"/>
      <c r="H908" s="33"/>
      <c r="I908" s="33"/>
      <c r="J908" s="33"/>
      <c r="K908" s="33"/>
      <c r="L908" s="33"/>
      <c r="M908" s="33"/>
      <c r="N908" s="33"/>
      <c r="O908" s="33"/>
      <c r="P908" s="33"/>
      <c r="Q908" s="33"/>
      <c r="R908" s="33"/>
    </row>
    <row r="909">
      <c r="A909" s="33"/>
      <c r="B909" s="33"/>
      <c r="C909" s="33"/>
      <c r="D909" s="33"/>
      <c r="E909" s="33"/>
      <c r="F909" s="33"/>
      <c r="G909" s="33"/>
      <c r="H909" s="33"/>
      <c r="I909" s="33"/>
      <c r="J909" s="33"/>
      <c r="K909" s="33"/>
      <c r="L909" s="33"/>
      <c r="M909" s="33"/>
      <c r="N909" s="33"/>
      <c r="O909" s="33"/>
      <c r="P909" s="33"/>
      <c r="Q909" s="33"/>
      <c r="R909" s="33"/>
    </row>
    <row r="910">
      <c r="A910" s="33"/>
      <c r="B910" s="33"/>
      <c r="C910" s="33"/>
      <c r="D910" s="33"/>
      <c r="E910" s="33"/>
      <c r="F910" s="33"/>
      <c r="G910" s="33"/>
      <c r="H910" s="33"/>
      <c r="I910" s="33"/>
      <c r="J910" s="33"/>
      <c r="K910" s="33"/>
      <c r="L910" s="33"/>
      <c r="M910" s="33"/>
      <c r="N910" s="33"/>
      <c r="O910" s="33"/>
      <c r="P910" s="33"/>
      <c r="Q910" s="33"/>
      <c r="R910" s="33"/>
    </row>
    <row r="911">
      <c r="A911" s="33"/>
      <c r="B911" s="33"/>
      <c r="C911" s="33"/>
      <c r="D911" s="33"/>
      <c r="E911" s="33"/>
      <c r="F911" s="33"/>
      <c r="G911" s="33"/>
      <c r="H911" s="33"/>
      <c r="I911" s="33"/>
      <c r="J911" s="33"/>
      <c r="K911" s="33"/>
      <c r="L911" s="33"/>
      <c r="M911" s="33"/>
      <c r="N911" s="33"/>
      <c r="O911" s="33"/>
      <c r="P911" s="33"/>
      <c r="Q911" s="33"/>
      <c r="R911" s="33"/>
    </row>
    <row r="912">
      <c r="A912" s="33"/>
      <c r="B912" s="33"/>
      <c r="C912" s="33"/>
      <c r="D912" s="33"/>
      <c r="E912" s="33"/>
      <c r="F912" s="33"/>
      <c r="G912" s="33"/>
      <c r="H912" s="33"/>
      <c r="I912" s="33"/>
      <c r="J912" s="33"/>
      <c r="K912" s="33"/>
      <c r="L912" s="33"/>
      <c r="M912" s="33"/>
      <c r="N912" s="33"/>
      <c r="O912" s="33"/>
      <c r="P912" s="33"/>
      <c r="Q912" s="33"/>
      <c r="R912" s="33"/>
    </row>
    <row r="913">
      <c r="A913" s="33"/>
      <c r="B913" s="33"/>
      <c r="C913" s="33"/>
      <c r="D913" s="33"/>
      <c r="E913" s="33"/>
      <c r="F913" s="33"/>
      <c r="G913" s="33"/>
      <c r="H913" s="33"/>
      <c r="I913" s="33"/>
      <c r="J913" s="33"/>
      <c r="K913" s="33"/>
      <c r="L913" s="33"/>
      <c r="M913" s="33"/>
      <c r="N913" s="33"/>
      <c r="O913" s="33"/>
      <c r="P913" s="33"/>
      <c r="Q913" s="33"/>
      <c r="R913" s="33"/>
    </row>
    <row r="914">
      <c r="A914" s="33"/>
      <c r="B914" s="33"/>
      <c r="C914" s="33"/>
      <c r="D914" s="33"/>
      <c r="E914" s="33"/>
      <c r="F914" s="33"/>
      <c r="G914" s="33"/>
      <c r="H914" s="33"/>
      <c r="I914" s="33"/>
      <c r="J914" s="33"/>
      <c r="K914" s="33"/>
      <c r="L914" s="33"/>
      <c r="M914" s="33"/>
      <c r="N914" s="33"/>
      <c r="O914" s="33"/>
      <c r="P914" s="33"/>
      <c r="Q914" s="33"/>
      <c r="R914" s="33"/>
    </row>
    <row r="915">
      <c r="A915" s="33"/>
      <c r="B915" s="33"/>
      <c r="C915" s="33"/>
      <c r="D915" s="33"/>
      <c r="E915" s="33"/>
      <c r="F915" s="33"/>
      <c r="G915" s="33"/>
      <c r="H915" s="33"/>
      <c r="I915" s="33"/>
      <c r="J915" s="33"/>
      <c r="K915" s="33"/>
      <c r="L915" s="33"/>
      <c r="M915" s="33"/>
      <c r="N915" s="33"/>
      <c r="O915" s="33"/>
      <c r="P915" s="33"/>
      <c r="Q915" s="33"/>
      <c r="R915" s="33"/>
    </row>
    <row r="916">
      <c r="A916" s="33"/>
      <c r="B916" s="33"/>
      <c r="C916" s="33"/>
      <c r="D916" s="33"/>
      <c r="E916" s="33"/>
      <c r="F916" s="33"/>
      <c r="G916" s="33"/>
      <c r="H916" s="33"/>
      <c r="I916" s="33"/>
      <c r="J916" s="33"/>
      <c r="K916" s="33"/>
      <c r="L916" s="33"/>
      <c r="M916" s="33"/>
      <c r="N916" s="33"/>
      <c r="O916" s="33"/>
      <c r="P916" s="33"/>
      <c r="Q916" s="33"/>
      <c r="R916" s="33"/>
    </row>
    <row r="917">
      <c r="A917" s="33"/>
      <c r="B917" s="33"/>
      <c r="C917" s="33"/>
      <c r="D917" s="33"/>
      <c r="E917" s="33"/>
      <c r="F917" s="33"/>
      <c r="G917" s="33"/>
      <c r="H917" s="33"/>
      <c r="I917" s="33"/>
      <c r="J917" s="33"/>
      <c r="K917" s="33"/>
      <c r="L917" s="33"/>
      <c r="M917" s="33"/>
      <c r="N917" s="33"/>
      <c r="O917" s="33"/>
      <c r="P917" s="33"/>
      <c r="Q917" s="33"/>
      <c r="R917" s="33"/>
    </row>
    <row r="918">
      <c r="A918" s="33"/>
      <c r="B918" s="33"/>
      <c r="C918" s="33"/>
      <c r="D918" s="33"/>
      <c r="E918" s="33"/>
      <c r="F918" s="33"/>
      <c r="G918" s="33"/>
      <c r="H918" s="33"/>
      <c r="I918" s="33"/>
      <c r="J918" s="33"/>
      <c r="K918" s="33"/>
      <c r="L918" s="33"/>
      <c r="M918" s="33"/>
      <c r="N918" s="33"/>
      <c r="O918" s="33"/>
      <c r="P918" s="33"/>
      <c r="Q918" s="33"/>
      <c r="R918" s="33"/>
    </row>
    <row r="919">
      <c r="A919" s="33"/>
      <c r="B919" s="33"/>
      <c r="C919" s="33"/>
      <c r="D919" s="33"/>
      <c r="E919" s="33"/>
      <c r="F919" s="33"/>
      <c r="G919" s="33"/>
      <c r="H919" s="33"/>
      <c r="I919" s="33"/>
      <c r="J919" s="33"/>
      <c r="K919" s="33"/>
      <c r="L919" s="33"/>
      <c r="M919" s="33"/>
      <c r="N919" s="33"/>
      <c r="O919" s="33"/>
      <c r="P919" s="33"/>
      <c r="Q919" s="33"/>
      <c r="R919" s="33"/>
    </row>
    <row r="920">
      <c r="A920" s="33"/>
      <c r="B920" s="33"/>
      <c r="C920" s="33"/>
      <c r="D920" s="33"/>
      <c r="E920" s="33"/>
      <c r="F920" s="33"/>
      <c r="G920" s="33"/>
      <c r="H920" s="33"/>
      <c r="I920" s="33"/>
      <c r="J920" s="33"/>
      <c r="K920" s="33"/>
      <c r="L920" s="33"/>
      <c r="M920" s="33"/>
      <c r="N920" s="33"/>
      <c r="O920" s="33"/>
      <c r="P920" s="33"/>
      <c r="Q920" s="33"/>
      <c r="R920" s="33"/>
    </row>
    <row r="921">
      <c r="A921" s="33"/>
      <c r="B921" s="33"/>
      <c r="C921" s="33"/>
      <c r="D921" s="33"/>
      <c r="E921" s="33"/>
      <c r="F921" s="33"/>
      <c r="G921" s="33"/>
      <c r="H921" s="33"/>
      <c r="I921" s="33"/>
      <c r="J921" s="33"/>
      <c r="K921" s="33"/>
      <c r="L921" s="33"/>
      <c r="M921" s="33"/>
      <c r="N921" s="33"/>
      <c r="O921" s="33"/>
      <c r="P921" s="33"/>
      <c r="Q921" s="33"/>
      <c r="R921" s="33"/>
    </row>
    <row r="922">
      <c r="A922" s="33"/>
      <c r="B922" s="33"/>
      <c r="C922" s="33"/>
      <c r="D922" s="33"/>
      <c r="E922" s="33"/>
      <c r="F922" s="33"/>
      <c r="G922" s="33"/>
      <c r="H922" s="33"/>
      <c r="I922" s="33"/>
      <c r="J922" s="33"/>
      <c r="K922" s="33"/>
      <c r="L922" s="33"/>
      <c r="M922" s="33"/>
      <c r="N922" s="33"/>
      <c r="O922" s="33"/>
      <c r="P922" s="33"/>
      <c r="Q922" s="33"/>
      <c r="R922" s="33"/>
    </row>
    <row r="923">
      <c r="A923" s="33"/>
      <c r="B923" s="33"/>
      <c r="C923" s="33"/>
      <c r="D923" s="33"/>
      <c r="E923" s="33"/>
      <c r="F923" s="33"/>
      <c r="G923" s="33"/>
      <c r="H923" s="33"/>
      <c r="I923" s="33"/>
      <c r="J923" s="33"/>
      <c r="K923" s="33"/>
      <c r="L923" s="33"/>
      <c r="M923" s="33"/>
      <c r="N923" s="33"/>
      <c r="O923" s="33"/>
      <c r="P923" s="33"/>
      <c r="Q923" s="33"/>
      <c r="R923" s="33"/>
    </row>
    <row r="924">
      <c r="A924" s="33"/>
      <c r="B924" s="33"/>
      <c r="C924" s="33"/>
      <c r="D924" s="33"/>
      <c r="E924" s="33"/>
      <c r="F924" s="33"/>
      <c r="G924" s="33"/>
      <c r="H924" s="33"/>
      <c r="I924" s="33"/>
      <c r="J924" s="33"/>
      <c r="K924" s="33"/>
      <c r="L924" s="33"/>
      <c r="M924" s="33"/>
      <c r="N924" s="33"/>
      <c r="O924" s="33"/>
      <c r="P924" s="33"/>
      <c r="Q924" s="33"/>
      <c r="R924" s="33"/>
    </row>
    <row r="925">
      <c r="A925" s="33"/>
      <c r="B925" s="33"/>
      <c r="C925" s="33"/>
      <c r="D925" s="33"/>
      <c r="E925" s="33"/>
      <c r="F925" s="33"/>
      <c r="G925" s="33"/>
      <c r="H925" s="33"/>
      <c r="I925" s="33"/>
      <c r="J925" s="33"/>
      <c r="K925" s="33"/>
      <c r="L925" s="33"/>
      <c r="M925" s="33"/>
      <c r="N925" s="33"/>
      <c r="O925" s="33"/>
      <c r="P925" s="33"/>
      <c r="Q925" s="33"/>
      <c r="R925" s="33"/>
    </row>
    <row r="926">
      <c r="A926" s="33"/>
      <c r="B926" s="33"/>
      <c r="C926" s="33"/>
      <c r="D926" s="33"/>
      <c r="E926" s="33"/>
      <c r="F926" s="33"/>
      <c r="G926" s="33"/>
      <c r="H926" s="33"/>
      <c r="I926" s="33"/>
      <c r="J926" s="33"/>
      <c r="K926" s="33"/>
      <c r="L926" s="33"/>
      <c r="M926" s="33"/>
      <c r="N926" s="33"/>
      <c r="O926" s="33"/>
      <c r="P926" s="33"/>
      <c r="Q926" s="33"/>
      <c r="R926" s="33"/>
    </row>
    <row r="927">
      <c r="A927" s="33"/>
      <c r="B927" s="33"/>
      <c r="C927" s="33"/>
      <c r="D927" s="33"/>
      <c r="E927" s="33"/>
      <c r="F927" s="33"/>
      <c r="G927" s="33"/>
      <c r="H927" s="33"/>
      <c r="I927" s="33"/>
      <c r="J927" s="33"/>
      <c r="K927" s="33"/>
      <c r="L927" s="33"/>
      <c r="M927" s="33"/>
      <c r="N927" s="33"/>
      <c r="O927" s="33"/>
      <c r="P927" s="33"/>
      <c r="Q927" s="33"/>
      <c r="R927" s="33"/>
    </row>
    <row r="928">
      <c r="A928" s="33"/>
      <c r="B928" s="33"/>
      <c r="C928" s="33"/>
      <c r="D928" s="33"/>
      <c r="E928" s="33"/>
      <c r="F928" s="33"/>
      <c r="G928" s="33"/>
      <c r="H928" s="33"/>
      <c r="I928" s="33"/>
      <c r="J928" s="33"/>
      <c r="K928" s="33"/>
      <c r="L928" s="33"/>
      <c r="M928" s="33"/>
      <c r="N928" s="33"/>
      <c r="O928" s="33"/>
      <c r="P928" s="33"/>
      <c r="Q928" s="33"/>
      <c r="R928" s="33"/>
    </row>
    <row r="929">
      <c r="A929" s="33"/>
      <c r="B929" s="33"/>
      <c r="C929" s="33"/>
      <c r="D929" s="33"/>
      <c r="E929" s="33"/>
      <c r="F929" s="33"/>
      <c r="G929" s="33"/>
      <c r="H929" s="33"/>
      <c r="I929" s="33"/>
      <c r="J929" s="33"/>
      <c r="K929" s="33"/>
      <c r="L929" s="33"/>
      <c r="M929" s="33"/>
      <c r="N929" s="33"/>
      <c r="O929" s="33"/>
      <c r="P929" s="33"/>
      <c r="Q929" s="33"/>
      <c r="R929" s="33"/>
    </row>
    <row r="930">
      <c r="A930" s="33"/>
      <c r="B930" s="33"/>
      <c r="C930" s="33"/>
      <c r="D930" s="33"/>
      <c r="E930" s="33"/>
      <c r="F930" s="33"/>
      <c r="G930" s="33"/>
      <c r="H930" s="33"/>
      <c r="I930" s="33"/>
      <c r="J930" s="33"/>
      <c r="K930" s="33"/>
      <c r="L930" s="33"/>
      <c r="M930" s="33"/>
      <c r="N930" s="33"/>
      <c r="O930" s="33"/>
      <c r="P930" s="33"/>
      <c r="Q930" s="33"/>
      <c r="R930" s="33"/>
    </row>
    <row r="931">
      <c r="A931" s="33"/>
      <c r="B931" s="33"/>
      <c r="C931" s="33"/>
      <c r="D931" s="33"/>
      <c r="E931" s="33"/>
      <c r="F931" s="33"/>
      <c r="G931" s="33"/>
      <c r="H931" s="33"/>
      <c r="I931" s="33"/>
      <c r="J931" s="33"/>
      <c r="K931" s="33"/>
      <c r="L931" s="33"/>
      <c r="M931" s="33"/>
      <c r="N931" s="33"/>
      <c r="O931" s="33"/>
      <c r="P931" s="33"/>
      <c r="Q931" s="33"/>
      <c r="R931" s="33"/>
    </row>
    <row r="932">
      <c r="A932" s="33"/>
      <c r="B932" s="33"/>
      <c r="C932" s="33"/>
      <c r="D932" s="33"/>
      <c r="E932" s="33"/>
      <c r="F932" s="33"/>
      <c r="G932" s="33"/>
      <c r="H932" s="33"/>
      <c r="I932" s="33"/>
      <c r="J932" s="33"/>
      <c r="K932" s="33"/>
      <c r="L932" s="33"/>
      <c r="M932" s="33"/>
      <c r="N932" s="33"/>
      <c r="O932" s="33"/>
      <c r="P932" s="33"/>
      <c r="Q932" s="33"/>
      <c r="R932" s="33"/>
    </row>
    <row r="933">
      <c r="A933" s="33"/>
      <c r="B933" s="33"/>
      <c r="C933" s="33"/>
      <c r="D933" s="33"/>
      <c r="E933" s="33"/>
      <c r="F933" s="33"/>
      <c r="G933" s="33"/>
      <c r="H933" s="33"/>
      <c r="I933" s="33"/>
      <c r="J933" s="33"/>
      <c r="K933" s="33"/>
      <c r="L933" s="33"/>
      <c r="M933" s="33"/>
      <c r="N933" s="33"/>
      <c r="O933" s="33"/>
      <c r="P933" s="33"/>
      <c r="Q933" s="33"/>
      <c r="R933" s="33"/>
    </row>
    <row r="934">
      <c r="A934" s="33"/>
      <c r="B934" s="33"/>
      <c r="C934" s="33"/>
      <c r="D934" s="33"/>
      <c r="E934" s="33"/>
      <c r="F934" s="33"/>
      <c r="G934" s="33"/>
      <c r="H934" s="33"/>
      <c r="I934" s="33"/>
      <c r="J934" s="33"/>
      <c r="K934" s="33"/>
      <c r="L934" s="33"/>
      <c r="M934" s="33"/>
      <c r="N934" s="33"/>
      <c r="O934" s="33"/>
      <c r="P934" s="33"/>
      <c r="Q934" s="33"/>
      <c r="R934" s="33"/>
    </row>
    <row r="935">
      <c r="A935" s="33"/>
      <c r="B935" s="33"/>
      <c r="C935" s="33"/>
      <c r="D935" s="33"/>
      <c r="E935" s="33"/>
      <c r="F935" s="33"/>
      <c r="G935" s="33"/>
      <c r="H935" s="33"/>
      <c r="I935" s="33"/>
      <c r="J935" s="33"/>
      <c r="K935" s="33"/>
      <c r="L935" s="33"/>
      <c r="M935" s="33"/>
      <c r="N935" s="33"/>
      <c r="O935" s="33"/>
      <c r="P935" s="33"/>
      <c r="Q935" s="33"/>
      <c r="R935" s="33"/>
    </row>
    <row r="936">
      <c r="A936" s="33"/>
      <c r="B936" s="33"/>
      <c r="C936" s="33"/>
      <c r="D936" s="33"/>
      <c r="E936" s="33"/>
      <c r="F936" s="33"/>
      <c r="G936" s="33"/>
      <c r="H936" s="33"/>
      <c r="I936" s="33"/>
      <c r="J936" s="33"/>
      <c r="K936" s="33"/>
      <c r="L936" s="33"/>
      <c r="M936" s="33"/>
      <c r="N936" s="33"/>
      <c r="O936" s="33"/>
      <c r="P936" s="33"/>
      <c r="Q936" s="33"/>
      <c r="R936" s="33"/>
    </row>
    <row r="937">
      <c r="A937" s="33"/>
      <c r="B937" s="33"/>
      <c r="C937" s="33"/>
      <c r="D937" s="33"/>
      <c r="E937" s="33"/>
      <c r="F937" s="33"/>
      <c r="G937" s="33"/>
      <c r="H937" s="33"/>
      <c r="I937" s="33"/>
      <c r="J937" s="33"/>
      <c r="K937" s="33"/>
      <c r="L937" s="33"/>
      <c r="M937" s="33"/>
      <c r="N937" s="33"/>
      <c r="O937" s="33"/>
      <c r="P937" s="33"/>
      <c r="Q937" s="33"/>
      <c r="R937" s="33"/>
    </row>
    <row r="938">
      <c r="A938" s="33"/>
      <c r="B938" s="33"/>
      <c r="C938" s="33"/>
      <c r="D938" s="33"/>
      <c r="E938" s="33"/>
      <c r="F938" s="33"/>
      <c r="G938" s="33"/>
      <c r="H938" s="33"/>
      <c r="I938" s="33"/>
      <c r="J938" s="33"/>
      <c r="K938" s="33"/>
      <c r="L938" s="33"/>
      <c r="M938" s="33"/>
      <c r="N938" s="33"/>
      <c r="O938" s="33"/>
      <c r="P938" s="33"/>
      <c r="Q938" s="33"/>
      <c r="R938" s="33"/>
    </row>
    <row r="939">
      <c r="A939" s="33"/>
      <c r="B939" s="33"/>
      <c r="C939" s="33"/>
      <c r="D939" s="33"/>
      <c r="E939" s="33"/>
      <c r="F939" s="33"/>
      <c r="G939" s="33"/>
      <c r="H939" s="33"/>
      <c r="I939" s="33"/>
      <c r="J939" s="33"/>
      <c r="K939" s="33"/>
      <c r="L939" s="33"/>
      <c r="M939" s="33"/>
      <c r="N939" s="33"/>
      <c r="O939" s="33"/>
      <c r="P939" s="33"/>
      <c r="Q939" s="33"/>
      <c r="R939" s="33"/>
    </row>
    <row r="940">
      <c r="A940" s="33"/>
      <c r="B940" s="33"/>
      <c r="C940" s="33"/>
      <c r="D940" s="33"/>
      <c r="E940" s="33"/>
      <c r="F940" s="33"/>
      <c r="G940" s="33"/>
      <c r="H940" s="33"/>
      <c r="I940" s="33"/>
      <c r="J940" s="33"/>
      <c r="K940" s="33"/>
      <c r="L940" s="33"/>
      <c r="M940" s="33"/>
      <c r="N940" s="33"/>
      <c r="O940" s="33"/>
      <c r="P940" s="33"/>
      <c r="Q940" s="33"/>
      <c r="R940" s="33"/>
    </row>
    <row r="941">
      <c r="A941" s="33"/>
      <c r="B941" s="33"/>
      <c r="C941" s="33"/>
      <c r="D941" s="33"/>
      <c r="E941" s="33"/>
      <c r="F941" s="33"/>
      <c r="G941" s="33"/>
      <c r="H941" s="33"/>
      <c r="I941" s="33"/>
      <c r="J941" s="33"/>
      <c r="K941" s="33"/>
      <c r="L941" s="33"/>
      <c r="M941" s="33"/>
      <c r="N941" s="33"/>
      <c r="O941" s="33"/>
      <c r="P941" s="33"/>
      <c r="Q941" s="33"/>
      <c r="R941" s="33"/>
    </row>
    <row r="942">
      <c r="A942" s="33"/>
      <c r="B942" s="33"/>
      <c r="C942" s="33"/>
      <c r="D942" s="33"/>
      <c r="E942" s="33"/>
      <c r="F942" s="33"/>
      <c r="G942" s="33"/>
      <c r="H942" s="33"/>
      <c r="I942" s="33"/>
      <c r="J942" s="33"/>
      <c r="K942" s="33"/>
      <c r="L942" s="33"/>
      <c r="M942" s="33"/>
      <c r="N942" s="33"/>
      <c r="O942" s="33"/>
      <c r="P942" s="33"/>
      <c r="Q942" s="33"/>
      <c r="R942" s="33"/>
    </row>
    <row r="943">
      <c r="A943" s="33"/>
      <c r="B943" s="33"/>
      <c r="C943" s="33"/>
      <c r="D943" s="33"/>
      <c r="E943" s="33"/>
      <c r="F943" s="33"/>
      <c r="G943" s="33"/>
      <c r="H943" s="33"/>
      <c r="I943" s="33"/>
      <c r="J943" s="33"/>
      <c r="K943" s="33"/>
      <c r="L943" s="33"/>
      <c r="M943" s="33"/>
      <c r="N943" s="33"/>
      <c r="O943" s="33"/>
      <c r="P943" s="33"/>
      <c r="Q943" s="33"/>
      <c r="R943" s="33"/>
    </row>
    <row r="944">
      <c r="A944" s="33"/>
      <c r="B944" s="33"/>
      <c r="C944" s="33"/>
      <c r="D944" s="33"/>
      <c r="E944" s="33"/>
      <c r="F944" s="33"/>
      <c r="G944" s="33"/>
      <c r="H944" s="33"/>
      <c r="I944" s="33"/>
      <c r="J944" s="33"/>
      <c r="K944" s="33"/>
      <c r="L944" s="33"/>
      <c r="M944" s="33"/>
      <c r="N944" s="33"/>
      <c r="O944" s="33"/>
      <c r="P944" s="33"/>
      <c r="Q944" s="33"/>
      <c r="R944" s="33"/>
    </row>
    <row r="945">
      <c r="A945" s="33"/>
      <c r="B945" s="33"/>
      <c r="C945" s="33"/>
      <c r="D945" s="33"/>
      <c r="E945" s="33"/>
      <c r="F945" s="33"/>
      <c r="G945" s="33"/>
      <c r="H945" s="33"/>
      <c r="I945" s="33"/>
      <c r="J945" s="33"/>
      <c r="K945" s="33"/>
      <c r="L945" s="33"/>
      <c r="M945" s="33"/>
      <c r="N945" s="33"/>
      <c r="O945" s="33"/>
      <c r="P945" s="33"/>
      <c r="Q945" s="33"/>
      <c r="R945" s="33"/>
    </row>
    <row r="946">
      <c r="A946" s="33"/>
      <c r="B946" s="33"/>
      <c r="C946" s="33"/>
      <c r="D946" s="33"/>
      <c r="E946" s="33"/>
      <c r="F946" s="33"/>
      <c r="G946" s="33"/>
      <c r="H946" s="33"/>
      <c r="I946" s="33"/>
      <c r="J946" s="33"/>
      <c r="K946" s="33"/>
      <c r="L946" s="33"/>
      <c r="M946" s="33"/>
      <c r="N946" s="33"/>
      <c r="O946" s="33"/>
      <c r="P946" s="33"/>
      <c r="Q946" s="33"/>
      <c r="R946" s="33"/>
    </row>
    <row r="947">
      <c r="A947" s="33"/>
      <c r="B947" s="33"/>
      <c r="C947" s="33"/>
      <c r="D947" s="33"/>
      <c r="E947" s="33"/>
      <c r="F947" s="33"/>
      <c r="G947" s="33"/>
      <c r="H947" s="33"/>
      <c r="I947" s="33"/>
      <c r="J947" s="33"/>
      <c r="K947" s="33"/>
      <c r="L947" s="33"/>
      <c r="M947" s="33"/>
      <c r="N947" s="33"/>
      <c r="O947" s="33"/>
      <c r="P947" s="33"/>
      <c r="Q947" s="33"/>
      <c r="R947" s="33"/>
    </row>
    <row r="948">
      <c r="A948" s="33"/>
      <c r="B948" s="33"/>
      <c r="C948" s="33"/>
      <c r="D948" s="33"/>
      <c r="E948" s="33"/>
      <c r="F948" s="33"/>
      <c r="G948" s="33"/>
      <c r="H948" s="33"/>
      <c r="I948" s="33"/>
      <c r="J948" s="33"/>
      <c r="K948" s="33"/>
      <c r="L948" s="33"/>
      <c r="M948" s="33"/>
      <c r="N948" s="33"/>
      <c r="O948" s="33"/>
      <c r="P948" s="33"/>
      <c r="Q948" s="33"/>
      <c r="R948" s="33"/>
    </row>
    <row r="949">
      <c r="A949" s="33"/>
      <c r="B949" s="33"/>
      <c r="C949" s="33"/>
      <c r="D949" s="33"/>
      <c r="E949" s="33"/>
      <c r="F949" s="33"/>
      <c r="G949" s="33"/>
      <c r="H949" s="33"/>
      <c r="I949" s="33"/>
      <c r="J949" s="33"/>
      <c r="K949" s="33"/>
      <c r="L949" s="33"/>
      <c r="M949" s="33"/>
      <c r="N949" s="33"/>
      <c r="O949" s="33"/>
      <c r="P949" s="33"/>
      <c r="Q949" s="33"/>
      <c r="R949" s="33"/>
    </row>
    <row r="950">
      <c r="A950" s="33"/>
      <c r="B950" s="33"/>
      <c r="C950" s="33"/>
      <c r="D950" s="33"/>
      <c r="E950" s="33"/>
      <c r="F950" s="33"/>
      <c r="G950" s="33"/>
      <c r="H950" s="33"/>
      <c r="I950" s="33"/>
      <c r="J950" s="33"/>
      <c r="K950" s="33"/>
      <c r="L950" s="33"/>
      <c r="M950" s="33"/>
      <c r="N950" s="33"/>
      <c r="O950" s="33"/>
      <c r="P950" s="33"/>
      <c r="Q950" s="33"/>
      <c r="R950" s="33"/>
    </row>
    <row r="951">
      <c r="A951" s="33"/>
      <c r="B951" s="33"/>
      <c r="C951" s="33"/>
      <c r="D951" s="33"/>
      <c r="E951" s="33"/>
      <c r="F951" s="33"/>
      <c r="G951" s="33"/>
      <c r="H951" s="33"/>
      <c r="I951" s="33"/>
      <c r="J951" s="33"/>
      <c r="K951" s="33"/>
      <c r="L951" s="33"/>
      <c r="M951" s="33"/>
      <c r="N951" s="33"/>
      <c r="O951" s="33"/>
      <c r="P951" s="33"/>
      <c r="Q951" s="33"/>
      <c r="R951" s="33"/>
    </row>
    <row r="952">
      <c r="A952" s="33"/>
      <c r="B952" s="33"/>
      <c r="C952" s="33"/>
      <c r="D952" s="33"/>
      <c r="E952" s="33"/>
      <c r="F952" s="33"/>
      <c r="G952" s="33"/>
      <c r="H952" s="33"/>
      <c r="I952" s="33"/>
      <c r="J952" s="33"/>
      <c r="K952" s="33"/>
      <c r="L952" s="33"/>
      <c r="M952" s="33"/>
      <c r="N952" s="33"/>
      <c r="O952" s="33"/>
      <c r="P952" s="33"/>
      <c r="Q952" s="33"/>
      <c r="R952" s="33"/>
    </row>
    <row r="953">
      <c r="A953" s="33"/>
      <c r="B953" s="33"/>
      <c r="C953" s="33"/>
      <c r="D953" s="33"/>
      <c r="E953" s="33"/>
      <c r="F953" s="33"/>
      <c r="G953" s="33"/>
      <c r="H953" s="33"/>
      <c r="I953" s="33"/>
      <c r="J953" s="33"/>
      <c r="K953" s="33"/>
      <c r="L953" s="33"/>
      <c r="M953" s="33"/>
      <c r="N953" s="33"/>
      <c r="O953" s="33"/>
      <c r="P953" s="33"/>
      <c r="Q953" s="33"/>
      <c r="R953" s="33"/>
    </row>
    <row r="954">
      <c r="A954" s="33"/>
      <c r="B954" s="33"/>
      <c r="C954" s="33"/>
      <c r="D954" s="33"/>
      <c r="E954" s="33"/>
      <c r="F954" s="33"/>
      <c r="G954" s="33"/>
      <c r="H954" s="33"/>
      <c r="I954" s="33"/>
      <c r="J954" s="33"/>
      <c r="K954" s="33"/>
      <c r="L954" s="33"/>
      <c r="M954" s="33"/>
      <c r="N954" s="33"/>
      <c r="O954" s="33"/>
      <c r="P954" s="33"/>
      <c r="Q954" s="33"/>
      <c r="R954" s="33"/>
    </row>
    <row r="955">
      <c r="A955" s="33"/>
      <c r="B955" s="33"/>
      <c r="C955" s="33"/>
      <c r="D955" s="33"/>
      <c r="E955" s="33"/>
      <c r="F955" s="33"/>
      <c r="G955" s="33"/>
      <c r="H955" s="33"/>
      <c r="I955" s="33"/>
      <c r="J955" s="33"/>
      <c r="K955" s="33"/>
      <c r="L955" s="33"/>
      <c r="M955" s="33"/>
      <c r="N955" s="33"/>
      <c r="O955" s="33"/>
      <c r="P955" s="33"/>
      <c r="Q955" s="33"/>
      <c r="R955" s="33"/>
    </row>
    <row r="956">
      <c r="A956" s="33"/>
      <c r="B956" s="33"/>
      <c r="C956" s="33"/>
      <c r="D956" s="33"/>
      <c r="E956" s="33"/>
      <c r="F956" s="33"/>
      <c r="G956" s="33"/>
      <c r="H956" s="33"/>
      <c r="I956" s="33"/>
      <c r="J956" s="33"/>
      <c r="K956" s="33"/>
      <c r="L956" s="33"/>
      <c r="M956" s="33"/>
      <c r="N956" s="33"/>
      <c r="O956" s="33"/>
      <c r="P956" s="33"/>
      <c r="Q956" s="33"/>
      <c r="R956" s="33"/>
    </row>
    <row r="957">
      <c r="A957" s="33"/>
      <c r="B957" s="33"/>
      <c r="C957" s="33"/>
      <c r="D957" s="33"/>
      <c r="E957" s="33"/>
      <c r="F957" s="33"/>
      <c r="G957" s="33"/>
      <c r="H957" s="33"/>
      <c r="I957" s="33"/>
      <c r="J957" s="33"/>
      <c r="K957" s="33"/>
      <c r="L957" s="33"/>
      <c r="M957" s="33"/>
      <c r="N957" s="33"/>
      <c r="O957" s="33"/>
      <c r="P957" s="33"/>
      <c r="Q957" s="33"/>
      <c r="R957" s="33"/>
    </row>
    <row r="958">
      <c r="A958" s="33"/>
      <c r="B958" s="33"/>
      <c r="C958" s="33"/>
      <c r="D958" s="33"/>
      <c r="E958" s="33"/>
      <c r="F958" s="33"/>
      <c r="G958" s="33"/>
      <c r="H958" s="33"/>
      <c r="I958" s="33"/>
      <c r="J958" s="33"/>
      <c r="K958" s="33"/>
      <c r="L958" s="33"/>
      <c r="M958" s="33"/>
      <c r="N958" s="33"/>
      <c r="O958" s="33"/>
      <c r="P958" s="33"/>
      <c r="Q958" s="33"/>
      <c r="R958" s="33"/>
    </row>
    <row r="959">
      <c r="A959" s="33"/>
      <c r="B959" s="33"/>
      <c r="C959" s="33"/>
      <c r="D959" s="33"/>
      <c r="E959" s="33"/>
      <c r="F959" s="33"/>
      <c r="G959" s="33"/>
      <c r="H959" s="33"/>
      <c r="I959" s="33"/>
      <c r="J959" s="33"/>
      <c r="K959" s="33"/>
      <c r="L959" s="33"/>
      <c r="M959" s="33"/>
      <c r="N959" s="33"/>
      <c r="O959" s="33"/>
      <c r="P959" s="33"/>
      <c r="Q959" s="33"/>
      <c r="R959" s="33"/>
    </row>
    <row r="960">
      <c r="A960" s="33"/>
      <c r="B960" s="33"/>
      <c r="C960" s="33"/>
      <c r="D960" s="33"/>
      <c r="E960" s="33"/>
      <c r="F960" s="33"/>
      <c r="G960" s="33"/>
      <c r="H960" s="33"/>
      <c r="I960" s="33"/>
      <c r="J960" s="33"/>
      <c r="K960" s="33"/>
      <c r="L960" s="33"/>
      <c r="M960" s="33"/>
      <c r="N960" s="33"/>
      <c r="O960" s="33"/>
      <c r="P960" s="33"/>
      <c r="Q960" s="33"/>
      <c r="R960" s="33"/>
    </row>
    <row r="961">
      <c r="A961" s="33"/>
      <c r="B961" s="33"/>
      <c r="C961" s="33"/>
      <c r="D961" s="33"/>
      <c r="E961" s="33"/>
      <c r="F961" s="33"/>
      <c r="G961" s="33"/>
      <c r="H961" s="33"/>
      <c r="I961" s="33"/>
      <c r="J961" s="33"/>
      <c r="K961" s="33"/>
      <c r="L961" s="33"/>
      <c r="M961" s="33"/>
      <c r="N961" s="33"/>
      <c r="O961" s="33"/>
      <c r="P961" s="33"/>
      <c r="Q961" s="33"/>
      <c r="R961" s="33"/>
    </row>
    <row r="962">
      <c r="A962" s="33"/>
      <c r="B962" s="33"/>
      <c r="C962" s="33"/>
      <c r="D962" s="33"/>
      <c r="E962" s="33"/>
      <c r="F962" s="33"/>
      <c r="G962" s="33"/>
      <c r="H962" s="33"/>
      <c r="I962" s="33"/>
      <c r="J962" s="33"/>
      <c r="K962" s="33"/>
      <c r="L962" s="33"/>
      <c r="M962" s="33"/>
      <c r="N962" s="33"/>
      <c r="O962" s="33"/>
      <c r="P962" s="33"/>
      <c r="Q962" s="33"/>
      <c r="R962" s="33"/>
    </row>
    <row r="963">
      <c r="A963" s="33"/>
      <c r="B963" s="33"/>
      <c r="C963" s="33"/>
      <c r="D963" s="33"/>
      <c r="E963" s="33"/>
      <c r="F963" s="33"/>
      <c r="G963" s="33"/>
      <c r="H963" s="33"/>
      <c r="I963" s="33"/>
      <c r="J963" s="33"/>
      <c r="K963" s="33"/>
      <c r="L963" s="33"/>
      <c r="M963" s="33"/>
      <c r="N963" s="33"/>
      <c r="O963" s="33"/>
      <c r="P963" s="33"/>
      <c r="Q963" s="33"/>
      <c r="R963" s="33"/>
    </row>
    <row r="964">
      <c r="A964" s="33"/>
      <c r="B964" s="33"/>
      <c r="C964" s="33"/>
      <c r="D964" s="33"/>
      <c r="E964" s="33"/>
      <c r="F964" s="33"/>
      <c r="G964" s="33"/>
      <c r="H964" s="33"/>
      <c r="I964" s="33"/>
      <c r="J964" s="33"/>
      <c r="K964" s="33"/>
      <c r="L964" s="33"/>
      <c r="M964" s="33"/>
      <c r="N964" s="33"/>
      <c r="O964" s="33"/>
      <c r="P964" s="33"/>
      <c r="Q964" s="33"/>
      <c r="R964" s="33"/>
    </row>
    <row r="965">
      <c r="A965" s="33"/>
      <c r="B965" s="33"/>
      <c r="C965" s="33"/>
      <c r="D965" s="33"/>
      <c r="E965" s="33"/>
      <c r="F965" s="33"/>
      <c r="G965" s="33"/>
      <c r="H965" s="33"/>
      <c r="I965" s="33"/>
      <c r="J965" s="33"/>
      <c r="K965" s="33"/>
      <c r="L965" s="33"/>
      <c r="M965" s="33"/>
      <c r="N965" s="33"/>
      <c r="O965" s="33"/>
      <c r="P965" s="33"/>
      <c r="Q965" s="33"/>
      <c r="R965" s="33"/>
    </row>
    <row r="966">
      <c r="A966" s="33"/>
      <c r="B966" s="33"/>
      <c r="C966" s="33"/>
      <c r="D966" s="33"/>
      <c r="E966" s="33"/>
      <c r="F966" s="33"/>
      <c r="G966" s="33"/>
      <c r="H966" s="33"/>
      <c r="I966" s="33"/>
      <c r="J966" s="33"/>
      <c r="K966" s="33"/>
      <c r="L966" s="33"/>
      <c r="M966" s="33"/>
      <c r="N966" s="33"/>
      <c r="O966" s="33"/>
      <c r="P966" s="33"/>
      <c r="Q966" s="33"/>
      <c r="R966" s="33"/>
    </row>
    <row r="967">
      <c r="A967" s="33"/>
      <c r="B967" s="33"/>
      <c r="C967" s="33"/>
      <c r="D967" s="33"/>
      <c r="E967" s="33"/>
      <c r="F967" s="33"/>
      <c r="G967" s="33"/>
      <c r="H967" s="33"/>
      <c r="I967" s="33"/>
      <c r="J967" s="33"/>
      <c r="K967" s="33"/>
      <c r="L967" s="33"/>
      <c r="M967" s="33"/>
      <c r="N967" s="33"/>
      <c r="O967" s="33"/>
      <c r="P967" s="33"/>
      <c r="Q967" s="33"/>
      <c r="R967" s="33"/>
    </row>
    <row r="968">
      <c r="A968" s="33"/>
      <c r="B968" s="33"/>
      <c r="C968" s="33"/>
      <c r="D968" s="33"/>
      <c r="E968" s="33"/>
      <c r="F968" s="33"/>
      <c r="G968" s="33"/>
      <c r="H968" s="33"/>
      <c r="I968" s="33"/>
      <c r="J968" s="33"/>
      <c r="K968" s="33"/>
      <c r="L968" s="33"/>
      <c r="M968" s="33"/>
      <c r="N968" s="33"/>
      <c r="O968" s="33"/>
      <c r="P968" s="33"/>
      <c r="Q968" s="33"/>
      <c r="R968" s="33"/>
    </row>
    <row r="969">
      <c r="A969" s="33"/>
      <c r="B969" s="33"/>
      <c r="C969" s="33"/>
      <c r="D969" s="33"/>
      <c r="E969" s="33"/>
      <c r="F969" s="33"/>
      <c r="G969" s="33"/>
      <c r="H969" s="33"/>
      <c r="I969" s="33"/>
      <c r="J969" s="33"/>
      <c r="K969" s="33"/>
      <c r="L969" s="33"/>
      <c r="M969" s="33"/>
      <c r="N969" s="33"/>
      <c r="O969" s="33"/>
      <c r="P969" s="33"/>
      <c r="Q969" s="33"/>
      <c r="R969" s="33"/>
    </row>
    <row r="970">
      <c r="A970" s="33"/>
      <c r="B970" s="33"/>
      <c r="C970" s="33"/>
      <c r="D970" s="33"/>
      <c r="E970" s="33"/>
      <c r="F970" s="33"/>
      <c r="G970" s="33"/>
      <c r="H970" s="33"/>
      <c r="I970" s="33"/>
      <c r="J970" s="33"/>
      <c r="K970" s="33"/>
      <c r="L970" s="33"/>
      <c r="M970" s="33"/>
      <c r="N970" s="33"/>
      <c r="O970" s="33"/>
      <c r="P970" s="33"/>
      <c r="Q970" s="33"/>
      <c r="R970" s="33"/>
    </row>
    <row r="971">
      <c r="A971" s="33"/>
      <c r="B971" s="33"/>
      <c r="C971" s="33"/>
      <c r="D971" s="33"/>
      <c r="E971" s="33"/>
      <c r="F971" s="33"/>
      <c r="G971" s="33"/>
      <c r="H971" s="33"/>
      <c r="I971" s="33"/>
      <c r="J971" s="33"/>
      <c r="K971" s="33"/>
      <c r="L971" s="33"/>
      <c r="M971" s="33"/>
      <c r="N971" s="33"/>
      <c r="O971" s="33"/>
      <c r="P971" s="33"/>
      <c r="Q971" s="33"/>
      <c r="R971" s="33"/>
    </row>
    <row r="972">
      <c r="A972" s="33"/>
      <c r="B972" s="33"/>
      <c r="C972" s="33"/>
      <c r="D972" s="33"/>
      <c r="E972" s="33"/>
      <c r="F972" s="33"/>
      <c r="G972" s="33"/>
      <c r="H972" s="33"/>
      <c r="I972" s="33"/>
      <c r="J972" s="33"/>
      <c r="K972" s="33"/>
      <c r="L972" s="33"/>
      <c r="M972" s="33"/>
      <c r="N972" s="33"/>
      <c r="O972" s="33"/>
      <c r="P972" s="33"/>
      <c r="Q972" s="33"/>
      <c r="R972" s="33"/>
    </row>
    <row r="973">
      <c r="A973" s="33"/>
      <c r="B973" s="33"/>
      <c r="C973" s="33"/>
      <c r="D973" s="33"/>
      <c r="E973" s="33"/>
      <c r="F973" s="33"/>
      <c r="G973" s="33"/>
      <c r="H973" s="33"/>
      <c r="I973" s="33"/>
      <c r="J973" s="33"/>
      <c r="K973" s="33"/>
      <c r="L973" s="33"/>
      <c r="M973" s="33"/>
      <c r="N973" s="33"/>
      <c r="O973" s="33"/>
      <c r="P973" s="33"/>
      <c r="Q973" s="33"/>
      <c r="R973" s="33"/>
    </row>
    <row r="974">
      <c r="A974" s="33"/>
      <c r="B974" s="33"/>
      <c r="C974" s="33"/>
      <c r="D974" s="33"/>
      <c r="E974" s="33"/>
      <c r="F974" s="33"/>
      <c r="G974" s="33"/>
      <c r="H974" s="33"/>
      <c r="I974" s="33"/>
      <c r="J974" s="33"/>
      <c r="K974" s="33"/>
      <c r="L974" s="33"/>
      <c r="M974" s="33"/>
      <c r="N974" s="33"/>
      <c r="O974" s="33"/>
      <c r="P974" s="33"/>
      <c r="Q974" s="33"/>
      <c r="R974" s="33"/>
    </row>
    <row r="975">
      <c r="A975" s="33"/>
      <c r="B975" s="33"/>
      <c r="C975" s="33"/>
      <c r="D975" s="33"/>
      <c r="E975" s="33"/>
      <c r="F975" s="33"/>
      <c r="G975" s="33"/>
      <c r="H975" s="33"/>
      <c r="I975" s="33"/>
      <c r="J975" s="33"/>
      <c r="K975" s="33"/>
      <c r="L975" s="33"/>
      <c r="M975" s="33"/>
      <c r="N975" s="33"/>
      <c r="O975" s="33"/>
      <c r="P975" s="33"/>
      <c r="Q975" s="33"/>
      <c r="R975" s="33"/>
    </row>
    <row r="976">
      <c r="A976" s="33"/>
      <c r="B976" s="33"/>
      <c r="C976" s="33"/>
      <c r="D976" s="33"/>
      <c r="E976" s="33"/>
      <c r="F976" s="33"/>
      <c r="G976" s="33"/>
      <c r="H976" s="33"/>
      <c r="I976" s="33"/>
      <c r="J976" s="33"/>
      <c r="K976" s="33"/>
      <c r="L976" s="33"/>
      <c r="M976" s="33"/>
      <c r="N976" s="33"/>
      <c r="O976" s="33"/>
      <c r="P976" s="33"/>
      <c r="Q976" s="33"/>
      <c r="R976" s="33"/>
    </row>
    <row r="977">
      <c r="A977" s="33"/>
      <c r="B977" s="33"/>
      <c r="C977" s="33"/>
      <c r="D977" s="33"/>
      <c r="E977" s="33"/>
      <c r="F977" s="33"/>
      <c r="G977" s="33"/>
      <c r="H977" s="33"/>
      <c r="I977" s="33"/>
      <c r="J977" s="33"/>
      <c r="K977" s="33"/>
      <c r="L977" s="33"/>
      <c r="M977" s="33"/>
      <c r="N977" s="33"/>
      <c r="O977" s="33"/>
      <c r="P977" s="33"/>
      <c r="Q977" s="33"/>
      <c r="R977" s="33"/>
    </row>
    <row r="978">
      <c r="A978" s="33"/>
      <c r="B978" s="33"/>
      <c r="C978" s="33"/>
      <c r="D978" s="33"/>
      <c r="E978" s="33"/>
      <c r="F978" s="33"/>
      <c r="G978" s="33"/>
      <c r="H978" s="33"/>
      <c r="I978" s="33"/>
      <c r="J978" s="33"/>
      <c r="K978" s="33"/>
      <c r="L978" s="33"/>
      <c r="M978" s="33"/>
      <c r="N978" s="33"/>
      <c r="O978" s="33"/>
      <c r="P978" s="33"/>
      <c r="Q978" s="33"/>
      <c r="R978" s="33"/>
    </row>
    <row r="979">
      <c r="A979" s="33"/>
      <c r="B979" s="33"/>
      <c r="C979" s="33"/>
      <c r="D979" s="33"/>
      <c r="E979" s="33"/>
      <c r="F979" s="33"/>
      <c r="G979" s="33"/>
      <c r="H979" s="33"/>
      <c r="I979" s="33"/>
      <c r="J979" s="33"/>
      <c r="K979" s="33"/>
      <c r="L979" s="33"/>
      <c r="M979" s="33"/>
      <c r="N979" s="33"/>
      <c r="O979" s="33"/>
      <c r="P979" s="33"/>
      <c r="Q979" s="33"/>
      <c r="R979" s="33"/>
    </row>
    <row r="980">
      <c r="A980" s="33"/>
      <c r="B980" s="33"/>
      <c r="C980" s="33"/>
      <c r="D980" s="33"/>
      <c r="E980" s="33"/>
      <c r="F980" s="33"/>
      <c r="G980" s="33"/>
      <c r="H980" s="33"/>
      <c r="I980" s="33"/>
      <c r="J980" s="33"/>
      <c r="K980" s="33"/>
      <c r="L980" s="33"/>
      <c r="M980" s="33"/>
      <c r="N980" s="33"/>
      <c r="O980" s="33"/>
      <c r="P980" s="33"/>
      <c r="Q980" s="33"/>
      <c r="R980" s="33"/>
    </row>
    <row r="981">
      <c r="A981" s="33"/>
      <c r="B981" s="33"/>
      <c r="C981" s="33"/>
      <c r="D981" s="33"/>
      <c r="E981" s="33"/>
      <c r="F981" s="33"/>
      <c r="G981" s="33"/>
      <c r="H981" s="33"/>
      <c r="I981" s="33"/>
      <c r="J981" s="33"/>
      <c r="K981" s="33"/>
      <c r="L981" s="33"/>
      <c r="M981" s="33"/>
      <c r="N981" s="33"/>
      <c r="O981" s="33"/>
      <c r="P981" s="33"/>
      <c r="Q981" s="33"/>
      <c r="R981" s="33"/>
    </row>
    <row r="982">
      <c r="A982" s="33"/>
      <c r="B982" s="33"/>
      <c r="C982" s="33"/>
      <c r="D982" s="33"/>
      <c r="E982" s="33"/>
      <c r="F982" s="33"/>
      <c r="G982" s="33"/>
      <c r="H982" s="33"/>
      <c r="I982" s="33"/>
      <c r="J982" s="33"/>
      <c r="K982" s="33"/>
      <c r="L982" s="33"/>
      <c r="M982" s="33"/>
      <c r="N982" s="33"/>
      <c r="O982" s="33"/>
      <c r="P982" s="33"/>
      <c r="Q982" s="33"/>
      <c r="R982" s="33"/>
    </row>
    <row r="983">
      <c r="A983" s="33"/>
      <c r="B983" s="33"/>
      <c r="C983" s="33"/>
      <c r="D983" s="33"/>
      <c r="E983" s="33"/>
      <c r="F983" s="33"/>
      <c r="G983" s="33"/>
      <c r="H983" s="33"/>
      <c r="I983" s="33"/>
      <c r="J983" s="33"/>
      <c r="K983" s="33"/>
      <c r="L983" s="33"/>
      <c r="M983" s="33"/>
      <c r="N983" s="33"/>
      <c r="O983" s="33"/>
      <c r="P983" s="33"/>
      <c r="Q983" s="33"/>
      <c r="R983" s="33"/>
    </row>
    <row r="984">
      <c r="A984" s="33"/>
      <c r="B984" s="33"/>
      <c r="C984" s="33"/>
      <c r="D984" s="33"/>
      <c r="E984" s="33"/>
      <c r="F984" s="33"/>
      <c r="G984" s="33"/>
      <c r="H984" s="33"/>
      <c r="I984" s="33"/>
      <c r="J984" s="33"/>
      <c r="K984" s="33"/>
      <c r="L984" s="33"/>
      <c r="M984" s="33"/>
      <c r="N984" s="33"/>
      <c r="O984" s="33"/>
      <c r="P984" s="33"/>
      <c r="Q984" s="33"/>
      <c r="R984" s="33"/>
    </row>
    <row r="985">
      <c r="A985" s="33"/>
      <c r="B985" s="33"/>
      <c r="C985" s="33"/>
      <c r="D985" s="33"/>
      <c r="E985" s="33"/>
      <c r="F985" s="33"/>
      <c r="G985" s="33"/>
      <c r="H985" s="33"/>
      <c r="I985" s="33"/>
      <c r="J985" s="33"/>
      <c r="K985" s="33"/>
      <c r="L985" s="33"/>
      <c r="M985" s="33"/>
      <c r="N985" s="33"/>
      <c r="O985" s="33"/>
      <c r="P985" s="33"/>
      <c r="Q985" s="33"/>
      <c r="R985" s="33"/>
    </row>
    <row r="986">
      <c r="A986" s="33"/>
      <c r="B986" s="33"/>
      <c r="C986" s="33"/>
      <c r="D986" s="33"/>
      <c r="E986" s="33"/>
      <c r="F986" s="33"/>
      <c r="G986" s="33"/>
      <c r="H986" s="33"/>
      <c r="I986" s="33"/>
      <c r="J986" s="33"/>
      <c r="K986" s="33"/>
      <c r="L986" s="33"/>
      <c r="M986" s="33"/>
      <c r="N986" s="33"/>
      <c r="O986" s="33"/>
      <c r="P986" s="33"/>
      <c r="Q986" s="33"/>
      <c r="R986" s="33"/>
    </row>
    <row r="987">
      <c r="A987" s="33"/>
      <c r="B987" s="33"/>
      <c r="C987" s="33"/>
      <c r="D987" s="33"/>
      <c r="E987" s="33"/>
      <c r="F987" s="33"/>
      <c r="G987" s="33"/>
      <c r="H987" s="33"/>
      <c r="I987" s="33"/>
      <c r="J987" s="33"/>
      <c r="K987" s="33"/>
      <c r="L987" s="33"/>
      <c r="M987" s="33"/>
      <c r="N987" s="33"/>
      <c r="O987" s="33"/>
      <c r="P987" s="33"/>
      <c r="Q987" s="33"/>
      <c r="R987" s="33"/>
    </row>
    <row r="988">
      <c r="A988" s="33"/>
      <c r="B988" s="33"/>
      <c r="C988" s="33"/>
      <c r="D988" s="33"/>
      <c r="E988" s="33"/>
      <c r="F988" s="33"/>
      <c r="G988" s="33"/>
      <c r="H988" s="33"/>
      <c r="I988" s="33"/>
      <c r="J988" s="33"/>
      <c r="K988" s="33"/>
      <c r="L988" s="33"/>
      <c r="M988" s="33"/>
      <c r="N988" s="33"/>
      <c r="O988" s="33"/>
      <c r="P988" s="33"/>
      <c r="Q988" s="33"/>
      <c r="R988" s="33"/>
    </row>
    <row r="989">
      <c r="A989" s="33"/>
      <c r="B989" s="33"/>
      <c r="C989" s="33"/>
      <c r="D989" s="33"/>
      <c r="E989" s="33"/>
      <c r="F989" s="33"/>
      <c r="G989" s="33"/>
      <c r="H989" s="33"/>
      <c r="I989" s="33"/>
      <c r="J989" s="33"/>
      <c r="K989" s="33"/>
      <c r="L989" s="33"/>
      <c r="M989" s="33"/>
      <c r="N989" s="33"/>
      <c r="O989" s="33"/>
      <c r="P989" s="33"/>
      <c r="Q989" s="33"/>
      <c r="R989" s="33"/>
    </row>
    <row r="990">
      <c r="A990" s="33"/>
      <c r="B990" s="33"/>
      <c r="C990" s="33"/>
      <c r="D990" s="33"/>
      <c r="E990" s="33"/>
      <c r="F990" s="33"/>
      <c r="G990" s="33"/>
      <c r="H990" s="33"/>
      <c r="I990" s="33"/>
      <c r="J990" s="33"/>
      <c r="K990" s="33"/>
      <c r="L990" s="33"/>
      <c r="M990" s="33"/>
      <c r="N990" s="33"/>
      <c r="O990" s="33"/>
      <c r="P990" s="33"/>
      <c r="Q990" s="33"/>
      <c r="R990" s="33"/>
    </row>
    <row r="991">
      <c r="A991" s="33"/>
      <c r="B991" s="33"/>
      <c r="C991" s="33"/>
      <c r="D991" s="33"/>
      <c r="E991" s="33"/>
      <c r="F991" s="33"/>
      <c r="G991" s="33"/>
      <c r="H991" s="33"/>
      <c r="I991" s="33"/>
      <c r="J991" s="33"/>
      <c r="K991" s="33"/>
      <c r="L991" s="33"/>
      <c r="M991" s="33"/>
      <c r="N991" s="33"/>
      <c r="O991" s="33"/>
      <c r="P991" s="33"/>
      <c r="Q991" s="33"/>
      <c r="R991" s="33"/>
    </row>
    <row r="992">
      <c r="A992" s="33"/>
      <c r="B992" s="33"/>
      <c r="C992" s="33"/>
      <c r="D992" s="33"/>
      <c r="E992" s="33"/>
      <c r="F992" s="33"/>
      <c r="G992" s="33"/>
      <c r="H992" s="33"/>
      <c r="I992" s="33"/>
      <c r="J992" s="33"/>
      <c r="K992" s="33"/>
      <c r="L992" s="33"/>
      <c r="M992" s="33"/>
      <c r="N992" s="33"/>
      <c r="O992" s="33"/>
      <c r="P992" s="33"/>
      <c r="Q992" s="33"/>
      <c r="R992" s="33"/>
    </row>
    <row r="993">
      <c r="A993" s="33"/>
      <c r="B993" s="33"/>
      <c r="C993" s="33"/>
      <c r="D993" s="33"/>
      <c r="E993" s="33"/>
      <c r="F993" s="33"/>
      <c r="G993" s="33"/>
      <c r="H993" s="33"/>
      <c r="I993" s="33"/>
      <c r="J993" s="33"/>
      <c r="K993" s="33"/>
      <c r="L993" s="33"/>
      <c r="M993" s="33"/>
      <c r="N993" s="33"/>
      <c r="O993" s="33"/>
      <c r="P993" s="33"/>
      <c r="Q993" s="33"/>
      <c r="R993" s="33"/>
    </row>
    <row r="994">
      <c r="A994" s="33"/>
      <c r="B994" s="33"/>
      <c r="C994" s="33"/>
      <c r="D994" s="33"/>
      <c r="E994" s="33"/>
      <c r="F994" s="33"/>
      <c r="G994" s="33"/>
      <c r="H994" s="33"/>
      <c r="I994" s="33"/>
      <c r="J994" s="33"/>
      <c r="K994" s="33"/>
      <c r="L994" s="33"/>
      <c r="M994" s="33"/>
      <c r="N994" s="33"/>
      <c r="O994" s="33"/>
      <c r="P994" s="33"/>
      <c r="Q994" s="33"/>
      <c r="R994" s="33"/>
    </row>
    <row r="995">
      <c r="A995" s="33"/>
      <c r="B995" s="33"/>
      <c r="C995" s="33"/>
      <c r="D995" s="33"/>
      <c r="E995" s="33"/>
      <c r="F995" s="33"/>
      <c r="G995" s="33"/>
      <c r="H995" s="33"/>
      <c r="I995" s="33"/>
      <c r="J995" s="33"/>
      <c r="K995" s="33"/>
      <c r="L995" s="33"/>
      <c r="M995" s="33"/>
      <c r="N995" s="33"/>
      <c r="O995" s="33"/>
      <c r="P995" s="33"/>
      <c r="Q995" s="33"/>
      <c r="R995" s="33"/>
    </row>
    <row r="996">
      <c r="A996" s="33"/>
      <c r="B996" s="33"/>
      <c r="C996" s="33"/>
      <c r="D996" s="33"/>
      <c r="E996" s="33"/>
      <c r="F996" s="33"/>
      <c r="G996" s="33"/>
      <c r="H996" s="33"/>
      <c r="I996" s="33"/>
      <c r="J996" s="33"/>
      <c r="K996" s="33"/>
      <c r="L996" s="33"/>
      <c r="M996" s="33"/>
      <c r="N996" s="33"/>
      <c r="O996" s="33"/>
      <c r="P996" s="33"/>
      <c r="Q996" s="33"/>
      <c r="R996" s="33"/>
    </row>
    <row r="997">
      <c r="A997" s="33"/>
      <c r="B997" s="33"/>
      <c r="C997" s="33"/>
      <c r="D997" s="33"/>
      <c r="E997" s="33"/>
      <c r="F997" s="33"/>
      <c r="G997" s="33"/>
      <c r="H997" s="33"/>
      <c r="I997" s="33"/>
      <c r="J997" s="33"/>
      <c r="K997" s="33"/>
      <c r="L997" s="33"/>
      <c r="M997" s="33"/>
      <c r="N997" s="33"/>
      <c r="O997" s="33"/>
      <c r="P997" s="33"/>
      <c r="Q997" s="33"/>
      <c r="R997" s="33"/>
    </row>
    <row r="998">
      <c r="A998" s="33"/>
      <c r="B998" s="33"/>
      <c r="C998" s="33"/>
      <c r="D998" s="33"/>
      <c r="E998" s="33"/>
      <c r="F998" s="33"/>
      <c r="G998" s="33"/>
      <c r="H998" s="33"/>
      <c r="I998" s="33"/>
      <c r="J998" s="33"/>
      <c r="K998" s="33"/>
      <c r="L998" s="33"/>
      <c r="M998" s="33"/>
      <c r="N998" s="33"/>
      <c r="O998" s="33"/>
      <c r="P998" s="33"/>
      <c r="Q998" s="33"/>
      <c r="R998" s="33"/>
    </row>
    <row r="999">
      <c r="A999" s="33"/>
      <c r="B999" s="33"/>
      <c r="C999" s="33"/>
      <c r="D999" s="33"/>
      <c r="E999" s="33"/>
      <c r="F999" s="33"/>
      <c r="G999" s="33"/>
      <c r="H999" s="33"/>
      <c r="I999" s="33"/>
      <c r="J999" s="33"/>
      <c r="K999" s="33"/>
      <c r="L999" s="33"/>
      <c r="M999" s="33"/>
      <c r="N999" s="33"/>
      <c r="O999" s="33"/>
      <c r="P999" s="33"/>
      <c r="Q999" s="33"/>
      <c r="R999" s="33"/>
    </row>
    <row r="1000">
      <c r="A1000" s="33"/>
      <c r="B1000" s="33"/>
      <c r="C1000" s="33"/>
      <c r="D1000" s="33"/>
      <c r="E1000" s="33"/>
      <c r="F1000" s="33"/>
      <c r="G1000" s="33"/>
      <c r="H1000" s="33"/>
      <c r="I1000" s="33"/>
      <c r="J1000" s="33"/>
      <c r="K1000" s="33"/>
      <c r="L1000" s="33"/>
      <c r="M1000" s="33"/>
      <c r="N1000" s="33"/>
      <c r="O1000" s="33"/>
      <c r="P1000" s="33"/>
      <c r="Q1000" s="33"/>
      <c r="R1000" s="33"/>
    </row>
    <row r="1001">
      <c r="A1001" s="33"/>
      <c r="B1001" s="33"/>
      <c r="C1001" s="33"/>
      <c r="D1001" s="33"/>
      <c r="E1001" s="33"/>
      <c r="F1001" s="33"/>
      <c r="G1001" s="33"/>
      <c r="H1001" s="33"/>
      <c r="I1001" s="33"/>
      <c r="J1001" s="33"/>
      <c r="K1001" s="33"/>
      <c r="L1001" s="33"/>
      <c r="M1001" s="33"/>
      <c r="N1001" s="33"/>
      <c r="O1001" s="33"/>
      <c r="P1001" s="33"/>
      <c r="Q1001" s="33"/>
      <c r="R1001" s="33"/>
    </row>
    <row r="1002">
      <c r="A1002" s="33"/>
      <c r="B1002" s="33"/>
      <c r="C1002" s="33"/>
      <c r="D1002" s="33"/>
      <c r="E1002" s="33"/>
      <c r="F1002" s="33"/>
      <c r="G1002" s="33"/>
      <c r="H1002" s="33"/>
      <c r="I1002" s="33"/>
      <c r="J1002" s="33"/>
      <c r="K1002" s="33"/>
      <c r="L1002" s="33"/>
      <c r="M1002" s="33"/>
      <c r="N1002" s="33"/>
      <c r="O1002" s="33"/>
      <c r="P1002" s="33"/>
      <c r="Q1002" s="33"/>
      <c r="R1002" s="33"/>
    </row>
    <row r="1003">
      <c r="A1003" s="33"/>
      <c r="B1003" s="33"/>
      <c r="C1003" s="33"/>
      <c r="D1003" s="33"/>
      <c r="E1003" s="33"/>
      <c r="F1003" s="33"/>
      <c r="G1003" s="33"/>
      <c r="H1003" s="33"/>
      <c r="I1003" s="33"/>
      <c r="J1003" s="33"/>
      <c r="K1003" s="33"/>
      <c r="L1003" s="33"/>
      <c r="M1003" s="33"/>
      <c r="N1003" s="33"/>
      <c r="O1003" s="33"/>
      <c r="P1003" s="33"/>
      <c r="Q1003" s="33"/>
      <c r="R1003" s="33"/>
    </row>
    <row r="1004">
      <c r="A1004" s="33"/>
      <c r="B1004" s="33"/>
      <c r="C1004" s="33"/>
      <c r="D1004" s="33"/>
      <c r="E1004" s="33"/>
      <c r="F1004" s="33"/>
      <c r="G1004" s="33"/>
      <c r="H1004" s="33"/>
      <c r="I1004" s="33"/>
      <c r="J1004" s="33"/>
      <c r="K1004" s="33"/>
      <c r="L1004" s="33"/>
      <c r="M1004" s="33"/>
      <c r="N1004" s="33"/>
      <c r="O1004" s="33"/>
      <c r="P1004" s="33"/>
      <c r="Q1004" s="33"/>
      <c r="R1004" s="33"/>
    </row>
    <row r="1005">
      <c r="A1005" s="33"/>
      <c r="B1005" s="33"/>
      <c r="C1005" s="33"/>
      <c r="D1005" s="33"/>
      <c r="E1005" s="33"/>
      <c r="F1005" s="33"/>
      <c r="G1005" s="33"/>
      <c r="H1005" s="33"/>
      <c r="I1005" s="33"/>
      <c r="J1005" s="33"/>
      <c r="K1005" s="33"/>
      <c r="L1005" s="33"/>
      <c r="M1005" s="33"/>
      <c r="N1005" s="33"/>
      <c r="O1005" s="33"/>
      <c r="P1005" s="33"/>
      <c r="Q1005" s="33"/>
      <c r="R1005" s="33"/>
    </row>
  </sheetData>
  <autoFilter ref="$A$1:$R$26"/>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15.0"/>
    <col customWidth="1" min="3" max="3" width="15.63"/>
  </cols>
  <sheetData>
    <row r="1" ht="43.5" customHeight="1">
      <c r="A1" s="154" t="s">
        <v>38</v>
      </c>
      <c r="B1" s="154" t="s">
        <v>90</v>
      </c>
      <c r="C1" s="155" t="s">
        <v>288</v>
      </c>
      <c r="D1" s="154" t="s">
        <v>281</v>
      </c>
      <c r="E1" s="154" t="s">
        <v>209</v>
      </c>
      <c r="F1" s="154" t="s">
        <v>213</v>
      </c>
      <c r="G1" s="154" t="s">
        <v>216</v>
      </c>
      <c r="H1" s="154" t="s">
        <v>282</v>
      </c>
      <c r="I1" s="154" t="s">
        <v>222</v>
      </c>
      <c r="J1" s="154" t="s">
        <v>289</v>
      </c>
      <c r="K1" s="154" t="s">
        <v>290</v>
      </c>
      <c r="L1" s="154" t="s">
        <v>232</v>
      </c>
      <c r="M1" s="154" t="s">
        <v>235</v>
      </c>
      <c r="N1" s="154" t="s">
        <v>238</v>
      </c>
      <c r="O1" s="154" t="s">
        <v>242</v>
      </c>
      <c r="P1" s="154" t="s">
        <v>43</v>
      </c>
      <c r="Q1" s="154" t="s">
        <v>247</v>
      </c>
      <c r="R1" s="156" t="s">
        <v>285</v>
      </c>
    </row>
    <row r="2">
      <c r="A2" s="29">
        <v>1.0</v>
      </c>
      <c r="B2" s="29" t="s">
        <v>51</v>
      </c>
      <c r="C2" s="33">
        <f>R2/Weights_by_Category[[#TOTALS],[CLUTCH]]</f>
        <v>69.30265933</v>
      </c>
      <c r="D2" s="33">
        <f>NORMALIZED_DATA!B2*TIER_WEIGHTS!$E$2</f>
        <v>4.5</v>
      </c>
      <c r="E2" s="33">
        <f>NORMALIZED_DATA!C2*TIER_WEIGHTS!$E$8</f>
        <v>4.5</v>
      </c>
      <c r="F2" s="33">
        <f>NORMALIZED_DATA!D2*TIER_WEIGHTS!$E$7</f>
        <v>6</v>
      </c>
      <c r="G2" s="33">
        <f>NORMALIZED_DATA!F2*TIER_WEIGHTS!$E$3</f>
        <v>1.414847162</v>
      </c>
      <c r="H2" s="33">
        <f>NORMALIZED_DATA!G2*TIER_WEIGHTS!$E$9</f>
        <v>1.588235294</v>
      </c>
      <c r="I2" s="33">
        <f>NORMALIZED_DATA!H2*TIER_WEIGHTS!$E$14</f>
        <v>1</v>
      </c>
      <c r="J2" s="33">
        <f>NORMALIZED_DATA!M2*TIER_WEIGHTS!$E$4</f>
        <v>1.869669631</v>
      </c>
      <c r="K2" s="33">
        <f>NORMALIZED_DATA!R2*TIER_WEIGHTS!$E$5</f>
        <v>1.243081538</v>
      </c>
      <c r="L2" s="33">
        <f>NORMALIZED_DATA!U2*TIER_WEIGHTS!$E$12</f>
        <v>0.9692307692</v>
      </c>
      <c r="M2" s="33">
        <f>NORMALIZED_DATA!V2*TIER_WEIGHTS!$E$15</f>
        <v>0.05354584527</v>
      </c>
      <c r="N2" s="33">
        <f>NORMALIZED_DATA!W2*TIER_WEIGHTS!$E$13</f>
        <v>1.773913043</v>
      </c>
      <c r="O2" s="33">
        <f>NORMALIZED_DATA!Y2*TIER_WEIGHTS!$E$6</f>
        <v>2.169642857</v>
      </c>
      <c r="P2" s="33">
        <f>NORMALIZED_DATA!Z2*TIER_WEIGHTS!$E$11</f>
        <v>1.666666667</v>
      </c>
      <c r="Q2" s="33">
        <f>NORMALIZED_DATA!AA2*TIER_WEIGHTS!$E$10</f>
        <v>3.407601124</v>
      </c>
      <c r="R2" s="147">
        <f t="shared" ref="R2:R26" si="1">sum(D2:Q2)</f>
        <v>32.15643393</v>
      </c>
    </row>
    <row r="3">
      <c r="A3" s="29">
        <v>2.0</v>
      </c>
      <c r="B3" s="29" t="s">
        <v>56</v>
      </c>
      <c r="C3" s="33">
        <f>R3/Weights_by_Category[[#TOTALS],[CLUTCH]]</f>
        <v>56.47080738</v>
      </c>
      <c r="D3" s="33">
        <f>NORMALIZED_DATA!B3*TIER_WEIGHTS!$E$2</f>
        <v>2.571428571</v>
      </c>
      <c r="E3" s="33">
        <f>NORMALIZED_DATA!C3*TIER_WEIGHTS!$E$8</f>
        <v>1.9375</v>
      </c>
      <c r="F3" s="33">
        <f>NORMALIZED_DATA!D3*TIER_WEIGHTS!$E$7</f>
        <v>3.6</v>
      </c>
      <c r="G3" s="33">
        <f>NORMALIZED_DATA!F3*TIER_WEIGHTS!$E$3</f>
        <v>0.6406113537</v>
      </c>
      <c r="H3" s="33">
        <f>NORMALIZED_DATA!G3*TIER_WEIGHTS!$E$9</f>
        <v>1.411764706</v>
      </c>
      <c r="I3" s="33">
        <f>NORMALIZED_DATA!H3*TIER_WEIGHTS!$E$14</f>
        <v>0.4166666667</v>
      </c>
      <c r="J3" s="33">
        <f>NORMALIZED_DATA!M3*TIER_WEIGHTS!$E$4</f>
        <v>2.947321062</v>
      </c>
      <c r="K3" s="33">
        <f>NORMALIZED_DATA!R3*TIER_WEIGHTS!$E$5</f>
        <v>2.695673001</v>
      </c>
      <c r="L3" s="33">
        <f>NORMALIZED_DATA!U3*TIER_WEIGHTS!$E$12</f>
        <v>1.246153846</v>
      </c>
      <c r="M3" s="33">
        <f>NORMALIZED_DATA!V3*TIER_WEIGHTS!$E$15</f>
        <v>0.1498925501</v>
      </c>
      <c r="N3" s="33">
        <f>NORMALIZED_DATA!W3*TIER_WEIGHTS!$E$13</f>
        <v>1.72173913</v>
      </c>
      <c r="O3" s="33">
        <f>NORMALIZED_DATA!Y3*TIER_WEIGHTS!$E$6</f>
        <v>1.553571429</v>
      </c>
      <c r="P3" s="33">
        <f>NORMALIZED_DATA!Z3*TIER_WEIGHTS!$E$11</f>
        <v>1</v>
      </c>
      <c r="Q3" s="33">
        <f>NORMALIZED_DATA!AA3*TIER_WEIGHTS!$E$10</f>
        <v>4.310132308</v>
      </c>
      <c r="R3" s="147">
        <f t="shared" si="1"/>
        <v>26.20245462</v>
      </c>
    </row>
    <row r="4">
      <c r="A4" s="29">
        <v>3.0</v>
      </c>
      <c r="B4" s="29" t="s">
        <v>66</v>
      </c>
      <c r="C4" s="33">
        <f>R4/Weights_by_Category[[#TOTALS],[CLUTCH]]</f>
        <v>55.01993475</v>
      </c>
      <c r="D4" s="33">
        <f>NORMALIZED_DATA!B6*TIER_WEIGHTS!$E$2</f>
        <v>3.214285714</v>
      </c>
      <c r="E4" s="33">
        <f>NORMALIZED_DATA!C6*TIER_WEIGHTS!$E$8</f>
        <v>0.875</v>
      </c>
      <c r="F4" s="33">
        <f>NORMALIZED_DATA!D6*TIER_WEIGHTS!$E$7</f>
        <v>2.4</v>
      </c>
      <c r="G4" s="33">
        <f>NORMALIZED_DATA!F6*TIER_WEIGHTS!$E$3</f>
        <v>0.1650655022</v>
      </c>
      <c r="H4" s="33">
        <f>NORMALIZED_DATA!G6*TIER_WEIGHTS!$E$9</f>
        <v>0.8823529412</v>
      </c>
      <c r="I4" s="33">
        <f>NORMALIZED_DATA!H6*TIER_WEIGHTS!$E$14</f>
        <v>0.08333333333</v>
      </c>
      <c r="J4" s="33">
        <f>NORMALIZED_DATA!M6*TIER_WEIGHTS!$E$4</f>
        <v>4.5</v>
      </c>
      <c r="K4" s="33">
        <f>NORMALIZED_DATA!R6*TIER_WEIGHTS!$E$5</f>
        <v>4.5</v>
      </c>
      <c r="L4" s="33">
        <f>NORMALIZED_DATA!U6*TIER_WEIGHTS!$E$12</f>
        <v>0.6230769231</v>
      </c>
      <c r="M4" s="33">
        <f>NORMALIZED_DATA!V6*TIER_WEIGHTS!$E$15</f>
        <v>0.1130014327</v>
      </c>
      <c r="N4" s="33">
        <f>NORMALIZED_DATA!W6*TIER_WEIGHTS!$E$13</f>
        <v>0.7630434783</v>
      </c>
      <c r="O4" s="33">
        <f>NORMALIZED_DATA!Y6*TIER_WEIGHTS!$E$6</f>
        <v>0.8571428571</v>
      </c>
      <c r="P4" s="33">
        <f>NORMALIZED_DATA!Z6*TIER_WEIGHTS!$E$11</f>
        <v>1</v>
      </c>
      <c r="Q4" s="33">
        <f>NORMALIZED_DATA!AA6*TIER_WEIGHTS!$E$10</f>
        <v>5.55294754</v>
      </c>
      <c r="R4" s="147">
        <f t="shared" si="1"/>
        <v>25.52924972</v>
      </c>
    </row>
    <row r="5">
      <c r="A5" s="29">
        <v>4.0</v>
      </c>
      <c r="B5" s="29" t="s">
        <v>52</v>
      </c>
      <c r="C5" s="33">
        <f>R5/Weights_by_Category[[#TOTALS],[CLUTCH]]</f>
        <v>50.34582294</v>
      </c>
      <c r="D5" s="33">
        <f>NORMALIZED_DATA!B4*TIER_WEIGHTS!$E$2</f>
        <v>1.285714286</v>
      </c>
      <c r="E5" s="33">
        <f>NORMALIZED_DATA!C4*TIER_WEIGHTS!$E$8</f>
        <v>1.8125</v>
      </c>
      <c r="F5" s="33">
        <f>NORMALIZED_DATA!D4*TIER_WEIGHTS!$E$7</f>
        <v>1.2</v>
      </c>
      <c r="G5" s="33">
        <f>NORMALIZED_DATA!F4*TIER_WEIGHTS!$E$3</f>
        <v>1.8</v>
      </c>
      <c r="H5" s="33">
        <f>NORMALIZED_DATA!G4*TIER_WEIGHTS!$E$9</f>
        <v>3</v>
      </c>
      <c r="I5" s="33">
        <f>NORMALIZED_DATA!H4*TIER_WEIGHTS!$E$14</f>
        <v>0.9166666667</v>
      </c>
      <c r="J5" s="33">
        <f>NORMALIZED_DATA!M4*TIER_WEIGHTS!$E$4</f>
        <v>1.533796309</v>
      </c>
      <c r="K5" s="33">
        <f>NORMALIZED_DATA!R4*TIER_WEIGHTS!$E$5</f>
        <v>0.5309347755</v>
      </c>
      <c r="L5" s="33">
        <f>NORMALIZED_DATA!U4*TIER_WEIGHTS!$E$12</f>
        <v>1.246153846</v>
      </c>
      <c r="M5" s="33">
        <f>NORMALIZED_DATA!V4*TIER_WEIGHTS!$E$15</f>
        <v>0.03850286533</v>
      </c>
      <c r="N5" s="33">
        <f>NORMALIZED_DATA!W4*TIER_WEIGHTS!$E$13</f>
        <v>1.434782609</v>
      </c>
      <c r="O5" s="33">
        <f>NORMALIZED_DATA!Y4*TIER_WEIGHTS!$E$6</f>
        <v>2.678571429</v>
      </c>
      <c r="P5" s="33">
        <f>NORMALIZED_DATA!Z4*TIER_WEIGHTS!$E$11</f>
        <v>2.666666667</v>
      </c>
      <c r="Q5" s="33">
        <f>NORMALIZED_DATA!AA4*TIER_WEIGHTS!$E$10</f>
        <v>3.216172391</v>
      </c>
      <c r="R5" s="147">
        <f t="shared" si="1"/>
        <v>23.36046184</v>
      </c>
    </row>
    <row r="6">
      <c r="A6" s="29">
        <v>5.0</v>
      </c>
      <c r="B6" s="29" t="s">
        <v>55</v>
      </c>
      <c r="C6" s="33">
        <f>R6/Weights_by_Category[[#TOTALS],[CLUTCH]]</f>
        <v>48.55998046</v>
      </c>
      <c r="D6" s="33">
        <f>NORMALIZED_DATA!B9*TIER_WEIGHTS!$E$2</f>
        <v>1.928571429</v>
      </c>
      <c r="E6" s="33">
        <f>NORMALIZED_DATA!C9*TIER_WEIGHTS!$E$8</f>
        <v>2.25</v>
      </c>
      <c r="F6" s="33">
        <f>NORMALIZED_DATA!D9*TIER_WEIGHTS!$E$7</f>
        <v>3.6</v>
      </c>
      <c r="G6" s="33">
        <f>NORMALIZED_DATA!F9*TIER_WEIGHTS!$E$3</f>
        <v>0.7585152838</v>
      </c>
      <c r="H6" s="33">
        <f>NORMALIZED_DATA!G9*TIER_WEIGHTS!$E$9</f>
        <v>0.8823529412</v>
      </c>
      <c r="I6" s="33">
        <f>NORMALIZED_DATA!H9*TIER_WEIGHTS!$E$14</f>
        <v>0.25</v>
      </c>
      <c r="J6" s="33">
        <f>NORMALIZED_DATA!M9*TIER_WEIGHTS!$E$4</f>
        <v>1.272796826</v>
      </c>
      <c r="K6" s="33">
        <f>NORMALIZED_DATA!R9*TIER_WEIGHTS!$E$5</f>
        <v>1.541322985</v>
      </c>
      <c r="L6" s="33">
        <f>NORMALIZED_DATA!U9*TIER_WEIGHTS!$E$12</f>
        <v>1.038461538</v>
      </c>
      <c r="M6" s="33">
        <f>NORMALIZED_DATA!V9*TIER_WEIGHTS!$E$15</f>
        <v>0.3732091691</v>
      </c>
      <c r="N6" s="33">
        <f>NORMALIZED_DATA!W9*TIER_WEIGHTS!$E$13</f>
        <v>1.382608696</v>
      </c>
      <c r="O6" s="33">
        <f>NORMALIZED_DATA!Y9*TIER_WEIGHTS!$E$6</f>
        <v>1.875</v>
      </c>
      <c r="P6" s="33">
        <f>NORMALIZED_DATA!Z9*TIER_WEIGHTS!$E$11</f>
        <v>1.333333333</v>
      </c>
      <c r="Q6" s="33">
        <f>NORMALIZED_DATA!AA9*TIER_WEIGHTS!$E$10</f>
        <v>4.04565873</v>
      </c>
      <c r="R6" s="147">
        <f t="shared" si="1"/>
        <v>22.53183093</v>
      </c>
    </row>
    <row r="7">
      <c r="A7" s="29">
        <v>6.0</v>
      </c>
      <c r="B7" s="29" t="s">
        <v>65</v>
      </c>
      <c r="C7" s="33">
        <f>R7/Weights_by_Category[[#TOTALS],[CLUTCH]]</f>
        <v>46.65660401</v>
      </c>
      <c r="D7" s="33">
        <f>NORMALIZED_DATA!B12*TIER_WEIGHTS!$E$2</f>
        <v>2.571428571</v>
      </c>
      <c r="E7" s="33">
        <f>NORMALIZED_DATA!C12*TIER_WEIGHTS!$E$8</f>
        <v>1.75</v>
      </c>
      <c r="F7" s="33">
        <f>NORMALIZED_DATA!D12*TIER_WEIGHTS!$E$7</f>
        <v>2.4</v>
      </c>
      <c r="G7" s="33">
        <f>NORMALIZED_DATA!F12*TIER_WEIGHTS!$E$3</f>
        <v>0.1925764192</v>
      </c>
      <c r="H7" s="33">
        <f>NORMALIZED_DATA!G12*TIER_WEIGHTS!$E$9</f>
        <v>0.3529411765</v>
      </c>
      <c r="I7" s="33">
        <f>NORMALIZED_DATA!H12*TIER_WEIGHTS!$E$14</f>
        <v>0</v>
      </c>
      <c r="J7" s="33">
        <f>NORMALIZED_DATA!M12*TIER_WEIGHTS!$E$4</f>
        <v>3.11848638</v>
      </c>
      <c r="K7" s="33">
        <f>NORMALIZED_DATA!R12*TIER_WEIGHTS!$E$5</f>
        <v>2.275789536</v>
      </c>
      <c r="L7" s="33">
        <f>NORMALIZED_DATA!U12*TIER_WEIGHTS!$E$12</f>
        <v>0.3461538462</v>
      </c>
      <c r="M7" s="33">
        <f>NORMALIZED_DATA!V12*TIER_WEIGHTS!$E$15</f>
        <v>0.2335243553</v>
      </c>
      <c r="N7" s="33">
        <f>NORMALIZED_DATA!W12*TIER_WEIGHTS!$E$13</f>
        <v>0.4434782609</v>
      </c>
      <c r="O7" s="33">
        <f>NORMALIZED_DATA!Y12*TIER_WEIGHTS!$E$6</f>
        <v>0.9642857143</v>
      </c>
      <c r="P7" s="33">
        <f>NORMALIZED_DATA!Z12*TIER_WEIGHTS!$E$11</f>
        <v>1</v>
      </c>
      <c r="Q7" s="33">
        <f>NORMALIZED_DATA!AA12*TIER_WEIGHTS!$E$10</f>
        <v>6</v>
      </c>
      <c r="R7" s="147">
        <f t="shared" si="1"/>
        <v>21.64866426</v>
      </c>
    </row>
    <row r="8">
      <c r="A8" s="29">
        <v>7.0</v>
      </c>
      <c r="B8" s="29" t="s">
        <v>57</v>
      </c>
      <c r="C8" s="33">
        <f>R8/Weights_by_Category[[#TOTALS],[CLUTCH]]</f>
        <v>45.99988741</v>
      </c>
      <c r="D8" s="33">
        <f>NORMALIZED_DATA!B13*TIER_WEIGHTS!$E$2</f>
        <v>0.6428571429</v>
      </c>
      <c r="E8" s="33">
        <f>NORMALIZED_DATA!C13*TIER_WEIGHTS!$E$8</f>
        <v>1.75</v>
      </c>
      <c r="F8" s="33">
        <f>NORMALIZED_DATA!D13*TIER_WEIGHTS!$E$7</f>
        <v>1.2</v>
      </c>
      <c r="G8" s="33">
        <f>NORMALIZED_DATA!F13*TIER_WEIGHTS!$E$3</f>
        <v>0.6995633188</v>
      </c>
      <c r="H8" s="33">
        <f>NORMALIZED_DATA!G13*TIER_WEIGHTS!$E$9</f>
        <v>1.588235294</v>
      </c>
      <c r="I8" s="33">
        <f>NORMALIZED_DATA!H13*TIER_WEIGHTS!$E$14</f>
        <v>0.3333333333</v>
      </c>
      <c r="J8" s="33">
        <f>NORMALIZED_DATA!M13*TIER_WEIGHTS!$E$4</f>
        <v>2.545914407</v>
      </c>
      <c r="K8" s="33">
        <f>NORMALIZED_DATA!R13*TIER_WEIGHTS!$E$5</f>
        <v>1.400367364</v>
      </c>
      <c r="L8" s="33">
        <f>NORMALIZED_DATA!U13*TIER_WEIGHTS!$E$12</f>
        <v>1.384615385</v>
      </c>
      <c r="M8" s="33">
        <f>NORMALIZED_DATA!V13*TIER_WEIGHTS!$E$15</f>
        <v>0.4430515759</v>
      </c>
      <c r="N8" s="33">
        <f>NORMALIZED_DATA!W13*TIER_WEIGHTS!$E$13</f>
        <v>1.095652174</v>
      </c>
      <c r="O8" s="33">
        <f>NORMALIZED_DATA!Y13*TIER_WEIGHTS!$E$6</f>
        <v>3</v>
      </c>
      <c r="P8" s="33">
        <f>NORMALIZED_DATA!Z13*TIER_WEIGHTS!$E$11</f>
        <v>2</v>
      </c>
      <c r="Q8" s="33">
        <f>NORMALIZED_DATA!AA13*TIER_WEIGHTS!$E$10</f>
        <v>3.260357765</v>
      </c>
      <c r="R8" s="147">
        <f t="shared" si="1"/>
        <v>21.34394776</v>
      </c>
    </row>
    <row r="9">
      <c r="A9" s="29">
        <v>8.0</v>
      </c>
      <c r="B9" s="29" t="s">
        <v>53</v>
      </c>
      <c r="C9" s="33">
        <f>R9/Weights_by_Category[[#TOTALS],[CLUTCH]]</f>
        <v>44.90880487</v>
      </c>
      <c r="D9" s="33">
        <f>NORMALIZED_DATA!B16*TIER_WEIGHTS!$E$2</f>
        <v>4.5</v>
      </c>
      <c r="E9" s="33">
        <f>NORMALIZED_DATA!C16*TIER_WEIGHTS!$E$8</f>
        <v>0.5</v>
      </c>
      <c r="F9" s="33">
        <f>NORMALIZED_DATA!D16*TIER_WEIGHTS!$E$7</f>
        <v>0</v>
      </c>
      <c r="G9" s="33">
        <f>NORMALIZED_DATA!F16*TIER_WEIGHTS!$E$3</f>
        <v>0.8292576419</v>
      </c>
      <c r="H9" s="33">
        <f>NORMALIZED_DATA!G16*TIER_WEIGHTS!$E$9</f>
        <v>1.764705882</v>
      </c>
      <c r="I9" s="33">
        <f>NORMALIZED_DATA!H16*TIER_WEIGHTS!$E$14</f>
        <v>0.1666666667</v>
      </c>
      <c r="J9" s="33">
        <f>NORMALIZED_DATA!M16*TIER_WEIGHTS!$E$4</f>
        <v>0.9992811433</v>
      </c>
      <c r="K9" s="33">
        <f>NORMALIZED_DATA!R16*TIER_WEIGHTS!$E$5</f>
        <v>0.9257163724</v>
      </c>
      <c r="L9" s="33">
        <f>NORMALIZED_DATA!U16*TIER_WEIGHTS!$E$12</f>
        <v>1.8</v>
      </c>
      <c r="M9" s="33">
        <f>NORMALIZED_DATA!V16*TIER_WEIGHTS!$E$15</f>
        <v>0.1189111748</v>
      </c>
      <c r="N9" s="33">
        <f>NORMALIZED_DATA!W16*TIER_WEIGHTS!$E$13</f>
        <v>1.773913043</v>
      </c>
      <c r="O9" s="33">
        <f>NORMALIZED_DATA!Y16*TIER_WEIGHTS!$E$6</f>
        <v>2.785714286</v>
      </c>
      <c r="P9" s="33">
        <f>NORMALIZED_DATA!Z16*TIER_WEIGHTS!$E$11</f>
        <v>2.666666667</v>
      </c>
      <c r="Q9" s="33">
        <f>NORMALIZED_DATA!AA16*TIER_WEIGHTS!$E$10</f>
        <v>2.006852582</v>
      </c>
      <c r="R9" s="147">
        <f t="shared" si="1"/>
        <v>20.83768546</v>
      </c>
    </row>
    <row r="10">
      <c r="A10" s="29">
        <v>9.0</v>
      </c>
      <c r="B10" s="29" t="s">
        <v>54</v>
      </c>
      <c r="C10" s="33">
        <f>R10/Weights_by_Category[[#TOTALS],[CLUTCH]]</f>
        <v>43.10401915</v>
      </c>
      <c r="D10" s="33">
        <f>NORMALIZED_DATA!B7*TIER_WEIGHTS!$E$2</f>
        <v>0.6428571429</v>
      </c>
      <c r="E10" s="33">
        <f>NORMALIZED_DATA!C7*TIER_WEIGHTS!$E$8</f>
        <v>1.25</v>
      </c>
      <c r="F10" s="33">
        <f>NORMALIZED_DATA!D7*TIER_WEIGHTS!$E$7</f>
        <v>1.2</v>
      </c>
      <c r="G10" s="33">
        <f>NORMALIZED_DATA!F7*TIER_WEIGHTS!$E$3</f>
        <v>1.289082969</v>
      </c>
      <c r="H10" s="33">
        <f>NORMALIZED_DATA!G7*TIER_WEIGHTS!$E$9</f>
        <v>1.588235294</v>
      </c>
      <c r="I10" s="33">
        <f>NORMALIZED_DATA!H7*TIER_WEIGHTS!$E$14</f>
        <v>0.5833333333</v>
      </c>
      <c r="J10" s="33">
        <f>NORMALIZED_DATA!M7*TIER_WEIGHTS!$E$4</f>
        <v>1.852532029</v>
      </c>
      <c r="K10" s="33">
        <f>NORMALIZED_DATA!R7*TIER_WEIGHTS!$E$5</f>
        <v>1.365080879</v>
      </c>
      <c r="L10" s="33">
        <f>NORMALIZED_DATA!U7*TIER_WEIGHTS!$E$12</f>
        <v>0.9</v>
      </c>
      <c r="M10" s="33">
        <f>NORMALIZED_DATA!V7*TIER_WEIGHTS!$E$15</f>
        <v>0.2406876791</v>
      </c>
      <c r="N10" s="33">
        <f>NORMALIZED_DATA!W7*TIER_WEIGHTS!$E$13</f>
        <v>1.486956522</v>
      </c>
      <c r="O10" s="33">
        <f>NORMALIZED_DATA!Y7*TIER_WEIGHTS!$E$6</f>
        <v>2.276785714</v>
      </c>
      <c r="P10" s="33">
        <f>NORMALIZED_DATA!Z7*TIER_WEIGHTS!$E$11</f>
        <v>1.666666667</v>
      </c>
      <c r="Q10" s="33">
        <f>NORMALIZED_DATA!AA7*TIER_WEIGHTS!$E$10</f>
        <v>3.658046657</v>
      </c>
      <c r="R10" s="147">
        <f t="shared" si="1"/>
        <v>20.00026489</v>
      </c>
    </row>
    <row r="11">
      <c r="A11" s="29">
        <v>10.0</v>
      </c>
      <c r="B11" s="29" t="s">
        <v>60</v>
      </c>
      <c r="C11" s="33">
        <f>R11/Weights_by_Category[[#TOTALS],[CLUTCH]]</f>
        <v>42.79536974</v>
      </c>
      <c r="D11" s="33">
        <f>NORMALIZED_DATA!B23*TIER_WEIGHTS!$E$2</f>
        <v>1.285714286</v>
      </c>
      <c r="E11" s="33">
        <f>NORMALIZED_DATA!C23*TIER_WEIGHTS!$E$8</f>
        <v>0.25</v>
      </c>
      <c r="F11" s="33">
        <f>NORMALIZED_DATA!D23*TIER_WEIGHTS!$E$7</f>
        <v>0</v>
      </c>
      <c r="G11" s="33">
        <f>NORMALIZED_DATA!F23*TIER_WEIGHTS!$E$3</f>
        <v>0</v>
      </c>
      <c r="H11" s="33">
        <f>NORMALIZED_DATA!G23*TIER_WEIGHTS!$E$9</f>
        <v>2.117647059</v>
      </c>
      <c r="I11" s="33">
        <f>NORMALIZED_DATA!H23*TIER_WEIGHTS!$E$14</f>
        <v>0.25</v>
      </c>
      <c r="J11" s="33">
        <f>NORMALIZED_DATA!M23*TIER_WEIGHTS!$E$4</f>
        <v>1.931277021</v>
      </c>
      <c r="K11" s="33">
        <f>NORMALIZED_DATA!R23*TIER_WEIGHTS!$E$5</f>
        <v>1.579962745</v>
      </c>
      <c r="L11" s="33">
        <f>NORMALIZED_DATA!U23*TIER_WEIGHTS!$E$12</f>
        <v>1.176923077</v>
      </c>
      <c r="M11" s="33">
        <f>NORMALIZED_DATA!V23*TIER_WEIGHTS!$E$15</f>
        <v>0.02847421203</v>
      </c>
      <c r="N11" s="33">
        <f>NORMALIZED_DATA!W23*TIER_WEIGHTS!$E$13</f>
        <v>1.8</v>
      </c>
      <c r="O11" s="33">
        <f>NORMALIZED_DATA!Y23*TIER_WEIGHTS!$E$6</f>
        <v>1.96875</v>
      </c>
      <c r="P11" s="33">
        <f>NORMALIZED_DATA!Z23*TIER_WEIGHTS!$E$11</f>
        <v>3</v>
      </c>
      <c r="Q11" s="33">
        <f>NORMALIZED_DATA!AA23*TIER_WEIGHTS!$E$10</f>
        <v>4.468303161</v>
      </c>
      <c r="R11" s="147">
        <f t="shared" si="1"/>
        <v>19.85705156</v>
      </c>
    </row>
    <row r="12">
      <c r="A12" s="29">
        <v>11.0</v>
      </c>
      <c r="B12" s="29" t="s">
        <v>58</v>
      </c>
      <c r="C12" s="33">
        <f>R12/Weights_by_Category[[#TOTALS],[CLUTCH]]</f>
        <v>39.41119445</v>
      </c>
      <c r="D12" s="33">
        <f>NORMALIZED_DATA!B5*TIER_WEIGHTS!$E$2</f>
        <v>0.6428571429</v>
      </c>
      <c r="E12" s="33">
        <f>NORMALIZED_DATA!C5*TIER_WEIGHTS!$E$8</f>
        <v>0.875</v>
      </c>
      <c r="F12" s="33">
        <f>NORMALIZED_DATA!D5*TIER_WEIGHTS!$E$7</f>
        <v>1.2</v>
      </c>
      <c r="G12" s="33">
        <f>NORMALIZED_DATA!F5*TIER_WEIGHTS!$E$3</f>
        <v>0.1768558952</v>
      </c>
      <c r="H12" s="33">
        <f>NORMALIZED_DATA!G5*TIER_WEIGHTS!$E$9</f>
        <v>1.058823529</v>
      </c>
      <c r="I12" s="33">
        <f>NORMALIZED_DATA!H5*TIER_WEIGHTS!$E$14</f>
        <v>0.8333333333</v>
      </c>
      <c r="J12" s="33">
        <f>NORMALIZED_DATA!M5*TIER_WEIGHTS!$E$4</f>
        <v>1.994374141</v>
      </c>
      <c r="K12" s="33">
        <f>NORMALIZED_DATA!R5*TIER_WEIGHTS!$E$5</f>
        <v>1.548493192</v>
      </c>
      <c r="L12" s="33">
        <f>NORMALIZED_DATA!U5*TIER_WEIGHTS!$E$12</f>
        <v>0.9692307692</v>
      </c>
      <c r="M12" s="33">
        <f>NORMALIZED_DATA!V5*TIER_WEIGHTS!$E$15</f>
        <v>0.04047277937</v>
      </c>
      <c r="N12" s="33">
        <f>NORMALIZED_DATA!W5*TIER_WEIGHTS!$E$13</f>
        <v>1.408695652</v>
      </c>
      <c r="O12" s="33">
        <f>NORMALIZED_DATA!Y5*TIER_WEIGHTS!$E$6</f>
        <v>1.366071429</v>
      </c>
      <c r="P12" s="33">
        <f>NORMALIZED_DATA!Z5*TIER_WEIGHTS!$E$11</f>
        <v>2.333333333</v>
      </c>
      <c r="Q12" s="33">
        <f>NORMALIZED_DATA!AA5*TIER_WEIGHTS!$E$10</f>
        <v>3.839253029</v>
      </c>
      <c r="R12" s="147">
        <f t="shared" si="1"/>
        <v>18.28679423</v>
      </c>
    </row>
    <row r="13">
      <c r="A13" s="29">
        <v>12.0</v>
      </c>
      <c r="B13" s="29" t="s">
        <v>63</v>
      </c>
      <c r="C13" s="33">
        <f>R13/Weights_by_Category[[#TOTALS],[CLUTCH]]</f>
        <v>38.1293789</v>
      </c>
      <c r="D13" s="33">
        <f>NORMALIZED_DATA!B20*TIER_WEIGHTS!$E$2</f>
        <v>0</v>
      </c>
      <c r="E13" s="33">
        <f>NORMALIZED_DATA!C20*TIER_WEIGHTS!$E$8</f>
        <v>0.3125</v>
      </c>
      <c r="F13" s="33">
        <f>NORMALIZED_DATA!D20*TIER_WEIGHTS!$E$7</f>
        <v>0</v>
      </c>
      <c r="G13" s="33">
        <f>NORMALIZED_DATA!F20*TIER_WEIGHTS!$E$3</f>
        <v>0.2986899563</v>
      </c>
      <c r="H13" s="33">
        <f>NORMALIZED_DATA!G20*TIER_WEIGHTS!$E$9</f>
        <v>1.058823529</v>
      </c>
      <c r="I13" s="33">
        <f>NORMALIZED_DATA!H20*TIER_WEIGHTS!$E$14</f>
        <v>0.25</v>
      </c>
      <c r="J13" s="33">
        <f>NORMALIZED_DATA!M20*TIER_WEIGHTS!$E$4</f>
        <v>3.626647597</v>
      </c>
      <c r="K13" s="33">
        <f>NORMALIZED_DATA!R20*TIER_WEIGHTS!$E$5</f>
        <v>2.167623097</v>
      </c>
      <c r="L13" s="33">
        <f>NORMALIZED_DATA!U20*TIER_WEIGHTS!$E$12</f>
        <v>1.038461538</v>
      </c>
      <c r="M13" s="33">
        <f>NORMALIZED_DATA!V20*TIER_WEIGHTS!$E$15</f>
        <v>0.04065186246</v>
      </c>
      <c r="N13" s="33">
        <f>NORMALIZED_DATA!W20*TIER_WEIGHTS!$E$13</f>
        <v>1.12173913</v>
      </c>
      <c r="O13" s="33">
        <f>NORMALIZED_DATA!Y20*TIER_WEIGHTS!$E$6</f>
        <v>2.223214286</v>
      </c>
      <c r="P13" s="33">
        <f>NORMALIZED_DATA!Z20*TIER_WEIGHTS!$E$11</f>
        <v>2.333333333</v>
      </c>
      <c r="Q13" s="33">
        <f>NORMALIZED_DATA!AA20*TIER_WEIGHTS!$E$10</f>
        <v>3.220347478</v>
      </c>
      <c r="R13" s="147">
        <f t="shared" si="1"/>
        <v>17.69203181</v>
      </c>
    </row>
    <row r="14">
      <c r="A14" s="29">
        <v>13.0</v>
      </c>
      <c r="B14" s="29" t="s">
        <v>67</v>
      </c>
      <c r="C14" s="33">
        <f>R14/Weights_by_Category[[#TOTALS],[CLUTCH]]</f>
        <v>37.84927934</v>
      </c>
      <c r="D14" s="33">
        <f>NORMALIZED_DATA!B22*TIER_WEIGHTS!$E$2</f>
        <v>0.6428571429</v>
      </c>
      <c r="E14" s="33">
        <f>NORMALIZED_DATA!C22*TIER_WEIGHTS!$E$8</f>
        <v>1.25</v>
      </c>
      <c r="F14" s="33">
        <f>NORMALIZED_DATA!D22*TIER_WEIGHTS!$E$7</f>
        <v>1.2</v>
      </c>
      <c r="G14" s="33">
        <f>NORMALIZED_DATA!F22*TIER_WEIGHTS!$E$3</f>
        <v>0.4362445415</v>
      </c>
      <c r="H14" s="33">
        <f>NORMALIZED_DATA!G22*TIER_WEIGHTS!$E$9</f>
        <v>0.7058823529</v>
      </c>
      <c r="I14" s="33">
        <f>NORMALIZED_DATA!H22*TIER_WEIGHTS!$E$14</f>
        <v>0.08333333333</v>
      </c>
      <c r="J14" s="33">
        <f>NORMALIZED_DATA!M22*TIER_WEIGHTS!$E$4</f>
        <v>2.771803015</v>
      </c>
      <c r="K14" s="33">
        <f>NORMALIZED_DATA!R22*TIER_WEIGHTS!$E$5</f>
        <v>2.816621734</v>
      </c>
      <c r="L14" s="33">
        <f>NORMALIZED_DATA!U22*TIER_WEIGHTS!$E$12</f>
        <v>0.9692307692</v>
      </c>
      <c r="M14" s="33">
        <f>NORMALIZED_DATA!V22*TIER_WEIGHTS!$E$15</f>
        <v>0.03492120344</v>
      </c>
      <c r="N14" s="33">
        <f>NORMALIZED_DATA!W22*TIER_WEIGHTS!$E$13</f>
        <v>0.6</v>
      </c>
      <c r="O14" s="33">
        <f>NORMALIZED_DATA!Y22*TIER_WEIGHTS!$E$6</f>
        <v>0</v>
      </c>
      <c r="P14" s="33">
        <f>NORMALIZED_DATA!Z22*TIER_WEIGHTS!$E$11</f>
        <v>1</v>
      </c>
      <c r="Q14" s="33">
        <f>NORMALIZED_DATA!AA22*TIER_WEIGHTS!$E$10</f>
        <v>5.051171524</v>
      </c>
      <c r="R14" s="147">
        <f t="shared" si="1"/>
        <v>17.56206562</v>
      </c>
    </row>
    <row r="15">
      <c r="A15" s="29">
        <v>14.0</v>
      </c>
      <c r="B15" s="29" t="s">
        <v>61</v>
      </c>
      <c r="C15" s="33">
        <f>R15/Weights_by_Category[[#TOTALS],[CLUTCH]]</f>
        <v>35.84676778</v>
      </c>
      <c r="D15" s="33">
        <f>NORMALIZED_DATA!B17*TIER_WEIGHTS!$E$2</f>
        <v>0.6428571429</v>
      </c>
      <c r="E15" s="33">
        <f>NORMALIZED_DATA!C17*TIER_WEIGHTS!$E$8</f>
        <v>1.4375</v>
      </c>
      <c r="F15" s="33">
        <f>NORMALIZED_DATA!D17*TIER_WEIGHTS!$E$7</f>
        <v>0</v>
      </c>
      <c r="G15" s="33">
        <f>NORMALIZED_DATA!F17*TIER_WEIGHTS!$E$3</f>
        <v>0.8528384279</v>
      </c>
      <c r="H15" s="33">
        <f>NORMALIZED_DATA!G17*TIER_WEIGHTS!$E$9</f>
        <v>1.588235294</v>
      </c>
      <c r="I15" s="33">
        <f>NORMALIZED_DATA!H17*TIER_WEIGHTS!$E$14</f>
        <v>0.6666666667</v>
      </c>
      <c r="J15" s="33">
        <f>NORMALIZED_DATA!M17*TIER_WEIGHTS!$E$4</f>
        <v>1.694168644</v>
      </c>
      <c r="K15" s="33">
        <f>NORMALIZED_DATA!R17*TIER_WEIGHTS!$E$5</f>
        <v>1.728361824</v>
      </c>
      <c r="L15" s="33">
        <f>NORMALIZED_DATA!U17*TIER_WEIGHTS!$E$12</f>
        <v>0.4153846154</v>
      </c>
      <c r="M15" s="33">
        <f>NORMALIZED_DATA!V17*TIER_WEIGHTS!$E$15</f>
        <v>0.1029727794</v>
      </c>
      <c r="N15" s="33">
        <f>NORMALIZED_DATA!W17*TIER_WEIGHTS!$E$13</f>
        <v>0.7565217391</v>
      </c>
      <c r="O15" s="33">
        <f>NORMALIZED_DATA!Y17*TIER_WEIGHTS!$E$6</f>
        <v>0.8303571429</v>
      </c>
      <c r="P15" s="33">
        <f>NORMALIZED_DATA!Z17*TIER_WEIGHTS!$E$11</f>
        <v>1.666666667</v>
      </c>
      <c r="Q15" s="33">
        <f>NORMALIZED_DATA!AA17*TIER_WEIGHTS!$E$10</f>
        <v>4.250369308</v>
      </c>
      <c r="R15" s="147">
        <f t="shared" si="1"/>
        <v>16.63290025</v>
      </c>
    </row>
    <row r="16">
      <c r="A16" s="29">
        <v>15.0</v>
      </c>
      <c r="B16" s="29" t="s">
        <v>59</v>
      </c>
      <c r="C16" s="33">
        <f>R16/Weights_by_Category[[#TOTALS],[CLUTCH]]</f>
        <v>35.54159633</v>
      </c>
      <c r="D16" s="33">
        <f>NORMALIZED_DATA!B10*TIER_WEIGHTS!$E$2</f>
        <v>0</v>
      </c>
      <c r="E16" s="33">
        <f>NORMALIZED_DATA!C10*TIER_WEIGHTS!$E$8</f>
        <v>0.875</v>
      </c>
      <c r="F16" s="33">
        <f>NORMALIZED_DATA!D10*TIER_WEIGHTS!$E$7</f>
        <v>0</v>
      </c>
      <c r="G16" s="33">
        <f>NORMALIZED_DATA!F10*TIER_WEIGHTS!$E$3</f>
        <v>0.3026200873</v>
      </c>
      <c r="H16" s="33">
        <f>NORMALIZED_DATA!G10*TIER_WEIGHTS!$E$9</f>
        <v>1.588235294</v>
      </c>
      <c r="I16" s="33">
        <f>NORMALIZED_DATA!H10*TIER_WEIGHTS!$E$14</f>
        <v>0.5</v>
      </c>
      <c r="J16" s="33">
        <f>NORMALIZED_DATA!M10*TIER_WEIGHTS!$E$4</f>
        <v>1.405748759</v>
      </c>
      <c r="K16" s="33">
        <f>NORMALIZED_DATA!R10*TIER_WEIGHTS!$E$5</f>
        <v>1.507980663</v>
      </c>
      <c r="L16" s="33">
        <f>NORMALIZED_DATA!U10*TIER_WEIGHTS!$E$12</f>
        <v>1.176923077</v>
      </c>
      <c r="M16" s="33">
        <f>NORMALIZED_DATA!V10*TIER_WEIGHTS!$E$15</f>
        <v>0</v>
      </c>
      <c r="N16" s="33">
        <f>NORMALIZED_DATA!W10*TIER_WEIGHTS!$E$13</f>
        <v>1.695652174</v>
      </c>
      <c r="O16" s="33">
        <f>NORMALIZED_DATA!Y10*TIER_WEIGHTS!$E$6</f>
        <v>2.410714286</v>
      </c>
      <c r="P16" s="33">
        <f>NORMALIZED_DATA!Z10*TIER_WEIGHTS!$E$11</f>
        <v>2</v>
      </c>
      <c r="Q16" s="33">
        <f>NORMALIZED_DATA!AA10*TIER_WEIGHTS!$E$10</f>
        <v>3.028426355</v>
      </c>
      <c r="R16" s="147">
        <f t="shared" si="1"/>
        <v>16.4913007</v>
      </c>
    </row>
    <row r="17">
      <c r="A17" s="29">
        <v>16.0</v>
      </c>
      <c r="B17" s="29" t="s">
        <v>74</v>
      </c>
      <c r="C17" s="33">
        <f>R17/Weights_by_Category[[#TOTALS],[CLUTCH]]</f>
        <v>34.76248196</v>
      </c>
      <c r="D17" s="33">
        <f>NORMALIZED_DATA!B26*TIER_WEIGHTS!$E$2</f>
        <v>0.6428571429</v>
      </c>
      <c r="E17" s="33">
        <f>NORMALIZED_DATA!C26*TIER_WEIGHTS!$E$8</f>
        <v>0.875</v>
      </c>
      <c r="F17" s="33">
        <f>NORMALIZED_DATA!D26*TIER_WEIGHTS!$E$7</f>
        <v>0</v>
      </c>
      <c r="G17" s="33">
        <f>NORMALIZED_DATA!F26*TIER_WEIGHTS!$E$3</f>
        <v>0.2593886463</v>
      </c>
      <c r="H17" s="33">
        <f>NORMALIZED_DATA!G26*TIER_WEIGHTS!$E$9</f>
        <v>0.5294117647</v>
      </c>
      <c r="I17" s="33">
        <f>NORMALIZED_DATA!H26*TIER_WEIGHTS!$E$14</f>
        <v>0.08333333333</v>
      </c>
      <c r="J17" s="33">
        <f>NORMALIZED_DATA!M26*TIER_WEIGHTS!$E$4</f>
        <v>4.103107644</v>
      </c>
      <c r="K17" s="33">
        <f>NORMALIZED_DATA!R26*TIER_WEIGHTS!$E$5</f>
        <v>2.729560941</v>
      </c>
      <c r="L17" s="33">
        <f>NORMALIZED_DATA!U26*TIER_WEIGHTS!$E$12</f>
        <v>0</v>
      </c>
      <c r="M17" s="33">
        <f>NORMALIZED_DATA!V26*TIER_WEIGHTS!$E$15</f>
        <v>0.002686246418</v>
      </c>
      <c r="N17" s="33">
        <f>NORMALIZED_DATA!W26*TIER_WEIGHTS!$E$13</f>
        <v>0</v>
      </c>
      <c r="O17" s="33">
        <f>NORMALIZED_DATA!Y26*TIER_WEIGHTS!$E$6</f>
        <v>1.017857143</v>
      </c>
      <c r="P17" s="33">
        <f>NORMALIZED_DATA!Z26*TIER_WEIGHTS!$E$11</f>
        <v>0.6666666667</v>
      </c>
      <c r="Q17" s="33">
        <f>NORMALIZED_DATA!AA26*TIER_WEIGHTS!$E$10</f>
        <v>5.2199221</v>
      </c>
      <c r="R17" s="147">
        <f t="shared" si="1"/>
        <v>16.12979163</v>
      </c>
    </row>
    <row r="18">
      <c r="A18" s="29">
        <v>17.0</v>
      </c>
      <c r="B18" s="29" t="s">
        <v>68</v>
      </c>
      <c r="C18" s="33">
        <f>R18/Weights_by_Category[[#TOTALS],[CLUTCH]]</f>
        <v>33.25664982</v>
      </c>
      <c r="D18" s="33">
        <f>NORMALIZED_DATA!B11*TIER_WEIGHTS!$E$2</f>
        <v>1.285714286</v>
      </c>
      <c r="E18" s="33">
        <f>NORMALIZED_DATA!C11*TIER_WEIGHTS!$E$8</f>
        <v>2.0625</v>
      </c>
      <c r="F18" s="33">
        <f>NORMALIZED_DATA!D11*TIER_WEIGHTS!$E$7</f>
        <v>1.2</v>
      </c>
      <c r="G18" s="33">
        <f>NORMALIZED_DATA!F11*TIER_WEIGHTS!$E$3</f>
        <v>0.3733624454</v>
      </c>
      <c r="H18" s="33">
        <f>NORMALIZED_DATA!G11*TIER_WEIGHTS!$E$9</f>
        <v>0.5294117647</v>
      </c>
      <c r="I18" s="33">
        <f>NORMALIZED_DATA!H11*TIER_WEIGHTS!$E$14</f>
        <v>0.5</v>
      </c>
      <c r="J18" s="33">
        <f>NORMALIZED_DATA!M11*TIER_WEIGHTS!$E$4</f>
        <v>1.692733266</v>
      </c>
      <c r="K18" s="33">
        <f>NORMALIZED_DATA!R11*TIER_WEIGHTS!$E$5</f>
        <v>1.301714473</v>
      </c>
      <c r="L18" s="33">
        <f>NORMALIZED_DATA!U11*TIER_WEIGHTS!$E$12</f>
        <v>0.2769230769</v>
      </c>
      <c r="M18" s="33">
        <f>NORMALIZED_DATA!V11*TIER_WEIGHTS!$E$15</f>
        <v>0.2550143266</v>
      </c>
      <c r="N18" s="33">
        <f>NORMALIZED_DATA!W11*TIER_WEIGHTS!$E$13</f>
        <v>1.017391304</v>
      </c>
      <c r="O18" s="33">
        <f>NORMALIZED_DATA!Y11*TIER_WEIGHTS!$E$6</f>
        <v>0.4017857143</v>
      </c>
      <c r="P18" s="33">
        <f>NORMALIZED_DATA!Z11*TIER_WEIGHTS!$E$11</f>
        <v>0</v>
      </c>
      <c r="Q18" s="33">
        <f>NORMALIZED_DATA!AA11*TIER_WEIGHTS!$E$10</f>
        <v>4.534534862</v>
      </c>
      <c r="R18" s="147">
        <f t="shared" si="1"/>
        <v>15.43108552</v>
      </c>
    </row>
    <row r="19">
      <c r="A19" s="29">
        <v>18.0</v>
      </c>
      <c r="B19" s="29" t="s">
        <v>64</v>
      </c>
      <c r="C19" s="33">
        <f>R19/Weights_by_Category[[#TOTALS],[CLUTCH]]</f>
        <v>31.05804424</v>
      </c>
      <c r="D19" s="33">
        <f>NORMALIZED_DATA!B14*TIER_WEIGHTS!$E$2</f>
        <v>1.285714286</v>
      </c>
      <c r="E19" s="33">
        <f>NORMALIZED_DATA!C14*TIER_WEIGHTS!$E$8</f>
        <v>2</v>
      </c>
      <c r="F19" s="33">
        <f>NORMALIZED_DATA!D14*TIER_WEIGHTS!$E$7</f>
        <v>1.2</v>
      </c>
      <c r="G19" s="33">
        <f>NORMALIZED_DATA!F14*TIER_WEIGHTS!$E$3</f>
        <v>0.0943231441</v>
      </c>
      <c r="H19" s="33">
        <f>NORMALIZED_DATA!G14*TIER_WEIGHTS!$E$9</f>
        <v>0.1764705882</v>
      </c>
      <c r="I19" s="33">
        <f>NORMALIZED_DATA!H14*TIER_WEIGHTS!$E$14</f>
        <v>0.25</v>
      </c>
      <c r="J19" s="33">
        <f>NORMALIZED_DATA!M14*TIER_WEIGHTS!$E$4</f>
        <v>0</v>
      </c>
      <c r="K19" s="33">
        <f>NORMALIZED_DATA!R14*TIER_WEIGHTS!$E$5</f>
        <v>1.516798009</v>
      </c>
      <c r="L19" s="33">
        <f>NORMALIZED_DATA!U14*TIER_WEIGHTS!$E$12</f>
        <v>1.107692308</v>
      </c>
      <c r="M19" s="33">
        <f>NORMALIZED_DATA!V14*TIER_WEIGHTS!$E$15</f>
        <v>0.3033667622</v>
      </c>
      <c r="N19" s="33">
        <f>NORMALIZED_DATA!W14*TIER_WEIGHTS!$E$13</f>
        <v>1.095652174</v>
      </c>
      <c r="O19" s="33">
        <f>NORMALIZED_DATA!Y14*TIER_WEIGHTS!$E$6</f>
        <v>1.580357143</v>
      </c>
      <c r="P19" s="33">
        <f>NORMALIZED_DATA!Z14*TIER_WEIGHTS!$E$11</f>
        <v>1.333333333</v>
      </c>
      <c r="Q19" s="33">
        <f>NORMALIZED_DATA!AA14*TIER_WEIGHTS!$E$10</f>
        <v>2.467224782</v>
      </c>
      <c r="R19" s="147">
        <f t="shared" si="1"/>
        <v>14.41093253</v>
      </c>
    </row>
    <row r="20">
      <c r="A20" s="29">
        <v>19.0</v>
      </c>
      <c r="B20" s="29" t="s">
        <v>62</v>
      </c>
      <c r="C20" s="33">
        <f>R20/Weights_by_Category[[#TOTALS],[CLUTCH]]</f>
        <v>30.48355195</v>
      </c>
      <c r="D20" s="33">
        <f>NORMALIZED_DATA!B8*TIER_WEIGHTS!$E$2</f>
        <v>1.928571429</v>
      </c>
      <c r="E20" s="33">
        <f>NORMALIZED_DATA!C8*TIER_WEIGHTS!$E$8</f>
        <v>0.5</v>
      </c>
      <c r="F20" s="33">
        <f>NORMALIZED_DATA!D8*TIER_WEIGHTS!$E$7</f>
        <v>0</v>
      </c>
      <c r="G20" s="33">
        <f>NORMALIZED_DATA!F8*TIER_WEIGHTS!$E$3</f>
        <v>1.09650655</v>
      </c>
      <c r="H20" s="33">
        <f>NORMALIZED_DATA!G8*TIER_WEIGHTS!$E$9</f>
        <v>2.294117647</v>
      </c>
      <c r="I20" s="33">
        <f>NORMALIZED_DATA!H8*TIER_WEIGHTS!$E$14</f>
        <v>0.5833333333</v>
      </c>
      <c r="J20" s="33">
        <f>NORMALIZED_DATA!M8*TIER_WEIGHTS!$E$4</f>
        <v>1.258662716</v>
      </c>
      <c r="K20" s="33">
        <f>NORMALIZED_DATA!R8*TIER_WEIGHTS!$E$5</f>
        <v>0</v>
      </c>
      <c r="L20" s="33">
        <f>NORMALIZED_DATA!U8*TIER_WEIGHTS!$E$12</f>
        <v>0.3461538462</v>
      </c>
      <c r="M20" s="33">
        <f>NORMALIZED_DATA!V8*TIER_WEIGHTS!$E$15</f>
        <v>0.1443409742</v>
      </c>
      <c r="N20" s="33">
        <f>NORMALIZED_DATA!W8*TIER_WEIGHTS!$E$13</f>
        <v>1.051304348</v>
      </c>
      <c r="O20" s="33">
        <f>NORMALIZED_DATA!Y8*TIER_WEIGHTS!$E$6</f>
        <v>1.178571429</v>
      </c>
      <c r="P20" s="33">
        <f>NORMALIZED_DATA!Z8*TIER_WEIGHTS!$E$11</f>
        <v>1.333333333</v>
      </c>
      <c r="Q20" s="33">
        <f>NORMALIZED_DATA!AA8*TIER_WEIGHTS!$E$10</f>
        <v>2.429472498</v>
      </c>
      <c r="R20" s="147">
        <f t="shared" si="1"/>
        <v>14.1443681</v>
      </c>
    </row>
    <row r="21">
      <c r="A21" s="29">
        <v>20.0</v>
      </c>
      <c r="B21" s="29" t="s">
        <v>72</v>
      </c>
      <c r="C21" s="33">
        <f>R21/Weights_by_Category[[#TOTALS],[CLUTCH]]</f>
        <v>27.83579702</v>
      </c>
      <c r="D21" s="33">
        <f>NORMALIZED_DATA!B24*TIER_WEIGHTS!$E$2</f>
        <v>0</v>
      </c>
      <c r="E21" s="33">
        <f>NORMALIZED_DATA!C24*TIER_WEIGHTS!$E$8</f>
        <v>0.1875</v>
      </c>
      <c r="F21" s="33">
        <f>NORMALIZED_DATA!D24*TIER_WEIGHTS!$E$7</f>
        <v>0</v>
      </c>
      <c r="G21" s="33">
        <f>NORMALIZED_DATA!F24*TIER_WEIGHTS!$E$3</f>
        <v>0.0943231441</v>
      </c>
      <c r="H21" s="33">
        <f>NORMALIZED_DATA!G24*TIER_WEIGHTS!$E$9</f>
        <v>0.1764705882</v>
      </c>
      <c r="I21" s="33">
        <f>NORMALIZED_DATA!H24*TIER_WEIGHTS!$E$14</f>
        <v>0.5</v>
      </c>
      <c r="J21" s="33">
        <f>NORMALIZED_DATA!M24*TIER_WEIGHTS!$E$4</f>
        <v>3.116757955</v>
      </c>
      <c r="K21" s="33">
        <f>NORMALIZED_DATA!R24*TIER_WEIGHTS!$E$5</f>
        <v>2.143879244</v>
      </c>
      <c r="L21" s="33">
        <f>NORMALIZED_DATA!U24*TIER_WEIGHTS!$E$12</f>
        <v>0.2769230769</v>
      </c>
      <c r="M21" s="33">
        <f>NORMALIZED_DATA!V24*TIER_WEIGHTS!$E$15</f>
        <v>0.1430873926</v>
      </c>
      <c r="N21" s="33">
        <f>NORMALIZED_DATA!W24*TIER_WEIGHTS!$E$13</f>
        <v>0.7826086957</v>
      </c>
      <c r="O21" s="33">
        <f>NORMALIZED_DATA!Y24*TIER_WEIGHTS!$E$6</f>
        <v>0.9107142857</v>
      </c>
      <c r="P21" s="33">
        <f>NORMALIZED_DATA!Z24*TIER_WEIGHTS!$E$11</f>
        <v>0.6666666667</v>
      </c>
      <c r="Q21" s="33">
        <f>NORMALIZED_DATA!AA24*TIER_WEIGHTS!$E$10</f>
        <v>3.916878769</v>
      </c>
      <c r="R21" s="147">
        <f t="shared" si="1"/>
        <v>12.91580982</v>
      </c>
    </row>
    <row r="22">
      <c r="A22" s="29">
        <v>21.0</v>
      </c>
      <c r="B22" s="29" t="s">
        <v>69</v>
      </c>
      <c r="C22" s="33">
        <f>R22/Weights_by_Category[[#TOTALS],[CLUTCH]]</f>
        <v>25.13515684</v>
      </c>
      <c r="D22" s="33">
        <f>NORMALIZED_DATA!B21*TIER_WEIGHTS!$E$2</f>
        <v>0</v>
      </c>
      <c r="E22" s="33">
        <f>NORMALIZED_DATA!C21*TIER_WEIGHTS!$E$8</f>
        <v>0.25</v>
      </c>
      <c r="F22" s="33">
        <f>NORMALIZED_DATA!D21*TIER_WEIGHTS!$E$7</f>
        <v>0</v>
      </c>
      <c r="G22" s="33">
        <f>NORMALIZED_DATA!F21*TIER_WEIGHTS!$E$3</f>
        <v>1.065065502</v>
      </c>
      <c r="H22" s="33">
        <f>NORMALIZED_DATA!G21*TIER_WEIGHTS!$E$9</f>
        <v>1.058823529</v>
      </c>
      <c r="I22" s="33">
        <f>NORMALIZED_DATA!H21*TIER_WEIGHTS!$E$14</f>
        <v>0.08333333333</v>
      </c>
      <c r="J22" s="33">
        <f>NORMALIZED_DATA!M21*TIER_WEIGHTS!$E$4</f>
        <v>2.452538433</v>
      </c>
      <c r="K22" s="33">
        <f>NORMALIZED_DATA!R21*TIER_WEIGHTS!$E$5</f>
        <v>0.6882778466</v>
      </c>
      <c r="L22" s="33">
        <f>NORMALIZED_DATA!U21*TIER_WEIGHTS!$E$12</f>
        <v>0.9692307692</v>
      </c>
      <c r="M22" s="33">
        <f>NORMALIZED_DATA!V21*TIER_WEIGHTS!$E$15</f>
        <v>1</v>
      </c>
      <c r="N22" s="33">
        <f>NORMALIZED_DATA!W21*TIER_WEIGHTS!$E$13</f>
        <v>0.8086956522</v>
      </c>
      <c r="O22" s="33">
        <f>NORMALIZED_DATA!Y21*TIER_WEIGHTS!$E$6</f>
        <v>0.5357142857</v>
      </c>
      <c r="P22" s="33">
        <f>NORMALIZED_DATA!Z21*TIER_WEIGHTS!$E$11</f>
        <v>0.3333333333</v>
      </c>
      <c r="Q22" s="33">
        <f>NORMALIZED_DATA!AA21*TIER_WEIGHTS!$E$10</f>
        <v>2.417700089</v>
      </c>
      <c r="R22" s="147">
        <f t="shared" si="1"/>
        <v>11.66271277</v>
      </c>
    </row>
    <row r="23">
      <c r="A23" s="29">
        <v>22.0</v>
      </c>
      <c r="B23" s="29" t="s">
        <v>71</v>
      </c>
      <c r="C23" s="33">
        <f>R23/Weights_by_Category[[#TOTALS],[CLUTCH]]</f>
        <v>25.0118241</v>
      </c>
      <c r="D23" s="33">
        <f>NORMALIZED_DATA!B19*TIER_WEIGHTS!$E$2</f>
        <v>1.285714286</v>
      </c>
      <c r="E23" s="33">
        <f>NORMALIZED_DATA!C19*TIER_WEIGHTS!$E$8</f>
        <v>1.5625</v>
      </c>
      <c r="F23" s="33">
        <f>NORMALIZED_DATA!D19*TIER_WEIGHTS!$E$7</f>
        <v>0</v>
      </c>
      <c r="G23" s="33">
        <f>NORMALIZED_DATA!F19*TIER_WEIGHTS!$E$3</f>
        <v>0</v>
      </c>
      <c r="H23" s="33">
        <f>NORMALIZED_DATA!G19*TIER_WEIGHTS!$E$9</f>
        <v>0</v>
      </c>
      <c r="I23" s="33">
        <f>NORMALIZED_DATA!H19*TIER_WEIGHTS!$E$14</f>
        <v>0.25</v>
      </c>
      <c r="J23" s="33">
        <f>NORMALIZED_DATA!M19*TIER_WEIGHTS!$E$4</f>
        <v>1.565582683</v>
      </c>
      <c r="K23" s="33">
        <f>NORMALIZED_DATA!R19*TIER_WEIGHTS!$E$5</f>
        <v>1.213911685</v>
      </c>
      <c r="L23" s="33">
        <f>NORMALIZED_DATA!U19*TIER_WEIGHTS!$E$12</f>
        <v>0.4846153846</v>
      </c>
      <c r="M23" s="33">
        <f>NORMALIZED_DATA!V19*TIER_WEIGHTS!$E$15</f>
        <v>0.0922277937</v>
      </c>
      <c r="N23" s="33">
        <f>NORMALIZED_DATA!W19*TIER_WEIGHTS!$E$13</f>
        <v>0.7304347826</v>
      </c>
      <c r="O23" s="33">
        <f>NORMALIZED_DATA!Y19*TIER_WEIGHTS!$E$6</f>
        <v>0.3214285714</v>
      </c>
      <c r="P23" s="33">
        <f>NORMALIZED_DATA!Z19*TIER_WEIGHTS!$E$11</f>
        <v>0.6666666667</v>
      </c>
      <c r="Q23" s="33">
        <f>NORMALIZED_DATA!AA19*TIER_WEIGHTS!$E$10</f>
        <v>3.43240453</v>
      </c>
      <c r="R23" s="147">
        <f t="shared" si="1"/>
        <v>11.60548638</v>
      </c>
    </row>
    <row r="24">
      <c r="A24" s="29">
        <v>23.0</v>
      </c>
      <c r="B24" s="29" t="s">
        <v>73</v>
      </c>
      <c r="C24" s="33">
        <f>R24/Weights_by_Category[[#TOTALS],[CLUTCH]]</f>
        <v>22.71071413</v>
      </c>
      <c r="D24" s="33">
        <f>NORMALIZED_DATA!B25*TIER_WEIGHTS!$E$2</f>
        <v>0</v>
      </c>
      <c r="E24" s="33">
        <f>NORMALIZED_DATA!C25*TIER_WEIGHTS!$E$8</f>
        <v>1.5625</v>
      </c>
      <c r="F24" s="33">
        <f>NORMALIZED_DATA!D25*TIER_WEIGHTS!$E$7</f>
        <v>0</v>
      </c>
      <c r="G24" s="33">
        <f>NORMALIZED_DATA!F25*TIER_WEIGHTS!$E$3</f>
        <v>0.1100436681</v>
      </c>
      <c r="H24" s="33">
        <f>NORMALIZED_DATA!G25*TIER_WEIGHTS!$E$9</f>
        <v>0.5294117647</v>
      </c>
      <c r="I24" s="33">
        <f>NORMALIZED_DATA!H25*TIER_WEIGHTS!$E$14</f>
        <v>0.1666666667</v>
      </c>
      <c r="J24" s="33">
        <f>NORMALIZED_DATA!M25*TIER_WEIGHTS!$E$4</f>
        <v>1.687758971</v>
      </c>
      <c r="K24" s="33">
        <f>NORMALIZED_DATA!R25*TIER_WEIGHTS!$E$5</f>
        <v>0.8925140404</v>
      </c>
      <c r="L24" s="33">
        <f>NORMALIZED_DATA!U25*TIER_WEIGHTS!$E$12</f>
        <v>0.4846153846</v>
      </c>
      <c r="M24" s="33">
        <f>NORMALIZED_DATA!V25*TIER_WEIGHTS!$E$15</f>
        <v>0.1110315186</v>
      </c>
      <c r="N24" s="33">
        <f>NORMALIZED_DATA!W25*TIER_WEIGHTS!$E$13</f>
        <v>0.5739130435</v>
      </c>
      <c r="O24" s="33">
        <f>NORMALIZED_DATA!Y25*TIER_WEIGHTS!$E$6</f>
        <v>0.6696428571</v>
      </c>
      <c r="P24" s="33">
        <f>NORMALIZED_DATA!Z25*TIER_WEIGHTS!$E$11</f>
        <v>0.6666666667</v>
      </c>
      <c r="Q24" s="33">
        <f>NORMALIZED_DATA!AA25*TIER_WEIGHTS!$E$10</f>
        <v>3.083006775</v>
      </c>
      <c r="R24" s="147">
        <f t="shared" si="1"/>
        <v>10.53777136</v>
      </c>
    </row>
    <row r="25">
      <c r="A25" s="29">
        <v>24.0</v>
      </c>
      <c r="B25" s="29" t="s">
        <v>70</v>
      </c>
      <c r="C25" s="33">
        <f>R25/Weights_by_Category[[#TOTALS],[CLUTCH]]</f>
        <v>19.73182856</v>
      </c>
      <c r="D25" s="33">
        <f>NORMALIZED_DATA!B15*TIER_WEIGHTS!$E$2</f>
        <v>0</v>
      </c>
      <c r="E25" s="33">
        <f>NORMALIZED_DATA!C15*TIER_WEIGHTS!$E$8</f>
        <v>1.125</v>
      </c>
      <c r="F25" s="33">
        <f>NORMALIZED_DATA!D15*TIER_WEIGHTS!$E$7</f>
        <v>0</v>
      </c>
      <c r="G25" s="33">
        <f>NORMALIZED_DATA!F15*TIER_WEIGHTS!$E$3</f>
        <v>0.01572052402</v>
      </c>
      <c r="H25" s="33">
        <f>NORMALIZED_DATA!G15*TIER_WEIGHTS!$E$9</f>
        <v>0.5294117647</v>
      </c>
      <c r="I25" s="33">
        <f>NORMALIZED_DATA!H15*TIER_WEIGHTS!$E$14</f>
        <v>0.5</v>
      </c>
      <c r="J25" s="33">
        <f>NORMALIZED_DATA!M15*TIER_WEIGHTS!$E$4</f>
        <v>0.4012297951</v>
      </c>
      <c r="K25" s="33">
        <f>NORMALIZED_DATA!R15*TIER_WEIGHTS!$E$5</f>
        <v>0.4988914716</v>
      </c>
      <c r="L25" s="33">
        <f>NORMALIZED_DATA!U15*TIER_WEIGHTS!$E$12</f>
        <v>0.6923076923</v>
      </c>
      <c r="M25" s="33">
        <f>NORMALIZED_DATA!V15*TIER_WEIGHTS!$E$15</f>
        <v>0.2603868195</v>
      </c>
      <c r="N25" s="33">
        <f>NORMALIZED_DATA!W15*TIER_WEIGHTS!$E$13</f>
        <v>1.27826087</v>
      </c>
      <c r="O25" s="33">
        <f>NORMALIZED_DATA!Y15*TIER_WEIGHTS!$E$6</f>
        <v>1.151785714</v>
      </c>
      <c r="P25" s="33">
        <f>NORMALIZED_DATA!Z15*TIER_WEIGHTS!$E$11</f>
        <v>0.6666666667</v>
      </c>
      <c r="Q25" s="33">
        <f>NORMALIZED_DATA!AA15*TIER_WEIGHTS!$E$10</f>
        <v>2.035907135</v>
      </c>
      <c r="R25" s="147">
        <f t="shared" si="1"/>
        <v>9.155568453</v>
      </c>
    </row>
    <row r="26">
      <c r="A26" s="29">
        <v>25.0</v>
      </c>
      <c r="B26" s="29" t="s">
        <v>75</v>
      </c>
      <c r="C26" s="33">
        <f>R26/Weights_by_Category[[#TOTALS],[CLUTCH]]</f>
        <v>15.71591791</v>
      </c>
      <c r="D26" s="33">
        <f>NORMALIZED_DATA!B18*TIER_WEIGHTS!$E$2</f>
        <v>0</v>
      </c>
      <c r="E26" s="33">
        <f>NORMALIZED_DATA!C18*TIER_WEIGHTS!$E$8</f>
        <v>0</v>
      </c>
      <c r="F26" s="33">
        <f>NORMALIZED_DATA!D18*TIER_WEIGHTS!$E$7</f>
        <v>0</v>
      </c>
      <c r="G26" s="33">
        <f>NORMALIZED_DATA!F18*TIER_WEIGHTS!$E$3</f>
        <v>0.5384279476</v>
      </c>
      <c r="H26" s="33">
        <f>NORMALIZED_DATA!G18*TIER_WEIGHTS!$E$9</f>
        <v>1.058823529</v>
      </c>
      <c r="I26" s="33">
        <f>NORMALIZED_DATA!H18*TIER_WEIGHTS!$E$14</f>
        <v>0.3333333333</v>
      </c>
      <c r="J26" s="33">
        <f>NORMALIZED_DATA!M18*TIER_WEIGHTS!$E$4</f>
        <v>2.099855568</v>
      </c>
      <c r="K26" s="33">
        <f>NORMALIZED_DATA!R18*TIER_WEIGHTS!$E$5</f>
        <v>0.3421398422</v>
      </c>
      <c r="L26" s="33">
        <f>NORMALIZED_DATA!U18*TIER_WEIGHTS!$E$12</f>
        <v>0.5538461538</v>
      </c>
      <c r="M26" s="33">
        <f>NORMALIZED_DATA!V18*TIER_WEIGHTS!$E$15</f>
        <v>0.1027936963</v>
      </c>
      <c r="N26" s="33">
        <f>NORMALIZED_DATA!W18*TIER_WEIGHTS!$E$13</f>
        <v>0.1826086957</v>
      </c>
      <c r="O26" s="33">
        <f>NORMALIZED_DATA!Y18*TIER_WEIGHTS!$E$6</f>
        <v>0.08035714286</v>
      </c>
      <c r="P26" s="33">
        <f>NORMALIZED_DATA!Z18*TIER_WEIGHTS!$E$11</f>
        <v>2</v>
      </c>
      <c r="Q26" s="33">
        <f>NORMALIZED_DATA!AA18*TIER_WEIGHTS!$E$10</f>
        <v>0</v>
      </c>
      <c r="R26" s="147">
        <f t="shared" si="1"/>
        <v>7.292185909</v>
      </c>
    </row>
    <row r="27">
      <c r="A27" s="29"/>
      <c r="B27" s="29"/>
      <c r="C27" s="33"/>
      <c r="D27" s="33"/>
      <c r="E27" s="33"/>
      <c r="F27" s="33"/>
      <c r="G27" s="33"/>
      <c r="H27" s="33"/>
      <c r="I27" s="33"/>
      <c r="J27" s="33"/>
      <c r="K27" s="33"/>
      <c r="L27" s="33"/>
      <c r="M27" s="33"/>
      <c r="N27" s="33"/>
      <c r="O27" s="33"/>
      <c r="P27" s="33"/>
      <c r="Q27" s="33"/>
      <c r="R27" s="33"/>
    </row>
    <row r="28">
      <c r="A28" s="33"/>
      <c r="B28" s="33"/>
      <c r="C28" s="33"/>
      <c r="D28" s="33"/>
      <c r="E28" s="33"/>
      <c r="F28" s="33"/>
      <c r="G28" s="33"/>
      <c r="H28" s="33"/>
      <c r="I28" s="33"/>
      <c r="J28" s="33"/>
      <c r="K28" s="33"/>
      <c r="L28" s="33"/>
      <c r="M28" s="33"/>
      <c r="N28" s="33"/>
      <c r="O28" s="33"/>
      <c r="P28" s="33"/>
      <c r="Q28" s="33"/>
      <c r="R28" s="33"/>
    </row>
    <row r="29">
      <c r="A29" s="33"/>
      <c r="B29" s="33"/>
      <c r="C29" s="33"/>
      <c r="D29" s="33"/>
      <c r="E29" s="33"/>
      <c r="F29" s="33"/>
      <c r="G29" s="33"/>
      <c r="H29" s="33"/>
      <c r="I29" s="33"/>
      <c r="J29" s="33"/>
      <c r="K29" s="33"/>
      <c r="L29" s="33"/>
      <c r="M29" s="33"/>
      <c r="N29" s="33"/>
      <c r="O29" s="33"/>
      <c r="P29" s="33"/>
      <c r="Q29" s="33"/>
      <c r="R29" s="33"/>
    </row>
    <row r="30">
      <c r="A30" s="33"/>
      <c r="B30" s="33"/>
      <c r="C30" s="33"/>
      <c r="D30" s="33"/>
      <c r="E30" s="33"/>
      <c r="F30" s="33"/>
      <c r="G30" s="33"/>
      <c r="H30" s="33"/>
      <c r="I30" s="33"/>
      <c r="J30" s="33"/>
      <c r="K30" s="33"/>
      <c r="L30" s="33"/>
      <c r="M30" s="33"/>
      <c r="N30" s="33"/>
      <c r="O30" s="33"/>
      <c r="P30" s="33"/>
      <c r="Q30" s="33"/>
      <c r="R30" s="33"/>
    </row>
    <row r="31">
      <c r="A31" s="33"/>
      <c r="B31" s="33"/>
      <c r="C31" s="33"/>
      <c r="D31" s="33"/>
      <c r="E31" s="33"/>
      <c r="F31" s="33"/>
      <c r="G31" s="33"/>
      <c r="H31" s="33"/>
      <c r="I31" s="33"/>
      <c r="J31" s="33"/>
      <c r="K31" s="33"/>
      <c r="L31" s="33"/>
      <c r="M31" s="33"/>
      <c r="N31" s="33"/>
      <c r="O31" s="33"/>
      <c r="P31" s="33"/>
      <c r="Q31" s="33"/>
      <c r="R31" s="33"/>
    </row>
    <row r="32">
      <c r="A32" s="33"/>
      <c r="B32" s="33"/>
      <c r="C32" s="33"/>
      <c r="D32" s="33"/>
      <c r="E32" s="33"/>
      <c r="F32" s="33"/>
      <c r="G32" s="33"/>
      <c r="H32" s="33"/>
      <c r="I32" s="33"/>
      <c r="J32" s="33"/>
      <c r="K32" s="33"/>
      <c r="L32" s="33"/>
      <c r="M32" s="33"/>
      <c r="N32" s="33"/>
      <c r="O32" s="33"/>
      <c r="P32" s="33"/>
      <c r="Q32" s="33"/>
      <c r="R32" s="33"/>
    </row>
    <row r="33">
      <c r="A33" s="33"/>
      <c r="B33" s="33"/>
      <c r="C33" s="33"/>
      <c r="D33" s="33"/>
      <c r="E33" s="33"/>
      <c r="F33" s="33"/>
      <c r="G33" s="33"/>
      <c r="H33" s="33"/>
      <c r="I33" s="33"/>
      <c r="J33" s="33"/>
      <c r="K33" s="33"/>
      <c r="L33" s="33"/>
      <c r="M33" s="33"/>
      <c r="N33" s="33"/>
      <c r="O33" s="33"/>
      <c r="P33" s="33"/>
      <c r="Q33" s="33"/>
      <c r="R33" s="33"/>
    </row>
    <row r="34">
      <c r="A34" s="33"/>
      <c r="B34" s="33"/>
      <c r="C34" s="33"/>
      <c r="D34" s="33"/>
      <c r="E34" s="33"/>
      <c r="F34" s="33"/>
      <c r="G34" s="33"/>
      <c r="H34" s="33"/>
      <c r="I34" s="33"/>
      <c r="J34" s="33"/>
      <c r="K34" s="33"/>
      <c r="L34" s="33"/>
      <c r="M34" s="33"/>
      <c r="N34" s="33"/>
      <c r="O34" s="33"/>
      <c r="P34" s="33"/>
      <c r="Q34" s="33"/>
      <c r="R34" s="33"/>
    </row>
    <row r="35">
      <c r="A35" s="33"/>
      <c r="B35" s="33"/>
      <c r="C35" s="33"/>
      <c r="D35" s="33"/>
      <c r="E35" s="33"/>
      <c r="F35" s="33"/>
      <c r="G35" s="33"/>
      <c r="H35" s="33"/>
      <c r="I35" s="33"/>
      <c r="J35" s="33"/>
      <c r="K35" s="33"/>
      <c r="L35" s="33"/>
      <c r="M35" s="33"/>
      <c r="N35" s="33"/>
      <c r="O35" s="33"/>
      <c r="P35" s="33"/>
      <c r="Q35" s="33"/>
      <c r="R35" s="33"/>
    </row>
    <row r="36">
      <c r="A36" s="33"/>
      <c r="B36" s="33"/>
      <c r="C36" s="33"/>
      <c r="D36" s="33"/>
      <c r="E36" s="33"/>
      <c r="F36" s="33"/>
      <c r="G36" s="33"/>
      <c r="H36" s="33"/>
      <c r="I36" s="33"/>
      <c r="J36" s="33"/>
      <c r="K36" s="33"/>
      <c r="L36" s="33"/>
      <c r="M36" s="33"/>
      <c r="N36" s="33"/>
      <c r="O36" s="33"/>
      <c r="P36" s="33"/>
      <c r="Q36" s="33"/>
      <c r="R36" s="33"/>
    </row>
    <row r="37">
      <c r="A37" s="33"/>
      <c r="B37" s="33"/>
      <c r="C37" s="33"/>
      <c r="D37" s="33"/>
      <c r="E37" s="33"/>
      <c r="F37" s="33"/>
      <c r="G37" s="33"/>
      <c r="H37" s="33"/>
      <c r="I37" s="33"/>
      <c r="J37" s="33"/>
      <c r="K37" s="33"/>
      <c r="L37" s="33"/>
      <c r="M37" s="33"/>
      <c r="N37" s="33"/>
      <c r="O37" s="33"/>
      <c r="P37" s="33"/>
      <c r="Q37" s="33"/>
      <c r="R37" s="33"/>
    </row>
    <row r="38">
      <c r="A38" s="33"/>
      <c r="B38" s="33"/>
      <c r="C38" s="33"/>
      <c r="D38" s="33"/>
      <c r="E38" s="33"/>
      <c r="F38" s="33"/>
      <c r="G38" s="33"/>
      <c r="H38" s="33"/>
      <c r="I38" s="33"/>
      <c r="J38" s="33"/>
      <c r="K38" s="33"/>
      <c r="L38" s="33"/>
      <c r="M38" s="33"/>
      <c r="N38" s="33"/>
      <c r="O38" s="33"/>
      <c r="P38" s="33"/>
      <c r="Q38" s="33"/>
      <c r="R38" s="33"/>
    </row>
    <row r="39">
      <c r="A39" s="33"/>
      <c r="B39" s="33"/>
      <c r="C39" s="33"/>
      <c r="D39" s="33"/>
      <c r="E39" s="33"/>
      <c r="F39" s="33"/>
      <c r="G39" s="33"/>
      <c r="H39" s="33"/>
      <c r="I39" s="33"/>
      <c r="J39" s="33"/>
      <c r="K39" s="33"/>
      <c r="L39" s="33"/>
      <c r="M39" s="33"/>
      <c r="N39" s="33"/>
      <c r="O39" s="33"/>
      <c r="P39" s="33"/>
      <c r="Q39" s="33"/>
      <c r="R39" s="33"/>
    </row>
    <row r="40">
      <c r="A40" s="33"/>
      <c r="B40" s="33"/>
      <c r="C40" s="33"/>
      <c r="D40" s="33"/>
      <c r="E40" s="33"/>
      <c r="F40" s="33"/>
      <c r="G40" s="33"/>
      <c r="H40" s="33"/>
      <c r="I40" s="33"/>
      <c r="J40" s="33"/>
      <c r="K40" s="33"/>
      <c r="L40" s="33"/>
      <c r="M40" s="33"/>
      <c r="N40" s="33"/>
      <c r="O40" s="33"/>
      <c r="P40" s="33"/>
      <c r="Q40" s="33"/>
      <c r="R40" s="33"/>
    </row>
    <row r="41">
      <c r="A41" s="33"/>
      <c r="B41" s="33"/>
      <c r="C41" s="33"/>
      <c r="D41" s="33"/>
      <c r="E41" s="33"/>
      <c r="F41" s="33"/>
      <c r="G41" s="33"/>
      <c r="H41" s="33"/>
      <c r="I41" s="33"/>
      <c r="J41" s="33"/>
      <c r="K41" s="33"/>
      <c r="L41" s="33"/>
      <c r="M41" s="33"/>
      <c r="N41" s="33"/>
      <c r="O41" s="33"/>
      <c r="P41" s="33"/>
      <c r="Q41" s="33"/>
      <c r="R41" s="33"/>
    </row>
    <row r="42">
      <c r="A42" s="33"/>
      <c r="B42" s="33"/>
      <c r="C42" s="33"/>
      <c r="D42" s="33"/>
      <c r="E42" s="33"/>
      <c r="F42" s="33"/>
      <c r="G42" s="33"/>
      <c r="H42" s="33"/>
      <c r="I42" s="33"/>
      <c r="J42" s="33"/>
      <c r="K42" s="33"/>
      <c r="L42" s="33"/>
      <c r="M42" s="33"/>
      <c r="N42" s="33"/>
      <c r="O42" s="33"/>
      <c r="P42" s="33"/>
      <c r="Q42" s="33"/>
      <c r="R42" s="33"/>
    </row>
    <row r="43">
      <c r="A43" s="33"/>
      <c r="B43" s="33"/>
      <c r="C43" s="33"/>
      <c r="D43" s="33"/>
      <c r="E43" s="33"/>
      <c r="F43" s="33"/>
      <c r="G43" s="33"/>
      <c r="H43" s="33"/>
      <c r="I43" s="33"/>
      <c r="J43" s="33"/>
      <c r="K43" s="33"/>
      <c r="L43" s="33"/>
      <c r="M43" s="33"/>
      <c r="N43" s="33"/>
      <c r="O43" s="33"/>
      <c r="P43" s="33"/>
      <c r="Q43" s="33"/>
      <c r="R43" s="33"/>
    </row>
    <row r="44">
      <c r="A44" s="33"/>
      <c r="B44" s="33"/>
      <c r="C44" s="33"/>
      <c r="D44" s="33"/>
      <c r="E44" s="33"/>
      <c r="F44" s="33"/>
      <c r="G44" s="33"/>
      <c r="H44" s="33"/>
      <c r="I44" s="33"/>
      <c r="J44" s="33"/>
      <c r="K44" s="33"/>
      <c r="L44" s="33"/>
      <c r="M44" s="33"/>
      <c r="N44" s="33"/>
      <c r="O44" s="33"/>
      <c r="P44" s="33"/>
      <c r="Q44" s="33"/>
      <c r="R44" s="33"/>
    </row>
    <row r="45">
      <c r="A45" s="33"/>
      <c r="B45" s="33"/>
      <c r="C45" s="33"/>
      <c r="D45" s="33"/>
      <c r="E45" s="33"/>
      <c r="F45" s="33"/>
      <c r="G45" s="33"/>
      <c r="H45" s="33"/>
      <c r="I45" s="33"/>
      <c r="J45" s="33"/>
      <c r="K45" s="33"/>
      <c r="L45" s="33"/>
      <c r="M45" s="33"/>
      <c r="N45" s="33"/>
      <c r="O45" s="33"/>
      <c r="P45" s="33"/>
      <c r="Q45" s="33"/>
      <c r="R45" s="33"/>
    </row>
    <row r="46">
      <c r="A46" s="33"/>
      <c r="B46" s="33"/>
      <c r="C46" s="33"/>
      <c r="D46" s="33"/>
      <c r="E46" s="33"/>
      <c r="F46" s="33"/>
      <c r="G46" s="33"/>
      <c r="H46" s="33"/>
      <c r="I46" s="33"/>
      <c r="J46" s="33"/>
      <c r="K46" s="33"/>
      <c r="L46" s="33"/>
      <c r="M46" s="33"/>
      <c r="N46" s="33"/>
      <c r="O46" s="33"/>
      <c r="P46" s="33"/>
      <c r="Q46" s="33"/>
      <c r="R46" s="33"/>
    </row>
    <row r="47">
      <c r="A47" s="33"/>
      <c r="B47" s="33"/>
      <c r="C47" s="33"/>
      <c r="D47" s="33"/>
      <c r="E47" s="33"/>
      <c r="F47" s="33"/>
      <c r="G47" s="33"/>
      <c r="H47" s="33"/>
      <c r="I47" s="33"/>
      <c r="J47" s="33"/>
      <c r="K47" s="33"/>
      <c r="L47" s="33"/>
      <c r="M47" s="33"/>
      <c r="N47" s="33"/>
      <c r="O47" s="33"/>
      <c r="P47" s="33"/>
      <c r="Q47" s="33"/>
      <c r="R47" s="33"/>
    </row>
    <row r="48">
      <c r="A48" s="33"/>
      <c r="B48" s="33"/>
      <c r="C48" s="33"/>
      <c r="D48" s="33"/>
      <c r="E48" s="33"/>
      <c r="F48" s="33"/>
      <c r="G48" s="33"/>
      <c r="H48" s="33"/>
      <c r="I48" s="33"/>
      <c r="J48" s="33"/>
      <c r="K48" s="33"/>
      <c r="L48" s="33"/>
      <c r="M48" s="33"/>
      <c r="N48" s="33"/>
      <c r="O48" s="33"/>
      <c r="P48" s="33"/>
      <c r="Q48" s="33"/>
      <c r="R48" s="33"/>
    </row>
    <row r="49">
      <c r="A49" s="33"/>
      <c r="B49" s="33"/>
      <c r="C49" s="33"/>
      <c r="D49" s="33"/>
      <c r="E49" s="33"/>
      <c r="F49" s="33"/>
      <c r="G49" s="33"/>
      <c r="H49" s="33"/>
      <c r="I49" s="33"/>
      <c r="J49" s="33"/>
      <c r="K49" s="33"/>
      <c r="L49" s="33"/>
      <c r="M49" s="33"/>
      <c r="N49" s="33"/>
      <c r="O49" s="33"/>
      <c r="P49" s="33"/>
      <c r="Q49" s="33"/>
      <c r="R49" s="33"/>
    </row>
    <row r="50">
      <c r="A50" s="33"/>
      <c r="B50" s="33"/>
      <c r="C50" s="33"/>
      <c r="D50" s="33"/>
      <c r="E50" s="33"/>
      <c r="F50" s="33"/>
      <c r="G50" s="33"/>
      <c r="H50" s="33"/>
      <c r="I50" s="33"/>
      <c r="J50" s="33"/>
      <c r="K50" s="33"/>
      <c r="L50" s="33"/>
      <c r="M50" s="33"/>
      <c r="N50" s="33"/>
      <c r="O50" s="33"/>
      <c r="P50" s="33"/>
      <c r="Q50" s="33"/>
      <c r="R50" s="33"/>
    </row>
    <row r="51">
      <c r="A51" s="33"/>
      <c r="B51" s="33"/>
      <c r="C51" s="33"/>
      <c r="D51" s="33"/>
      <c r="E51" s="33"/>
      <c r="F51" s="33"/>
      <c r="G51" s="33"/>
      <c r="H51" s="33"/>
      <c r="I51" s="33"/>
      <c r="J51" s="33"/>
      <c r="K51" s="33"/>
      <c r="L51" s="33"/>
      <c r="M51" s="33"/>
      <c r="N51" s="33"/>
      <c r="O51" s="33"/>
      <c r="P51" s="33"/>
      <c r="Q51" s="33"/>
      <c r="R51" s="33"/>
    </row>
    <row r="52">
      <c r="A52" s="33"/>
      <c r="B52" s="33"/>
      <c r="C52" s="33"/>
      <c r="D52" s="33"/>
      <c r="E52" s="33"/>
      <c r="F52" s="33"/>
      <c r="G52" s="33"/>
      <c r="H52" s="33"/>
      <c r="I52" s="33"/>
      <c r="J52" s="33"/>
      <c r="K52" s="33"/>
      <c r="L52" s="33"/>
      <c r="M52" s="33"/>
      <c r="N52" s="33"/>
      <c r="O52" s="33"/>
      <c r="P52" s="33"/>
      <c r="Q52" s="33"/>
      <c r="R52" s="33"/>
    </row>
    <row r="53">
      <c r="A53" s="33"/>
      <c r="B53" s="33"/>
      <c r="C53" s="33"/>
      <c r="D53" s="33"/>
      <c r="E53" s="33"/>
      <c r="F53" s="33"/>
      <c r="G53" s="33"/>
      <c r="H53" s="33"/>
      <c r="I53" s="33"/>
      <c r="J53" s="33"/>
      <c r="K53" s="33"/>
      <c r="L53" s="33"/>
      <c r="M53" s="33"/>
      <c r="N53" s="33"/>
      <c r="O53" s="33"/>
      <c r="P53" s="33"/>
      <c r="Q53" s="33"/>
      <c r="R53" s="33"/>
    </row>
    <row r="54">
      <c r="A54" s="33"/>
      <c r="B54" s="33"/>
      <c r="C54" s="33"/>
      <c r="D54" s="33"/>
      <c r="E54" s="33"/>
      <c r="F54" s="33"/>
      <c r="G54" s="33"/>
      <c r="H54" s="33"/>
      <c r="I54" s="33"/>
      <c r="J54" s="33"/>
      <c r="K54" s="33"/>
      <c r="L54" s="33"/>
      <c r="M54" s="33"/>
      <c r="N54" s="33"/>
      <c r="O54" s="33"/>
      <c r="P54" s="33"/>
      <c r="Q54" s="33"/>
      <c r="R54" s="33"/>
    </row>
    <row r="55">
      <c r="A55" s="33"/>
      <c r="B55" s="33"/>
      <c r="C55" s="33"/>
      <c r="D55" s="33"/>
      <c r="E55" s="33"/>
      <c r="F55" s="33"/>
      <c r="G55" s="33"/>
      <c r="H55" s="33"/>
      <c r="I55" s="33"/>
      <c r="J55" s="33"/>
      <c r="K55" s="33"/>
      <c r="L55" s="33"/>
      <c r="M55" s="33"/>
      <c r="N55" s="33"/>
      <c r="O55" s="33"/>
      <c r="P55" s="33"/>
      <c r="Q55" s="33"/>
      <c r="R55" s="33"/>
    </row>
    <row r="56">
      <c r="A56" s="33"/>
      <c r="B56" s="33"/>
      <c r="C56" s="33"/>
      <c r="D56" s="33"/>
      <c r="E56" s="33"/>
      <c r="F56" s="33"/>
      <c r="G56" s="33"/>
      <c r="H56" s="33"/>
      <c r="I56" s="33"/>
      <c r="J56" s="33"/>
      <c r="K56" s="33"/>
      <c r="L56" s="33"/>
      <c r="M56" s="33"/>
      <c r="N56" s="33"/>
      <c r="O56" s="33"/>
      <c r="P56" s="33"/>
      <c r="Q56" s="33"/>
      <c r="R56" s="33"/>
    </row>
    <row r="57">
      <c r="A57" s="33"/>
      <c r="B57" s="33"/>
      <c r="C57" s="33"/>
      <c r="D57" s="33"/>
      <c r="E57" s="33"/>
      <c r="F57" s="33"/>
      <c r="G57" s="33"/>
      <c r="H57" s="33"/>
      <c r="I57" s="33"/>
      <c r="J57" s="33"/>
      <c r="K57" s="33"/>
      <c r="L57" s="33"/>
      <c r="M57" s="33"/>
      <c r="N57" s="33"/>
      <c r="O57" s="33"/>
      <c r="P57" s="33"/>
      <c r="Q57" s="33"/>
      <c r="R57" s="33"/>
    </row>
    <row r="58">
      <c r="A58" s="33"/>
      <c r="B58" s="33"/>
      <c r="C58" s="33"/>
      <c r="D58" s="33"/>
      <c r="E58" s="33"/>
      <c r="F58" s="33"/>
      <c r="G58" s="33"/>
      <c r="H58" s="33"/>
      <c r="I58" s="33"/>
      <c r="J58" s="33"/>
      <c r="K58" s="33"/>
      <c r="L58" s="33"/>
      <c r="M58" s="33"/>
      <c r="N58" s="33"/>
      <c r="O58" s="33"/>
      <c r="P58" s="33"/>
      <c r="Q58" s="33"/>
      <c r="R58" s="33"/>
    </row>
    <row r="59">
      <c r="A59" s="33"/>
      <c r="B59" s="33"/>
      <c r="C59" s="33"/>
      <c r="D59" s="33"/>
      <c r="E59" s="33"/>
      <c r="F59" s="33"/>
      <c r="G59" s="33"/>
      <c r="H59" s="33"/>
      <c r="I59" s="33"/>
      <c r="J59" s="33"/>
      <c r="K59" s="33"/>
      <c r="L59" s="33"/>
      <c r="M59" s="33"/>
      <c r="N59" s="33"/>
      <c r="O59" s="33"/>
      <c r="P59" s="33"/>
      <c r="Q59" s="33"/>
      <c r="R59" s="33"/>
    </row>
    <row r="60">
      <c r="A60" s="33"/>
      <c r="B60" s="33"/>
      <c r="C60" s="33"/>
      <c r="D60" s="33"/>
      <c r="E60" s="33"/>
      <c r="F60" s="33"/>
      <c r="G60" s="33"/>
      <c r="H60" s="33"/>
      <c r="I60" s="33"/>
      <c r="J60" s="33"/>
      <c r="K60" s="33"/>
      <c r="L60" s="33"/>
      <c r="M60" s="33"/>
      <c r="N60" s="33"/>
      <c r="O60" s="33"/>
      <c r="P60" s="33"/>
      <c r="Q60" s="33"/>
      <c r="R60" s="33"/>
    </row>
    <row r="61">
      <c r="A61" s="33"/>
      <c r="B61" s="33"/>
      <c r="C61" s="33"/>
      <c r="D61" s="33"/>
      <c r="E61" s="33"/>
      <c r="F61" s="33"/>
      <c r="G61" s="33"/>
      <c r="H61" s="33"/>
      <c r="I61" s="33"/>
      <c r="J61" s="33"/>
      <c r="K61" s="33"/>
      <c r="L61" s="33"/>
      <c r="M61" s="33"/>
      <c r="N61" s="33"/>
      <c r="O61" s="33"/>
      <c r="P61" s="33"/>
      <c r="Q61" s="33"/>
      <c r="R61" s="33"/>
    </row>
    <row r="62">
      <c r="A62" s="33"/>
      <c r="B62" s="33"/>
      <c r="C62" s="33"/>
      <c r="D62" s="33"/>
      <c r="E62" s="33"/>
      <c r="F62" s="33"/>
      <c r="G62" s="33"/>
      <c r="H62" s="33"/>
      <c r="I62" s="33"/>
      <c r="J62" s="33"/>
      <c r="K62" s="33"/>
      <c r="L62" s="33"/>
      <c r="M62" s="33"/>
      <c r="N62" s="33"/>
      <c r="O62" s="33"/>
      <c r="P62" s="33"/>
      <c r="Q62" s="33"/>
      <c r="R62" s="33"/>
    </row>
    <row r="63">
      <c r="A63" s="33"/>
      <c r="B63" s="33"/>
      <c r="C63" s="33"/>
      <c r="D63" s="33"/>
      <c r="E63" s="33"/>
      <c r="F63" s="33"/>
      <c r="G63" s="33"/>
      <c r="H63" s="33"/>
      <c r="I63" s="33"/>
      <c r="J63" s="33"/>
      <c r="K63" s="33"/>
      <c r="L63" s="33"/>
      <c r="M63" s="33"/>
      <c r="N63" s="33"/>
      <c r="O63" s="33"/>
      <c r="P63" s="33"/>
      <c r="Q63" s="33"/>
      <c r="R63" s="33"/>
    </row>
    <row r="64">
      <c r="A64" s="33"/>
      <c r="B64" s="33"/>
      <c r="C64" s="33"/>
      <c r="D64" s="33"/>
      <c r="E64" s="33"/>
      <c r="F64" s="33"/>
      <c r="G64" s="33"/>
      <c r="H64" s="33"/>
      <c r="I64" s="33"/>
      <c r="J64" s="33"/>
      <c r="K64" s="33"/>
      <c r="L64" s="33"/>
      <c r="M64" s="33"/>
      <c r="N64" s="33"/>
      <c r="O64" s="33"/>
      <c r="P64" s="33"/>
      <c r="Q64" s="33"/>
      <c r="R64" s="33"/>
    </row>
    <row r="65">
      <c r="A65" s="33"/>
      <c r="B65" s="33"/>
      <c r="C65" s="33"/>
      <c r="D65" s="33"/>
      <c r="E65" s="33"/>
      <c r="F65" s="33"/>
      <c r="G65" s="33"/>
      <c r="H65" s="33"/>
      <c r="I65" s="33"/>
      <c r="J65" s="33"/>
      <c r="K65" s="33"/>
      <c r="L65" s="33"/>
      <c r="M65" s="33"/>
      <c r="N65" s="33"/>
      <c r="O65" s="33"/>
      <c r="P65" s="33"/>
      <c r="Q65" s="33"/>
      <c r="R65" s="33"/>
    </row>
    <row r="66">
      <c r="A66" s="33"/>
      <c r="B66" s="33"/>
      <c r="C66" s="33"/>
      <c r="D66" s="33"/>
      <c r="E66" s="33"/>
      <c r="F66" s="33"/>
      <c r="G66" s="33"/>
      <c r="H66" s="33"/>
      <c r="I66" s="33"/>
      <c r="J66" s="33"/>
      <c r="K66" s="33"/>
      <c r="L66" s="33"/>
      <c r="M66" s="33"/>
      <c r="N66" s="33"/>
      <c r="O66" s="33"/>
      <c r="P66" s="33"/>
      <c r="Q66" s="33"/>
      <c r="R66" s="33"/>
    </row>
    <row r="67">
      <c r="A67" s="33"/>
      <c r="B67" s="33"/>
      <c r="C67" s="33"/>
      <c r="D67" s="33"/>
      <c r="E67" s="33"/>
      <c r="F67" s="33"/>
      <c r="G67" s="33"/>
      <c r="H67" s="33"/>
      <c r="I67" s="33"/>
      <c r="J67" s="33"/>
      <c r="K67" s="33"/>
      <c r="L67" s="33"/>
      <c r="M67" s="33"/>
      <c r="N67" s="33"/>
      <c r="O67" s="33"/>
      <c r="P67" s="33"/>
      <c r="Q67" s="33"/>
      <c r="R67" s="33"/>
    </row>
    <row r="68">
      <c r="A68" s="33"/>
      <c r="B68" s="33"/>
      <c r="C68" s="33"/>
      <c r="D68" s="33"/>
      <c r="E68" s="33"/>
      <c r="F68" s="33"/>
      <c r="G68" s="33"/>
      <c r="H68" s="33"/>
      <c r="I68" s="33"/>
      <c r="J68" s="33"/>
      <c r="K68" s="33"/>
      <c r="L68" s="33"/>
      <c r="M68" s="33"/>
      <c r="N68" s="33"/>
      <c r="O68" s="33"/>
      <c r="P68" s="33"/>
      <c r="Q68" s="33"/>
      <c r="R68" s="33"/>
    </row>
    <row r="69">
      <c r="A69" s="33"/>
      <c r="B69" s="33"/>
      <c r="C69" s="33"/>
      <c r="D69" s="33"/>
      <c r="E69" s="33"/>
      <c r="F69" s="33"/>
      <c r="G69" s="33"/>
      <c r="H69" s="33"/>
      <c r="I69" s="33"/>
      <c r="J69" s="33"/>
      <c r="K69" s="33"/>
      <c r="L69" s="33"/>
      <c r="M69" s="33"/>
      <c r="N69" s="33"/>
      <c r="O69" s="33"/>
      <c r="P69" s="33"/>
      <c r="Q69" s="33"/>
      <c r="R69" s="33"/>
    </row>
    <row r="70">
      <c r="A70" s="33"/>
      <c r="B70" s="33"/>
      <c r="C70" s="33"/>
      <c r="D70" s="33"/>
      <c r="E70" s="33"/>
      <c r="F70" s="33"/>
      <c r="G70" s="33"/>
      <c r="H70" s="33"/>
      <c r="I70" s="33"/>
      <c r="J70" s="33"/>
      <c r="K70" s="33"/>
      <c r="L70" s="33"/>
      <c r="M70" s="33"/>
      <c r="N70" s="33"/>
      <c r="O70" s="33"/>
      <c r="P70" s="33"/>
      <c r="Q70" s="33"/>
      <c r="R70" s="33"/>
    </row>
    <row r="71">
      <c r="A71" s="33"/>
      <c r="B71" s="33"/>
      <c r="C71" s="33"/>
      <c r="D71" s="33"/>
      <c r="E71" s="33"/>
      <c r="F71" s="33"/>
      <c r="G71" s="33"/>
      <c r="H71" s="33"/>
      <c r="I71" s="33"/>
      <c r="J71" s="33"/>
      <c r="K71" s="33"/>
      <c r="L71" s="33"/>
      <c r="M71" s="33"/>
      <c r="N71" s="33"/>
      <c r="O71" s="33"/>
      <c r="P71" s="33"/>
      <c r="Q71" s="33"/>
      <c r="R71" s="33"/>
    </row>
    <row r="72">
      <c r="A72" s="33"/>
      <c r="B72" s="33"/>
      <c r="C72" s="33"/>
      <c r="D72" s="33"/>
      <c r="E72" s="33"/>
      <c r="F72" s="33"/>
      <c r="G72" s="33"/>
      <c r="H72" s="33"/>
      <c r="I72" s="33"/>
      <c r="J72" s="33"/>
      <c r="K72" s="33"/>
      <c r="L72" s="33"/>
      <c r="M72" s="33"/>
      <c r="N72" s="33"/>
      <c r="O72" s="33"/>
      <c r="P72" s="33"/>
      <c r="Q72" s="33"/>
      <c r="R72" s="33"/>
    </row>
    <row r="73">
      <c r="A73" s="33"/>
      <c r="B73" s="33"/>
      <c r="C73" s="33"/>
      <c r="D73" s="33"/>
      <c r="E73" s="33"/>
      <c r="F73" s="33"/>
      <c r="G73" s="33"/>
      <c r="H73" s="33"/>
      <c r="I73" s="33"/>
      <c r="J73" s="33"/>
      <c r="K73" s="33"/>
      <c r="L73" s="33"/>
      <c r="M73" s="33"/>
      <c r="N73" s="33"/>
      <c r="O73" s="33"/>
      <c r="P73" s="33"/>
      <c r="Q73" s="33"/>
      <c r="R73" s="33"/>
    </row>
    <row r="74">
      <c r="A74" s="33"/>
      <c r="B74" s="33"/>
      <c r="C74" s="33"/>
      <c r="D74" s="33"/>
      <c r="E74" s="33"/>
      <c r="F74" s="33"/>
      <c r="G74" s="33"/>
      <c r="H74" s="33"/>
      <c r="I74" s="33"/>
      <c r="J74" s="33"/>
      <c r="K74" s="33"/>
      <c r="L74" s="33"/>
      <c r="M74" s="33"/>
      <c r="N74" s="33"/>
      <c r="O74" s="33"/>
      <c r="P74" s="33"/>
      <c r="Q74" s="33"/>
      <c r="R74" s="33"/>
    </row>
    <row r="75">
      <c r="A75" s="33"/>
      <c r="B75" s="33"/>
      <c r="C75" s="33"/>
      <c r="D75" s="33"/>
      <c r="E75" s="33"/>
      <c r="F75" s="33"/>
      <c r="G75" s="33"/>
      <c r="H75" s="33"/>
      <c r="I75" s="33"/>
      <c r="J75" s="33"/>
      <c r="K75" s="33"/>
      <c r="L75" s="33"/>
      <c r="M75" s="33"/>
      <c r="N75" s="33"/>
      <c r="O75" s="33"/>
      <c r="P75" s="33"/>
      <c r="Q75" s="33"/>
      <c r="R75" s="33"/>
    </row>
    <row r="76">
      <c r="A76" s="33"/>
      <c r="B76" s="33"/>
      <c r="C76" s="33"/>
      <c r="D76" s="33"/>
      <c r="E76" s="33"/>
      <c r="F76" s="33"/>
      <c r="G76" s="33"/>
      <c r="H76" s="33"/>
      <c r="I76" s="33"/>
      <c r="J76" s="33"/>
      <c r="K76" s="33"/>
      <c r="L76" s="33"/>
      <c r="M76" s="33"/>
      <c r="N76" s="33"/>
      <c r="O76" s="33"/>
      <c r="P76" s="33"/>
      <c r="Q76" s="33"/>
      <c r="R76" s="33"/>
    </row>
    <row r="77">
      <c r="A77" s="33"/>
      <c r="B77" s="33"/>
      <c r="C77" s="33"/>
      <c r="D77" s="33"/>
      <c r="E77" s="33"/>
      <c r="F77" s="33"/>
      <c r="G77" s="33"/>
      <c r="H77" s="33"/>
      <c r="I77" s="33"/>
      <c r="J77" s="33"/>
      <c r="K77" s="33"/>
      <c r="L77" s="33"/>
      <c r="M77" s="33"/>
      <c r="N77" s="33"/>
      <c r="O77" s="33"/>
      <c r="P77" s="33"/>
      <c r="Q77" s="33"/>
      <c r="R77" s="33"/>
    </row>
    <row r="78">
      <c r="A78" s="33"/>
      <c r="B78" s="33"/>
      <c r="C78" s="33"/>
      <c r="D78" s="33"/>
      <c r="E78" s="33"/>
      <c r="F78" s="33"/>
      <c r="G78" s="33"/>
      <c r="H78" s="33"/>
      <c r="I78" s="33"/>
      <c r="J78" s="33"/>
      <c r="K78" s="33"/>
      <c r="L78" s="33"/>
      <c r="M78" s="33"/>
      <c r="N78" s="33"/>
      <c r="O78" s="33"/>
      <c r="P78" s="33"/>
      <c r="Q78" s="33"/>
      <c r="R78" s="33"/>
    </row>
    <row r="79">
      <c r="A79" s="33"/>
      <c r="B79" s="33"/>
      <c r="C79" s="33"/>
      <c r="D79" s="33"/>
      <c r="E79" s="33"/>
      <c r="F79" s="33"/>
      <c r="G79" s="33"/>
      <c r="H79" s="33"/>
      <c r="I79" s="33"/>
      <c r="J79" s="33"/>
      <c r="K79" s="33"/>
      <c r="L79" s="33"/>
      <c r="M79" s="33"/>
      <c r="N79" s="33"/>
      <c r="O79" s="33"/>
      <c r="P79" s="33"/>
      <c r="Q79" s="33"/>
      <c r="R79" s="33"/>
    </row>
    <row r="80">
      <c r="A80" s="33"/>
      <c r="B80" s="33"/>
      <c r="C80" s="33"/>
      <c r="D80" s="33"/>
      <c r="E80" s="33"/>
      <c r="F80" s="33"/>
      <c r="G80" s="33"/>
      <c r="H80" s="33"/>
      <c r="I80" s="33"/>
      <c r="J80" s="33"/>
      <c r="K80" s="33"/>
      <c r="L80" s="33"/>
      <c r="M80" s="33"/>
      <c r="N80" s="33"/>
      <c r="O80" s="33"/>
      <c r="P80" s="33"/>
      <c r="Q80" s="33"/>
      <c r="R80" s="33"/>
    </row>
    <row r="81">
      <c r="A81" s="33"/>
      <c r="B81" s="33"/>
      <c r="C81" s="33"/>
      <c r="D81" s="33"/>
      <c r="E81" s="33"/>
      <c r="F81" s="33"/>
      <c r="G81" s="33"/>
      <c r="H81" s="33"/>
      <c r="I81" s="33"/>
      <c r="J81" s="33"/>
      <c r="K81" s="33"/>
      <c r="L81" s="33"/>
      <c r="M81" s="33"/>
      <c r="N81" s="33"/>
      <c r="O81" s="33"/>
      <c r="P81" s="33"/>
      <c r="Q81" s="33"/>
      <c r="R81" s="33"/>
    </row>
    <row r="82">
      <c r="A82" s="33"/>
      <c r="B82" s="33"/>
      <c r="C82" s="33"/>
      <c r="D82" s="33"/>
      <c r="E82" s="33"/>
      <c r="F82" s="33"/>
      <c r="G82" s="33"/>
      <c r="H82" s="33"/>
      <c r="I82" s="33"/>
      <c r="J82" s="33"/>
      <c r="K82" s="33"/>
      <c r="L82" s="33"/>
      <c r="M82" s="33"/>
      <c r="N82" s="33"/>
      <c r="O82" s="33"/>
      <c r="P82" s="33"/>
      <c r="Q82" s="33"/>
      <c r="R82" s="33"/>
    </row>
    <row r="83">
      <c r="A83" s="33"/>
      <c r="B83" s="33"/>
      <c r="C83" s="33"/>
      <c r="D83" s="33"/>
      <c r="E83" s="33"/>
      <c r="F83" s="33"/>
      <c r="G83" s="33"/>
      <c r="H83" s="33"/>
      <c r="I83" s="33"/>
      <c r="J83" s="33"/>
      <c r="K83" s="33"/>
      <c r="L83" s="33"/>
      <c r="M83" s="33"/>
      <c r="N83" s="33"/>
      <c r="O83" s="33"/>
      <c r="P83" s="33"/>
      <c r="Q83" s="33"/>
      <c r="R83" s="33"/>
    </row>
    <row r="84">
      <c r="A84" s="33"/>
      <c r="B84" s="33"/>
      <c r="C84" s="33"/>
      <c r="D84" s="33"/>
      <c r="E84" s="33"/>
      <c r="F84" s="33"/>
      <c r="G84" s="33"/>
      <c r="H84" s="33"/>
      <c r="I84" s="33"/>
      <c r="J84" s="33"/>
      <c r="K84" s="33"/>
      <c r="L84" s="33"/>
      <c r="M84" s="33"/>
      <c r="N84" s="33"/>
      <c r="O84" s="33"/>
      <c r="P84" s="33"/>
      <c r="Q84" s="33"/>
      <c r="R84" s="33"/>
    </row>
    <row r="85">
      <c r="A85" s="33"/>
      <c r="B85" s="33"/>
      <c r="C85" s="33"/>
      <c r="D85" s="33"/>
      <c r="E85" s="33"/>
      <c r="F85" s="33"/>
      <c r="G85" s="33"/>
      <c r="H85" s="33"/>
      <c r="I85" s="33"/>
      <c r="J85" s="33"/>
      <c r="K85" s="33"/>
      <c r="L85" s="33"/>
      <c r="M85" s="33"/>
      <c r="N85" s="33"/>
      <c r="O85" s="33"/>
      <c r="P85" s="33"/>
      <c r="Q85" s="33"/>
      <c r="R85" s="33"/>
    </row>
    <row r="86">
      <c r="A86" s="33"/>
      <c r="B86" s="33"/>
      <c r="C86" s="33"/>
      <c r="D86" s="33"/>
      <c r="E86" s="33"/>
      <c r="F86" s="33"/>
      <c r="G86" s="33"/>
      <c r="H86" s="33"/>
      <c r="I86" s="33"/>
      <c r="J86" s="33"/>
      <c r="K86" s="33"/>
      <c r="L86" s="33"/>
      <c r="M86" s="33"/>
      <c r="N86" s="33"/>
      <c r="O86" s="33"/>
      <c r="P86" s="33"/>
      <c r="Q86" s="33"/>
      <c r="R86" s="33"/>
    </row>
    <row r="87">
      <c r="A87" s="33"/>
      <c r="B87" s="33"/>
      <c r="C87" s="33"/>
      <c r="D87" s="33"/>
      <c r="E87" s="33"/>
      <c r="F87" s="33"/>
      <c r="G87" s="33"/>
      <c r="H87" s="33"/>
      <c r="I87" s="33"/>
      <c r="J87" s="33"/>
      <c r="K87" s="33"/>
      <c r="L87" s="33"/>
      <c r="M87" s="33"/>
      <c r="N87" s="33"/>
      <c r="O87" s="33"/>
      <c r="P87" s="33"/>
      <c r="Q87" s="33"/>
      <c r="R87" s="33"/>
    </row>
    <row r="88">
      <c r="A88" s="33"/>
      <c r="B88" s="33"/>
      <c r="C88" s="33"/>
      <c r="D88" s="33"/>
      <c r="E88" s="33"/>
      <c r="F88" s="33"/>
      <c r="G88" s="33"/>
      <c r="H88" s="33"/>
      <c r="I88" s="33"/>
      <c r="J88" s="33"/>
      <c r="K88" s="33"/>
      <c r="L88" s="33"/>
      <c r="M88" s="33"/>
      <c r="N88" s="33"/>
      <c r="O88" s="33"/>
      <c r="P88" s="33"/>
      <c r="Q88" s="33"/>
      <c r="R88" s="33"/>
    </row>
    <row r="89">
      <c r="A89" s="33"/>
      <c r="B89" s="33"/>
      <c r="C89" s="33"/>
      <c r="D89" s="33"/>
      <c r="E89" s="33"/>
      <c r="F89" s="33"/>
      <c r="G89" s="33"/>
      <c r="H89" s="33"/>
      <c r="I89" s="33"/>
      <c r="J89" s="33"/>
      <c r="K89" s="33"/>
      <c r="L89" s="33"/>
      <c r="M89" s="33"/>
      <c r="N89" s="33"/>
      <c r="O89" s="33"/>
      <c r="P89" s="33"/>
      <c r="Q89" s="33"/>
      <c r="R89" s="33"/>
    </row>
    <row r="90">
      <c r="A90" s="33"/>
      <c r="B90" s="33"/>
      <c r="C90" s="33"/>
      <c r="D90" s="33"/>
      <c r="E90" s="33"/>
      <c r="F90" s="33"/>
      <c r="G90" s="33"/>
      <c r="H90" s="33"/>
      <c r="I90" s="33"/>
      <c r="J90" s="33"/>
      <c r="K90" s="33"/>
      <c r="L90" s="33"/>
      <c r="M90" s="33"/>
      <c r="N90" s="33"/>
      <c r="O90" s="33"/>
      <c r="P90" s="33"/>
      <c r="Q90" s="33"/>
      <c r="R90" s="33"/>
    </row>
    <row r="91">
      <c r="A91" s="33"/>
      <c r="B91" s="33"/>
      <c r="C91" s="33"/>
      <c r="D91" s="33"/>
      <c r="E91" s="33"/>
      <c r="F91" s="33"/>
      <c r="G91" s="33"/>
      <c r="H91" s="33"/>
      <c r="I91" s="33"/>
      <c r="J91" s="33"/>
      <c r="K91" s="33"/>
      <c r="L91" s="33"/>
      <c r="M91" s="33"/>
      <c r="N91" s="33"/>
      <c r="O91" s="33"/>
      <c r="P91" s="33"/>
      <c r="Q91" s="33"/>
      <c r="R91" s="33"/>
    </row>
    <row r="92">
      <c r="A92" s="33"/>
      <c r="B92" s="33"/>
      <c r="C92" s="33"/>
      <c r="D92" s="33"/>
      <c r="E92" s="33"/>
      <c r="F92" s="33"/>
      <c r="G92" s="33"/>
      <c r="H92" s="33"/>
      <c r="I92" s="33"/>
      <c r="J92" s="33"/>
      <c r="K92" s="33"/>
      <c r="L92" s="33"/>
      <c r="M92" s="33"/>
      <c r="N92" s="33"/>
      <c r="O92" s="33"/>
      <c r="P92" s="33"/>
      <c r="Q92" s="33"/>
      <c r="R92" s="33"/>
    </row>
    <row r="93">
      <c r="A93" s="33"/>
      <c r="B93" s="33"/>
      <c r="C93" s="33"/>
      <c r="D93" s="33"/>
      <c r="E93" s="33"/>
      <c r="F93" s="33"/>
      <c r="G93" s="33"/>
      <c r="H93" s="33"/>
      <c r="I93" s="33"/>
      <c r="J93" s="33"/>
      <c r="K93" s="33"/>
      <c r="L93" s="33"/>
      <c r="M93" s="33"/>
      <c r="N93" s="33"/>
      <c r="O93" s="33"/>
      <c r="P93" s="33"/>
      <c r="Q93" s="33"/>
      <c r="R93" s="33"/>
    </row>
    <row r="94">
      <c r="A94" s="33"/>
      <c r="B94" s="33"/>
      <c r="C94" s="33"/>
      <c r="D94" s="33"/>
      <c r="E94" s="33"/>
      <c r="F94" s="33"/>
      <c r="G94" s="33"/>
      <c r="H94" s="33"/>
      <c r="I94" s="33"/>
      <c r="J94" s="33"/>
      <c r="K94" s="33"/>
      <c r="L94" s="33"/>
      <c r="M94" s="33"/>
      <c r="N94" s="33"/>
      <c r="O94" s="33"/>
      <c r="P94" s="33"/>
      <c r="Q94" s="33"/>
      <c r="R94" s="33"/>
    </row>
    <row r="95">
      <c r="A95" s="33"/>
      <c r="B95" s="33"/>
      <c r="C95" s="33"/>
      <c r="D95" s="33"/>
      <c r="E95" s="33"/>
      <c r="F95" s="33"/>
      <c r="G95" s="33"/>
      <c r="H95" s="33"/>
      <c r="I95" s="33"/>
      <c r="J95" s="33"/>
      <c r="K95" s="33"/>
      <c r="L95" s="33"/>
      <c r="M95" s="33"/>
      <c r="N95" s="33"/>
      <c r="O95" s="33"/>
      <c r="P95" s="33"/>
      <c r="Q95" s="33"/>
      <c r="R95" s="33"/>
    </row>
    <row r="96">
      <c r="A96" s="33"/>
      <c r="B96" s="33"/>
      <c r="C96" s="33"/>
      <c r="D96" s="33"/>
      <c r="E96" s="33"/>
      <c r="F96" s="33"/>
      <c r="G96" s="33"/>
      <c r="H96" s="33"/>
      <c r="I96" s="33"/>
      <c r="J96" s="33"/>
      <c r="K96" s="33"/>
      <c r="L96" s="33"/>
      <c r="M96" s="33"/>
      <c r="N96" s="33"/>
      <c r="O96" s="33"/>
      <c r="P96" s="33"/>
      <c r="Q96" s="33"/>
      <c r="R96" s="33"/>
    </row>
    <row r="97">
      <c r="A97" s="33"/>
      <c r="B97" s="33"/>
      <c r="C97" s="33"/>
      <c r="D97" s="33"/>
      <c r="E97" s="33"/>
      <c r="F97" s="33"/>
      <c r="G97" s="33"/>
      <c r="H97" s="33"/>
      <c r="I97" s="33"/>
      <c r="J97" s="33"/>
      <c r="K97" s="33"/>
      <c r="L97" s="33"/>
      <c r="M97" s="33"/>
      <c r="N97" s="33"/>
      <c r="O97" s="33"/>
      <c r="P97" s="33"/>
      <c r="Q97" s="33"/>
      <c r="R97" s="33"/>
    </row>
    <row r="98">
      <c r="A98" s="33"/>
      <c r="B98" s="33"/>
      <c r="C98" s="33"/>
      <c r="D98" s="33"/>
      <c r="E98" s="33"/>
      <c r="F98" s="33"/>
      <c r="G98" s="33"/>
      <c r="H98" s="33"/>
      <c r="I98" s="33"/>
      <c r="J98" s="33"/>
      <c r="K98" s="33"/>
      <c r="L98" s="33"/>
      <c r="M98" s="33"/>
      <c r="N98" s="33"/>
      <c r="O98" s="33"/>
      <c r="P98" s="33"/>
      <c r="Q98" s="33"/>
      <c r="R98" s="33"/>
    </row>
    <row r="99">
      <c r="A99" s="33"/>
      <c r="B99" s="33"/>
      <c r="C99" s="33"/>
      <c r="D99" s="33"/>
      <c r="E99" s="33"/>
      <c r="F99" s="33"/>
      <c r="G99" s="33"/>
      <c r="H99" s="33"/>
      <c r="I99" s="33"/>
      <c r="J99" s="33"/>
      <c r="K99" s="33"/>
      <c r="L99" s="33"/>
      <c r="M99" s="33"/>
      <c r="N99" s="33"/>
      <c r="O99" s="33"/>
      <c r="P99" s="33"/>
      <c r="Q99" s="33"/>
      <c r="R99" s="33"/>
    </row>
    <row r="100">
      <c r="A100" s="33"/>
      <c r="B100" s="33"/>
      <c r="C100" s="33"/>
      <c r="D100" s="33"/>
      <c r="E100" s="33"/>
      <c r="F100" s="33"/>
      <c r="G100" s="33"/>
      <c r="H100" s="33"/>
      <c r="I100" s="33"/>
      <c r="J100" s="33"/>
      <c r="K100" s="33"/>
      <c r="L100" s="33"/>
      <c r="M100" s="33"/>
      <c r="N100" s="33"/>
      <c r="O100" s="33"/>
      <c r="P100" s="33"/>
      <c r="Q100" s="33"/>
      <c r="R100" s="33"/>
    </row>
    <row r="101">
      <c r="A101" s="33"/>
      <c r="B101" s="33"/>
      <c r="C101" s="33"/>
      <c r="D101" s="33"/>
      <c r="E101" s="33"/>
      <c r="F101" s="33"/>
      <c r="G101" s="33"/>
      <c r="H101" s="33"/>
      <c r="I101" s="33"/>
      <c r="J101" s="33"/>
      <c r="K101" s="33"/>
      <c r="L101" s="33"/>
      <c r="M101" s="33"/>
      <c r="N101" s="33"/>
      <c r="O101" s="33"/>
      <c r="P101" s="33"/>
      <c r="Q101" s="33"/>
      <c r="R101" s="33"/>
    </row>
    <row r="102">
      <c r="A102" s="33"/>
      <c r="B102" s="33"/>
      <c r="C102" s="33"/>
      <c r="D102" s="33"/>
      <c r="E102" s="33"/>
      <c r="F102" s="33"/>
      <c r="G102" s="33"/>
      <c r="H102" s="33"/>
      <c r="I102" s="33"/>
      <c r="J102" s="33"/>
      <c r="K102" s="33"/>
      <c r="L102" s="33"/>
      <c r="M102" s="33"/>
      <c r="N102" s="33"/>
      <c r="O102" s="33"/>
      <c r="P102" s="33"/>
      <c r="Q102" s="33"/>
      <c r="R102" s="33"/>
    </row>
    <row r="103">
      <c r="A103" s="33"/>
      <c r="B103" s="33"/>
      <c r="C103" s="33"/>
      <c r="D103" s="33"/>
      <c r="E103" s="33"/>
      <c r="F103" s="33"/>
      <c r="G103" s="33"/>
      <c r="H103" s="33"/>
      <c r="I103" s="33"/>
      <c r="J103" s="33"/>
      <c r="K103" s="33"/>
      <c r="L103" s="33"/>
      <c r="M103" s="33"/>
      <c r="N103" s="33"/>
      <c r="O103" s="33"/>
      <c r="P103" s="33"/>
      <c r="Q103" s="33"/>
      <c r="R103" s="33"/>
    </row>
    <row r="104">
      <c r="A104" s="33"/>
      <c r="B104" s="33"/>
      <c r="C104" s="33"/>
      <c r="D104" s="33"/>
      <c r="E104" s="33"/>
      <c r="F104" s="33"/>
      <c r="G104" s="33"/>
      <c r="H104" s="33"/>
      <c r="I104" s="33"/>
      <c r="J104" s="33"/>
      <c r="K104" s="33"/>
      <c r="L104" s="33"/>
      <c r="M104" s="33"/>
      <c r="N104" s="33"/>
      <c r="O104" s="33"/>
      <c r="P104" s="33"/>
      <c r="Q104" s="33"/>
      <c r="R104" s="33"/>
    </row>
    <row r="105">
      <c r="A105" s="33"/>
      <c r="B105" s="33"/>
      <c r="C105" s="33"/>
      <c r="D105" s="33"/>
      <c r="E105" s="33"/>
      <c r="F105" s="33"/>
      <c r="G105" s="33"/>
      <c r="H105" s="33"/>
      <c r="I105" s="33"/>
      <c r="J105" s="33"/>
      <c r="K105" s="33"/>
      <c r="L105" s="33"/>
      <c r="M105" s="33"/>
      <c r="N105" s="33"/>
      <c r="O105" s="33"/>
      <c r="P105" s="33"/>
      <c r="Q105" s="33"/>
      <c r="R105" s="33"/>
    </row>
    <row r="106">
      <c r="A106" s="33"/>
      <c r="B106" s="33"/>
      <c r="C106" s="33"/>
      <c r="D106" s="33"/>
      <c r="E106" s="33"/>
      <c r="F106" s="33"/>
      <c r="G106" s="33"/>
      <c r="H106" s="33"/>
      <c r="I106" s="33"/>
      <c r="J106" s="33"/>
      <c r="K106" s="33"/>
      <c r="L106" s="33"/>
      <c r="M106" s="33"/>
      <c r="N106" s="33"/>
      <c r="O106" s="33"/>
      <c r="P106" s="33"/>
      <c r="Q106" s="33"/>
      <c r="R106" s="33"/>
    </row>
    <row r="107">
      <c r="A107" s="33"/>
      <c r="B107" s="33"/>
      <c r="C107" s="33"/>
      <c r="D107" s="33"/>
      <c r="E107" s="33"/>
      <c r="F107" s="33"/>
      <c r="G107" s="33"/>
      <c r="H107" s="33"/>
      <c r="I107" s="33"/>
      <c r="J107" s="33"/>
      <c r="K107" s="33"/>
      <c r="L107" s="33"/>
      <c r="M107" s="33"/>
      <c r="N107" s="33"/>
      <c r="O107" s="33"/>
      <c r="P107" s="33"/>
      <c r="Q107" s="33"/>
      <c r="R107" s="33"/>
    </row>
    <row r="108">
      <c r="A108" s="33"/>
      <c r="B108" s="33"/>
      <c r="C108" s="33"/>
      <c r="D108" s="33"/>
      <c r="E108" s="33"/>
      <c r="F108" s="33"/>
      <c r="G108" s="33"/>
      <c r="H108" s="33"/>
      <c r="I108" s="33"/>
      <c r="J108" s="33"/>
      <c r="K108" s="33"/>
      <c r="L108" s="33"/>
      <c r="M108" s="33"/>
      <c r="N108" s="33"/>
      <c r="O108" s="33"/>
      <c r="P108" s="33"/>
      <c r="Q108" s="33"/>
      <c r="R108" s="33"/>
    </row>
    <row r="109">
      <c r="A109" s="33"/>
      <c r="B109" s="33"/>
      <c r="C109" s="33"/>
      <c r="D109" s="33"/>
      <c r="E109" s="33"/>
      <c r="F109" s="33"/>
      <c r="G109" s="33"/>
      <c r="H109" s="33"/>
      <c r="I109" s="33"/>
      <c r="J109" s="33"/>
      <c r="K109" s="33"/>
      <c r="L109" s="33"/>
      <c r="M109" s="33"/>
      <c r="N109" s="33"/>
      <c r="O109" s="33"/>
      <c r="P109" s="33"/>
      <c r="Q109" s="33"/>
      <c r="R109" s="33"/>
    </row>
    <row r="110">
      <c r="A110" s="33"/>
      <c r="B110" s="33"/>
      <c r="C110" s="33"/>
      <c r="D110" s="33"/>
      <c r="E110" s="33"/>
      <c r="F110" s="33"/>
      <c r="G110" s="33"/>
      <c r="H110" s="33"/>
      <c r="I110" s="33"/>
      <c r="J110" s="33"/>
      <c r="K110" s="33"/>
      <c r="L110" s="33"/>
      <c r="M110" s="33"/>
      <c r="N110" s="33"/>
      <c r="O110" s="33"/>
      <c r="P110" s="33"/>
      <c r="Q110" s="33"/>
      <c r="R110" s="33"/>
    </row>
    <row r="111">
      <c r="A111" s="33"/>
      <c r="B111" s="33"/>
      <c r="C111" s="33"/>
      <c r="D111" s="33"/>
      <c r="E111" s="33"/>
      <c r="F111" s="33"/>
      <c r="G111" s="33"/>
      <c r="H111" s="33"/>
      <c r="I111" s="33"/>
      <c r="J111" s="33"/>
      <c r="K111" s="33"/>
      <c r="L111" s="33"/>
      <c r="M111" s="33"/>
      <c r="N111" s="33"/>
      <c r="O111" s="33"/>
      <c r="P111" s="33"/>
      <c r="Q111" s="33"/>
      <c r="R111" s="33"/>
    </row>
    <row r="112">
      <c r="A112" s="33"/>
      <c r="B112" s="33"/>
      <c r="C112" s="33"/>
      <c r="D112" s="33"/>
      <c r="E112" s="33"/>
      <c r="F112" s="33"/>
      <c r="G112" s="33"/>
      <c r="H112" s="33"/>
      <c r="I112" s="33"/>
      <c r="J112" s="33"/>
      <c r="K112" s="33"/>
      <c r="L112" s="33"/>
      <c r="M112" s="33"/>
      <c r="N112" s="33"/>
      <c r="O112" s="33"/>
      <c r="P112" s="33"/>
      <c r="Q112" s="33"/>
      <c r="R112" s="33"/>
    </row>
    <row r="113">
      <c r="A113" s="33"/>
      <c r="B113" s="33"/>
      <c r="C113" s="33"/>
      <c r="D113" s="33"/>
      <c r="E113" s="33"/>
      <c r="F113" s="33"/>
      <c r="G113" s="33"/>
      <c r="H113" s="33"/>
      <c r="I113" s="33"/>
      <c r="J113" s="33"/>
      <c r="K113" s="33"/>
      <c r="L113" s="33"/>
      <c r="M113" s="33"/>
      <c r="N113" s="33"/>
      <c r="O113" s="33"/>
      <c r="P113" s="33"/>
      <c r="Q113" s="33"/>
      <c r="R113" s="33"/>
    </row>
    <row r="114">
      <c r="A114" s="33"/>
      <c r="B114" s="33"/>
      <c r="C114" s="33"/>
      <c r="D114" s="33"/>
      <c r="E114" s="33"/>
      <c r="F114" s="33"/>
      <c r="G114" s="33"/>
      <c r="H114" s="33"/>
      <c r="I114" s="33"/>
      <c r="J114" s="33"/>
      <c r="K114" s="33"/>
      <c r="L114" s="33"/>
      <c r="M114" s="33"/>
      <c r="N114" s="33"/>
      <c r="O114" s="33"/>
      <c r="P114" s="33"/>
      <c r="Q114" s="33"/>
      <c r="R114" s="33"/>
    </row>
    <row r="115">
      <c r="A115" s="33"/>
      <c r="B115" s="33"/>
      <c r="C115" s="33"/>
      <c r="D115" s="33"/>
      <c r="E115" s="33"/>
      <c r="F115" s="33"/>
      <c r="G115" s="33"/>
      <c r="H115" s="33"/>
      <c r="I115" s="33"/>
      <c r="J115" s="33"/>
      <c r="K115" s="33"/>
      <c r="L115" s="33"/>
      <c r="M115" s="33"/>
      <c r="N115" s="33"/>
      <c r="O115" s="33"/>
      <c r="P115" s="33"/>
      <c r="Q115" s="33"/>
      <c r="R115" s="33"/>
    </row>
    <row r="116">
      <c r="A116" s="33"/>
      <c r="B116" s="33"/>
      <c r="C116" s="33"/>
      <c r="D116" s="33"/>
      <c r="E116" s="33"/>
      <c r="F116" s="33"/>
      <c r="G116" s="33"/>
      <c r="H116" s="33"/>
      <c r="I116" s="33"/>
      <c r="J116" s="33"/>
      <c r="K116" s="33"/>
      <c r="L116" s="33"/>
      <c r="M116" s="33"/>
      <c r="N116" s="33"/>
      <c r="O116" s="33"/>
      <c r="P116" s="33"/>
      <c r="Q116" s="33"/>
      <c r="R116" s="33"/>
    </row>
    <row r="117">
      <c r="A117" s="33"/>
      <c r="B117" s="33"/>
      <c r="C117" s="33"/>
      <c r="D117" s="33"/>
      <c r="E117" s="33"/>
      <c r="F117" s="33"/>
      <c r="G117" s="33"/>
      <c r="H117" s="33"/>
      <c r="I117" s="33"/>
      <c r="J117" s="33"/>
      <c r="K117" s="33"/>
      <c r="L117" s="33"/>
      <c r="M117" s="33"/>
      <c r="N117" s="33"/>
      <c r="O117" s="33"/>
      <c r="P117" s="33"/>
      <c r="Q117" s="33"/>
      <c r="R117" s="33"/>
    </row>
    <row r="118">
      <c r="A118" s="33"/>
      <c r="B118" s="33"/>
      <c r="C118" s="33"/>
      <c r="D118" s="33"/>
      <c r="E118" s="33"/>
      <c r="F118" s="33"/>
      <c r="G118" s="33"/>
      <c r="H118" s="33"/>
      <c r="I118" s="33"/>
      <c r="J118" s="33"/>
      <c r="K118" s="33"/>
      <c r="L118" s="33"/>
      <c r="M118" s="33"/>
      <c r="N118" s="33"/>
      <c r="O118" s="33"/>
      <c r="P118" s="33"/>
      <c r="Q118" s="33"/>
      <c r="R118" s="33"/>
    </row>
    <row r="119">
      <c r="A119" s="33"/>
      <c r="B119" s="33"/>
      <c r="C119" s="33"/>
      <c r="D119" s="33"/>
      <c r="E119" s="33"/>
      <c r="F119" s="33"/>
      <c r="G119" s="33"/>
      <c r="H119" s="33"/>
      <c r="I119" s="33"/>
      <c r="J119" s="33"/>
      <c r="K119" s="33"/>
      <c r="L119" s="33"/>
      <c r="M119" s="33"/>
      <c r="N119" s="33"/>
      <c r="O119" s="33"/>
      <c r="P119" s="33"/>
      <c r="Q119" s="33"/>
      <c r="R119" s="33"/>
    </row>
    <row r="120">
      <c r="A120" s="33"/>
      <c r="B120" s="33"/>
      <c r="C120" s="33"/>
      <c r="D120" s="33"/>
      <c r="E120" s="33"/>
      <c r="F120" s="33"/>
      <c r="G120" s="33"/>
      <c r="H120" s="33"/>
      <c r="I120" s="33"/>
      <c r="J120" s="33"/>
      <c r="K120" s="33"/>
      <c r="L120" s="33"/>
      <c r="M120" s="33"/>
      <c r="N120" s="33"/>
      <c r="O120" s="33"/>
      <c r="P120" s="33"/>
      <c r="Q120" s="33"/>
      <c r="R120" s="33"/>
    </row>
    <row r="121">
      <c r="A121" s="33"/>
      <c r="B121" s="33"/>
      <c r="C121" s="33"/>
      <c r="D121" s="33"/>
      <c r="E121" s="33"/>
      <c r="F121" s="33"/>
      <c r="G121" s="33"/>
      <c r="H121" s="33"/>
      <c r="I121" s="33"/>
      <c r="J121" s="33"/>
      <c r="K121" s="33"/>
      <c r="L121" s="33"/>
      <c r="M121" s="33"/>
      <c r="N121" s="33"/>
      <c r="O121" s="33"/>
      <c r="P121" s="33"/>
      <c r="Q121" s="33"/>
      <c r="R121" s="33"/>
    </row>
    <row r="122">
      <c r="A122" s="33"/>
      <c r="B122" s="33"/>
      <c r="C122" s="33"/>
      <c r="D122" s="33"/>
      <c r="E122" s="33"/>
      <c r="F122" s="33"/>
      <c r="G122" s="33"/>
      <c r="H122" s="33"/>
      <c r="I122" s="33"/>
      <c r="J122" s="33"/>
      <c r="K122" s="33"/>
      <c r="L122" s="33"/>
      <c r="M122" s="33"/>
      <c r="N122" s="33"/>
      <c r="O122" s="33"/>
      <c r="P122" s="33"/>
      <c r="Q122" s="33"/>
      <c r="R122" s="33"/>
    </row>
    <row r="123">
      <c r="A123" s="33"/>
      <c r="B123" s="33"/>
      <c r="C123" s="33"/>
      <c r="D123" s="33"/>
      <c r="E123" s="33"/>
      <c r="F123" s="33"/>
      <c r="G123" s="33"/>
      <c r="H123" s="33"/>
      <c r="I123" s="33"/>
      <c r="J123" s="33"/>
      <c r="K123" s="33"/>
      <c r="L123" s="33"/>
      <c r="M123" s="33"/>
      <c r="N123" s="33"/>
      <c r="O123" s="33"/>
      <c r="P123" s="33"/>
      <c r="Q123" s="33"/>
      <c r="R123" s="33"/>
    </row>
    <row r="124">
      <c r="A124" s="33"/>
      <c r="B124" s="33"/>
      <c r="C124" s="33"/>
      <c r="D124" s="33"/>
      <c r="E124" s="33"/>
      <c r="F124" s="33"/>
      <c r="G124" s="33"/>
      <c r="H124" s="33"/>
      <c r="I124" s="33"/>
      <c r="J124" s="33"/>
      <c r="K124" s="33"/>
      <c r="L124" s="33"/>
      <c r="M124" s="33"/>
      <c r="N124" s="33"/>
      <c r="O124" s="33"/>
      <c r="P124" s="33"/>
      <c r="Q124" s="33"/>
      <c r="R124" s="33"/>
    </row>
    <row r="125">
      <c r="A125" s="33"/>
      <c r="B125" s="33"/>
      <c r="C125" s="33"/>
      <c r="D125" s="33"/>
      <c r="E125" s="33"/>
      <c r="F125" s="33"/>
      <c r="G125" s="33"/>
      <c r="H125" s="33"/>
      <c r="I125" s="33"/>
      <c r="J125" s="33"/>
      <c r="K125" s="33"/>
      <c r="L125" s="33"/>
      <c r="M125" s="33"/>
      <c r="N125" s="33"/>
      <c r="O125" s="33"/>
      <c r="P125" s="33"/>
      <c r="Q125" s="33"/>
      <c r="R125" s="33"/>
    </row>
    <row r="126">
      <c r="A126" s="33"/>
      <c r="B126" s="33"/>
      <c r="C126" s="33"/>
      <c r="D126" s="33"/>
      <c r="E126" s="33"/>
      <c r="F126" s="33"/>
      <c r="G126" s="33"/>
      <c r="H126" s="33"/>
      <c r="I126" s="33"/>
      <c r="J126" s="33"/>
      <c r="K126" s="33"/>
      <c r="L126" s="33"/>
      <c r="M126" s="33"/>
      <c r="N126" s="33"/>
      <c r="O126" s="33"/>
      <c r="P126" s="33"/>
      <c r="Q126" s="33"/>
      <c r="R126" s="33"/>
    </row>
    <row r="127">
      <c r="A127" s="33"/>
      <c r="B127" s="33"/>
      <c r="C127" s="33"/>
      <c r="D127" s="33"/>
      <c r="E127" s="33"/>
      <c r="F127" s="33"/>
      <c r="G127" s="33"/>
      <c r="H127" s="33"/>
      <c r="I127" s="33"/>
      <c r="J127" s="33"/>
      <c r="K127" s="33"/>
      <c r="L127" s="33"/>
      <c r="M127" s="33"/>
      <c r="N127" s="33"/>
      <c r="O127" s="33"/>
      <c r="P127" s="33"/>
      <c r="Q127" s="33"/>
      <c r="R127" s="33"/>
    </row>
    <row r="128">
      <c r="A128" s="33"/>
      <c r="B128" s="33"/>
      <c r="C128" s="33"/>
      <c r="D128" s="33"/>
      <c r="E128" s="33"/>
      <c r="F128" s="33"/>
      <c r="G128" s="33"/>
      <c r="H128" s="33"/>
      <c r="I128" s="33"/>
      <c r="J128" s="33"/>
      <c r="K128" s="33"/>
      <c r="L128" s="33"/>
      <c r="M128" s="33"/>
      <c r="N128" s="33"/>
      <c r="O128" s="33"/>
      <c r="P128" s="33"/>
      <c r="Q128" s="33"/>
      <c r="R128" s="33"/>
    </row>
    <row r="129">
      <c r="A129" s="33"/>
      <c r="B129" s="33"/>
      <c r="C129" s="33"/>
      <c r="D129" s="33"/>
      <c r="E129" s="33"/>
      <c r="F129" s="33"/>
      <c r="G129" s="33"/>
      <c r="H129" s="33"/>
      <c r="I129" s="33"/>
      <c r="J129" s="33"/>
      <c r="K129" s="33"/>
      <c r="L129" s="33"/>
      <c r="M129" s="33"/>
      <c r="N129" s="33"/>
      <c r="O129" s="33"/>
      <c r="P129" s="33"/>
      <c r="Q129" s="33"/>
      <c r="R129" s="33"/>
    </row>
    <row r="130">
      <c r="A130" s="33"/>
      <c r="B130" s="33"/>
      <c r="C130" s="33"/>
      <c r="D130" s="33"/>
      <c r="E130" s="33"/>
      <c r="F130" s="33"/>
      <c r="G130" s="33"/>
      <c r="H130" s="33"/>
      <c r="I130" s="33"/>
      <c r="J130" s="33"/>
      <c r="K130" s="33"/>
      <c r="L130" s="33"/>
      <c r="M130" s="33"/>
      <c r="N130" s="33"/>
      <c r="O130" s="33"/>
      <c r="P130" s="33"/>
      <c r="Q130" s="33"/>
      <c r="R130" s="33"/>
    </row>
    <row r="131">
      <c r="A131" s="33"/>
      <c r="B131" s="33"/>
      <c r="C131" s="33"/>
      <c r="D131" s="33"/>
      <c r="E131" s="33"/>
      <c r="F131" s="33"/>
      <c r="G131" s="33"/>
      <c r="H131" s="33"/>
      <c r="I131" s="33"/>
      <c r="J131" s="33"/>
      <c r="K131" s="33"/>
      <c r="L131" s="33"/>
      <c r="M131" s="33"/>
      <c r="N131" s="33"/>
      <c r="O131" s="33"/>
      <c r="P131" s="33"/>
      <c r="Q131" s="33"/>
      <c r="R131" s="33"/>
    </row>
    <row r="132">
      <c r="A132" s="33"/>
      <c r="B132" s="33"/>
      <c r="C132" s="33"/>
      <c r="D132" s="33"/>
      <c r="E132" s="33"/>
      <c r="F132" s="33"/>
      <c r="G132" s="33"/>
      <c r="H132" s="33"/>
      <c r="I132" s="33"/>
      <c r="J132" s="33"/>
      <c r="K132" s="33"/>
      <c r="L132" s="33"/>
      <c r="M132" s="33"/>
      <c r="N132" s="33"/>
      <c r="O132" s="33"/>
      <c r="P132" s="33"/>
      <c r="Q132" s="33"/>
      <c r="R132" s="33"/>
    </row>
    <row r="133">
      <c r="A133" s="33"/>
      <c r="B133" s="33"/>
      <c r="C133" s="33"/>
      <c r="D133" s="33"/>
      <c r="E133" s="33"/>
      <c r="F133" s="33"/>
      <c r="G133" s="33"/>
      <c r="H133" s="33"/>
      <c r="I133" s="33"/>
      <c r="J133" s="33"/>
      <c r="K133" s="33"/>
      <c r="L133" s="33"/>
      <c r="M133" s="33"/>
      <c r="N133" s="33"/>
      <c r="O133" s="33"/>
      <c r="P133" s="33"/>
      <c r="Q133" s="33"/>
      <c r="R133" s="33"/>
    </row>
    <row r="134">
      <c r="A134" s="33"/>
      <c r="B134" s="33"/>
      <c r="C134" s="33"/>
      <c r="D134" s="33"/>
      <c r="E134" s="33"/>
      <c r="F134" s="33"/>
      <c r="G134" s="33"/>
      <c r="H134" s="33"/>
      <c r="I134" s="33"/>
      <c r="J134" s="33"/>
      <c r="K134" s="33"/>
      <c r="L134" s="33"/>
      <c r="M134" s="33"/>
      <c r="N134" s="33"/>
      <c r="O134" s="33"/>
      <c r="P134" s="33"/>
      <c r="Q134" s="33"/>
      <c r="R134" s="33"/>
    </row>
    <row r="135">
      <c r="A135" s="33"/>
      <c r="B135" s="33"/>
      <c r="C135" s="33"/>
      <c r="D135" s="33"/>
      <c r="E135" s="33"/>
      <c r="F135" s="33"/>
      <c r="G135" s="33"/>
      <c r="H135" s="33"/>
      <c r="I135" s="33"/>
      <c r="J135" s="33"/>
      <c r="K135" s="33"/>
      <c r="L135" s="33"/>
      <c r="M135" s="33"/>
      <c r="N135" s="33"/>
      <c r="O135" s="33"/>
      <c r="P135" s="33"/>
      <c r="Q135" s="33"/>
      <c r="R135" s="33"/>
    </row>
    <row r="136">
      <c r="A136" s="33"/>
      <c r="B136" s="33"/>
      <c r="C136" s="33"/>
      <c r="D136" s="33"/>
      <c r="E136" s="33"/>
      <c r="F136" s="33"/>
      <c r="G136" s="33"/>
      <c r="H136" s="33"/>
      <c r="I136" s="33"/>
      <c r="J136" s="33"/>
      <c r="K136" s="33"/>
      <c r="L136" s="33"/>
      <c r="M136" s="33"/>
      <c r="N136" s="33"/>
      <c r="O136" s="33"/>
      <c r="P136" s="33"/>
      <c r="Q136" s="33"/>
      <c r="R136" s="33"/>
    </row>
    <row r="137">
      <c r="A137" s="33"/>
      <c r="B137" s="33"/>
      <c r="C137" s="33"/>
      <c r="D137" s="33"/>
      <c r="E137" s="33"/>
      <c r="F137" s="33"/>
      <c r="G137" s="33"/>
      <c r="H137" s="33"/>
      <c r="I137" s="33"/>
      <c r="J137" s="33"/>
      <c r="K137" s="33"/>
      <c r="L137" s="33"/>
      <c r="M137" s="33"/>
      <c r="N137" s="33"/>
      <c r="O137" s="33"/>
      <c r="P137" s="33"/>
      <c r="Q137" s="33"/>
      <c r="R137" s="33"/>
    </row>
    <row r="138">
      <c r="A138" s="33"/>
      <c r="B138" s="33"/>
      <c r="C138" s="33"/>
      <c r="D138" s="33"/>
      <c r="E138" s="33"/>
      <c r="F138" s="33"/>
      <c r="G138" s="33"/>
      <c r="H138" s="33"/>
      <c r="I138" s="33"/>
      <c r="J138" s="33"/>
      <c r="K138" s="33"/>
      <c r="L138" s="33"/>
      <c r="M138" s="33"/>
      <c r="N138" s="33"/>
      <c r="O138" s="33"/>
      <c r="P138" s="33"/>
      <c r="Q138" s="33"/>
      <c r="R138" s="33"/>
    </row>
    <row r="139">
      <c r="A139" s="33"/>
      <c r="B139" s="33"/>
      <c r="C139" s="33"/>
      <c r="D139" s="33"/>
      <c r="E139" s="33"/>
      <c r="F139" s="33"/>
      <c r="G139" s="33"/>
      <c r="H139" s="33"/>
      <c r="I139" s="33"/>
      <c r="J139" s="33"/>
      <c r="K139" s="33"/>
      <c r="L139" s="33"/>
      <c r="M139" s="33"/>
      <c r="N139" s="33"/>
      <c r="O139" s="33"/>
      <c r="P139" s="33"/>
      <c r="Q139" s="33"/>
      <c r="R139" s="33"/>
    </row>
    <row r="140">
      <c r="A140" s="33"/>
      <c r="B140" s="33"/>
      <c r="C140" s="33"/>
      <c r="D140" s="33"/>
      <c r="E140" s="33"/>
      <c r="F140" s="33"/>
      <c r="G140" s="33"/>
      <c r="H140" s="33"/>
      <c r="I140" s="33"/>
      <c r="J140" s="33"/>
      <c r="K140" s="33"/>
      <c r="L140" s="33"/>
      <c r="M140" s="33"/>
      <c r="N140" s="33"/>
      <c r="O140" s="33"/>
      <c r="P140" s="33"/>
      <c r="Q140" s="33"/>
      <c r="R140" s="33"/>
    </row>
    <row r="141">
      <c r="A141" s="33"/>
      <c r="B141" s="33"/>
      <c r="C141" s="33"/>
      <c r="D141" s="33"/>
      <c r="E141" s="33"/>
      <c r="F141" s="33"/>
      <c r="G141" s="33"/>
      <c r="H141" s="33"/>
      <c r="I141" s="33"/>
      <c r="J141" s="33"/>
      <c r="K141" s="33"/>
      <c r="L141" s="33"/>
      <c r="M141" s="33"/>
      <c r="N141" s="33"/>
      <c r="O141" s="33"/>
      <c r="P141" s="33"/>
      <c r="Q141" s="33"/>
      <c r="R141" s="33"/>
    </row>
    <row r="142">
      <c r="A142" s="33"/>
      <c r="B142" s="33"/>
      <c r="C142" s="33"/>
      <c r="D142" s="33"/>
      <c r="E142" s="33"/>
      <c r="F142" s="33"/>
      <c r="G142" s="33"/>
      <c r="H142" s="33"/>
      <c r="I142" s="33"/>
      <c r="J142" s="33"/>
      <c r="K142" s="33"/>
      <c r="L142" s="33"/>
      <c r="M142" s="33"/>
      <c r="N142" s="33"/>
      <c r="O142" s="33"/>
      <c r="P142" s="33"/>
      <c r="Q142" s="33"/>
      <c r="R142" s="33"/>
    </row>
    <row r="143">
      <c r="A143" s="33"/>
      <c r="B143" s="33"/>
      <c r="C143" s="33"/>
      <c r="D143" s="33"/>
      <c r="E143" s="33"/>
      <c r="F143" s="33"/>
      <c r="G143" s="33"/>
      <c r="H143" s="33"/>
      <c r="I143" s="33"/>
      <c r="J143" s="33"/>
      <c r="K143" s="33"/>
      <c r="L143" s="33"/>
      <c r="M143" s="33"/>
      <c r="N143" s="33"/>
      <c r="O143" s="33"/>
      <c r="P143" s="33"/>
      <c r="Q143" s="33"/>
      <c r="R143" s="33"/>
    </row>
    <row r="144">
      <c r="A144" s="33"/>
      <c r="B144" s="33"/>
      <c r="C144" s="33"/>
      <c r="D144" s="33"/>
      <c r="E144" s="33"/>
      <c r="F144" s="33"/>
      <c r="G144" s="33"/>
      <c r="H144" s="33"/>
      <c r="I144" s="33"/>
      <c r="J144" s="33"/>
      <c r="K144" s="33"/>
      <c r="L144" s="33"/>
      <c r="M144" s="33"/>
      <c r="N144" s="33"/>
      <c r="O144" s="33"/>
      <c r="P144" s="33"/>
      <c r="Q144" s="33"/>
      <c r="R144" s="33"/>
    </row>
    <row r="145">
      <c r="A145" s="33"/>
      <c r="B145" s="33"/>
      <c r="C145" s="33"/>
      <c r="D145" s="33"/>
      <c r="E145" s="33"/>
      <c r="F145" s="33"/>
      <c r="G145" s="33"/>
      <c r="H145" s="33"/>
      <c r="I145" s="33"/>
      <c r="J145" s="33"/>
      <c r="K145" s="33"/>
      <c r="L145" s="33"/>
      <c r="M145" s="33"/>
      <c r="N145" s="33"/>
      <c r="O145" s="33"/>
      <c r="P145" s="33"/>
      <c r="Q145" s="33"/>
      <c r="R145" s="33"/>
    </row>
    <row r="146">
      <c r="A146" s="33"/>
      <c r="B146" s="33"/>
      <c r="C146" s="33"/>
      <c r="D146" s="33"/>
      <c r="E146" s="33"/>
      <c r="F146" s="33"/>
      <c r="G146" s="33"/>
      <c r="H146" s="33"/>
      <c r="I146" s="33"/>
      <c r="J146" s="33"/>
      <c r="K146" s="33"/>
      <c r="L146" s="33"/>
      <c r="M146" s="33"/>
      <c r="N146" s="33"/>
      <c r="O146" s="33"/>
      <c r="P146" s="33"/>
      <c r="Q146" s="33"/>
      <c r="R146" s="33"/>
    </row>
    <row r="147">
      <c r="A147" s="33"/>
      <c r="B147" s="33"/>
      <c r="C147" s="33"/>
      <c r="D147" s="33"/>
      <c r="E147" s="33"/>
      <c r="F147" s="33"/>
      <c r="G147" s="33"/>
      <c r="H147" s="33"/>
      <c r="I147" s="33"/>
      <c r="J147" s="33"/>
      <c r="K147" s="33"/>
      <c r="L147" s="33"/>
      <c r="M147" s="33"/>
      <c r="N147" s="33"/>
      <c r="O147" s="33"/>
      <c r="P147" s="33"/>
      <c r="Q147" s="33"/>
      <c r="R147" s="33"/>
    </row>
    <row r="148">
      <c r="A148" s="33"/>
      <c r="B148" s="33"/>
      <c r="C148" s="33"/>
      <c r="D148" s="33"/>
      <c r="E148" s="33"/>
      <c r="F148" s="33"/>
      <c r="G148" s="33"/>
      <c r="H148" s="33"/>
      <c r="I148" s="33"/>
      <c r="J148" s="33"/>
      <c r="K148" s="33"/>
      <c r="L148" s="33"/>
      <c r="M148" s="33"/>
      <c r="N148" s="33"/>
      <c r="O148" s="33"/>
      <c r="P148" s="33"/>
      <c r="Q148" s="33"/>
      <c r="R148" s="33"/>
    </row>
    <row r="149">
      <c r="A149" s="33"/>
      <c r="B149" s="33"/>
      <c r="C149" s="33"/>
      <c r="D149" s="33"/>
      <c r="E149" s="33"/>
      <c r="F149" s="33"/>
      <c r="G149" s="33"/>
      <c r="H149" s="33"/>
      <c r="I149" s="33"/>
      <c r="J149" s="33"/>
      <c r="K149" s="33"/>
      <c r="L149" s="33"/>
      <c r="M149" s="33"/>
      <c r="N149" s="33"/>
      <c r="O149" s="33"/>
      <c r="P149" s="33"/>
      <c r="Q149" s="33"/>
      <c r="R149" s="33"/>
    </row>
    <row r="150">
      <c r="A150" s="33"/>
      <c r="B150" s="33"/>
      <c r="C150" s="33"/>
      <c r="D150" s="33"/>
      <c r="E150" s="33"/>
      <c r="F150" s="33"/>
      <c r="G150" s="33"/>
      <c r="H150" s="33"/>
      <c r="I150" s="33"/>
      <c r="J150" s="33"/>
      <c r="K150" s="33"/>
      <c r="L150" s="33"/>
      <c r="M150" s="33"/>
      <c r="N150" s="33"/>
      <c r="O150" s="33"/>
      <c r="P150" s="33"/>
      <c r="Q150" s="33"/>
      <c r="R150" s="33"/>
    </row>
    <row r="151">
      <c r="A151" s="33"/>
      <c r="B151" s="33"/>
      <c r="C151" s="33"/>
      <c r="D151" s="33"/>
      <c r="E151" s="33"/>
      <c r="F151" s="33"/>
      <c r="G151" s="33"/>
      <c r="H151" s="33"/>
      <c r="I151" s="33"/>
      <c r="J151" s="33"/>
      <c r="K151" s="33"/>
      <c r="L151" s="33"/>
      <c r="M151" s="33"/>
      <c r="N151" s="33"/>
      <c r="O151" s="33"/>
      <c r="P151" s="33"/>
      <c r="Q151" s="33"/>
      <c r="R151" s="33"/>
    </row>
    <row r="152">
      <c r="A152" s="33"/>
      <c r="B152" s="33"/>
      <c r="C152" s="33"/>
      <c r="D152" s="33"/>
      <c r="E152" s="33"/>
      <c r="F152" s="33"/>
      <c r="G152" s="33"/>
      <c r="H152" s="33"/>
      <c r="I152" s="33"/>
      <c r="J152" s="33"/>
      <c r="K152" s="33"/>
      <c r="L152" s="33"/>
      <c r="M152" s="33"/>
      <c r="N152" s="33"/>
      <c r="O152" s="33"/>
      <c r="P152" s="33"/>
      <c r="Q152" s="33"/>
      <c r="R152" s="33"/>
    </row>
    <row r="153">
      <c r="A153" s="33"/>
      <c r="B153" s="33"/>
      <c r="C153" s="33"/>
      <c r="D153" s="33"/>
      <c r="E153" s="33"/>
      <c r="F153" s="33"/>
      <c r="G153" s="33"/>
      <c r="H153" s="33"/>
      <c r="I153" s="33"/>
      <c r="J153" s="33"/>
      <c r="K153" s="33"/>
      <c r="L153" s="33"/>
      <c r="M153" s="33"/>
      <c r="N153" s="33"/>
      <c r="O153" s="33"/>
      <c r="P153" s="33"/>
      <c r="Q153" s="33"/>
      <c r="R153" s="33"/>
    </row>
    <row r="154">
      <c r="A154" s="33"/>
      <c r="B154" s="33"/>
      <c r="C154" s="33"/>
      <c r="D154" s="33"/>
      <c r="E154" s="33"/>
      <c r="F154" s="33"/>
      <c r="G154" s="33"/>
      <c r="H154" s="33"/>
      <c r="I154" s="33"/>
      <c r="J154" s="33"/>
      <c r="K154" s="33"/>
      <c r="L154" s="33"/>
      <c r="M154" s="33"/>
      <c r="N154" s="33"/>
      <c r="O154" s="33"/>
      <c r="P154" s="33"/>
      <c r="Q154" s="33"/>
      <c r="R154" s="33"/>
    </row>
    <row r="155">
      <c r="A155" s="33"/>
      <c r="B155" s="33"/>
      <c r="C155" s="33"/>
      <c r="D155" s="33"/>
      <c r="E155" s="33"/>
      <c r="F155" s="33"/>
      <c r="G155" s="33"/>
      <c r="H155" s="33"/>
      <c r="I155" s="33"/>
      <c r="J155" s="33"/>
      <c r="K155" s="33"/>
      <c r="L155" s="33"/>
      <c r="M155" s="33"/>
      <c r="N155" s="33"/>
      <c r="O155" s="33"/>
      <c r="P155" s="33"/>
      <c r="Q155" s="33"/>
      <c r="R155" s="33"/>
    </row>
    <row r="156">
      <c r="A156" s="33"/>
      <c r="B156" s="33"/>
      <c r="C156" s="33"/>
      <c r="D156" s="33"/>
      <c r="E156" s="33"/>
      <c r="F156" s="33"/>
      <c r="G156" s="33"/>
      <c r="H156" s="33"/>
      <c r="I156" s="33"/>
      <c r="J156" s="33"/>
      <c r="K156" s="33"/>
      <c r="L156" s="33"/>
      <c r="M156" s="33"/>
      <c r="N156" s="33"/>
      <c r="O156" s="33"/>
      <c r="P156" s="33"/>
      <c r="Q156" s="33"/>
      <c r="R156" s="33"/>
    </row>
    <row r="157">
      <c r="A157" s="33"/>
      <c r="B157" s="33"/>
      <c r="C157" s="33"/>
      <c r="D157" s="33"/>
      <c r="E157" s="33"/>
      <c r="F157" s="33"/>
      <c r="G157" s="33"/>
      <c r="H157" s="33"/>
      <c r="I157" s="33"/>
      <c r="J157" s="33"/>
      <c r="K157" s="33"/>
      <c r="L157" s="33"/>
      <c r="M157" s="33"/>
      <c r="N157" s="33"/>
      <c r="O157" s="33"/>
      <c r="P157" s="33"/>
      <c r="Q157" s="33"/>
      <c r="R157" s="33"/>
    </row>
    <row r="158">
      <c r="A158" s="33"/>
      <c r="B158" s="33"/>
      <c r="C158" s="33"/>
      <c r="D158" s="33"/>
      <c r="E158" s="33"/>
      <c r="F158" s="33"/>
      <c r="G158" s="33"/>
      <c r="H158" s="33"/>
      <c r="I158" s="33"/>
      <c r="J158" s="33"/>
      <c r="K158" s="33"/>
      <c r="L158" s="33"/>
      <c r="M158" s="33"/>
      <c r="N158" s="33"/>
      <c r="O158" s="33"/>
      <c r="P158" s="33"/>
      <c r="Q158" s="33"/>
      <c r="R158" s="33"/>
    </row>
    <row r="159">
      <c r="A159" s="33"/>
      <c r="B159" s="33"/>
      <c r="C159" s="33"/>
      <c r="D159" s="33"/>
      <c r="E159" s="33"/>
      <c r="F159" s="33"/>
      <c r="G159" s="33"/>
      <c r="H159" s="33"/>
      <c r="I159" s="33"/>
      <c r="J159" s="33"/>
      <c r="K159" s="33"/>
      <c r="L159" s="33"/>
      <c r="M159" s="33"/>
      <c r="N159" s="33"/>
      <c r="O159" s="33"/>
      <c r="P159" s="33"/>
      <c r="Q159" s="33"/>
      <c r="R159" s="33"/>
    </row>
    <row r="160">
      <c r="A160" s="33"/>
      <c r="B160" s="33"/>
      <c r="C160" s="33"/>
      <c r="D160" s="33"/>
      <c r="E160" s="33"/>
      <c r="F160" s="33"/>
      <c r="G160" s="33"/>
      <c r="H160" s="33"/>
      <c r="I160" s="33"/>
      <c r="J160" s="33"/>
      <c r="K160" s="33"/>
      <c r="L160" s="33"/>
      <c r="M160" s="33"/>
      <c r="N160" s="33"/>
      <c r="O160" s="33"/>
      <c r="P160" s="33"/>
      <c r="Q160" s="33"/>
      <c r="R160" s="33"/>
    </row>
    <row r="161">
      <c r="A161" s="33"/>
      <c r="B161" s="33"/>
      <c r="C161" s="33"/>
      <c r="D161" s="33"/>
      <c r="E161" s="33"/>
      <c r="F161" s="33"/>
      <c r="G161" s="33"/>
      <c r="H161" s="33"/>
      <c r="I161" s="33"/>
      <c r="J161" s="33"/>
      <c r="K161" s="33"/>
      <c r="L161" s="33"/>
      <c r="M161" s="33"/>
      <c r="N161" s="33"/>
      <c r="O161" s="33"/>
      <c r="P161" s="33"/>
      <c r="Q161" s="33"/>
      <c r="R161" s="33"/>
    </row>
    <row r="162">
      <c r="A162" s="33"/>
      <c r="B162" s="33"/>
      <c r="C162" s="33"/>
      <c r="D162" s="33"/>
      <c r="E162" s="33"/>
      <c r="F162" s="33"/>
      <c r="G162" s="33"/>
      <c r="H162" s="33"/>
      <c r="I162" s="33"/>
      <c r="J162" s="33"/>
      <c r="K162" s="33"/>
      <c r="L162" s="33"/>
      <c r="M162" s="33"/>
      <c r="N162" s="33"/>
      <c r="O162" s="33"/>
      <c r="P162" s="33"/>
      <c r="Q162" s="33"/>
      <c r="R162" s="33"/>
    </row>
    <row r="163">
      <c r="A163" s="33"/>
      <c r="B163" s="33"/>
      <c r="C163" s="33"/>
      <c r="D163" s="33"/>
      <c r="E163" s="33"/>
      <c r="F163" s="33"/>
      <c r="G163" s="33"/>
      <c r="H163" s="33"/>
      <c r="I163" s="33"/>
      <c r="J163" s="33"/>
      <c r="K163" s="33"/>
      <c r="L163" s="33"/>
      <c r="M163" s="33"/>
      <c r="N163" s="33"/>
      <c r="O163" s="33"/>
      <c r="P163" s="33"/>
      <c r="Q163" s="33"/>
      <c r="R163" s="33"/>
    </row>
    <row r="164">
      <c r="A164" s="33"/>
      <c r="B164" s="33"/>
      <c r="C164" s="33"/>
      <c r="D164" s="33"/>
      <c r="E164" s="33"/>
      <c r="F164" s="33"/>
      <c r="G164" s="33"/>
      <c r="H164" s="33"/>
      <c r="I164" s="33"/>
      <c r="J164" s="33"/>
      <c r="K164" s="33"/>
      <c r="L164" s="33"/>
      <c r="M164" s="33"/>
      <c r="N164" s="33"/>
      <c r="O164" s="33"/>
      <c r="P164" s="33"/>
      <c r="Q164" s="33"/>
      <c r="R164" s="33"/>
    </row>
    <row r="165">
      <c r="A165" s="33"/>
      <c r="B165" s="33"/>
      <c r="C165" s="33"/>
      <c r="D165" s="33"/>
      <c r="E165" s="33"/>
      <c r="F165" s="33"/>
      <c r="G165" s="33"/>
      <c r="H165" s="33"/>
      <c r="I165" s="33"/>
      <c r="J165" s="33"/>
      <c r="K165" s="33"/>
      <c r="L165" s="33"/>
      <c r="M165" s="33"/>
      <c r="N165" s="33"/>
      <c r="O165" s="33"/>
      <c r="P165" s="33"/>
      <c r="Q165" s="33"/>
      <c r="R165" s="33"/>
    </row>
    <row r="166">
      <c r="A166" s="33"/>
      <c r="B166" s="33"/>
      <c r="C166" s="33"/>
      <c r="D166" s="33"/>
      <c r="E166" s="33"/>
      <c r="F166" s="33"/>
      <c r="G166" s="33"/>
      <c r="H166" s="33"/>
      <c r="I166" s="33"/>
      <c r="J166" s="33"/>
      <c r="K166" s="33"/>
      <c r="L166" s="33"/>
      <c r="M166" s="33"/>
      <c r="N166" s="33"/>
      <c r="O166" s="33"/>
      <c r="P166" s="33"/>
      <c r="Q166" s="33"/>
      <c r="R166" s="33"/>
    </row>
    <row r="167">
      <c r="A167" s="33"/>
      <c r="B167" s="33"/>
      <c r="C167" s="33"/>
      <c r="D167" s="33"/>
      <c r="E167" s="33"/>
      <c r="F167" s="33"/>
      <c r="G167" s="33"/>
      <c r="H167" s="33"/>
      <c r="I167" s="33"/>
      <c r="J167" s="33"/>
      <c r="K167" s="33"/>
      <c r="L167" s="33"/>
      <c r="M167" s="33"/>
      <c r="N167" s="33"/>
      <c r="O167" s="33"/>
      <c r="P167" s="33"/>
      <c r="Q167" s="33"/>
      <c r="R167" s="33"/>
    </row>
    <row r="168">
      <c r="A168" s="33"/>
      <c r="B168" s="33"/>
      <c r="C168" s="33"/>
      <c r="D168" s="33"/>
      <c r="E168" s="33"/>
      <c r="F168" s="33"/>
      <c r="G168" s="33"/>
      <c r="H168" s="33"/>
      <c r="I168" s="33"/>
      <c r="J168" s="33"/>
      <c r="K168" s="33"/>
      <c r="L168" s="33"/>
      <c r="M168" s="33"/>
      <c r="N168" s="33"/>
      <c r="O168" s="33"/>
      <c r="P168" s="33"/>
      <c r="Q168" s="33"/>
      <c r="R168" s="33"/>
    </row>
    <row r="169">
      <c r="A169" s="33"/>
      <c r="B169" s="33"/>
      <c r="C169" s="33"/>
      <c r="D169" s="33"/>
      <c r="E169" s="33"/>
      <c r="F169" s="33"/>
      <c r="G169" s="33"/>
      <c r="H169" s="33"/>
      <c r="I169" s="33"/>
      <c r="J169" s="33"/>
      <c r="K169" s="33"/>
      <c r="L169" s="33"/>
      <c r="M169" s="33"/>
      <c r="N169" s="33"/>
      <c r="O169" s="33"/>
      <c r="P169" s="33"/>
      <c r="Q169" s="33"/>
      <c r="R169" s="33"/>
    </row>
    <row r="170">
      <c r="A170" s="33"/>
      <c r="B170" s="33"/>
      <c r="C170" s="33"/>
      <c r="D170" s="33"/>
      <c r="E170" s="33"/>
      <c r="F170" s="33"/>
      <c r="G170" s="33"/>
      <c r="H170" s="33"/>
      <c r="I170" s="33"/>
      <c r="J170" s="33"/>
      <c r="K170" s="33"/>
      <c r="L170" s="33"/>
      <c r="M170" s="33"/>
      <c r="N170" s="33"/>
      <c r="O170" s="33"/>
      <c r="P170" s="33"/>
      <c r="Q170" s="33"/>
      <c r="R170" s="33"/>
    </row>
    <row r="171">
      <c r="A171" s="33"/>
      <c r="B171" s="33"/>
      <c r="C171" s="33"/>
      <c r="D171" s="33"/>
      <c r="E171" s="33"/>
      <c r="F171" s="33"/>
      <c r="G171" s="33"/>
      <c r="H171" s="33"/>
      <c r="I171" s="33"/>
      <c r="J171" s="33"/>
      <c r="K171" s="33"/>
      <c r="L171" s="33"/>
      <c r="M171" s="33"/>
      <c r="N171" s="33"/>
      <c r="O171" s="33"/>
      <c r="P171" s="33"/>
      <c r="Q171" s="33"/>
      <c r="R171" s="33"/>
    </row>
    <row r="172">
      <c r="A172" s="33"/>
      <c r="B172" s="33"/>
      <c r="C172" s="33"/>
      <c r="D172" s="33"/>
      <c r="E172" s="33"/>
      <c r="F172" s="33"/>
      <c r="G172" s="33"/>
      <c r="H172" s="33"/>
      <c r="I172" s="33"/>
      <c r="J172" s="33"/>
      <c r="K172" s="33"/>
      <c r="L172" s="33"/>
      <c r="M172" s="33"/>
      <c r="N172" s="33"/>
      <c r="O172" s="33"/>
      <c r="P172" s="33"/>
      <c r="Q172" s="33"/>
      <c r="R172" s="33"/>
    </row>
    <row r="173">
      <c r="A173" s="33"/>
      <c r="B173" s="33"/>
      <c r="C173" s="33"/>
      <c r="D173" s="33"/>
      <c r="E173" s="33"/>
      <c r="F173" s="33"/>
      <c r="G173" s="33"/>
      <c r="H173" s="33"/>
      <c r="I173" s="33"/>
      <c r="J173" s="33"/>
      <c r="K173" s="33"/>
      <c r="L173" s="33"/>
      <c r="M173" s="33"/>
      <c r="N173" s="33"/>
      <c r="O173" s="33"/>
      <c r="P173" s="33"/>
      <c r="Q173" s="33"/>
      <c r="R173" s="33"/>
    </row>
    <row r="174">
      <c r="A174" s="33"/>
      <c r="B174" s="33"/>
      <c r="C174" s="33"/>
      <c r="D174" s="33"/>
      <c r="E174" s="33"/>
      <c r="F174" s="33"/>
      <c r="G174" s="33"/>
      <c r="H174" s="33"/>
      <c r="I174" s="33"/>
      <c r="J174" s="33"/>
      <c r="K174" s="33"/>
      <c r="L174" s="33"/>
      <c r="M174" s="33"/>
      <c r="N174" s="33"/>
      <c r="O174" s="33"/>
      <c r="P174" s="33"/>
      <c r="Q174" s="33"/>
      <c r="R174" s="33"/>
    </row>
    <row r="175">
      <c r="A175" s="33"/>
      <c r="B175" s="33"/>
      <c r="C175" s="33"/>
      <c r="D175" s="33"/>
      <c r="E175" s="33"/>
      <c r="F175" s="33"/>
      <c r="G175" s="33"/>
      <c r="H175" s="33"/>
      <c r="I175" s="33"/>
      <c r="J175" s="33"/>
      <c r="K175" s="33"/>
      <c r="L175" s="33"/>
      <c r="M175" s="33"/>
      <c r="N175" s="33"/>
      <c r="O175" s="33"/>
      <c r="P175" s="33"/>
      <c r="Q175" s="33"/>
      <c r="R175" s="33"/>
    </row>
    <row r="176">
      <c r="A176" s="33"/>
      <c r="B176" s="33"/>
      <c r="C176" s="33"/>
      <c r="D176" s="33"/>
      <c r="E176" s="33"/>
      <c r="F176" s="33"/>
      <c r="G176" s="33"/>
      <c r="H176" s="33"/>
      <c r="I176" s="33"/>
      <c r="J176" s="33"/>
      <c r="K176" s="33"/>
      <c r="L176" s="33"/>
      <c r="M176" s="33"/>
      <c r="N176" s="33"/>
      <c r="O176" s="33"/>
      <c r="P176" s="33"/>
      <c r="Q176" s="33"/>
      <c r="R176" s="33"/>
    </row>
    <row r="177">
      <c r="A177" s="33"/>
      <c r="B177" s="33"/>
      <c r="C177" s="33"/>
      <c r="D177" s="33"/>
      <c r="E177" s="33"/>
      <c r="F177" s="33"/>
      <c r="G177" s="33"/>
      <c r="H177" s="33"/>
      <c r="I177" s="33"/>
      <c r="J177" s="33"/>
      <c r="K177" s="33"/>
      <c r="L177" s="33"/>
      <c r="M177" s="33"/>
      <c r="N177" s="33"/>
      <c r="O177" s="33"/>
      <c r="P177" s="33"/>
      <c r="Q177" s="33"/>
      <c r="R177" s="33"/>
    </row>
    <row r="178">
      <c r="A178" s="33"/>
      <c r="B178" s="33"/>
      <c r="C178" s="33"/>
      <c r="D178" s="33"/>
      <c r="E178" s="33"/>
      <c r="F178" s="33"/>
      <c r="G178" s="33"/>
      <c r="H178" s="33"/>
      <c r="I178" s="33"/>
      <c r="J178" s="33"/>
      <c r="K178" s="33"/>
      <c r="L178" s="33"/>
      <c r="M178" s="33"/>
      <c r="N178" s="33"/>
      <c r="O178" s="33"/>
      <c r="P178" s="33"/>
      <c r="Q178" s="33"/>
      <c r="R178" s="33"/>
    </row>
    <row r="179">
      <c r="A179" s="33"/>
      <c r="B179" s="33"/>
      <c r="C179" s="33"/>
      <c r="D179" s="33"/>
      <c r="E179" s="33"/>
      <c r="F179" s="33"/>
      <c r="G179" s="33"/>
      <c r="H179" s="33"/>
      <c r="I179" s="33"/>
      <c r="J179" s="33"/>
      <c r="K179" s="33"/>
      <c r="L179" s="33"/>
      <c r="M179" s="33"/>
      <c r="N179" s="33"/>
      <c r="O179" s="33"/>
      <c r="P179" s="33"/>
      <c r="Q179" s="33"/>
      <c r="R179" s="33"/>
    </row>
    <row r="180">
      <c r="A180" s="33"/>
      <c r="B180" s="33"/>
      <c r="C180" s="33"/>
      <c r="D180" s="33"/>
      <c r="E180" s="33"/>
      <c r="F180" s="33"/>
      <c r="G180" s="33"/>
      <c r="H180" s="33"/>
      <c r="I180" s="33"/>
      <c r="J180" s="33"/>
      <c r="K180" s="33"/>
      <c r="L180" s="33"/>
      <c r="M180" s="33"/>
      <c r="N180" s="33"/>
      <c r="O180" s="33"/>
      <c r="P180" s="33"/>
      <c r="Q180" s="33"/>
      <c r="R180" s="33"/>
    </row>
    <row r="181">
      <c r="A181" s="33"/>
      <c r="B181" s="33"/>
      <c r="C181" s="33"/>
      <c r="D181" s="33"/>
      <c r="E181" s="33"/>
      <c r="F181" s="33"/>
      <c r="G181" s="33"/>
      <c r="H181" s="33"/>
      <c r="I181" s="33"/>
      <c r="J181" s="33"/>
      <c r="K181" s="33"/>
      <c r="L181" s="33"/>
      <c r="M181" s="33"/>
      <c r="N181" s="33"/>
      <c r="O181" s="33"/>
      <c r="P181" s="33"/>
      <c r="Q181" s="33"/>
      <c r="R181" s="33"/>
    </row>
    <row r="182">
      <c r="A182" s="33"/>
      <c r="B182" s="33"/>
      <c r="C182" s="33"/>
      <c r="D182" s="33"/>
      <c r="E182" s="33"/>
      <c r="F182" s="33"/>
      <c r="G182" s="33"/>
      <c r="H182" s="33"/>
      <c r="I182" s="33"/>
      <c r="J182" s="33"/>
      <c r="K182" s="33"/>
      <c r="L182" s="33"/>
      <c r="M182" s="33"/>
      <c r="N182" s="33"/>
      <c r="O182" s="33"/>
      <c r="P182" s="33"/>
      <c r="Q182" s="33"/>
      <c r="R182" s="33"/>
    </row>
    <row r="183">
      <c r="A183" s="33"/>
      <c r="B183" s="33"/>
      <c r="C183" s="33"/>
      <c r="D183" s="33"/>
      <c r="E183" s="33"/>
      <c r="F183" s="33"/>
      <c r="G183" s="33"/>
      <c r="H183" s="33"/>
      <c r="I183" s="33"/>
      <c r="J183" s="33"/>
      <c r="K183" s="33"/>
      <c r="L183" s="33"/>
      <c r="M183" s="33"/>
      <c r="N183" s="33"/>
      <c r="O183" s="33"/>
      <c r="P183" s="33"/>
      <c r="Q183" s="33"/>
      <c r="R183" s="33"/>
    </row>
    <row r="184">
      <c r="A184" s="33"/>
      <c r="B184" s="33"/>
      <c r="C184" s="33"/>
      <c r="D184" s="33"/>
      <c r="E184" s="33"/>
      <c r="F184" s="33"/>
      <c r="G184" s="33"/>
      <c r="H184" s="33"/>
      <c r="I184" s="33"/>
      <c r="J184" s="33"/>
      <c r="K184" s="33"/>
      <c r="L184" s="33"/>
      <c r="M184" s="33"/>
      <c r="N184" s="33"/>
      <c r="O184" s="33"/>
      <c r="P184" s="33"/>
      <c r="Q184" s="33"/>
      <c r="R184" s="33"/>
    </row>
    <row r="185">
      <c r="A185" s="33"/>
      <c r="B185" s="33"/>
      <c r="C185" s="33"/>
      <c r="D185" s="33"/>
      <c r="E185" s="33"/>
      <c r="F185" s="33"/>
      <c r="G185" s="33"/>
      <c r="H185" s="33"/>
      <c r="I185" s="33"/>
      <c r="J185" s="33"/>
      <c r="K185" s="33"/>
      <c r="L185" s="33"/>
      <c r="M185" s="33"/>
      <c r="N185" s="33"/>
      <c r="O185" s="33"/>
      <c r="P185" s="33"/>
      <c r="Q185" s="33"/>
      <c r="R185" s="33"/>
    </row>
    <row r="186">
      <c r="A186" s="33"/>
      <c r="B186" s="33"/>
      <c r="C186" s="33"/>
      <c r="D186" s="33"/>
      <c r="E186" s="33"/>
      <c r="F186" s="33"/>
      <c r="G186" s="33"/>
      <c r="H186" s="33"/>
      <c r="I186" s="33"/>
      <c r="J186" s="33"/>
      <c r="K186" s="33"/>
      <c r="L186" s="33"/>
      <c r="M186" s="33"/>
      <c r="N186" s="33"/>
      <c r="O186" s="33"/>
      <c r="P186" s="33"/>
      <c r="Q186" s="33"/>
      <c r="R186" s="33"/>
    </row>
    <row r="187">
      <c r="A187" s="33"/>
      <c r="B187" s="33"/>
      <c r="C187" s="33"/>
      <c r="D187" s="33"/>
      <c r="E187" s="33"/>
      <c r="F187" s="33"/>
      <c r="G187" s="33"/>
      <c r="H187" s="33"/>
      <c r="I187" s="33"/>
      <c r="J187" s="33"/>
      <c r="K187" s="33"/>
      <c r="L187" s="33"/>
      <c r="M187" s="33"/>
      <c r="N187" s="33"/>
      <c r="O187" s="33"/>
      <c r="P187" s="33"/>
      <c r="Q187" s="33"/>
      <c r="R187" s="33"/>
    </row>
    <row r="188">
      <c r="A188" s="33"/>
      <c r="B188" s="33"/>
      <c r="C188" s="33"/>
      <c r="D188" s="33"/>
      <c r="E188" s="33"/>
      <c r="F188" s="33"/>
      <c r="G188" s="33"/>
      <c r="H188" s="33"/>
      <c r="I188" s="33"/>
      <c r="J188" s="33"/>
      <c r="K188" s="33"/>
      <c r="L188" s="33"/>
      <c r="M188" s="33"/>
      <c r="N188" s="33"/>
      <c r="O188" s="33"/>
      <c r="P188" s="33"/>
      <c r="Q188" s="33"/>
      <c r="R188" s="33"/>
    </row>
    <row r="189">
      <c r="A189" s="33"/>
      <c r="B189" s="33"/>
      <c r="C189" s="33"/>
      <c r="D189" s="33"/>
      <c r="E189" s="33"/>
      <c r="F189" s="33"/>
      <c r="G189" s="33"/>
      <c r="H189" s="33"/>
      <c r="I189" s="33"/>
      <c r="J189" s="33"/>
      <c r="K189" s="33"/>
      <c r="L189" s="33"/>
      <c r="M189" s="33"/>
      <c r="N189" s="33"/>
      <c r="O189" s="33"/>
      <c r="P189" s="33"/>
      <c r="Q189" s="33"/>
      <c r="R189" s="33"/>
    </row>
    <row r="190">
      <c r="A190" s="33"/>
      <c r="B190" s="33"/>
      <c r="C190" s="33"/>
      <c r="D190" s="33"/>
      <c r="E190" s="33"/>
      <c r="F190" s="33"/>
      <c r="G190" s="33"/>
      <c r="H190" s="33"/>
      <c r="I190" s="33"/>
      <c r="J190" s="33"/>
      <c r="K190" s="33"/>
      <c r="L190" s="33"/>
      <c r="M190" s="33"/>
      <c r="N190" s="33"/>
      <c r="O190" s="33"/>
      <c r="P190" s="33"/>
      <c r="Q190" s="33"/>
      <c r="R190" s="33"/>
    </row>
    <row r="191">
      <c r="A191" s="33"/>
      <c r="B191" s="33"/>
      <c r="C191" s="33"/>
      <c r="D191" s="33"/>
      <c r="E191" s="33"/>
      <c r="F191" s="33"/>
      <c r="G191" s="33"/>
      <c r="H191" s="33"/>
      <c r="I191" s="33"/>
      <c r="J191" s="33"/>
      <c r="K191" s="33"/>
      <c r="L191" s="33"/>
      <c r="M191" s="33"/>
      <c r="N191" s="33"/>
      <c r="O191" s="33"/>
      <c r="P191" s="33"/>
      <c r="Q191" s="33"/>
      <c r="R191" s="33"/>
    </row>
    <row r="192">
      <c r="A192" s="33"/>
      <c r="B192" s="33"/>
      <c r="C192" s="33"/>
      <c r="D192" s="33"/>
      <c r="E192" s="33"/>
      <c r="F192" s="33"/>
      <c r="G192" s="33"/>
      <c r="H192" s="33"/>
      <c r="I192" s="33"/>
      <c r="J192" s="33"/>
      <c r="K192" s="33"/>
      <c r="L192" s="33"/>
      <c r="M192" s="33"/>
      <c r="N192" s="33"/>
      <c r="O192" s="33"/>
      <c r="P192" s="33"/>
      <c r="Q192" s="33"/>
      <c r="R192" s="33"/>
    </row>
    <row r="193">
      <c r="A193" s="33"/>
      <c r="B193" s="33"/>
      <c r="C193" s="33"/>
      <c r="D193" s="33"/>
      <c r="E193" s="33"/>
      <c r="F193" s="33"/>
      <c r="G193" s="33"/>
      <c r="H193" s="33"/>
      <c r="I193" s="33"/>
      <c r="J193" s="33"/>
      <c r="K193" s="33"/>
      <c r="L193" s="33"/>
      <c r="M193" s="33"/>
      <c r="N193" s="33"/>
      <c r="O193" s="33"/>
      <c r="P193" s="33"/>
      <c r="Q193" s="33"/>
      <c r="R193" s="33"/>
    </row>
    <row r="194">
      <c r="A194" s="33"/>
      <c r="B194" s="33"/>
      <c r="C194" s="33"/>
      <c r="D194" s="33"/>
      <c r="E194" s="33"/>
      <c r="F194" s="33"/>
      <c r="G194" s="33"/>
      <c r="H194" s="33"/>
      <c r="I194" s="33"/>
      <c r="J194" s="33"/>
      <c r="K194" s="33"/>
      <c r="L194" s="33"/>
      <c r="M194" s="33"/>
      <c r="N194" s="33"/>
      <c r="O194" s="33"/>
      <c r="P194" s="33"/>
      <c r="Q194" s="33"/>
      <c r="R194" s="33"/>
    </row>
    <row r="195">
      <c r="A195" s="33"/>
      <c r="B195" s="33"/>
      <c r="C195" s="33"/>
      <c r="D195" s="33"/>
      <c r="E195" s="33"/>
      <c r="F195" s="33"/>
      <c r="G195" s="33"/>
      <c r="H195" s="33"/>
      <c r="I195" s="33"/>
      <c r="J195" s="33"/>
      <c r="K195" s="33"/>
      <c r="L195" s="33"/>
      <c r="M195" s="33"/>
      <c r="N195" s="33"/>
      <c r="O195" s="33"/>
      <c r="P195" s="33"/>
      <c r="Q195" s="33"/>
      <c r="R195" s="33"/>
    </row>
    <row r="196">
      <c r="A196" s="33"/>
      <c r="B196" s="33"/>
      <c r="C196" s="33"/>
      <c r="D196" s="33"/>
      <c r="E196" s="33"/>
      <c r="F196" s="33"/>
      <c r="G196" s="33"/>
      <c r="H196" s="33"/>
      <c r="I196" s="33"/>
      <c r="J196" s="33"/>
      <c r="K196" s="33"/>
      <c r="L196" s="33"/>
      <c r="M196" s="33"/>
      <c r="N196" s="33"/>
      <c r="O196" s="33"/>
      <c r="P196" s="33"/>
      <c r="Q196" s="33"/>
      <c r="R196" s="33"/>
    </row>
    <row r="197">
      <c r="A197" s="33"/>
      <c r="B197" s="33"/>
      <c r="C197" s="33"/>
      <c r="D197" s="33"/>
      <c r="E197" s="33"/>
      <c r="F197" s="33"/>
      <c r="G197" s="33"/>
      <c r="H197" s="33"/>
      <c r="I197" s="33"/>
      <c r="J197" s="33"/>
      <c r="K197" s="33"/>
      <c r="L197" s="33"/>
      <c r="M197" s="33"/>
      <c r="N197" s="33"/>
      <c r="O197" s="33"/>
      <c r="P197" s="33"/>
      <c r="Q197" s="33"/>
      <c r="R197" s="33"/>
    </row>
    <row r="198">
      <c r="A198" s="33"/>
      <c r="B198" s="33"/>
      <c r="C198" s="33"/>
      <c r="D198" s="33"/>
      <c r="E198" s="33"/>
      <c r="F198" s="33"/>
      <c r="G198" s="33"/>
      <c r="H198" s="33"/>
      <c r="I198" s="33"/>
      <c r="J198" s="33"/>
      <c r="K198" s="33"/>
      <c r="L198" s="33"/>
      <c r="M198" s="33"/>
      <c r="N198" s="33"/>
      <c r="O198" s="33"/>
      <c r="P198" s="33"/>
      <c r="Q198" s="33"/>
      <c r="R198" s="33"/>
    </row>
    <row r="199">
      <c r="A199" s="33"/>
      <c r="B199" s="33"/>
      <c r="C199" s="33"/>
      <c r="D199" s="33"/>
      <c r="E199" s="33"/>
      <c r="F199" s="33"/>
      <c r="G199" s="33"/>
      <c r="H199" s="33"/>
      <c r="I199" s="33"/>
      <c r="J199" s="33"/>
      <c r="K199" s="33"/>
      <c r="L199" s="33"/>
      <c r="M199" s="33"/>
      <c r="N199" s="33"/>
      <c r="O199" s="33"/>
      <c r="P199" s="33"/>
      <c r="Q199" s="33"/>
      <c r="R199" s="33"/>
    </row>
    <row r="200">
      <c r="A200" s="33"/>
      <c r="B200" s="33"/>
      <c r="C200" s="33"/>
      <c r="D200" s="33"/>
      <c r="E200" s="33"/>
      <c r="F200" s="33"/>
      <c r="G200" s="33"/>
      <c r="H200" s="33"/>
      <c r="I200" s="33"/>
      <c r="J200" s="33"/>
      <c r="K200" s="33"/>
      <c r="L200" s="33"/>
      <c r="M200" s="33"/>
      <c r="N200" s="33"/>
      <c r="O200" s="33"/>
      <c r="P200" s="33"/>
      <c r="Q200" s="33"/>
      <c r="R200" s="33"/>
    </row>
    <row r="201">
      <c r="A201" s="33"/>
      <c r="B201" s="33"/>
      <c r="C201" s="33"/>
      <c r="D201" s="33"/>
      <c r="E201" s="33"/>
      <c r="F201" s="33"/>
      <c r="G201" s="33"/>
      <c r="H201" s="33"/>
      <c r="I201" s="33"/>
      <c r="J201" s="33"/>
      <c r="K201" s="33"/>
      <c r="L201" s="33"/>
      <c r="M201" s="33"/>
      <c r="N201" s="33"/>
      <c r="O201" s="33"/>
      <c r="P201" s="33"/>
      <c r="Q201" s="33"/>
      <c r="R201" s="33"/>
    </row>
    <row r="202">
      <c r="A202" s="33"/>
      <c r="B202" s="33"/>
      <c r="C202" s="33"/>
      <c r="D202" s="33"/>
      <c r="E202" s="33"/>
      <c r="F202" s="33"/>
      <c r="G202" s="33"/>
      <c r="H202" s="33"/>
      <c r="I202" s="33"/>
      <c r="J202" s="33"/>
      <c r="K202" s="33"/>
      <c r="L202" s="33"/>
      <c r="M202" s="33"/>
      <c r="N202" s="33"/>
      <c r="O202" s="33"/>
      <c r="P202" s="33"/>
      <c r="Q202" s="33"/>
      <c r="R202" s="33"/>
    </row>
    <row r="203">
      <c r="A203" s="33"/>
      <c r="B203" s="33"/>
      <c r="C203" s="33"/>
      <c r="D203" s="33"/>
      <c r="E203" s="33"/>
      <c r="F203" s="33"/>
      <c r="G203" s="33"/>
      <c r="H203" s="33"/>
      <c r="I203" s="33"/>
      <c r="J203" s="33"/>
      <c r="K203" s="33"/>
      <c r="L203" s="33"/>
      <c r="M203" s="33"/>
      <c r="N203" s="33"/>
      <c r="O203" s="33"/>
      <c r="P203" s="33"/>
      <c r="Q203" s="33"/>
      <c r="R203" s="33"/>
    </row>
    <row r="204">
      <c r="A204" s="33"/>
      <c r="B204" s="33"/>
      <c r="C204" s="33"/>
      <c r="D204" s="33"/>
      <c r="E204" s="33"/>
      <c r="F204" s="33"/>
      <c r="G204" s="33"/>
      <c r="H204" s="33"/>
      <c r="I204" s="33"/>
      <c r="J204" s="33"/>
      <c r="K204" s="33"/>
      <c r="L204" s="33"/>
      <c r="M204" s="33"/>
      <c r="N204" s="33"/>
      <c r="O204" s="33"/>
      <c r="P204" s="33"/>
      <c r="Q204" s="33"/>
      <c r="R204" s="33"/>
    </row>
    <row r="205">
      <c r="A205" s="33"/>
      <c r="B205" s="33"/>
      <c r="C205" s="33"/>
      <c r="D205" s="33"/>
      <c r="E205" s="33"/>
      <c r="F205" s="33"/>
      <c r="G205" s="33"/>
      <c r="H205" s="33"/>
      <c r="I205" s="33"/>
      <c r="J205" s="33"/>
      <c r="K205" s="33"/>
      <c r="L205" s="33"/>
      <c r="M205" s="33"/>
      <c r="N205" s="33"/>
      <c r="O205" s="33"/>
      <c r="P205" s="33"/>
      <c r="Q205" s="33"/>
      <c r="R205" s="33"/>
    </row>
    <row r="206">
      <c r="A206" s="33"/>
      <c r="B206" s="33"/>
      <c r="C206" s="33"/>
      <c r="D206" s="33"/>
      <c r="E206" s="33"/>
      <c r="F206" s="33"/>
      <c r="G206" s="33"/>
      <c r="H206" s="33"/>
      <c r="I206" s="33"/>
      <c r="J206" s="33"/>
      <c r="K206" s="33"/>
      <c r="L206" s="33"/>
      <c r="M206" s="33"/>
      <c r="N206" s="33"/>
      <c r="O206" s="33"/>
      <c r="P206" s="33"/>
      <c r="Q206" s="33"/>
      <c r="R206" s="33"/>
    </row>
    <row r="207">
      <c r="A207" s="33"/>
      <c r="B207" s="33"/>
      <c r="C207" s="33"/>
      <c r="D207" s="33"/>
      <c r="E207" s="33"/>
      <c r="F207" s="33"/>
      <c r="G207" s="33"/>
      <c r="H207" s="33"/>
      <c r="I207" s="33"/>
      <c r="J207" s="33"/>
      <c r="K207" s="33"/>
      <c r="L207" s="33"/>
      <c r="M207" s="33"/>
      <c r="N207" s="33"/>
      <c r="O207" s="33"/>
      <c r="P207" s="33"/>
      <c r="Q207" s="33"/>
      <c r="R207" s="33"/>
    </row>
    <row r="208">
      <c r="A208" s="33"/>
      <c r="B208" s="33"/>
      <c r="C208" s="33"/>
      <c r="D208" s="33"/>
      <c r="E208" s="33"/>
      <c r="F208" s="33"/>
      <c r="G208" s="33"/>
      <c r="H208" s="33"/>
      <c r="I208" s="33"/>
      <c r="J208" s="33"/>
      <c r="K208" s="33"/>
      <c r="L208" s="33"/>
      <c r="M208" s="33"/>
      <c r="N208" s="33"/>
      <c r="O208" s="33"/>
      <c r="P208" s="33"/>
      <c r="Q208" s="33"/>
      <c r="R208" s="33"/>
    </row>
    <row r="209">
      <c r="A209" s="33"/>
      <c r="B209" s="33"/>
      <c r="C209" s="33"/>
      <c r="D209" s="33"/>
      <c r="E209" s="33"/>
      <c r="F209" s="33"/>
      <c r="G209" s="33"/>
      <c r="H209" s="33"/>
      <c r="I209" s="33"/>
      <c r="J209" s="33"/>
      <c r="K209" s="33"/>
      <c r="L209" s="33"/>
      <c r="M209" s="33"/>
      <c r="N209" s="33"/>
      <c r="O209" s="33"/>
      <c r="P209" s="33"/>
      <c r="Q209" s="33"/>
      <c r="R209" s="33"/>
    </row>
    <row r="210">
      <c r="A210" s="33"/>
      <c r="B210" s="33"/>
      <c r="C210" s="33"/>
      <c r="D210" s="33"/>
      <c r="E210" s="33"/>
      <c r="F210" s="33"/>
      <c r="G210" s="33"/>
      <c r="H210" s="33"/>
      <c r="I210" s="33"/>
      <c r="J210" s="33"/>
      <c r="K210" s="33"/>
      <c r="L210" s="33"/>
      <c r="M210" s="33"/>
      <c r="N210" s="33"/>
      <c r="O210" s="33"/>
      <c r="P210" s="33"/>
      <c r="Q210" s="33"/>
      <c r="R210" s="33"/>
    </row>
    <row r="211">
      <c r="A211" s="33"/>
      <c r="B211" s="33"/>
      <c r="C211" s="33"/>
      <c r="D211" s="33"/>
      <c r="E211" s="33"/>
      <c r="F211" s="33"/>
      <c r="G211" s="33"/>
      <c r="H211" s="33"/>
      <c r="I211" s="33"/>
      <c r="J211" s="33"/>
      <c r="K211" s="33"/>
      <c r="L211" s="33"/>
      <c r="M211" s="33"/>
      <c r="N211" s="33"/>
      <c r="O211" s="33"/>
      <c r="P211" s="33"/>
      <c r="Q211" s="33"/>
      <c r="R211" s="33"/>
    </row>
    <row r="212">
      <c r="A212" s="33"/>
      <c r="B212" s="33"/>
      <c r="C212" s="33"/>
      <c r="D212" s="33"/>
      <c r="E212" s="33"/>
      <c r="F212" s="33"/>
      <c r="G212" s="33"/>
      <c r="H212" s="33"/>
      <c r="I212" s="33"/>
      <c r="J212" s="33"/>
      <c r="K212" s="33"/>
      <c r="L212" s="33"/>
      <c r="M212" s="33"/>
      <c r="N212" s="33"/>
      <c r="O212" s="33"/>
      <c r="P212" s="33"/>
      <c r="Q212" s="33"/>
      <c r="R212" s="33"/>
    </row>
    <row r="213">
      <c r="A213" s="33"/>
      <c r="B213" s="33"/>
      <c r="C213" s="33"/>
      <c r="D213" s="33"/>
      <c r="E213" s="33"/>
      <c r="F213" s="33"/>
      <c r="G213" s="33"/>
      <c r="H213" s="33"/>
      <c r="I213" s="33"/>
      <c r="J213" s="33"/>
      <c r="K213" s="33"/>
      <c r="L213" s="33"/>
      <c r="M213" s="33"/>
      <c r="N213" s="33"/>
      <c r="O213" s="33"/>
      <c r="P213" s="33"/>
      <c r="Q213" s="33"/>
      <c r="R213" s="33"/>
    </row>
    <row r="214">
      <c r="A214" s="33"/>
      <c r="B214" s="33"/>
      <c r="C214" s="33"/>
      <c r="D214" s="33"/>
      <c r="E214" s="33"/>
      <c r="F214" s="33"/>
      <c r="G214" s="33"/>
      <c r="H214" s="33"/>
      <c r="I214" s="33"/>
      <c r="J214" s="33"/>
      <c r="K214" s="33"/>
      <c r="L214" s="33"/>
      <c r="M214" s="33"/>
      <c r="N214" s="33"/>
      <c r="O214" s="33"/>
      <c r="P214" s="33"/>
      <c r="Q214" s="33"/>
      <c r="R214" s="33"/>
    </row>
    <row r="215">
      <c r="A215" s="33"/>
      <c r="B215" s="33"/>
      <c r="C215" s="33"/>
      <c r="D215" s="33"/>
      <c r="E215" s="33"/>
      <c r="F215" s="33"/>
      <c r="G215" s="33"/>
      <c r="H215" s="33"/>
      <c r="I215" s="33"/>
      <c r="J215" s="33"/>
      <c r="K215" s="33"/>
      <c r="L215" s="33"/>
      <c r="M215" s="33"/>
      <c r="N215" s="33"/>
      <c r="O215" s="33"/>
      <c r="P215" s="33"/>
      <c r="Q215" s="33"/>
      <c r="R215" s="33"/>
    </row>
    <row r="216">
      <c r="A216" s="33"/>
      <c r="B216" s="33"/>
      <c r="C216" s="33"/>
      <c r="D216" s="33"/>
      <c r="E216" s="33"/>
      <c r="F216" s="33"/>
      <c r="G216" s="33"/>
      <c r="H216" s="33"/>
      <c r="I216" s="33"/>
      <c r="J216" s="33"/>
      <c r="K216" s="33"/>
      <c r="L216" s="33"/>
      <c r="M216" s="33"/>
      <c r="N216" s="33"/>
      <c r="O216" s="33"/>
      <c r="P216" s="33"/>
      <c r="Q216" s="33"/>
      <c r="R216" s="33"/>
    </row>
    <row r="217">
      <c r="A217" s="33"/>
      <c r="B217" s="33"/>
      <c r="C217" s="33"/>
      <c r="D217" s="33"/>
      <c r="E217" s="33"/>
      <c r="F217" s="33"/>
      <c r="G217" s="33"/>
      <c r="H217" s="33"/>
      <c r="I217" s="33"/>
      <c r="J217" s="33"/>
      <c r="K217" s="33"/>
      <c r="L217" s="33"/>
      <c r="M217" s="33"/>
      <c r="N217" s="33"/>
      <c r="O217" s="33"/>
      <c r="P217" s="33"/>
      <c r="Q217" s="33"/>
      <c r="R217" s="33"/>
    </row>
    <row r="218">
      <c r="A218" s="33"/>
      <c r="B218" s="33"/>
      <c r="C218" s="33"/>
      <c r="D218" s="33"/>
      <c r="E218" s="33"/>
      <c r="F218" s="33"/>
      <c r="G218" s="33"/>
      <c r="H218" s="33"/>
      <c r="I218" s="33"/>
      <c r="J218" s="33"/>
      <c r="K218" s="33"/>
      <c r="L218" s="33"/>
      <c r="M218" s="33"/>
      <c r="N218" s="33"/>
      <c r="O218" s="33"/>
      <c r="P218" s="33"/>
      <c r="Q218" s="33"/>
      <c r="R218" s="33"/>
    </row>
    <row r="219">
      <c r="A219" s="33"/>
      <c r="B219" s="33"/>
      <c r="C219" s="33"/>
      <c r="D219" s="33"/>
      <c r="E219" s="33"/>
      <c r="F219" s="33"/>
      <c r="G219" s="33"/>
      <c r="H219" s="33"/>
      <c r="I219" s="33"/>
      <c r="J219" s="33"/>
      <c r="K219" s="33"/>
      <c r="L219" s="33"/>
      <c r="M219" s="33"/>
      <c r="N219" s="33"/>
      <c r="O219" s="33"/>
      <c r="P219" s="33"/>
      <c r="Q219" s="33"/>
      <c r="R219" s="33"/>
    </row>
    <row r="220">
      <c r="A220" s="33"/>
      <c r="B220" s="33"/>
      <c r="C220" s="33"/>
      <c r="D220" s="33"/>
      <c r="E220" s="33"/>
      <c r="F220" s="33"/>
      <c r="G220" s="33"/>
      <c r="H220" s="33"/>
      <c r="I220" s="33"/>
      <c r="J220" s="33"/>
      <c r="K220" s="33"/>
      <c r="L220" s="33"/>
      <c r="M220" s="33"/>
      <c r="N220" s="33"/>
      <c r="O220" s="33"/>
      <c r="P220" s="33"/>
      <c r="Q220" s="33"/>
      <c r="R220" s="33"/>
    </row>
    <row r="221">
      <c r="A221" s="33"/>
      <c r="B221" s="33"/>
      <c r="C221" s="33"/>
      <c r="D221" s="33"/>
      <c r="E221" s="33"/>
      <c r="F221" s="33"/>
      <c r="G221" s="33"/>
      <c r="H221" s="33"/>
      <c r="I221" s="33"/>
      <c r="J221" s="33"/>
      <c r="K221" s="33"/>
      <c r="L221" s="33"/>
      <c r="M221" s="33"/>
      <c r="N221" s="33"/>
      <c r="O221" s="33"/>
      <c r="P221" s="33"/>
      <c r="Q221" s="33"/>
      <c r="R221" s="33"/>
    </row>
    <row r="222">
      <c r="A222" s="33"/>
      <c r="B222" s="33"/>
      <c r="C222" s="33"/>
      <c r="D222" s="33"/>
      <c r="E222" s="33"/>
      <c r="F222" s="33"/>
      <c r="G222" s="33"/>
      <c r="H222" s="33"/>
      <c r="I222" s="33"/>
      <c r="J222" s="33"/>
      <c r="K222" s="33"/>
      <c r="L222" s="33"/>
      <c r="M222" s="33"/>
      <c r="N222" s="33"/>
      <c r="O222" s="33"/>
      <c r="P222" s="33"/>
      <c r="Q222" s="33"/>
      <c r="R222" s="33"/>
    </row>
    <row r="223">
      <c r="A223" s="33"/>
      <c r="B223" s="33"/>
      <c r="C223" s="33"/>
      <c r="D223" s="33"/>
      <c r="E223" s="33"/>
      <c r="F223" s="33"/>
      <c r="G223" s="33"/>
      <c r="H223" s="33"/>
      <c r="I223" s="33"/>
      <c r="J223" s="33"/>
      <c r="K223" s="33"/>
      <c r="L223" s="33"/>
      <c r="M223" s="33"/>
      <c r="N223" s="33"/>
      <c r="O223" s="33"/>
      <c r="P223" s="33"/>
      <c r="Q223" s="33"/>
      <c r="R223" s="33"/>
    </row>
    <row r="224">
      <c r="A224" s="33"/>
      <c r="B224" s="33"/>
      <c r="C224" s="33"/>
      <c r="D224" s="33"/>
      <c r="E224" s="33"/>
      <c r="F224" s="33"/>
      <c r="G224" s="33"/>
      <c r="H224" s="33"/>
      <c r="I224" s="33"/>
      <c r="J224" s="33"/>
      <c r="K224" s="33"/>
      <c r="L224" s="33"/>
      <c r="M224" s="33"/>
      <c r="N224" s="33"/>
      <c r="O224" s="33"/>
      <c r="P224" s="33"/>
      <c r="Q224" s="33"/>
      <c r="R224" s="33"/>
    </row>
    <row r="225">
      <c r="A225" s="33"/>
      <c r="B225" s="33"/>
      <c r="C225" s="33"/>
      <c r="D225" s="33"/>
      <c r="E225" s="33"/>
      <c r="F225" s="33"/>
      <c r="G225" s="33"/>
      <c r="H225" s="33"/>
      <c r="I225" s="33"/>
      <c r="J225" s="33"/>
      <c r="K225" s="33"/>
      <c r="L225" s="33"/>
      <c r="M225" s="33"/>
      <c r="N225" s="33"/>
      <c r="O225" s="33"/>
      <c r="P225" s="33"/>
      <c r="Q225" s="33"/>
      <c r="R225" s="33"/>
    </row>
    <row r="226">
      <c r="A226" s="33"/>
      <c r="B226" s="33"/>
      <c r="C226" s="33"/>
      <c r="D226" s="33"/>
      <c r="E226" s="33"/>
      <c r="F226" s="33"/>
      <c r="G226" s="33"/>
      <c r="H226" s="33"/>
      <c r="I226" s="33"/>
      <c r="J226" s="33"/>
      <c r="K226" s="33"/>
      <c r="L226" s="33"/>
      <c r="M226" s="33"/>
      <c r="N226" s="33"/>
      <c r="O226" s="33"/>
      <c r="P226" s="33"/>
      <c r="Q226" s="33"/>
      <c r="R226" s="33"/>
    </row>
    <row r="227">
      <c r="A227" s="33"/>
      <c r="B227" s="33"/>
      <c r="C227" s="33"/>
      <c r="D227" s="33"/>
      <c r="E227" s="33"/>
      <c r="F227" s="33"/>
      <c r="G227" s="33"/>
      <c r="H227" s="33"/>
      <c r="I227" s="33"/>
      <c r="J227" s="33"/>
      <c r="K227" s="33"/>
      <c r="L227" s="33"/>
      <c r="M227" s="33"/>
      <c r="N227" s="33"/>
      <c r="O227" s="33"/>
      <c r="P227" s="33"/>
      <c r="Q227" s="33"/>
      <c r="R227" s="33"/>
    </row>
    <row r="228">
      <c r="A228" s="33"/>
      <c r="B228" s="33"/>
      <c r="C228" s="33"/>
      <c r="D228" s="33"/>
      <c r="E228" s="33"/>
      <c r="F228" s="33"/>
      <c r="G228" s="33"/>
      <c r="H228" s="33"/>
      <c r="I228" s="33"/>
      <c r="J228" s="33"/>
      <c r="K228" s="33"/>
      <c r="L228" s="33"/>
      <c r="M228" s="33"/>
      <c r="N228" s="33"/>
      <c r="O228" s="33"/>
      <c r="P228" s="33"/>
      <c r="Q228" s="33"/>
      <c r="R228" s="33"/>
    </row>
    <row r="229">
      <c r="A229" s="33"/>
      <c r="B229" s="33"/>
      <c r="C229" s="33"/>
      <c r="D229" s="33"/>
      <c r="E229" s="33"/>
      <c r="F229" s="33"/>
      <c r="G229" s="33"/>
      <c r="H229" s="33"/>
      <c r="I229" s="33"/>
      <c r="J229" s="33"/>
      <c r="K229" s="33"/>
      <c r="L229" s="33"/>
      <c r="M229" s="33"/>
      <c r="N229" s="33"/>
      <c r="O229" s="33"/>
      <c r="P229" s="33"/>
      <c r="Q229" s="33"/>
      <c r="R229" s="33"/>
    </row>
    <row r="230">
      <c r="A230" s="33"/>
      <c r="B230" s="33"/>
      <c r="C230" s="33"/>
      <c r="D230" s="33"/>
      <c r="E230" s="33"/>
      <c r="F230" s="33"/>
      <c r="G230" s="33"/>
      <c r="H230" s="33"/>
      <c r="I230" s="33"/>
      <c r="J230" s="33"/>
      <c r="K230" s="33"/>
      <c r="L230" s="33"/>
      <c r="M230" s="33"/>
      <c r="N230" s="33"/>
      <c r="O230" s="33"/>
      <c r="P230" s="33"/>
      <c r="Q230" s="33"/>
      <c r="R230" s="33"/>
    </row>
    <row r="231">
      <c r="A231" s="33"/>
      <c r="B231" s="33"/>
      <c r="C231" s="33"/>
      <c r="D231" s="33"/>
      <c r="E231" s="33"/>
      <c r="F231" s="33"/>
      <c r="G231" s="33"/>
      <c r="H231" s="33"/>
      <c r="I231" s="33"/>
      <c r="J231" s="33"/>
      <c r="K231" s="33"/>
      <c r="L231" s="33"/>
      <c r="M231" s="33"/>
      <c r="N231" s="33"/>
      <c r="O231" s="33"/>
      <c r="P231" s="33"/>
      <c r="Q231" s="33"/>
      <c r="R231" s="33"/>
    </row>
    <row r="232">
      <c r="A232" s="33"/>
      <c r="B232" s="33"/>
      <c r="C232" s="33"/>
      <c r="D232" s="33"/>
      <c r="E232" s="33"/>
      <c r="F232" s="33"/>
      <c r="G232" s="33"/>
      <c r="H232" s="33"/>
      <c r="I232" s="33"/>
      <c r="J232" s="33"/>
      <c r="K232" s="33"/>
      <c r="L232" s="33"/>
      <c r="M232" s="33"/>
      <c r="N232" s="33"/>
      <c r="O232" s="33"/>
      <c r="P232" s="33"/>
      <c r="Q232" s="33"/>
      <c r="R232" s="33"/>
    </row>
    <row r="233">
      <c r="A233" s="33"/>
      <c r="B233" s="33"/>
      <c r="C233" s="33"/>
      <c r="D233" s="33"/>
      <c r="E233" s="33"/>
      <c r="F233" s="33"/>
      <c r="G233" s="33"/>
      <c r="H233" s="33"/>
      <c r="I233" s="33"/>
      <c r="J233" s="33"/>
      <c r="K233" s="33"/>
      <c r="L233" s="33"/>
      <c r="M233" s="33"/>
      <c r="N233" s="33"/>
      <c r="O233" s="33"/>
      <c r="P233" s="33"/>
      <c r="Q233" s="33"/>
      <c r="R233" s="33"/>
    </row>
    <row r="234">
      <c r="A234" s="33"/>
      <c r="B234" s="33"/>
      <c r="C234" s="33"/>
      <c r="D234" s="33"/>
      <c r="E234" s="33"/>
      <c r="F234" s="33"/>
      <c r="G234" s="33"/>
      <c r="H234" s="33"/>
      <c r="I234" s="33"/>
      <c r="J234" s="33"/>
      <c r="K234" s="33"/>
      <c r="L234" s="33"/>
      <c r="M234" s="33"/>
      <c r="N234" s="33"/>
      <c r="O234" s="33"/>
      <c r="P234" s="33"/>
      <c r="Q234" s="33"/>
      <c r="R234" s="33"/>
    </row>
    <row r="235">
      <c r="A235" s="33"/>
      <c r="B235" s="33"/>
      <c r="C235" s="33"/>
      <c r="D235" s="33"/>
      <c r="E235" s="33"/>
      <c r="F235" s="33"/>
      <c r="G235" s="33"/>
      <c r="H235" s="33"/>
      <c r="I235" s="33"/>
      <c r="J235" s="33"/>
      <c r="K235" s="33"/>
      <c r="L235" s="33"/>
      <c r="M235" s="33"/>
      <c r="N235" s="33"/>
      <c r="O235" s="33"/>
      <c r="P235" s="33"/>
      <c r="Q235" s="33"/>
      <c r="R235" s="33"/>
    </row>
    <row r="236">
      <c r="A236" s="33"/>
      <c r="B236" s="33"/>
      <c r="C236" s="33"/>
      <c r="D236" s="33"/>
      <c r="E236" s="33"/>
      <c r="F236" s="33"/>
      <c r="G236" s="33"/>
      <c r="H236" s="33"/>
      <c r="I236" s="33"/>
      <c r="J236" s="33"/>
      <c r="K236" s="33"/>
      <c r="L236" s="33"/>
      <c r="M236" s="33"/>
      <c r="N236" s="33"/>
      <c r="O236" s="33"/>
      <c r="P236" s="33"/>
      <c r="Q236" s="33"/>
      <c r="R236" s="33"/>
    </row>
    <row r="237">
      <c r="A237" s="33"/>
      <c r="B237" s="33"/>
      <c r="C237" s="33"/>
      <c r="D237" s="33"/>
      <c r="E237" s="33"/>
      <c r="F237" s="33"/>
      <c r="G237" s="33"/>
      <c r="H237" s="33"/>
      <c r="I237" s="33"/>
      <c r="J237" s="33"/>
      <c r="K237" s="33"/>
      <c r="L237" s="33"/>
      <c r="M237" s="33"/>
      <c r="N237" s="33"/>
      <c r="O237" s="33"/>
      <c r="P237" s="33"/>
      <c r="Q237" s="33"/>
      <c r="R237" s="33"/>
    </row>
    <row r="238">
      <c r="A238" s="33"/>
      <c r="B238" s="33"/>
      <c r="C238" s="33"/>
      <c r="D238" s="33"/>
      <c r="E238" s="33"/>
      <c r="F238" s="33"/>
      <c r="G238" s="33"/>
      <c r="H238" s="33"/>
      <c r="I238" s="33"/>
      <c r="J238" s="33"/>
      <c r="K238" s="33"/>
      <c r="L238" s="33"/>
      <c r="M238" s="33"/>
      <c r="N238" s="33"/>
      <c r="O238" s="33"/>
      <c r="P238" s="33"/>
      <c r="Q238" s="33"/>
      <c r="R238" s="33"/>
    </row>
    <row r="239">
      <c r="A239" s="33"/>
      <c r="B239" s="33"/>
      <c r="C239" s="33"/>
      <c r="D239" s="33"/>
      <c r="E239" s="33"/>
      <c r="F239" s="33"/>
      <c r="G239" s="33"/>
      <c r="H239" s="33"/>
      <c r="I239" s="33"/>
      <c r="J239" s="33"/>
      <c r="K239" s="33"/>
      <c r="L239" s="33"/>
      <c r="M239" s="33"/>
      <c r="N239" s="33"/>
      <c r="O239" s="33"/>
      <c r="P239" s="33"/>
      <c r="Q239" s="33"/>
      <c r="R239" s="33"/>
    </row>
    <row r="240">
      <c r="A240" s="33"/>
      <c r="B240" s="33"/>
      <c r="C240" s="33"/>
      <c r="D240" s="33"/>
      <c r="E240" s="33"/>
      <c r="F240" s="33"/>
      <c r="G240" s="33"/>
      <c r="H240" s="33"/>
      <c r="I240" s="33"/>
      <c r="J240" s="33"/>
      <c r="K240" s="33"/>
      <c r="L240" s="33"/>
      <c r="M240" s="33"/>
      <c r="N240" s="33"/>
      <c r="O240" s="33"/>
      <c r="P240" s="33"/>
      <c r="Q240" s="33"/>
      <c r="R240" s="33"/>
    </row>
    <row r="241">
      <c r="A241" s="33"/>
      <c r="B241" s="33"/>
      <c r="C241" s="33"/>
      <c r="D241" s="33"/>
      <c r="E241" s="33"/>
      <c r="F241" s="33"/>
      <c r="G241" s="33"/>
      <c r="H241" s="33"/>
      <c r="I241" s="33"/>
      <c r="J241" s="33"/>
      <c r="K241" s="33"/>
      <c r="L241" s="33"/>
      <c r="M241" s="33"/>
      <c r="N241" s="33"/>
      <c r="O241" s="33"/>
      <c r="P241" s="33"/>
      <c r="Q241" s="33"/>
      <c r="R241" s="33"/>
    </row>
    <row r="242">
      <c r="A242" s="33"/>
      <c r="B242" s="33"/>
      <c r="C242" s="33"/>
      <c r="D242" s="33"/>
      <c r="E242" s="33"/>
      <c r="F242" s="33"/>
      <c r="G242" s="33"/>
      <c r="H242" s="33"/>
      <c r="I242" s="33"/>
      <c r="J242" s="33"/>
      <c r="K242" s="33"/>
      <c r="L242" s="33"/>
      <c r="M242" s="33"/>
      <c r="N242" s="33"/>
      <c r="O242" s="33"/>
      <c r="P242" s="33"/>
      <c r="Q242" s="33"/>
      <c r="R242" s="33"/>
    </row>
    <row r="243">
      <c r="A243" s="33"/>
      <c r="B243" s="33"/>
      <c r="C243" s="33"/>
      <c r="D243" s="33"/>
      <c r="E243" s="33"/>
      <c r="F243" s="33"/>
      <c r="G243" s="33"/>
      <c r="H243" s="33"/>
      <c r="I243" s="33"/>
      <c r="J243" s="33"/>
      <c r="K243" s="33"/>
      <c r="L243" s="33"/>
      <c r="M243" s="33"/>
      <c r="N243" s="33"/>
      <c r="O243" s="33"/>
      <c r="P243" s="33"/>
      <c r="Q243" s="33"/>
      <c r="R243" s="33"/>
    </row>
    <row r="244">
      <c r="A244" s="33"/>
      <c r="B244" s="33"/>
      <c r="C244" s="33"/>
      <c r="D244" s="33"/>
      <c r="E244" s="33"/>
      <c r="F244" s="33"/>
      <c r="G244" s="33"/>
      <c r="H244" s="33"/>
      <c r="I244" s="33"/>
      <c r="J244" s="33"/>
      <c r="K244" s="33"/>
      <c r="L244" s="33"/>
      <c r="M244" s="33"/>
      <c r="N244" s="33"/>
      <c r="O244" s="33"/>
      <c r="P244" s="33"/>
      <c r="Q244" s="33"/>
      <c r="R244" s="33"/>
    </row>
    <row r="245">
      <c r="A245" s="33"/>
      <c r="B245" s="33"/>
      <c r="C245" s="33"/>
      <c r="D245" s="33"/>
      <c r="E245" s="33"/>
      <c r="F245" s="33"/>
      <c r="G245" s="33"/>
      <c r="H245" s="33"/>
      <c r="I245" s="33"/>
      <c r="J245" s="33"/>
      <c r="K245" s="33"/>
      <c r="L245" s="33"/>
      <c r="M245" s="33"/>
      <c r="N245" s="33"/>
      <c r="O245" s="33"/>
      <c r="P245" s="33"/>
      <c r="Q245" s="33"/>
      <c r="R245" s="33"/>
    </row>
    <row r="246">
      <c r="A246" s="33"/>
      <c r="B246" s="33"/>
      <c r="C246" s="33"/>
      <c r="D246" s="33"/>
      <c r="E246" s="33"/>
      <c r="F246" s="33"/>
      <c r="G246" s="33"/>
      <c r="H246" s="33"/>
      <c r="I246" s="33"/>
      <c r="J246" s="33"/>
      <c r="K246" s="33"/>
      <c r="L246" s="33"/>
      <c r="M246" s="33"/>
      <c r="N246" s="33"/>
      <c r="O246" s="33"/>
      <c r="P246" s="33"/>
      <c r="Q246" s="33"/>
      <c r="R246" s="33"/>
    </row>
    <row r="247">
      <c r="A247" s="33"/>
      <c r="B247" s="33"/>
      <c r="C247" s="33"/>
      <c r="D247" s="33"/>
      <c r="E247" s="33"/>
      <c r="F247" s="33"/>
      <c r="G247" s="33"/>
      <c r="H247" s="33"/>
      <c r="I247" s="33"/>
      <c r="J247" s="33"/>
      <c r="K247" s="33"/>
      <c r="L247" s="33"/>
      <c r="M247" s="33"/>
      <c r="N247" s="33"/>
      <c r="O247" s="33"/>
      <c r="P247" s="33"/>
      <c r="Q247" s="33"/>
      <c r="R247" s="33"/>
    </row>
    <row r="248">
      <c r="A248" s="33"/>
      <c r="B248" s="33"/>
      <c r="C248" s="33"/>
      <c r="D248" s="33"/>
      <c r="E248" s="33"/>
      <c r="F248" s="33"/>
      <c r="G248" s="33"/>
      <c r="H248" s="33"/>
      <c r="I248" s="33"/>
      <c r="J248" s="33"/>
      <c r="K248" s="33"/>
      <c r="L248" s="33"/>
      <c r="M248" s="33"/>
      <c r="N248" s="33"/>
      <c r="O248" s="33"/>
      <c r="P248" s="33"/>
      <c r="Q248" s="33"/>
      <c r="R248" s="33"/>
    </row>
    <row r="249">
      <c r="A249" s="33"/>
      <c r="B249" s="33"/>
      <c r="C249" s="33"/>
      <c r="D249" s="33"/>
      <c r="E249" s="33"/>
      <c r="F249" s="33"/>
      <c r="G249" s="33"/>
      <c r="H249" s="33"/>
      <c r="I249" s="33"/>
      <c r="J249" s="33"/>
      <c r="K249" s="33"/>
      <c r="L249" s="33"/>
      <c r="M249" s="33"/>
      <c r="N249" s="33"/>
      <c r="O249" s="33"/>
      <c r="P249" s="33"/>
      <c r="Q249" s="33"/>
      <c r="R249" s="33"/>
    </row>
    <row r="250">
      <c r="A250" s="33"/>
      <c r="B250" s="33"/>
      <c r="C250" s="33"/>
      <c r="D250" s="33"/>
      <c r="E250" s="33"/>
      <c r="F250" s="33"/>
      <c r="G250" s="33"/>
      <c r="H250" s="33"/>
      <c r="I250" s="33"/>
      <c r="J250" s="33"/>
      <c r="K250" s="33"/>
      <c r="L250" s="33"/>
      <c r="M250" s="33"/>
      <c r="N250" s="33"/>
      <c r="O250" s="33"/>
      <c r="P250" s="33"/>
      <c r="Q250" s="33"/>
      <c r="R250" s="33"/>
    </row>
    <row r="251">
      <c r="A251" s="33"/>
      <c r="B251" s="33"/>
      <c r="C251" s="33"/>
      <c r="D251" s="33"/>
      <c r="E251" s="33"/>
      <c r="F251" s="33"/>
      <c r="G251" s="33"/>
      <c r="H251" s="33"/>
      <c r="I251" s="33"/>
      <c r="J251" s="33"/>
      <c r="K251" s="33"/>
      <c r="L251" s="33"/>
      <c r="M251" s="33"/>
      <c r="N251" s="33"/>
      <c r="O251" s="33"/>
      <c r="P251" s="33"/>
      <c r="Q251" s="33"/>
      <c r="R251" s="33"/>
    </row>
    <row r="252">
      <c r="A252" s="33"/>
      <c r="B252" s="33"/>
      <c r="C252" s="33"/>
      <c r="D252" s="33"/>
      <c r="E252" s="33"/>
      <c r="F252" s="33"/>
      <c r="G252" s="33"/>
      <c r="H252" s="33"/>
      <c r="I252" s="33"/>
      <c r="J252" s="33"/>
      <c r="K252" s="33"/>
      <c r="L252" s="33"/>
      <c r="M252" s="33"/>
      <c r="N252" s="33"/>
      <c r="O252" s="33"/>
      <c r="P252" s="33"/>
      <c r="Q252" s="33"/>
      <c r="R252" s="33"/>
    </row>
    <row r="253">
      <c r="A253" s="33"/>
      <c r="B253" s="33"/>
      <c r="C253" s="33"/>
      <c r="D253" s="33"/>
      <c r="E253" s="33"/>
      <c r="F253" s="33"/>
      <c r="G253" s="33"/>
      <c r="H253" s="33"/>
      <c r="I253" s="33"/>
      <c r="J253" s="33"/>
      <c r="K253" s="33"/>
      <c r="L253" s="33"/>
      <c r="M253" s="33"/>
      <c r="N253" s="33"/>
      <c r="O253" s="33"/>
      <c r="P253" s="33"/>
      <c r="Q253" s="33"/>
      <c r="R253" s="33"/>
    </row>
    <row r="254">
      <c r="A254" s="33"/>
      <c r="B254" s="33"/>
      <c r="C254" s="33"/>
      <c r="D254" s="33"/>
      <c r="E254" s="33"/>
      <c r="F254" s="33"/>
      <c r="G254" s="33"/>
      <c r="H254" s="33"/>
      <c r="I254" s="33"/>
      <c r="J254" s="33"/>
      <c r="K254" s="33"/>
      <c r="L254" s="33"/>
      <c r="M254" s="33"/>
      <c r="N254" s="33"/>
      <c r="O254" s="33"/>
      <c r="P254" s="33"/>
      <c r="Q254" s="33"/>
      <c r="R254" s="33"/>
    </row>
    <row r="255">
      <c r="A255" s="33"/>
      <c r="B255" s="33"/>
      <c r="C255" s="33"/>
      <c r="D255" s="33"/>
      <c r="E255" s="33"/>
      <c r="F255" s="33"/>
      <c r="G255" s="33"/>
      <c r="H255" s="33"/>
      <c r="I255" s="33"/>
      <c r="J255" s="33"/>
      <c r="K255" s="33"/>
      <c r="L255" s="33"/>
      <c r="M255" s="33"/>
      <c r="N255" s="33"/>
      <c r="O255" s="33"/>
      <c r="P255" s="33"/>
      <c r="Q255" s="33"/>
      <c r="R255" s="33"/>
    </row>
    <row r="256">
      <c r="A256" s="33"/>
      <c r="B256" s="33"/>
      <c r="C256" s="33"/>
      <c r="D256" s="33"/>
      <c r="E256" s="33"/>
      <c r="F256" s="33"/>
      <c r="G256" s="33"/>
      <c r="H256" s="33"/>
      <c r="I256" s="33"/>
      <c r="J256" s="33"/>
      <c r="K256" s="33"/>
      <c r="L256" s="33"/>
      <c r="M256" s="33"/>
      <c r="N256" s="33"/>
      <c r="O256" s="33"/>
      <c r="P256" s="33"/>
      <c r="Q256" s="33"/>
      <c r="R256" s="33"/>
    </row>
    <row r="257">
      <c r="A257" s="33"/>
      <c r="B257" s="33"/>
      <c r="C257" s="33"/>
      <c r="D257" s="33"/>
      <c r="E257" s="33"/>
      <c r="F257" s="33"/>
      <c r="G257" s="33"/>
      <c r="H257" s="33"/>
      <c r="I257" s="33"/>
      <c r="J257" s="33"/>
      <c r="K257" s="33"/>
      <c r="L257" s="33"/>
      <c r="M257" s="33"/>
      <c r="N257" s="33"/>
      <c r="O257" s="33"/>
      <c r="P257" s="33"/>
      <c r="Q257" s="33"/>
      <c r="R257" s="33"/>
    </row>
    <row r="258">
      <c r="A258" s="33"/>
      <c r="B258" s="33"/>
      <c r="C258" s="33"/>
      <c r="D258" s="33"/>
      <c r="E258" s="33"/>
      <c r="F258" s="33"/>
      <c r="G258" s="33"/>
      <c r="H258" s="33"/>
      <c r="I258" s="33"/>
      <c r="J258" s="33"/>
      <c r="K258" s="33"/>
      <c r="L258" s="33"/>
      <c r="M258" s="33"/>
      <c r="N258" s="33"/>
      <c r="O258" s="33"/>
      <c r="P258" s="33"/>
      <c r="Q258" s="33"/>
      <c r="R258" s="33"/>
    </row>
    <row r="259">
      <c r="A259" s="33"/>
      <c r="B259" s="33"/>
      <c r="C259" s="33"/>
      <c r="D259" s="33"/>
      <c r="E259" s="33"/>
      <c r="F259" s="33"/>
      <c r="G259" s="33"/>
      <c r="H259" s="33"/>
      <c r="I259" s="33"/>
      <c r="J259" s="33"/>
      <c r="K259" s="33"/>
      <c r="L259" s="33"/>
      <c r="M259" s="33"/>
      <c r="N259" s="33"/>
      <c r="O259" s="33"/>
      <c r="P259" s="33"/>
      <c r="Q259" s="33"/>
      <c r="R259" s="33"/>
    </row>
    <row r="260">
      <c r="A260" s="33"/>
      <c r="B260" s="33"/>
      <c r="C260" s="33"/>
      <c r="D260" s="33"/>
      <c r="E260" s="33"/>
      <c r="F260" s="33"/>
      <c r="G260" s="33"/>
      <c r="H260" s="33"/>
      <c r="I260" s="33"/>
      <c r="J260" s="33"/>
      <c r="K260" s="33"/>
      <c r="L260" s="33"/>
      <c r="M260" s="33"/>
      <c r="N260" s="33"/>
      <c r="O260" s="33"/>
      <c r="P260" s="33"/>
      <c r="Q260" s="33"/>
      <c r="R260" s="33"/>
    </row>
    <row r="261">
      <c r="A261" s="33"/>
      <c r="B261" s="33"/>
      <c r="C261" s="33"/>
      <c r="D261" s="33"/>
      <c r="E261" s="33"/>
      <c r="F261" s="33"/>
      <c r="G261" s="33"/>
      <c r="H261" s="33"/>
      <c r="I261" s="33"/>
      <c r="J261" s="33"/>
      <c r="K261" s="33"/>
      <c r="L261" s="33"/>
      <c r="M261" s="33"/>
      <c r="N261" s="33"/>
      <c r="O261" s="33"/>
      <c r="P261" s="33"/>
      <c r="Q261" s="33"/>
      <c r="R261" s="33"/>
    </row>
    <row r="262">
      <c r="A262" s="33"/>
      <c r="B262" s="33"/>
      <c r="C262" s="33"/>
      <c r="D262" s="33"/>
      <c r="E262" s="33"/>
      <c r="F262" s="33"/>
      <c r="G262" s="33"/>
      <c r="H262" s="33"/>
      <c r="I262" s="33"/>
      <c r="J262" s="33"/>
      <c r="K262" s="33"/>
      <c r="L262" s="33"/>
      <c r="M262" s="33"/>
      <c r="N262" s="33"/>
      <c r="O262" s="33"/>
      <c r="P262" s="33"/>
      <c r="Q262" s="33"/>
      <c r="R262" s="33"/>
    </row>
    <row r="263">
      <c r="A263" s="33"/>
      <c r="B263" s="33"/>
      <c r="C263" s="33"/>
      <c r="D263" s="33"/>
      <c r="E263" s="33"/>
      <c r="F263" s="33"/>
      <c r="G263" s="33"/>
      <c r="H263" s="33"/>
      <c r="I263" s="33"/>
      <c r="J263" s="33"/>
      <c r="K263" s="33"/>
      <c r="L263" s="33"/>
      <c r="M263" s="33"/>
      <c r="N263" s="33"/>
      <c r="O263" s="33"/>
      <c r="P263" s="33"/>
      <c r="Q263" s="33"/>
      <c r="R263" s="33"/>
    </row>
    <row r="264">
      <c r="A264" s="33"/>
      <c r="B264" s="33"/>
      <c r="C264" s="33"/>
      <c r="D264" s="33"/>
      <c r="E264" s="33"/>
      <c r="F264" s="33"/>
      <c r="G264" s="33"/>
      <c r="H264" s="33"/>
      <c r="I264" s="33"/>
      <c r="J264" s="33"/>
      <c r="K264" s="33"/>
      <c r="L264" s="33"/>
      <c r="M264" s="33"/>
      <c r="N264" s="33"/>
      <c r="O264" s="33"/>
      <c r="P264" s="33"/>
      <c r="Q264" s="33"/>
      <c r="R264" s="33"/>
    </row>
    <row r="265">
      <c r="A265" s="33"/>
      <c r="B265" s="33"/>
      <c r="C265" s="33"/>
      <c r="D265" s="33"/>
      <c r="E265" s="33"/>
      <c r="F265" s="33"/>
      <c r="G265" s="33"/>
      <c r="H265" s="33"/>
      <c r="I265" s="33"/>
      <c r="J265" s="33"/>
      <c r="K265" s="33"/>
      <c r="L265" s="33"/>
      <c r="M265" s="33"/>
      <c r="N265" s="33"/>
      <c r="O265" s="33"/>
      <c r="P265" s="33"/>
      <c r="Q265" s="33"/>
      <c r="R265" s="33"/>
    </row>
    <row r="266">
      <c r="A266" s="33"/>
      <c r="B266" s="33"/>
      <c r="C266" s="33"/>
      <c r="D266" s="33"/>
      <c r="E266" s="33"/>
      <c r="F266" s="33"/>
      <c r="G266" s="33"/>
      <c r="H266" s="33"/>
      <c r="I266" s="33"/>
      <c r="J266" s="33"/>
      <c r="K266" s="33"/>
      <c r="L266" s="33"/>
      <c r="M266" s="33"/>
      <c r="N266" s="33"/>
      <c r="O266" s="33"/>
      <c r="P266" s="33"/>
      <c r="Q266" s="33"/>
      <c r="R266" s="33"/>
    </row>
    <row r="267">
      <c r="A267" s="33"/>
      <c r="B267" s="33"/>
      <c r="C267" s="33"/>
      <c r="D267" s="33"/>
      <c r="E267" s="33"/>
      <c r="F267" s="33"/>
      <c r="G267" s="33"/>
      <c r="H267" s="33"/>
      <c r="I267" s="33"/>
      <c r="J267" s="33"/>
      <c r="K267" s="33"/>
      <c r="L267" s="33"/>
      <c r="M267" s="33"/>
      <c r="N267" s="33"/>
      <c r="O267" s="33"/>
      <c r="P267" s="33"/>
      <c r="Q267" s="33"/>
      <c r="R267" s="33"/>
    </row>
    <row r="268">
      <c r="A268" s="33"/>
      <c r="B268" s="33"/>
      <c r="C268" s="33"/>
      <c r="D268" s="33"/>
      <c r="E268" s="33"/>
      <c r="F268" s="33"/>
      <c r="G268" s="33"/>
      <c r="H268" s="33"/>
      <c r="I268" s="33"/>
      <c r="J268" s="33"/>
      <c r="K268" s="33"/>
      <c r="L268" s="33"/>
      <c r="M268" s="33"/>
      <c r="N268" s="33"/>
      <c r="O268" s="33"/>
      <c r="P268" s="33"/>
      <c r="Q268" s="33"/>
      <c r="R268" s="33"/>
    </row>
    <row r="269">
      <c r="A269" s="33"/>
      <c r="B269" s="33"/>
      <c r="C269" s="33"/>
      <c r="D269" s="33"/>
      <c r="E269" s="33"/>
      <c r="F269" s="33"/>
      <c r="G269" s="33"/>
      <c r="H269" s="33"/>
      <c r="I269" s="33"/>
      <c r="J269" s="33"/>
      <c r="K269" s="33"/>
      <c r="L269" s="33"/>
      <c r="M269" s="33"/>
      <c r="N269" s="33"/>
      <c r="O269" s="33"/>
      <c r="P269" s="33"/>
      <c r="Q269" s="33"/>
      <c r="R269" s="33"/>
    </row>
    <row r="270">
      <c r="A270" s="33"/>
      <c r="B270" s="33"/>
      <c r="C270" s="33"/>
      <c r="D270" s="33"/>
      <c r="E270" s="33"/>
      <c r="F270" s="33"/>
      <c r="G270" s="33"/>
      <c r="H270" s="33"/>
      <c r="I270" s="33"/>
      <c r="J270" s="33"/>
      <c r="K270" s="33"/>
      <c r="L270" s="33"/>
      <c r="M270" s="33"/>
      <c r="N270" s="33"/>
      <c r="O270" s="33"/>
      <c r="P270" s="33"/>
      <c r="Q270" s="33"/>
      <c r="R270" s="33"/>
    </row>
    <row r="271">
      <c r="A271" s="33"/>
      <c r="B271" s="33"/>
      <c r="C271" s="33"/>
      <c r="D271" s="33"/>
      <c r="E271" s="33"/>
      <c r="F271" s="33"/>
      <c r="G271" s="33"/>
      <c r="H271" s="33"/>
      <c r="I271" s="33"/>
      <c r="J271" s="33"/>
      <c r="K271" s="33"/>
      <c r="L271" s="33"/>
      <c r="M271" s="33"/>
      <c r="N271" s="33"/>
      <c r="O271" s="33"/>
      <c r="P271" s="33"/>
      <c r="Q271" s="33"/>
      <c r="R271" s="33"/>
    </row>
    <row r="272">
      <c r="A272" s="33"/>
      <c r="B272" s="33"/>
      <c r="C272" s="33"/>
      <c r="D272" s="33"/>
      <c r="E272" s="33"/>
      <c r="F272" s="33"/>
      <c r="G272" s="33"/>
      <c r="H272" s="33"/>
      <c r="I272" s="33"/>
      <c r="J272" s="33"/>
      <c r="K272" s="33"/>
      <c r="L272" s="33"/>
      <c r="M272" s="33"/>
      <c r="N272" s="33"/>
      <c r="O272" s="33"/>
      <c r="P272" s="33"/>
      <c r="Q272" s="33"/>
      <c r="R272" s="33"/>
    </row>
    <row r="273">
      <c r="A273" s="33"/>
      <c r="B273" s="33"/>
      <c r="C273" s="33"/>
      <c r="D273" s="33"/>
      <c r="E273" s="33"/>
      <c r="F273" s="33"/>
      <c r="G273" s="33"/>
      <c r="H273" s="33"/>
      <c r="I273" s="33"/>
      <c r="J273" s="33"/>
      <c r="K273" s="33"/>
      <c r="L273" s="33"/>
      <c r="M273" s="33"/>
      <c r="N273" s="33"/>
      <c r="O273" s="33"/>
      <c r="P273" s="33"/>
      <c r="Q273" s="33"/>
      <c r="R273" s="33"/>
    </row>
    <row r="274">
      <c r="A274" s="33"/>
      <c r="B274" s="33"/>
      <c r="C274" s="33"/>
      <c r="D274" s="33"/>
      <c r="E274" s="33"/>
      <c r="F274" s="33"/>
      <c r="G274" s="33"/>
      <c r="H274" s="33"/>
      <c r="I274" s="33"/>
      <c r="J274" s="33"/>
      <c r="K274" s="33"/>
      <c r="L274" s="33"/>
      <c r="M274" s="33"/>
      <c r="N274" s="33"/>
      <c r="O274" s="33"/>
      <c r="P274" s="33"/>
      <c r="Q274" s="33"/>
      <c r="R274" s="33"/>
    </row>
    <row r="275">
      <c r="A275" s="33"/>
      <c r="B275" s="33"/>
      <c r="C275" s="33"/>
      <c r="D275" s="33"/>
      <c r="E275" s="33"/>
      <c r="F275" s="33"/>
      <c r="G275" s="33"/>
      <c r="H275" s="33"/>
      <c r="I275" s="33"/>
      <c r="J275" s="33"/>
      <c r="K275" s="33"/>
      <c r="L275" s="33"/>
      <c r="M275" s="33"/>
      <c r="N275" s="33"/>
      <c r="O275" s="33"/>
      <c r="P275" s="33"/>
      <c r="Q275" s="33"/>
      <c r="R275" s="33"/>
    </row>
    <row r="276">
      <c r="A276" s="33"/>
      <c r="B276" s="33"/>
      <c r="C276" s="33"/>
      <c r="D276" s="33"/>
      <c r="E276" s="33"/>
      <c r="F276" s="33"/>
      <c r="G276" s="33"/>
      <c r="H276" s="33"/>
      <c r="I276" s="33"/>
      <c r="J276" s="33"/>
      <c r="K276" s="33"/>
      <c r="L276" s="33"/>
      <c r="M276" s="33"/>
      <c r="N276" s="33"/>
      <c r="O276" s="33"/>
      <c r="P276" s="33"/>
      <c r="Q276" s="33"/>
      <c r="R276" s="33"/>
    </row>
    <row r="277">
      <c r="A277" s="33"/>
      <c r="B277" s="33"/>
      <c r="C277" s="33"/>
      <c r="D277" s="33"/>
      <c r="E277" s="33"/>
      <c r="F277" s="33"/>
      <c r="G277" s="33"/>
      <c r="H277" s="33"/>
      <c r="I277" s="33"/>
      <c r="J277" s="33"/>
      <c r="K277" s="33"/>
      <c r="L277" s="33"/>
      <c r="M277" s="33"/>
      <c r="N277" s="33"/>
      <c r="O277" s="33"/>
      <c r="P277" s="33"/>
      <c r="Q277" s="33"/>
      <c r="R277" s="33"/>
    </row>
    <row r="278">
      <c r="A278" s="33"/>
      <c r="B278" s="33"/>
      <c r="C278" s="33"/>
      <c r="D278" s="33"/>
      <c r="E278" s="33"/>
      <c r="F278" s="33"/>
      <c r="G278" s="33"/>
      <c r="H278" s="33"/>
      <c r="I278" s="33"/>
      <c r="J278" s="33"/>
      <c r="K278" s="33"/>
      <c r="L278" s="33"/>
      <c r="M278" s="33"/>
      <c r="N278" s="33"/>
      <c r="O278" s="33"/>
      <c r="P278" s="33"/>
      <c r="Q278" s="33"/>
      <c r="R278" s="33"/>
    </row>
    <row r="279">
      <c r="A279" s="33"/>
      <c r="B279" s="33"/>
      <c r="C279" s="33"/>
      <c r="D279" s="33"/>
      <c r="E279" s="33"/>
      <c r="F279" s="33"/>
      <c r="G279" s="33"/>
      <c r="H279" s="33"/>
      <c r="I279" s="33"/>
      <c r="J279" s="33"/>
      <c r="K279" s="33"/>
      <c r="L279" s="33"/>
      <c r="M279" s="33"/>
      <c r="N279" s="33"/>
      <c r="O279" s="33"/>
      <c r="P279" s="33"/>
      <c r="Q279" s="33"/>
      <c r="R279" s="33"/>
    </row>
    <row r="280">
      <c r="A280" s="33"/>
      <c r="B280" s="33"/>
      <c r="C280" s="33"/>
      <c r="D280" s="33"/>
      <c r="E280" s="33"/>
      <c r="F280" s="33"/>
      <c r="G280" s="33"/>
      <c r="H280" s="33"/>
      <c r="I280" s="33"/>
      <c r="J280" s="33"/>
      <c r="K280" s="33"/>
      <c r="L280" s="33"/>
      <c r="M280" s="33"/>
      <c r="N280" s="33"/>
      <c r="O280" s="33"/>
      <c r="P280" s="33"/>
      <c r="Q280" s="33"/>
      <c r="R280" s="33"/>
    </row>
    <row r="281">
      <c r="A281" s="33"/>
      <c r="B281" s="33"/>
      <c r="C281" s="33"/>
      <c r="D281" s="33"/>
      <c r="E281" s="33"/>
      <c r="F281" s="33"/>
      <c r="G281" s="33"/>
      <c r="H281" s="33"/>
      <c r="I281" s="33"/>
      <c r="J281" s="33"/>
      <c r="K281" s="33"/>
      <c r="L281" s="33"/>
      <c r="M281" s="33"/>
      <c r="N281" s="33"/>
      <c r="O281" s="33"/>
      <c r="P281" s="33"/>
      <c r="Q281" s="33"/>
      <c r="R281" s="33"/>
    </row>
    <row r="282">
      <c r="A282" s="33"/>
      <c r="B282" s="33"/>
      <c r="C282" s="33"/>
      <c r="D282" s="33"/>
      <c r="E282" s="33"/>
      <c r="F282" s="33"/>
      <c r="G282" s="33"/>
      <c r="H282" s="33"/>
      <c r="I282" s="33"/>
      <c r="J282" s="33"/>
      <c r="K282" s="33"/>
      <c r="L282" s="33"/>
      <c r="M282" s="33"/>
      <c r="N282" s="33"/>
      <c r="O282" s="33"/>
      <c r="P282" s="33"/>
      <c r="Q282" s="33"/>
      <c r="R282" s="33"/>
    </row>
    <row r="283">
      <c r="A283" s="33"/>
      <c r="B283" s="33"/>
      <c r="C283" s="33"/>
      <c r="D283" s="33"/>
      <c r="E283" s="33"/>
      <c r="F283" s="33"/>
      <c r="G283" s="33"/>
      <c r="H283" s="33"/>
      <c r="I283" s="33"/>
      <c r="J283" s="33"/>
      <c r="K283" s="33"/>
      <c r="L283" s="33"/>
      <c r="M283" s="33"/>
      <c r="N283" s="33"/>
      <c r="O283" s="33"/>
      <c r="P283" s="33"/>
      <c r="Q283" s="33"/>
      <c r="R283" s="33"/>
    </row>
    <row r="284">
      <c r="A284" s="33"/>
      <c r="B284" s="33"/>
      <c r="C284" s="33"/>
      <c r="D284" s="33"/>
      <c r="E284" s="33"/>
      <c r="F284" s="33"/>
      <c r="G284" s="33"/>
      <c r="H284" s="33"/>
      <c r="I284" s="33"/>
      <c r="J284" s="33"/>
      <c r="K284" s="33"/>
      <c r="L284" s="33"/>
      <c r="M284" s="33"/>
      <c r="N284" s="33"/>
      <c r="O284" s="33"/>
      <c r="P284" s="33"/>
      <c r="Q284" s="33"/>
      <c r="R284" s="33"/>
    </row>
    <row r="285">
      <c r="A285" s="33"/>
      <c r="B285" s="33"/>
      <c r="C285" s="33"/>
      <c r="D285" s="33"/>
      <c r="E285" s="33"/>
      <c r="F285" s="33"/>
      <c r="G285" s="33"/>
      <c r="H285" s="33"/>
      <c r="I285" s="33"/>
      <c r="J285" s="33"/>
      <c r="K285" s="33"/>
      <c r="L285" s="33"/>
      <c r="M285" s="33"/>
      <c r="N285" s="33"/>
      <c r="O285" s="33"/>
      <c r="P285" s="33"/>
      <c r="Q285" s="33"/>
      <c r="R285" s="33"/>
    </row>
    <row r="286">
      <c r="A286" s="33"/>
      <c r="B286" s="33"/>
      <c r="C286" s="33"/>
      <c r="D286" s="33"/>
      <c r="E286" s="33"/>
      <c r="F286" s="33"/>
      <c r="G286" s="33"/>
      <c r="H286" s="33"/>
      <c r="I286" s="33"/>
      <c r="J286" s="33"/>
      <c r="K286" s="33"/>
      <c r="L286" s="33"/>
      <c r="M286" s="33"/>
      <c r="N286" s="33"/>
      <c r="O286" s="33"/>
      <c r="P286" s="33"/>
      <c r="Q286" s="33"/>
      <c r="R286" s="33"/>
    </row>
    <row r="287">
      <c r="A287" s="33"/>
      <c r="B287" s="33"/>
      <c r="C287" s="33"/>
      <c r="D287" s="33"/>
      <c r="E287" s="33"/>
      <c r="F287" s="33"/>
      <c r="G287" s="33"/>
      <c r="H287" s="33"/>
      <c r="I287" s="33"/>
      <c r="J287" s="33"/>
      <c r="K287" s="33"/>
      <c r="L287" s="33"/>
      <c r="M287" s="33"/>
      <c r="N287" s="33"/>
      <c r="O287" s="33"/>
      <c r="P287" s="33"/>
      <c r="Q287" s="33"/>
      <c r="R287" s="33"/>
    </row>
    <row r="288">
      <c r="A288" s="33"/>
      <c r="B288" s="33"/>
      <c r="C288" s="33"/>
      <c r="D288" s="33"/>
      <c r="E288" s="33"/>
      <c r="F288" s="33"/>
      <c r="G288" s="33"/>
      <c r="H288" s="33"/>
      <c r="I288" s="33"/>
      <c r="J288" s="33"/>
      <c r="K288" s="33"/>
      <c r="L288" s="33"/>
      <c r="M288" s="33"/>
      <c r="N288" s="33"/>
      <c r="O288" s="33"/>
      <c r="P288" s="33"/>
      <c r="Q288" s="33"/>
      <c r="R288" s="33"/>
    </row>
    <row r="289">
      <c r="A289" s="33"/>
      <c r="B289" s="33"/>
      <c r="C289" s="33"/>
      <c r="D289" s="33"/>
      <c r="E289" s="33"/>
      <c r="F289" s="33"/>
      <c r="G289" s="33"/>
      <c r="H289" s="33"/>
      <c r="I289" s="33"/>
      <c r="J289" s="33"/>
      <c r="K289" s="33"/>
      <c r="L289" s="33"/>
      <c r="M289" s="33"/>
      <c r="N289" s="33"/>
      <c r="O289" s="33"/>
      <c r="P289" s="33"/>
      <c r="Q289" s="33"/>
      <c r="R289" s="33"/>
    </row>
    <row r="290">
      <c r="A290" s="33"/>
      <c r="B290" s="33"/>
      <c r="C290" s="33"/>
      <c r="D290" s="33"/>
      <c r="E290" s="33"/>
      <c r="F290" s="33"/>
      <c r="G290" s="33"/>
      <c r="H290" s="33"/>
      <c r="I290" s="33"/>
      <c r="J290" s="33"/>
      <c r="K290" s="33"/>
      <c r="L290" s="33"/>
      <c r="M290" s="33"/>
      <c r="N290" s="33"/>
      <c r="O290" s="33"/>
      <c r="P290" s="33"/>
      <c r="Q290" s="33"/>
      <c r="R290" s="33"/>
    </row>
    <row r="291">
      <c r="A291" s="33"/>
      <c r="B291" s="33"/>
      <c r="C291" s="33"/>
      <c r="D291" s="33"/>
      <c r="E291" s="33"/>
      <c r="F291" s="33"/>
      <c r="G291" s="33"/>
      <c r="H291" s="33"/>
      <c r="I291" s="33"/>
      <c r="J291" s="33"/>
      <c r="K291" s="33"/>
      <c r="L291" s="33"/>
      <c r="M291" s="33"/>
      <c r="N291" s="33"/>
      <c r="O291" s="33"/>
      <c r="P291" s="33"/>
      <c r="Q291" s="33"/>
      <c r="R291" s="33"/>
    </row>
    <row r="292">
      <c r="A292" s="33"/>
      <c r="B292" s="33"/>
      <c r="C292" s="33"/>
      <c r="D292" s="33"/>
      <c r="E292" s="33"/>
      <c r="F292" s="33"/>
      <c r="G292" s="33"/>
      <c r="H292" s="33"/>
      <c r="I292" s="33"/>
      <c r="J292" s="33"/>
      <c r="K292" s="33"/>
      <c r="L292" s="33"/>
      <c r="M292" s="33"/>
      <c r="N292" s="33"/>
      <c r="O292" s="33"/>
      <c r="P292" s="33"/>
      <c r="Q292" s="33"/>
      <c r="R292" s="33"/>
    </row>
    <row r="293">
      <c r="A293" s="33"/>
      <c r="B293" s="33"/>
      <c r="C293" s="33"/>
      <c r="D293" s="33"/>
      <c r="E293" s="33"/>
      <c r="F293" s="33"/>
      <c r="G293" s="33"/>
      <c r="H293" s="33"/>
      <c r="I293" s="33"/>
      <c r="J293" s="33"/>
      <c r="K293" s="33"/>
      <c r="L293" s="33"/>
      <c r="M293" s="33"/>
      <c r="N293" s="33"/>
      <c r="O293" s="33"/>
      <c r="P293" s="33"/>
      <c r="Q293" s="33"/>
      <c r="R293" s="33"/>
    </row>
    <row r="294">
      <c r="A294" s="33"/>
      <c r="B294" s="33"/>
      <c r="C294" s="33"/>
      <c r="D294" s="33"/>
      <c r="E294" s="33"/>
      <c r="F294" s="33"/>
      <c r="G294" s="33"/>
      <c r="H294" s="33"/>
      <c r="I294" s="33"/>
      <c r="J294" s="33"/>
      <c r="K294" s="33"/>
      <c r="L294" s="33"/>
      <c r="M294" s="33"/>
      <c r="N294" s="33"/>
      <c r="O294" s="33"/>
      <c r="P294" s="33"/>
      <c r="Q294" s="33"/>
      <c r="R294" s="33"/>
    </row>
    <row r="295">
      <c r="A295" s="33"/>
      <c r="B295" s="33"/>
      <c r="C295" s="33"/>
      <c r="D295" s="33"/>
      <c r="E295" s="33"/>
      <c r="F295" s="33"/>
      <c r="G295" s="33"/>
      <c r="H295" s="33"/>
      <c r="I295" s="33"/>
      <c r="J295" s="33"/>
      <c r="K295" s="33"/>
      <c r="L295" s="33"/>
      <c r="M295" s="33"/>
      <c r="N295" s="33"/>
      <c r="O295" s="33"/>
      <c r="P295" s="33"/>
      <c r="Q295" s="33"/>
      <c r="R295" s="33"/>
    </row>
    <row r="296">
      <c r="A296" s="33"/>
      <c r="B296" s="33"/>
      <c r="C296" s="33"/>
      <c r="D296" s="33"/>
      <c r="E296" s="33"/>
      <c r="F296" s="33"/>
      <c r="G296" s="33"/>
      <c r="H296" s="33"/>
      <c r="I296" s="33"/>
      <c r="J296" s="33"/>
      <c r="K296" s="33"/>
      <c r="L296" s="33"/>
      <c r="M296" s="33"/>
      <c r="N296" s="33"/>
      <c r="O296" s="33"/>
      <c r="P296" s="33"/>
      <c r="Q296" s="33"/>
      <c r="R296" s="33"/>
    </row>
    <row r="297">
      <c r="A297" s="33"/>
      <c r="B297" s="33"/>
      <c r="C297" s="33"/>
      <c r="D297" s="33"/>
      <c r="E297" s="33"/>
      <c r="F297" s="33"/>
      <c r="G297" s="33"/>
      <c r="H297" s="33"/>
      <c r="I297" s="33"/>
      <c r="J297" s="33"/>
      <c r="K297" s="33"/>
      <c r="L297" s="33"/>
      <c r="M297" s="33"/>
      <c r="N297" s="33"/>
      <c r="O297" s="33"/>
      <c r="P297" s="33"/>
      <c r="Q297" s="33"/>
      <c r="R297" s="33"/>
    </row>
    <row r="298">
      <c r="A298" s="33"/>
      <c r="B298" s="33"/>
      <c r="C298" s="33"/>
      <c r="D298" s="33"/>
      <c r="E298" s="33"/>
      <c r="F298" s="33"/>
      <c r="G298" s="33"/>
      <c r="H298" s="33"/>
      <c r="I298" s="33"/>
      <c r="J298" s="33"/>
      <c r="K298" s="33"/>
      <c r="L298" s="33"/>
      <c r="M298" s="33"/>
      <c r="N298" s="33"/>
      <c r="O298" s="33"/>
      <c r="P298" s="33"/>
      <c r="Q298" s="33"/>
      <c r="R298" s="33"/>
    </row>
    <row r="299">
      <c r="A299" s="33"/>
      <c r="B299" s="33"/>
      <c r="C299" s="33"/>
      <c r="D299" s="33"/>
      <c r="E299" s="33"/>
      <c r="F299" s="33"/>
      <c r="G299" s="33"/>
      <c r="H299" s="33"/>
      <c r="I299" s="33"/>
      <c r="J299" s="33"/>
      <c r="K299" s="33"/>
      <c r="L299" s="33"/>
      <c r="M299" s="33"/>
      <c r="N299" s="33"/>
      <c r="O299" s="33"/>
      <c r="P299" s="33"/>
      <c r="Q299" s="33"/>
      <c r="R299" s="33"/>
    </row>
    <row r="300">
      <c r="A300" s="33"/>
      <c r="B300" s="33"/>
      <c r="C300" s="33"/>
      <c r="D300" s="33"/>
      <c r="E300" s="33"/>
      <c r="F300" s="33"/>
      <c r="G300" s="33"/>
      <c r="H300" s="33"/>
      <c r="I300" s="33"/>
      <c r="J300" s="33"/>
      <c r="K300" s="33"/>
      <c r="L300" s="33"/>
      <c r="M300" s="33"/>
      <c r="N300" s="33"/>
      <c r="O300" s="33"/>
      <c r="P300" s="33"/>
      <c r="Q300" s="33"/>
      <c r="R300" s="33"/>
    </row>
    <row r="301">
      <c r="A301" s="33"/>
      <c r="B301" s="33"/>
      <c r="C301" s="33"/>
      <c r="D301" s="33"/>
      <c r="E301" s="33"/>
      <c r="F301" s="33"/>
      <c r="G301" s="33"/>
      <c r="H301" s="33"/>
      <c r="I301" s="33"/>
      <c r="J301" s="33"/>
      <c r="K301" s="33"/>
      <c r="L301" s="33"/>
      <c r="M301" s="33"/>
      <c r="N301" s="33"/>
      <c r="O301" s="33"/>
      <c r="P301" s="33"/>
      <c r="Q301" s="33"/>
      <c r="R301" s="33"/>
    </row>
    <row r="302">
      <c r="A302" s="33"/>
      <c r="B302" s="33"/>
      <c r="C302" s="33"/>
      <c r="D302" s="33"/>
      <c r="E302" s="33"/>
      <c r="F302" s="33"/>
      <c r="G302" s="33"/>
      <c r="H302" s="33"/>
      <c r="I302" s="33"/>
      <c r="J302" s="33"/>
      <c r="K302" s="33"/>
      <c r="L302" s="33"/>
      <c r="M302" s="33"/>
      <c r="N302" s="33"/>
      <c r="O302" s="33"/>
      <c r="P302" s="33"/>
      <c r="Q302" s="33"/>
      <c r="R302" s="33"/>
    </row>
    <row r="303">
      <c r="A303" s="33"/>
      <c r="B303" s="33"/>
      <c r="C303" s="33"/>
      <c r="D303" s="33"/>
      <c r="E303" s="33"/>
      <c r="F303" s="33"/>
      <c r="G303" s="33"/>
      <c r="H303" s="33"/>
      <c r="I303" s="33"/>
      <c r="J303" s="33"/>
      <c r="K303" s="33"/>
      <c r="L303" s="33"/>
      <c r="M303" s="33"/>
      <c r="N303" s="33"/>
      <c r="O303" s="33"/>
      <c r="P303" s="33"/>
      <c r="Q303" s="33"/>
      <c r="R303" s="33"/>
    </row>
    <row r="304">
      <c r="A304" s="33"/>
      <c r="B304" s="33"/>
      <c r="C304" s="33"/>
      <c r="D304" s="33"/>
      <c r="E304" s="33"/>
      <c r="F304" s="33"/>
      <c r="G304" s="33"/>
      <c r="H304" s="33"/>
      <c r="I304" s="33"/>
      <c r="J304" s="33"/>
      <c r="K304" s="33"/>
      <c r="L304" s="33"/>
      <c r="M304" s="33"/>
      <c r="N304" s="33"/>
      <c r="O304" s="33"/>
      <c r="P304" s="33"/>
      <c r="Q304" s="33"/>
      <c r="R304" s="33"/>
    </row>
    <row r="305">
      <c r="A305" s="33"/>
      <c r="B305" s="33"/>
      <c r="C305" s="33"/>
      <c r="D305" s="33"/>
      <c r="E305" s="33"/>
      <c r="F305" s="33"/>
      <c r="G305" s="33"/>
      <c r="H305" s="33"/>
      <c r="I305" s="33"/>
      <c r="J305" s="33"/>
      <c r="K305" s="33"/>
      <c r="L305" s="33"/>
      <c r="M305" s="33"/>
      <c r="N305" s="33"/>
      <c r="O305" s="33"/>
      <c r="P305" s="33"/>
      <c r="Q305" s="33"/>
      <c r="R305" s="33"/>
    </row>
    <row r="306">
      <c r="A306" s="33"/>
      <c r="B306" s="33"/>
      <c r="C306" s="33"/>
      <c r="D306" s="33"/>
      <c r="E306" s="33"/>
      <c r="F306" s="33"/>
      <c r="G306" s="33"/>
      <c r="H306" s="33"/>
      <c r="I306" s="33"/>
      <c r="J306" s="33"/>
      <c r="K306" s="33"/>
      <c r="L306" s="33"/>
      <c r="M306" s="33"/>
      <c r="N306" s="33"/>
      <c r="O306" s="33"/>
      <c r="P306" s="33"/>
      <c r="Q306" s="33"/>
      <c r="R306" s="33"/>
    </row>
    <row r="307">
      <c r="A307" s="33"/>
      <c r="B307" s="33"/>
      <c r="C307" s="33"/>
      <c r="D307" s="33"/>
      <c r="E307" s="33"/>
      <c r="F307" s="33"/>
      <c r="G307" s="33"/>
      <c r="H307" s="33"/>
      <c r="I307" s="33"/>
      <c r="J307" s="33"/>
      <c r="K307" s="33"/>
      <c r="L307" s="33"/>
      <c r="M307" s="33"/>
      <c r="N307" s="33"/>
      <c r="O307" s="33"/>
      <c r="P307" s="33"/>
      <c r="Q307" s="33"/>
      <c r="R307" s="33"/>
    </row>
    <row r="308">
      <c r="A308" s="33"/>
      <c r="B308" s="33"/>
      <c r="C308" s="33"/>
      <c r="D308" s="33"/>
      <c r="E308" s="33"/>
      <c r="F308" s="33"/>
      <c r="G308" s="33"/>
      <c r="H308" s="33"/>
      <c r="I308" s="33"/>
      <c r="J308" s="33"/>
      <c r="K308" s="33"/>
      <c r="L308" s="33"/>
      <c r="M308" s="33"/>
      <c r="N308" s="33"/>
      <c r="O308" s="33"/>
      <c r="P308" s="33"/>
      <c r="Q308" s="33"/>
      <c r="R308" s="33"/>
    </row>
    <row r="309">
      <c r="A309" s="33"/>
      <c r="B309" s="33"/>
      <c r="C309" s="33"/>
      <c r="D309" s="33"/>
      <c r="E309" s="33"/>
      <c r="F309" s="33"/>
      <c r="G309" s="33"/>
      <c r="H309" s="33"/>
      <c r="I309" s="33"/>
      <c r="J309" s="33"/>
      <c r="K309" s="33"/>
      <c r="L309" s="33"/>
      <c r="M309" s="33"/>
      <c r="N309" s="33"/>
      <c r="O309" s="33"/>
      <c r="P309" s="33"/>
      <c r="Q309" s="33"/>
      <c r="R309" s="33"/>
    </row>
    <row r="310">
      <c r="A310" s="33"/>
      <c r="B310" s="33"/>
      <c r="C310" s="33"/>
      <c r="D310" s="33"/>
      <c r="E310" s="33"/>
      <c r="F310" s="33"/>
      <c r="G310" s="33"/>
      <c r="H310" s="33"/>
      <c r="I310" s="33"/>
      <c r="J310" s="33"/>
      <c r="K310" s="33"/>
      <c r="L310" s="33"/>
      <c r="M310" s="33"/>
      <c r="N310" s="33"/>
      <c r="O310" s="33"/>
      <c r="P310" s="33"/>
      <c r="Q310" s="33"/>
      <c r="R310" s="33"/>
    </row>
    <row r="311">
      <c r="A311" s="33"/>
      <c r="B311" s="33"/>
      <c r="C311" s="33"/>
      <c r="D311" s="33"/>
      <c r="E311" s="33"/>
      <c r="F311" s="33"/>
      <c r="G311" s="33"/>
      <c r="H311" s="33"/>
      <c r="I311" s="33"/>
      <c r="J311" s="33"/>
      <c r="K311" s="33"/>
      <c r="L311" s="33"/>
      <c r="M311" s="33"/>
      <c r="N311" s="33"/>
      <c r="O311" s="33"/>
      <c r="P311" s="33"/>
      <c r="Q311" s="33"/>
      <c r="R311" s="33"/>
    </row>
    <row r="312">
      <c r="A312" s="33"/>
      <c r="B312" s="33"/>
      <c r="C312" s="33"/>
      <c r="D312" s="33"/>
      <c r="E312" s="33"/>
      <c r="F312" s="33"/>
      <c r="G312" s="33"/>
      <c r="H312" s="33"/>
      <c r="I312" s="33"/>
      <c r="J312" s="33"/>
      <c r="K312" s="33"/>
      <c r="L312" s="33"/>
      <c r="M312" s="33"/>
      <c r="N312" s="33"/>
      <c r="O312" s="33"/>
      <c r="P312" s="33"/>
      <c r="Q312" s="33"/>
      <c r="R312" s="33"/>
    </row>
    <row r="313">
      <c r="A313" s="33"/>
      <c r="B313" s="33"/>
      <c r="C313" s="33"/>
      <c r="D313" s="33"/>
      <c r="E313" s="33"/>
      <c r="F313" s="33"/>
      <c r="G313" s="33"/>
      <c r="H313" s="33"/>
      <c r="I313" s="33"/>
      <c r="J313" s="33"/>
      <c r="K313" s="33"/>
      <c r="L313" s="33"/>
      <c r="M313" s="33"/>
      <c r="N313" s="33"/>
      <c r="O313" s="33"/>
      <c r="P313" s="33"/>
      <c r="Q313" s="33"/>
      <c r="R313" s="33"/>
    </row>
    <row r="314">
      <c r="A314" s="33"/>
      <c r="B314" s="33"/>
      <c r="C314" s="33"/>
      <c r="D314" s="33"/>
      <c r="E314" s="33"/>
      <c r="F314" s="33"/>
      <c r="G314" s="33"/>
      <c r="H314" s="33"/>
      <c r="I314" s="33"/>
      <c r="J314" s="33"/>
      <c r="K314" s="33"/>
      <c r="L314" s="33"/>
      <c r="M314" s="33"/>
      <c r="N314" s="33"/>
      <c r="O314" s="33"/>
      <c r="P314" s="33"/>
      <c r="Q314" s="33"/>
      <c r="R314" s="33"/>
    </row>
    <row r="315">
      <c r="A315" s="33"/>
      <c r="B315" s="33"/>
      <c r="C315" s="33"/>
      <c r="D315" s="33"/>
      <c r="E315" s="33"/>
      <c r="F315" s="33"/>
      <c r="G315" s="33"/>
      <c r="H315" s="33"/>
      <c r="I315" s="33"/>
      <c r="J315" s="33"/>
      <c r="K315" s="33"/>
      <c r="L315" s="33"/>
      <c r="M315" s="33"/>
      <c r="N315" s="33"/>
      <c r="O315" s="33"/>
      <c r="P315" s="33"/>
      <c r="Q315" s="33"/>
      <c r="R315" s="33"/>
    </row>
    <row r="316">
      <c r="A316" s="33"/>
      <c r="B316" s="33"/>
      <c r="C316" s="33"/>
      <c r="D316" s="33"/>
      <c r="E316" s="33"/>
      <c r="F316" s="33"/>
      <c r="G316" s="33"/>
      <c r="H316" s="33"/>
      <c r="I316" s="33"/>
      <c r="J316" s="33"/>
      <c r="K316" s="33"/>
      <c r="L316" s="33"/>
      <c r="M316" s="33"/>
      <c r="N316" s="33"/>
      <c r="O316" s="33"/>
      <c r="P316" s="33"/>
      <c r="Q316" s="33"/>
      <c r="R316" s="33"/>
    </row>
    <row r="317">
      <c r="A317" s="33"/>
      <c r="B317" s="33"/>
      <c r="C317" s="33"/>
      <c r="D317" s="33"/>
      <c r="E317" s="33"/>
      <c r="F317" s="33"/>
      <c r="G317" s="33"/>
      <c r="H317" s="33"/>
      <c r="I317" s="33"/>
      <c r="J317" s="33"/>
      <c r="K317" s="33"/>
      <c r="L317" s="33"/>
      <c r="M317" s="33"/>
      <c r="N317" s="33"/>
      <c r="O317" s="33"/>
      <c r="P317" s="33"/>
      <c r="Q317" s="33"/>
      <c r="R317" s="33"/>
    </row>
    <row r="318">
      <c r="A318" s="33"/>
      <c r="B318" s="33"/>
      <c r="C318" s="33"/>
      <c r="D318" s="33"/>
      <c r="E318" s="33"/>
      <c r="F318" s="33"/>
      <c r="G318" s="33"/>
      <c r="H318" s="33"/>
      <c r="I318" s="33"/>
      <c r="J318" s="33"/>
      <c r="K318" s="33"/>
      <c r="L318" s="33"/>
      <c r="M318" s="33"/>
      <c r="N318" s="33"/>
      <c r="O318" s="33"/>
      <c r="P318" s="33"/>
      <c r="Q318" s="33"/>
      <c r="R318" s="33"/>
    </row>
    <row r="319">
      <c r="A319" s="33"/>
      <c r="B319" s="33"/>
      <c r="C319" s="33"/>
      <c r="D319" s="33"/>
      <c r="E319" s="33"/>
      <c r="F319" s="33"/>
      <c r="G319" s="33"/>
      <c r="H319" s="33"/>
      <c r="I319" s="33"/>
      <c r="J319" s="33"/>
      <c r="K319" s="33"/>
      <c r="L319" s="33"/>
      <c r="M319" s="33"/>
      <c r="N319" s="33"/>
      <c r="O319" s="33"/>
      <c r="P319" s="33"/>
      <c r="Q319" s="33"/>
      <c r="R319" s="33"/>
    </row>
    <row r="320">
      <c r="A320" s="33"/>
      <c r="B320" s="33"/>
      <c r="C320" s="33"/>
      <c r="D320" s="33"/>
      <c r="E320" s="33"/>
      <c r="F320" s="33"/>
      <c r="G320" s="33"/>
      <c r="H320" s="33"/>
      <c r="I320" s="33"/>
      <c r="J320" s="33"/>
      <c r="K320" s="33"/>
      <c r="L320" s="33"/>
      <c r="M320" s="33"/>
      <c r="N320" s="33"/>
      <c r="O320" s="33"/>
      <c r="P320" s="33"/>
      <c r="Q320" s="33"/>
      <c r="R320" s="33"/>
    </row>
    <row r="321">
      <c r="A321" s="33"/>
      <c r="B321" s="33"/>
      <c r="C321" s="33"/>
      <c r="D321" s="33"/>
      <c r="E321" s="33"/>
      <c r="F321" s="33"/>
      <c r="G321" s="33"/>
      <c r="H321" s="33"/>
      <c r="I321" s="33"/>
      <c r="J321" s="33"/>
      <c r="K321" s="33"/>
      <c r="L321" s="33"/>
      <c r="M321" s="33"/>
      <c r="N321" s="33"/>
      <c r="O321" s="33"/>
      <c r="P321" s="33"/>
      <c r="Q321" s="33"/>
      <c r="R321" s="33"/>
    </row>
    <row r="322">
      <c r="A322" s="33"/>
      <c r="B322" s="33"/>
      <c r="C322" s="33"/>
      <c r="D322" s="33"/>
      <c r="E322" s="33"/>
      <c r="F322" s="33"/>
      <c r="G322" s="33"/>
      <c r="H322" s="33"/>
      <c r="I322" s="33"/>
      <c r="J322" s="33"/>
      <c r="K322" s="33"/>
      <c r="L322" s="33"/>
      <c r="M322" s="33"/>
      <c r="N322" s="33"/>
      <c r="O322" s="33"/>
      <c r="P322" s="33"/>
      <c r="Q322" s="33"/>
      <c r="R322" s="33"/>
    </row>
    <row r="323">
      <c r="A323" s="33"/>
      <c r="B323" s="33"/>
      <c r="C323" s="33"/>
      <c r="D323" s="33"/>
      <c r="E323" s="33"/>
      <c r="F323" s="33"/>
      <c r="G323" s="33"/>
      <c r="H323" s="33"/>
      <c r="I323" s="33"/>
      <c r="J323" s="33"/>
      <c r="K323" s="33"/>
      <c r="L323" s="33"/>
      <c r="M323" s="33"/>
      <c r="N323" s="33"/>
      <c r="O323" s="33"/>
      <c r="P323" s="33"/>
      <c r="Q323" s="33"/>
      <c r="R323" s="33"/>
    </row>
    <row r="324">
      <c r="A324" s="33"/>
      <c r="B324" s="33"/>
      <c r="C324" s="33"/>
      <c r="D324" s="33"/>
      <c r="E324" s="33"/>
      <c r="F324" s="33"/>
      <c r="G324" s="33"/>
      <c r="H324" s="33"/>
      <c r="I324" s="33"/>
      <c r="J324" s="33"/>
      <c r="K324" s="33"/>
      <c r="L324" s="33"/>
      <c r="M324" s="33"/>
      <c r="N324" s="33"/>
      <c r="O324" s="33"/>
      <c r="P324" s="33"/>
      <c r="Q324" s="33"/>
      <c r="R324" s="33"/>
    </row>
    <row r="325">
      <c r="A325" s="33"/>
      <c r="B325" s="33"/>
      <c r="C325" s="33"/>
      <c r="D325" s="33"/>
      <c r="E325" s="33"/>
      <c r="F325" s="33"/>
      <c r="G325" s="33"/>
      <c r="H325" s="33"/>
      <c r="I325" s="33"/>
      <c r="J325" s="33"/>
      <c r="K325" s="33"/>
      <c r="L325" s="33"/>
      <c r="M325" s="33"/>
      <c r="N325" s="33"/>
      <c r="O325" s="33"/>
      <c r="P325" s="33"/>
      <c r="Q325" s="33"/>
      <c r="R325" s="33"/>
    </row>
    <row r="326">
      <c r="A326" s="33"/>
      <c r="B326" s="33"/>
      <c r="C326" s="33"/>
      <c r="D326" s="33"/>
      <c r="E326" s="33"/>
      <c r="F326" s="33"/>
      <c r="G326" s="33"/>
      <c r="H326" s="33"/>
      <c r="I326" s="33"/>
      <c r="J326" s="33"/>
      <c r="K326" s="33"/>
      <c r="L326" s="33"/>
      <c r="M326" s="33"/>
      <c r="N326" s="33"/>
      <c r="O326" s="33"/>
      <c r="P326" s="33"/>
      <c r="Q326" s="33"/>
      <c r="R326" s="33"/>
    </row>
    <row r="327">
      <c r="A327" s="33"/>
      <c r="B327" s="33"/>
      <c r="C327" s="33"/>
      <c r="D327" s="33"/>
      <c r="E327" s="33"/>
      <c r="F327" s="33"/>
      <c r="G327" s="33"/>
      <c r="H327" s="33"/>
      <c r="I327" s="33"/>
      <c r="J327" s="33"/>
      <c r="K327" s="33"/>
      <c r="L327" s="33"/>
      <c r="M327" s="33"/>
      <c r="N327" s="33"/>
      <c r="O327" s="33"/>
      <c r="P327" s="33"/>
      <c r="Q327" s="33"/>
      <c r="R327" s="33"/>
    </row>
    <row r="328">
      <c r="A328" s="33"/>
      <c r="B328" s="33"/>
      <c r="C328" s="33"/>
      <c r="D328" s="33"/>
      <c r="E328" s="33"/>
      <c r="F328" s="33"/>
      <c r="G328" s="33"/>
      <c r="H328" s="33"/>
      <c r="I328" s="33"/>
      <c r="J328" s="33"/>
      <c r="K328" s="33"/>
      <c r="L328" s="33"/>
      <c r="M328" s="33"/>
      <c r="N328" s="33"/>
      <c r="O328" s="33"/>
      <c r="P328" s="33"/>
      <c r="Q328" s="33"/>
      <c r="R328" s="33"/>
    </row>
    <row r="329">
      <c r="A329" s="33"/>
      <c r="B329" s="33"/>
      <c r="C329" s="33"/>
      <c r="D329" s="33"/>
      <c r="E329" s="33"/>
      <c r="F329" s="33"/>
      <c r="G329" s="33"/>
      <c r="H329" s="33"/>
      <c r="I329" s="33"/>
      <c r="J329" s="33"/>
      <c r="K329" s="33"/>
      <c r="L329" s="33"/>
      <c r="M329" s="33"/>
      <c r="N329" s="33"/>
      <c r="O329" s="33"/>
      <c r="P329" s="33"/>
      <c r="Q329" s="33"/>
      <c r="R329" s="33"/>
    </row>
    <row r="330">
      <c r="A330" s="33"/>
      <c r="B330" s="33"/>
      <c r="C330" s="33"/>
      <c r="D330" s="33"/>
      <c r="E330" s="33"/>
      <c r="F330" s="33"/>
      <c r="G330" s="33"/>
      <c r="H330" s="33"/>
      <c r="I330" s="33"/>
      <c r="J330" s="33"/>
      <c r="K330" s="33"/>
      <c r="L330" s="33"/>
      <c r="M330" s="33"/>
      <c r="N330" s="33"/>
      <c r="O330" s="33"/>
      <c r="P330" s="33"/>
      <c r="Q330" s="33"/>
      <c r="R330" s="33"/>
    </row>
    <row r="331">
      <c r="A331" s="33"/>
      <c r="B331" s="33"/>
      <c r="C331" s="33"/>
      <c r="D331" s="33"/>
      <c r="E331" s="33"/>
      <c r="F331" s="33"/>
      <c r="G331" s="33"/>
      <c r="H331" s="33"/>
      <c r="I331" s="33"/>
      <c r="J331" s="33"/>
      <c r="K331" s="33"/>
      <c r="L331" s="33"/>
      <c r="M331" s="33"/>
      <c r="N331" s="33"/>
      <c r="O331" s="33"/>
      <c r="P331" s="33"/>
      <c r="Q331" s="33"/>
      <c r="R331" s="33"/>
    </row>
    <row r="332">
      <c r="A332" s="33"/>
      <c r="B332" s="33"/>
      <c r="C332" s="33"/>
      <c r="D332" s="33"/>
      <c r="E332" s="33"/>
      <c r="F332" s="33"/>
      <c r="G332" s="33"/>
      <c r="H332" s="33"/>
      <c r="I332" s="33"/>
      <c r="J332" s="33"/>
      <c r="K332" s="33"/>
      <c r="L332" s="33"/>
      <c r="M332" s="33"/>
      <c r="N332" s="33"/>
      <c r="O332" s="33"/>
      <c r="P332" s="33"/>
      <c r="Q332" s="33"/>
      <c r="R332" s="33"/>
    </row>
    <row r="333">
      <c r="A333" s="33"/>
      <c r="B333" s="33"/>
      <c r="C333" s="33"/>
      <c r="D333" s="33"/>
      <c r="E333" s="33"/>
      <c r="F333" s="33"/>
      <c r="G333" s="33"/>
      <c r="H333" s="33"/>
      <c r="I333" s="33"/>
      <c r="J333" s="33"/>
      <c r="K333" s="33"/>
      <c r="L333" s="33"/>
      <c r="M333" s="33"/>
      <c r="N333" s="33"/>
      <c r="O333" s="33"/>
      <c r="P333" s="33"/>
      <c r="Q333" s="33"/>
      <c r="R333" s="33"/>
    </row>
    <row r="334">
      <c r="A334" s="33"/>
      <c r="B334" s="33"/>
      <c r="C334" s="33"/>
      <c r="D334" s="33"/>
      <c r="E334" s="33"/>
      <c r="F334" s="33"/>
      <c r="G334" s="33"/>
      <c r="H334" s="33"/>
      <c r="I334" s="33"/>
      <c r="J334" s="33"/>
      <c r="K334" s="33"/>
      <c r="L334" s="33"/>
      <c r="M334" s="33"/>
      <c r="N334" s="33"/>
      <c r="O334" s="33"/>
      <c r="P334" s="33"/>
      <c r="Q334" s="33"/>
      <c r="R334" s="33"/>
    </row>
    <row r="335">
      <c r="A335" s="33"/>
      <c r="B335" s="33"/>
      <c r="C335" s="33"/>
      <c r="D335" s="33"/>
      <c r="E335" s="33"/>
      <c r="F335" s="33"/>
      <c r="G335" s="33"/>
      <c r="H335" s="33"/>
      <c r="I335" s="33"/>
      <c r="J335" s="33"/>
      <c r="K335" s="33"/>
      <c r="L335" s="33"/>
      <c r="M335" s="33"/>
      <c r="N335" s="33"/>
      <c r="O335" s="33"/>
      <c r="P335" s="33"/>
      <c r="Q335" s="33"/>
      <c r="R335" s="33"/>
    </row>
    <row r="336">
      <c r="A336" s="33"/>
      <c r="B336" s="33"/>
      <c r="C336" s="33"/>
      <c r="D336" s="33"/>
      <c r="E336" s="33"/>
      <c r="F336" s="33"/>
      <c r="G336" s="33"/>
      <c r="H336" s="33"/>
      <c r="I336" s="33"/>
      <c r="J336" s="33"/>
      <c r="K336" s="33"/>
      <c r="L336" s="33"/>
      <c r="M336" s="33"/>
      <c r="N336" s="33"/>
      <c r="O336" s="33"/>
      <c r="P336" s="33"/>
      <c r="Q336" s="33"/>
      <c r="R336" s="33"/>
    </row>
    <row r="337">
      <c r="A337" s="33"/>
      <c r="B337" s="33"/>
      <c r="C337" s="33"/>
      <c r="D337" s="33"/>
      <c r="E337" s="33"/>
      <c r="F337" s="33"/>
      <c r="G337" s="33"/>
      <c r="H337" s="33"/>
      <c r="I337" s="33"/>
      <c r="J337" s="33"/>
      <c r="K337" s="33"/>
      <c r="L337" s="33"/>
      <c r="M337" s="33"/>
      <c r="N337" s="33"/>
      <c r="O337" s="33"/>
      <c r="P337" s="33"/>
      <c r="Q337" s="33"/>
      <c r="R337" s="33"/>
    </row>
    <row r="338">
      <c r="A338" s="33"/>
      <c r="B338" s="33"/>
      <c r="C338" s="33"/>
      <c r="D338" s="33"/>
      <c r="E338" s="33"/>
      <c r="F338" s="33"/>
      <c r="G338" s="33"/>
      <c r="H338" s="33"/>
      <c r="I338" s="33"/>
      <c r="J338" s="33"/>
      <c r="K338" s="33"/>
      <c r="L338" s="33"/>
      <c r="M338" s="33"/>
      <c r="N338" s="33"/>
      <c r="O338" s="33"/>
      <c r="P338" s="33"/>
      <c r="Q338" s="33"/>
      <c r="R338" s="33"/>
    </row>
    <row r="339">
      <c r="A339" s="33"/>
      <c r="B339" s="33"/>
      <c r="C339" s="33"/>
      <c r="D339" s="33"/>
      <c r="E339" s="33"/>
      <c r="F339" s="33"/>
      <c r="G339" s="33"/>
      <c r="H339" s="33"/>
      <c r="I339" s="33"/>
      <c r="J339" s="33"/>
      <c r="K339" s="33"/>
      <c r="L339" s="33"/>
      <c r="M339" s="33"/>
      <c r="N339" s="33"/>
      <c r="O339" s="33"/>
      <c r="P339" s="33"/>
      <c r="Q339" s="33"/>
      <c r="R339" s="33"/>
    </row>
    <row r="340">
      <c r="A340" s="33"/>
      <c r="B340" s="33"/>
      <c r="C340" s="33"/>
      <c r="D340" s="33"/>
      <c r="E340" s="33"/>
      <c r="F340" s="33"/>
      <c r="G340" s="33"/>
      <c r="H340" s="33"/>
      <c r="I340" s="33"/>
      <c r="J340" s="33"/>
      <c r="K340" s="33"/>
      <c r="L340" s="33"/>
      <c r="M340" s="33"/>
      <c r="N340" s="33"/>
      <c r="O340" s="33"/>
      <c r="P340" s="33"/>
      <c r="Q340" s="33"/>
      <c r="R340" s="33"/>
    </row>
    <row r="341">
      <c r="A341" s="33"/>
      <c r="B341" s="33"/>
      <c r="C341" s="33"/>
      <c r="D341" s="33"/>
      <c r="E341" s="33"/>
      <c r="F341" s="33"/>
      <c r="G341" s="33"/>
      <c r="H341" s="33"/>
      <c r="I341" s="33"/>
      <c r="J341" s="33"/>
      <c r="K341" s="33"/>
      <c r="L341" s="33"/>
      <c r="M341" s="33"/>
      <c r="N341" s="33"/>
      <c r="O341" s="33"/>
      <c r="P341" s="33"/>
      <c r="Q341" s="33"/>
      <c r="R341" s="33"/>
    </row>
    <row r="342">
      <c r="A342" s="33"/>
      <c r="B342" s="33"/>
      <c r="C342" s="33"/>
      <c r="D342" s="33"/>
      <c r="E342" s="33"/>
      <c r="F342" s="33"/>
      <c r="G342" s="33"/>
      <c r="H342" s="33"/>
      <c r="I342" s="33"/>
      <c r="J342" s="33"/>
      <c r="K342" s="33"/>
      <c r="L342" s="33"/>
      <c r="M342" s="33"/>
      <c r="N342" s="33"/>
      <c r="O342" s="33"/>
      <c r="P342" s="33"/>
      <c r="Q342" s="33"/>
      <c r="R342" s="33"/>
    </row>
    <row r="343">
      <c r="A343" s="33"/>
      <c r="B343" s="33"/>
      <c r="C343" s="33"/>
      <c r="D343" s="33"/>
      <c r="E343" s="33"/>
      <c r="F343" s="33"/>
      <c r="G343" s="33"/>
      <c r="H343" s="33"/>
      <c r="I343" s="33"/>
      <c r="J343" s="33"/>
      <c r="K343" s="33"/>
      <c r="L343" s="33"/>
      <c r="M343" s="33"/>
      <c r="N343" s="33"/>
      <c r="O343" s="33"/>
      <c r="P343" s="33"/>
      <c r="Q343" s="33"/>
      <c r="R343" s="33"/>
    </row>
    <row r="344">
      <c r="A344" s="33"/>
      <c r="B344" s="33"/>
      <c r="C344" s="33"/>
      <c r="D344" s="33"/>
      <c r="E344" s="33"/>
      <c r="F344" s="33"/>
      <c r="G344" s="33"/>
      <c r="H344" s="33"/>
      <c r="I344" s="33"/>
      <c r="J344" s="33"/>
      <c r="K344" s="33"/>
      <c r="L344" s="33"/>
      <c r="M344" s="33"/>
      <c r="N344" s="33"/>
      <c r="O344" s="33"/>
      <c r="P344" s="33"/>
      <c r="Q344" s="33"/>
      <c r="R344" s="33"/>
    </row>
    <row r="345">
      <c r="A345" s="33"/>
      <c r="B345" s="33"/>
      <c r="C345" s="33"/>
      <c r="D345" s="33"/>
      <c r="E345" s="33"/>
      <c r="F345" s="33"/>
      <c r="G345" s="33"/>
      <c r="H345" s="33"/>
      <c r="I345" s="33"/>
      <c r="J345" s="33"/>
      <c r="K345" s="33"/>
      <c r="L345" s="33"/>
      <c r="M345" s="33"/>
      <c r="N345" s="33"/>
      <c r="O345" s="33"/>
      <c r="P345" s="33"/>
      <c r="Q345" s="33"/>
      <c r="R345" s="33"/>
    </row>
    <row r="346">
      <c r="A346" s="33"/>
      <c r="B346" s="33"/>
      <c r="C346" s="33"/>
      <c r="D346" s="33"/>
      <c r="E346" s="33"/>
      <c r="F346" s="33"/>
      <c r="G346" s="33"/>
      <c r="H346" s="33"/>
      <c r="I346" s="33"/>
      <c r="J346" s="33"/>
      <c r="K346" s="33"/>
      <c r="L346" s="33"/>
      <c r="M346" s="33"/>
      <c r="N346" s="33"/>
      <c r="O346" s="33"/>
      <c r="P346" s="33"/>
      <c r="Q346" s="33"/>
      <c r="R346" s="33"/>
    </row>
    <row r="347">
      <c r="A347" s="33"/>
      <c r="B347" s="33"/>
      <c r="C347" s="33"/>
      <c r="D347" s="33"/>
      <c r="E347" s="33"/>
      <c r="F347" s="33"/>
      <c r="G347" s="33"/>
      <c r="H347" s="33"/>
      <c r="I347" s="33"/>
      <c r="J347" s="33"/>
      <c r="K347" s="33"/>
      <c r="L347" s="33"/>
      <c r="M347" s="33"/>
      <c r="N347" s="33"/>
      <c r="O347" s="33"/>
      <c r="P347" s="33"/>
      <c r="Q347" s="33"/>
      <c r="R347" s="33"/>
    </row>
    <row r="348">
      <c r="A348" s="33"/>
      <c r="B348" s="33"/>
      <c r="C348" s="33"/>
      <c r="D348" s="33"/>
      <c r="E348" s="33"/>
      <c r="F348" s="33"/>
      <c r="G348" s="33"/>
      <c r="H348" s="33"/>
      <c r="I348" s="33"/>
      <c r="J348" s="33"/>
      <c r="K348" s="33"/>
      <c r="L348" s="33"/>
      <c r="M348" s="33"/>
      <c r="N348" s="33"/>
      <c r="O348" s="33"/>
      <c r="P348" s="33"/>
      <c r="Q348" s="33"/>
      <c r="R348" s="33"/>
    </row>
    <row r="349">
      <c r="A349" s="33"/>
      <c r="B349" s="33"/>
      <c r="C349" s="33"/>
      <c r="D349" s="33"/>
      <c r="E349" s="33"/>
      <c r="F349" s="33"/>
      <c r="G349" s="33"/>
      <c r="H349" s="33"/>
      <c r="I349" s="33"/>
      <c r="J349" s="33"/>
      <c r="K349" s="33"/>
      <c r="L349" s="33"/>
      <c r="M349" s="33"/>
      <c r="N349" s="33"/>
      <c r="O349" s="33"/>
      <c r="P349" s="33"/>
      <c r="Q349" s="33"/>
      <c r="R349" s="33"/>
    </row>
    <row r="350">
      <c r="A350" s="33"/>
      <c r="B350" s="33"/>
      <c r="C350" s="33"/>
      <c r="D350" s="33"/>
      <c r="E350" s="33"/>
      <c r="F350" s="33"/>
      <c r="G350" s="33"/>
      <c r="H350" s="33"/>
      <c r="I350" s="33"/>
      <c r="J350" s="33"/>
      <c r="K350" s="33"/>
      <c r="L350" s="33"/>
      <c r="M350" s="33"/>
      <c r="N350" s="33"/>
      <c r="O350" s="33"/>
      <c r="P350" s="33"/>
      <c r="Q350" s="33"/>
      <c r="R350" s="33"/>
    </row>
    <row r="351">
      <c r="A351" s="33"/>
      <c r="B351" s="33"/>
      <c r="C351" s="33"/>
      <c r="D351" s="33"/>
      <c r="E351" s="33"/>
      <c r="F351" s="33"/>
      <c r="G351" s="33"/>
      <c r="H351" s="33"/>
      <c r="I351" s="33"/>
      <c r="J351" s="33"/>
      <c r="K351" s="33"/>
      <c r="L351" s="33"/>
      <c r="M351" s="33"/>
      <c r="N351" s="33"/>
      <c r="O351" s="33"/>
      <c r="P351" s="33"/>
      <c r="Q351" s="33"/>
      <c r="R351" s="33"/>
    </row>
    <row r="352">
      <c r="A352" s="33"/>
      <c r="B352" s="33"/>
      <c r="C352" s="33"/>
      <c r="D352" s="33"/>
      <c r="E352" s="33"/>
      <c r="F352" s="33"/>
      <c r="G352" s="33"/>
      <c r="H352" s="33"/>
      <c r="I352" s="33"/>
      <c r="J352" s="33"/>
      <c r="K352" s="33"/>
      <c r="L352" s="33"/>
      <c r="M352" s="33"/>
      <c r="N352" s="33"/>
      <c r="O352" s="33"/>
      <c r="P352" s="33"/>
      <c r="Q352" s="33"/>
      <c r="R352" s="33"/>
    </row>
    <row r="353">
      <c r="A353" s="33"/>
      <c r="B353" s="33"/>
      <c r="C353" s="33"/>
      <c r="D353" s="33"/>
      <c r="E353" s="33"/>
      <c r="F353" s="33"/>
      <c r="G353" s="33"/>
      <c r="H353" s="33"/>
      <c r="I353" s="33"/>
      <c r="J353" s="33"/>
      <c r="K353" s="33"/>
      <c r="L353" s="33"/>
      <c r="M353" s="33"/>
      <c r="N353" s="33"/>
      <c r="O353" s="33"/>
      <c r="P353" s="33"/>
      <c r="Q353" s="33"/>
      <c r="R353" s="33"/>
    </row>
    <row r="354">
      <c r="A354" s="33"/>
      <c r="B354" s="33"/>
      <c r="C354" s="33"/>
      <c r="D354" s="33"/>
      <c r="E354" s="33"/>
      <c r="F354" s="33"/>
      <c r="G354" s="33"/>
      <c r="H354" s="33"/>
      <c r="I354" s="33"/>
      <c r="J354" s="33"/>
      <c r="K354" s="33"/>
      <c r="L354" s="33"/>
      <c r="M354" s="33"/>
      <c r="N354" s="33"/>
      <c r="O354" s="33"/>
      <c r="P354" s="33"/>
      <c r="Q354" s="33"/>
      <c r="R354" s="33"/>
    </row>
    <row r="355">
      <c r="A355" s="33"/>
      <c r="B355" s="33"/>
      <c r="C355" s="33"/>
      <c r="D355" s="33"/>
      <c r="E355" s="33"/>
      <c r="F355" s="33"/>
      <c r="G355" s="33"/>
      <c r="H355" s="33"/>
      <c r="I355" s="33"/>
      <c r="J355" s="33"/>
      <c r="K355" s="33"/>
      <c r="L355" s="33"/>
      <c r="M355" s="33"/>
      <c r="N355" s="33"/>
      <c r="O355" s="33"/>
      <c r="P355" s="33"/>
      <c r="Q355" s="33"/>
      <c r="R355" s="33"/>
    </row>
    <row r="356">
      <c r="A356" s="33"/>
      <c r="B356" s="33"/>
      <c r="C356" s="33"/>
      <c r="D356" s="33"/>
      <c r="E356" s="33"/>
      <c r="F356" s="33"/>
      <c r="G356" s="33"/>
      <c r="H356" s="33"/>
      <c r="I356" s="33"/>
      <c r="J356" s="33"/>
      <c r="K356" s="33"/>
      <c r="L356" s="33"/>
      <c r="M356" s="33"/>
      <c r="N356" s="33"/>
      <c r="O356" s="33"/>
      <c r="P356" s="33"/>
      <c r="Q356" s="33"/>
      <c r="R356" s="33"/>
    </row>
    <row r="357">
      <c r="A357" s="33"/>
      <c r="B357" s="33"/>
      <c r="C357" s="33"/>
      <c r="D357" s="33"/>
      <c r="E357" s="33"/>
      <c r="F357" s="33"/>
      <c r="G357" s="33"/>
      <c r="H357" s="33"/>
      <c r="I357" s="33"/>
      <c r="J357" s="33"/>
      <c r="K357" s="33"/>
      <c r="L357" s="33"/>
      <c r="M357" s="33"/>
      <c r="N357" s="33"/>
      <c r="O357" s="33"/>
      <c r="P357" s="33"/>
      <c r="Q357" s="33"/>
      <c r="R357" s="33"/>
    </row>
    <row r="358">
      <c r="A358" s="33"/>
      <c r="B358" s="33"/>
      <c r="C358" s="33"/>
      <c r="D358" s="33"/>
      <c r="E358" s="33"/>
      <c r="F358" s="33"/>
      <c r="G358" s="33"/>
      <c r="H358" s="33"/>
      <c r="I358" s="33"/>
      <c r="J358" s="33"/>
      <c r="K358" s="33"/>
      <c r="L358" s="33"/>
      <c r="M358" s="33"/>
      <c r="N358" s="33"/>
      <c r="O358" s="33"/>
      <c r="P358" s="33"/>
      <c r="Q358" s="33"/>
      <c r="R358" s="33"/>
    </row>
    <row r="359">
      <c r="A359" s="33"/>
      <c r="B359" s="33"/>
      <c r="C359" s="33"/>
      <c r="D359" s="33"/>
      <c r="E359" s="33"/>
      <c r="F359" s="33"/>
      <c r="G359" s="33"/>
      <c r="H359" s="33"/>
      <c r="I359" s="33"/>
      <c r="J359" s="33"/>
      <c r="K359" s="33"/>
      <c r="L359" s="33"/>
      <c r="M359" s="33"/>
      <c r="N359" s="33"/>
      <c r="O359" s="33"/>
      <c r="P359" s="33"/>
      <c r="Q359" s="33"/>
      <c r="R359" s="33"/>
    </row>
    <row r="360">
      <c r="A360" s="33"/>
      <c r="B360" s="33"/>
      <c r="C360" s="33"/>
      <c r="D360" s="33"/>
      <c r="E360" s="33"/>
      <c r="F360" s="33"/>
      <c r="G360" s="33"/>
      <c r="H360" s="33"/>
      <c r="I360" s="33"/>
      <c r="J360" s="33"/>
      <c r="K360" s="33"/>
      <c r="L360" s="33"/>
      <c r="M360" s="33"/>
      <c r="N360" s="33"/>
      <c r="O360" s="33"/>
      <c r="P360" s="33"/>
      <c r="Q360" s="33"/>
      <c r="R360" s="33"/>
    </row>
    <row r="361">
      <c r="A361" s="33"/>
      <c r="B361" s="33"/>
      <c r="C361" s="33"/>
      <c r="D361" s="33"/>
      <c r="E361" s="33"/>
      <c r="F361" s="33"/>
      <c r="G361" s="33"/>
      <c r="H361" s="33"/>
      <c r="I361" s="33"/>
      <c r="J361" s="33"/>
      <c r="K361" s="33"/>
      <c r="L361" s="33"/>
      <c r="M361" s="33"/>
      <c r="N361" s="33"/>
      <c r="O361" s="33"/>
      <c r="P361" s="33"/>
      <c r="Q361" s="33"/>
      <c r="R361" s="33"/>
    </row>
    <row r="362">
      <c r="A362" s="33"/>
      <c r="B362" s="33"/>
      <c r="C362" s="33"/>
      <c r="D362" s="33"/>
      <c r="E362" s="33"/>
      <c r="F362" s="33"/>
      <c r="G362" s="33"/>
      <c r="H362" s="33"/>
      <c r="I362" s="33"/>
      <c r="J362" s="33"/>
      <c r="K362" s="33"/>
      <c r="L362" s="33"/>
      <c r="M362" s="33"/>
      <c r="N362" s="33"/>
      <c r="O362" s="33"/>
      <c r="P362" s="33"/>
      <c r="Q362" s="33"/>
      <c r="R362" s="33"/>
    </row>
    <row r="363">
      <c r="A363" s="33"/>
      <c r="B363" s="33"/>
      <c r="C363" s="33"/>
      <c r="D363" s="33"/>
      <c r="E363" s="33"/>
      <c r="F363" s="33"/>
      <c r="G363" s="33"/>
      <c r="H363" s="33"/>
      <c r="I363" s="33"/>
      <c r="J363" s="33"/>
      <c r="K363" s="33"/>
      <c r="L363" s="33"/>
      <c r="M363" s="33"/>
      <c r="N363" s="33"/>
      <c r="O363" s="33"/>
      <c r="P363" s="33"/>
      <c r="Q363" s="33"/>
      <c r="R363" s="33"/>
    </row>
    <row r="364">
      <c r="A364" s="33"/>
      <c r="B364" s="33"/>
      <c r="C364" s="33"/>
      <c r="D364" s="33"/>
      <c r="E364" s="33"/>
      <c r="F364" s="33"/>
      <c r="G364" s="33"/>
      <c r="H364" s="33"/>
      <c r="I364" s="33"/>
      <c r="J364" s="33"/>
      <c r="K364" s="33"/>
      <c r="L364" s="33"/>
      <c r="M364" s="33"/>
      <c r="N364" s="33"/>
      <c r="O364" s="33"/>
      <c r="P364" s="33"/>
      <c r="Q364" s="33"/>
      <c r="R364" s="33"/>
    </row>
    <row r="365">
      <c r="A365" s="33"/>
      <c r="B365" s="33"/>
      <c r="C365" s="33"/>
      <c r="D365" s="33"/>
      <c r="E365" s="33"/>
      <c r="F365" s="33"/>
      <c r="G365" s="33"/>
      <c r="H365" s="33"/>
      <c r="I365" s="33"/>
      <c r="J365" s="33"/>
      <c r="K365" s="33"/>
      <c r="L365" s="33"/>
      <c r="M365" s="33"/>
      <c r="N365" s="33"/>
      <c r="O365" s="33"/>
      <c r="P365" s="33"/>
      <c r="Q365" s="33"/>
      <c r="R365" s="33"/>
    </row>
    <row r="366">
      <c r="A366" s="33"/>
      <c r="B366" s="33"/>
      <c r="C366" s="33"/>
      <c r="D366" s="33"/>
      <c r="E366" s="33"/>
      <c r="F366" s="33"/>
      <c r="G366" s="33"/>
      <c r="H366" s="33"/>
      <c r="I366" s="33"/>
      <c r="J366" s="33"/>
      <c r="K366" s="33"/>
      <c r="L366" s="33"/>
      <c r="M366" s="33"/>
      <c r="N366" s="33"/>
      <c r="O366" s="33"/>
      <c r="P366" s="33"/>
      <c r="Q366" s="33"/>
      <c r="R366" s="33"/>
    </row>
    <row r="367">
      <c r="A367" s="33"/>
      <c r="B367" s="33"/>
      <c r="C367" s="33"/>
      <c r="D367" s="33"/>
      <c r="E367" s="33"/>
      <c r="F367" s="33"/>
      <c r="G367" s="33"/>
      <c r="H367" s="33"/>
      <c r="I367" s="33"/>
      <c r="J367" s="33"/>
      <c r="K367" s="33"/>
      <c r="L367" s="33"/>
      <c r="M367" s="33"/>
      <c r="N367" s="33"/>
      <c r="O367" s="33"/>
      <c r="P367" s="33"/>
      <c r="Q367" s="33"/>
      <c r="R367" s="33"/>
    </row>
    <row r="368">
      <c r="A368" s="33"/>
      <c r="B368" s="33"/>
      <c r="C368" s="33"/>
      <c r="D368" s="33"/>
      <c r="E368" s="33"/>
      <c r="F368" s="33"/>
      <c r="G368" s="33"/>
      <c r="H368" s="33"/>
      <c r="I368" s="33"/>
      <c r="J368" s="33"/>
      <c r="K368" s="33"/>
      <c r="L368" s="33"/>
      <c r="M368" s="33"/>
      <c r="N368" s="33"/>
      <c r="O368" s="33"/>
      <c r="P368" s="33"/>
      <c r="Q368" s="33"/>
      <c r="R368" s="33"/>
    </row>
    <row r="369">
      <c r="A369" s="33"/>
      <c r="B369" s="33"/>
      <c r="C369" s="33"/>
      <c r="D369" s="33"/>
      <c r="E369" s="33"/>
      <c r="F369" s="33"/>
      <c r="G369" s="33"/>
      <c r="H369" s="33"/>
      <c r="I369" s="33"/>
      <c r="J369" s="33"/>
      <c r="K369" s="33"/>
      <c r="L369" s="33"/>
      <c r="M369" s="33"/>
      <c r="N369" s="33"/>
      <c r="O369" s="33"/>
      <c r="P369" s="33"/>
      <c r="Q369" s="33"/>
      <c r="R369" s="33"/>
    </row>
    <row r="370">
      <c r="A370" s="33"/>
      <c r="B370" s="33"/>
      <c r="C370" s="33"/>
      <c r="D370" s="33"/>
      <c r="E370" s="33"/>
      <c r="F370" s="33"/>
      <c r="G370" s="33"/>
      <c r="H370" s="33"/>
      <c r="I370" s="33"/>
      <c r="J370" s="33"/>
      <c r="K370" s="33"/>
      <c r="L370" s="33"/>
      <c r="M370" s="33"/>
      <c r="N370" s="33"/>
      <c r="O370" s="33"/>
      <c r="P370" s="33"/>
      <c r="Q370" s="33"/>
      <c r="R370" s="33"/>
    </row>
    <row r="371">
      <c r="A371" s="33"/>
      <c r="B371" s="33"/>
      <c r="C371" s="33"/>
      <c r="D371" s="33"/>
      <c r="E371" s="33"/>
      <c r="F371" s="33"/>
      <c r="G371" s="33"/>
      <c r="H371" s="33"/>
      <c r="I371" s="33"/>
      <c r="J371" s="33"/>
      <c r="K371" s="33"/>
      <c r="L371" s="33"/>
      <c r="M371" s="33"/>
      <c r="N371" s="33"/>
      <c r="O371" s="33"/>
      <c r="P371" s="33"/>
      <c r="Q371" s="33"/>
      <c r="R371" s="33"/>
    </row>
    <row r="372">
      <c r="A372" s="33"/>
      <c r="B372" s="33"/>
      <c r="C372" s="33"/>
      <c r="D372" s="33"/>
      <c r="E372" s="33"/>
      <c r="F372" s="33"/>
      <c r="G372" s="33"/>
      <c r="H372" s="33"/>
      <c r="I372" s="33"/>
      <c r="J372" s="33"/>
      <c r="K372" s="33"/>
      <c r="L372" s="33"/>
      <c r="M372" s="33"/>
      <c r="N372" s="33"/>
      <c r="O372" s="33"/>
      <c r="P372" s="33"/>
      <c r="Q372" s="33"/>
      <c r="R372" s="33"/>
    </row>
    <row r="373">
      <c r="A373" s="33"/>
      <c r="B373" s="33"/>
      <c r="C373" s="33"/>
      <c r="D373" s="33"/>
      <c r="E373" s="33"/>
      <c r="F373" s="33"/>
      <c r="G373" s="33"/>
      <c r="H373" s="33"/>
      <c r="I373" s="33"/>
      <c r="J373" s="33"/>
      <c r="K373" s="33"/>
      <c r="L373" s="33"/>
      <c r="M373" s="33"/>
      <c r="N373" s="33"/>
      <c r="O373" s="33"/>
      <c r="P373" s="33"/>
      <c r="Q373" s="33"/>
      <c r="R373" s="33"/>
    </row>
    <row r="374">
      <c r="A374" s="33"/>
      <c r="B374" s="33"/>
      <c r="C374" s="33"/>
      <c r="D374" s="33"/>
      <c r="E374" s="33"/>
      <c r="F374" s="33"/>
      <c r="G374" s="33"/>
      <c r="H374" s="33"/>
      <c r="I374" s="33"/>
      <c r="J374" s="33"/>
      <c r="K374" s="33"/>
      <c r="L374" s="33"/>
      <c r="M374" s="33"/>
      <c r="N374" s="33"/>
      <c r="O374" s="33"/>
      <c r="P374" s="33"/>
      <c r="Q374" s="33"/>
      <c r="R374" s="33"/>
    </row>
    <row r="375">
      <c r="A375" s="33"/>
      <c r="B375" s="33"/>
      <c r="C375" s="33"/>
      <c r="D375" s="33"/>
      <c r="E375" s="33"/>
      <c r="F375" s="33"/>
      <c r="G375" s="33"/>
      <c r="H375" s="33"/>
      <c r="I375" s="33"/>
      <c r="J375" s="33"/>
      <c r="K375" s="33"/>
      <c r="L375" s="33"/>
      <c r="M375" s="33"/>
      <c r="N375" s="33"/>
      <c r="O375" s="33"/>
      <c r="P375" s="33"/>
      <c r="Q375" s="33"/>
      <c r="R375" s="33"/>
    </row>
    <row r="376">
      <c r="A376" s="33"/>
      <c r="B376" s="33"/>
      <c r="C376" s="33"/>
      <c r="D376" s="33"/>
      <c r="E376" s="33"/>
      <c r="F376" s="33"/>
      <c r="G376" s="33"/>
      <c r="H376" s="33"/>
      <c r="I376" s="33"/>
      <c r="J376" s="33"/>
      <c r="K376" s="33"/>
      <c r="L376" s="33"/>
      <c r="M376" s="33"/>
      <c r="N376" s="33"/>
      <c r="O376" s="33"/>
      <c r="P376" s="33"/>
      <c r="Q376" s="33"/>
      <c r="R376" s="33"/>
    </row>
    <row r="377">
      <c r="A377" s="33"/>
      <c r="B377" s="33"/>
      <c r="C377" s="33"/>
      <c r="D377" s="33"/>
      <c r="E377" s="33"/>
      <c r="F377" s="33"/>
      <c r="G377" s="33"/>
      <c r="H377" s="33"/>
      <c r="I377" s="33"/>
      <c r="J377" s="33"/>
      <c r="K377" s="33"/>
      <c r="L377" s="33"/>
      <c r="M377" s="33"/>
      <c r="N377" s="33"/>
      <c r="O377" s="33"/>
      <c r="P377" s="33"/>
      <c r="Q377" s="33"/>
      <c r="R377" s="33"/>
    </row>
    <row r="378">
      <c r="A378" s="33"/>
      <c r="B378" s="33"/>
      <c r="C378" s="33"/>
      <c r="D378" s="33"/>
      <c r="E378" s="33"/>
      <c r="F378" s="33"/>
      <c r="G378" s="33"/>
      <c r="H378" s="33"/>
      <c r="I378" s="33"/>
      <c r="J378" s="33"/>
      <c r="K378" s="33"/>
      <c r="L378" s="33"/>
      <c r="M378" s="33"/>
      <c r="N378" s="33"/>
      <c r="O378" s="33"/>
      <c r="P378" s="33"/>
      <c r="Q378" s="33"/>
      <c r="R378" s="33"/>
    </row>
    <row r="379">
      <c r="A379" s="33"/>
      <c r="B379" s="33"/>
      <c r="C379" s="33"/>
      <c r="D379" s="33"/>
      <c r="E379" s="33"/>
      <c r="F379" s="33"/>
      <c r="G379" s="33"/>
      <c r="H379" s="33"/>
      <c r="I379" s="33"/>
      <c r="J379" s="33"/>
      <c r="K379" s="33"/>
      <c r="L379" s="33"/>
      <c r="M379" s="33"/>
      <c r="N379" s="33"/>
      <c r="O379" s="33"/>
      <c r="P379" s="33"/>
      <c r="Q379" s="33"/>
      <c r="R379" s="33"/>
    </row>
    <row r="380">
      <c r="A380" s="33"/>
      <c r="B380" s="33"/>
      <c r="C380" s="33"/>
      <c r="D380" s="33"/>
      <c r="E380" s="33"/>
      <c r="F380" s="33"/>
      <c r="G380" s="33"/>
      <c r="H380" s="33"/>
      <c r="I380" s="33"/>
      <c r="J380" s="33"/>
      <c r="K380" s="33"/>
      <c r="L380" s="33"/>
      <c r="M380" s="33"/>
      <c r="N380" s="33"/>
      <c r="O380" s="33"/>
      <c r="P380" s="33"/>
      <c r="Q380" s="33"/>
      <c r="R380" s="33"/>
    </row>
    <row r="381">
      <c r="A381" s="33"/>
      <c r="B381" s="33"/>
      <c r="C381" s="33"/>
      <c r="D381" s="33"/>
      <c r="E381" s="33"/>
      <c r="F381" s="33"/>
      <c r="G381" s="33"/>
      <c r="H381" s="33"/>
      <c r="I381" s="33"/>
      <c r="J381" s="33"/>
      <c r="K381" s="33"/>
      <c r="L381" s="33"/>
      <c r="M381" s="33"/>
      <c r="N381" s="33"/>
      <c r="O381" s="33"/>
      <c r="P381" s="33"/>
      <c r="Q381" s="33"/>
      <c r="R381" s="33"/>
    </row>
    <row r="382">
      <c r="A382" s="33"/>
      <c r="B382" s="33"/>
      <c r="C382" s="33"/>
      <c r="D382" s="33"/>
      <c r="E382" s="33"/>
      <c r="F382" s="33"/>
      <c r="G382" s="33"/>
      <c r="H382" s="33"/>
      <c r="I382" s="33"/>
      <c r="J382" s="33"/>
      <c r="K382" s="33"/>
      <c r="L382" s="33"/>
      <c r="M382" s="33"/>
      <c r="N382" s="33"/>
      <c r="O382" s="33"/>
      <c r="P382" s="33"/>
      <c r="Q382" s="33"/>
      <c r="R382" s="33"/>
    </row>
    <row r="383">
      <c r="A383" s="33"/>
      <c r="B383" s="33"/>
      <c r="C383" s="33"/>
      <c r="D383" s="33"/>
      <c r="E383" s="33"/>
      <c r="F383" s="33"/>
      <c r="G383" s="33"/>
      <c r="H383" s="33"/>
      <c r="I383" s="33"/>
      <c r="J383" s="33"/>
      <c r="K383" s="33"/>
      <c r="L383" s="33"/>
      <c r="M383" s="33"/>
      <c r="N383" s="33"/>
      <c r="O383" s="33"/>
      <c r="P383" s="33"/>
      <c r="Q383" s="33"/>
      <c r="R383" s="33"/>
    </row>
    <row r="384">
      <c r="A384" s="33"/>
      <c r="B384" s="33"/>
      <c r="C384" s="33"/>
      <c r="D384" s="33"/>
      <c r="E384" s="33"/>
      <c r="F384" s="33"/>
      <c r="G384" s="33"/>
      <c r="H384" s="33"/>
      <c r="I384" s="33"/>
      <c r="J384" s="33"/>
      <c r="K384" s="33"/>
      <c r="L384" s="33"/>
      <c r="M384" s="33"/>
      <c r="N384" s="33"/>
      <c r="O384" s="33"/>
      <c r="P384" s="33"/>
      <c r="Q384" s="33"/>
      <c r="R384" s="33"/>
    </row>
    <row r="385">
      <c r="A385" s="33"/>
      <c r="B385" s="33"/>
      <c r="C385" s="33"/>
      <c r="D385" s="33"/>
      <c r="E385" s="33"/>
      <c r="F385" s="33"/>
      <c r="G385" s="33"/>
      <c r="H385" s="33"/>
      <c r="I385" s="33"/>
      <c r="J385" s="33"/>
      <c r="K385" s="33"/>
      <c r="L385" s="33"/>
      <c r="M385" s="33"/>
      <c r="N385" s="33"/>
      <c r="O385" s="33"/>
      <c r="P385" s="33"/>
      <c r="Q385" s="33"/>
      <c r="R385" s="33"/>
    </row>
    <row r="386">
      <c r="A386" s="33"/>
      <c r="B386" s="33"/>
      <c r="C386" s="33"/>
      <c r="D386" s="33"/>
      <c r="E386" s="33"/>
      <c r="F386" s="33"/>
      <c r="G386" s="33"/>
      <c r="H386" s="33"/>
      <c r="I386" s="33"/>
      <c r="J386" s="33"/>
      <c r="K386" s="33"/>
      <c r="L386" s="33"/>
      <c r="M386" s="33"/>
      <c r="N386" s="33"/>
      <c r="O386" s="33"/>
      <c r="P386" s="33"/>
      <c r="Q386" s="33"/>
      <c r="R386" s="33"/>
    </row>
    <row r="387">
      <c r="A387" s="33"/>
      <c r="B387" s="33"/>
      <c r="C387" s="33"/>
      <c r="D387" s="33"/>
      <c r="E387" s="33"/>
      <c r="F387" s="33"/>
      <c r="G387" s="33"/>
      <c r="H387" s="33"/>
      <c r="I387" s="33"/>
      <c r="J387" s="33"/>
      <c r="K387" s="33"/>
      <c r="L387" s="33"/>
      <c r="M387" s="33"/>
      <c r="N387" s="33"/>
      <c r="O387" s="33"/>
      <c r="P387" s="33"/>
      <c r="Q387" s="33"/>
      <c r="R387" s="33"/>
    </row>
    <row r="388">
      <c r="A388" s="33"/>
      <c r="B388" s="33"/>
      <c r="C388" s="33"/>
      <c r="D388" s="33"/>
      <c r="E388" s="33"/>
      <c r="F388" s="33"/>
      <c r="G388" s="33"/>
      <c r="H388" s="33"/>
      <c r="I388" s="33"/>
      <c r="J388" s="33"/>
      <c r="K388" s="33"/>
      <c r="L388" s="33"/>
      <c r="M388" s="33"/>
      <c r="N388" s="33"/>
      <c r="O388" s="33"/>
      <c r="P388" s="33"/>
      <c r="Q388" s="33"/>
      <c r="R388" s="33"/>
    </row>
    <row r="389">
      <c r="A389" s="33"/>
      <c r="B389" s="33"/>
      <c r="C389" s="33"/>
      <c r="D389" s="33"/>
      <c r="E389" s="33"/>
      <c r="F389" s="33"/>
      <c r="G389" s="33"/>
      <c r="H389" s="33"/>
      <c r="I389" s="33"/>
      <c r="J389" s="33"/>
      <c r="K389" s="33"/>
      <c r="L389" s="33"/>
      <c r="M389" s="33"/>
      <c r="N389" s="33"/>
      <c r="O389" s="33"/>
      <c r="P389" s="33"/>
      <c r="Q389" s="33"/>
      <c r="R389" s="33"/>
    </row>
    <row r="390">
      <c r="A390" s="33"/>
      <c r="B390" s="33"/>
      <c r="C390" s="33"/>
      <c r="D390" s="33"/>
      <c r="E390" s="33"/>
      <c r="F390" s="33"/>
      <c r="G390" s="33"/>
      <c r="H390" s="33"/>
      <c r="I390" s="33"/>
      <c r="J390" s="33"/>
      <c r="K390" s="33"/>
      <c r="L390" s="33"/>
      <c r="M390" s="33"/>
      <c r="N390" s="33"/>
      <c r="O390" s="33"/>
      <c r="P390" s="33"/>
      <c r="Q390" s="33"/>
      <c r="R390" s="33"/>
    </row>
    <row r="391">
      <c r="A391" s="33"/>
      <c r="B391" s="33"/>
      <c r="C391" s="33"/>
      <c r="D391" s="33"/>
      <c r="E391" s="33"/>
      <c r="F391" s="33"/>
      <c r="G391" s="33"/>
      <c r="H391" s="33"/>
      <c r="I391" s="33"/>
      <c r="J391" s="33"/>
      <c r="K391" s="33"/>
      <c r="L391" s="33"/>
      <c r="M391" s="33"/>
      <c r="N391" s="33"/>
      <c r="O391" s="33"/>
      <c r="P391" s="33"/>
      <c r="Q391" s="33"/>
      <c r="R391" s="33"/>
    </row>
    <row r="392">
      <c r="A392" s="33"/>
      <c r="B392" s="33"/>
      <c r="C392" s="33"/>
      <c r="D392" s="33"/>
      <c r="E392" s="33"/>
      <c r="F392" s="33"/>
      <c r="G392" s="33"/>
      <c r="H392" s="33"/>
      <c r="I392" s="33"/>
      <c r="J392" s="33"/>
      <c r="K392" s="33"/>
      <c r="L392" s="33"/>
      <c r="M392" s="33"/>
      <c r="N392" s="33"/>
      <c r="O392" s="33"/>
      <c r="P392" s="33"/>
      <c r="Q392" s="33"/>
      <c r="R392" s="33"/>
    </row>
    <row r="393">
      <c r="A393" s="33"/>
      <c r="B393" s="33"/>
      <c r="C393" s="33"/>
      <c r="D393" s="33"/>
      <c r="E393" s="33"/>
      <c r="F393" s="33"/>
      <c r="G393" s="33"/>
      <c r="H393" s="33"/>
      <c r="I393" s="33"/>
      <c r="J393" s="33"/>
      <c r="K393" s="33"/>
      <c r="L393" s="33"/>
      <c r="M393" s="33"/>
      <c r="N393" s="33"/>
      <c r="O393" s="33"/>
      <c r="P393" s="33"/>
      <c r="Q393" s="33"/>
      <c r="R393" s="33"/>
    </row>
    <row r="394">
      <c r="A394" s="33"/>
      <c r="B394" s="33"/>
      <c r="C394" s="33"/>
      <c r="D394" s="33"/>
      <c r="E394" s="33"/>
      <c r="F394" s="33"/>
      <c r="G394" s="33"/>
      <c r="H394" s="33"/>
      <c r="I394" s="33"/>
      <c r="J394" s="33"/>
      <c r="K394" s="33"/>
      <c r="L394" s="33"/>
      <c r="M394" s="33"/>
      <c r="N394" s="33"/>
      <c r="O394" s="33"/>
      <c r="P394" s="33"/>
      <c r="Q394" s="33"/>
      <c r="R394" s="33"/>
    </row>
    <row r="395">
      <c r="A395" s="33"/>
      <c r="B395" s="33"/>
      <c r="C395" s="33"/>
      <c r="D395" s="33"/>
      <c r="E395" s="33"/>
      <c r="F395" s="33"/>
      <c r="G395" s="33"/>
      <c r="H395" s="33"/>
      <c r="I395" s="33"/>
      <c r="J395" s="33"/>
      <c r="K395" s="33"/>
      <c r="L395" s="33"/>
      <c r="M395" s="33"/>
      <c r="N395" s="33"/>
      <c r="O395" s="33"/>
      <c r="P395" s="33"/>
      <c r="Q395" s="33"/>
      <c r="R395" s="33"/>
    </row>
    <row r="396">
      <c r="A396" s="33"/>
      <c r="B396" s="33"/>
      <c r="C396" s="33"/>
      <c r="D396" s="33"/>
      <c r="E396" s="33"/>
      <c r="F396" s="33"/>
      <c r="G396" s="33"/>
      <c r="H396" s="33"/>
      <c r="I396" s="33"/>
      <c r="J396" s="33"/>
      <c r="K396" s="33"/>
      <c r="L396" s="33"/>
      <c r="M396" s="33"/>
      <c r="N396" s="33"/>
      <c r="O396" s="33"/>
      <c r="P396" s="33"/>
      <c r="Q396" s="33"/>
      <c r="R396" s="33"/>
    </row>
    <row r="397">
      <c r="A397" s="33"/>
      <c r="B397" s="33"/>
      <c r="C397" s="33"/>
      <c r="D397" s="33"/>
      <c r="E397" s="33"/>
      <c r="F397" s="33"/>
      <c r="G397" s="33"/>
      <c r="H397" s="33"/>
      <c r="I397" s="33"/>
      <c r="J397" s="33"/>
      <c r="K397" s="33"/>
      <c r="L397" s="33"/>
      <c r="M397" s="33"/>
      <c r="N397" s="33"/>
      <c r="O397" s="33"/>
      <c r="P397" s="33"/>
      <c r="Q397" s="33"/>
      <c r="R397" s="33"/>
    </row>
    <row r="398">
      <c r="A398" s="33"/>
      <c r="B398" s="33"/>
      <c r="C398" s="33"/>
      <c r="D398" s="33"/>
      <c r="E398" s="33"/>
      <c r="F398" s="33"/>
      <c r="G398" s="33"/>
      <c r="H398" s="33"/>
      <c r="I398" s="33"/>
      <c r="J398" s="33"/>
      <c r="K398" s="33"/>
      <c r="L398" s="33"/>
      <c r="M398" s="33"/>
      <c r="N398" s="33"/>
      <c r="O398" s="33"/>
      <c r="P398" s="33"/>
      <c r="Q398" s="33"/>
      <c r="R398" s="33"/>
    </row>
    <row r="399">
      <c r="A399" s="33"/>
      <c r="B399" s="33"/>
      <c r="C399" s="33"/>
      <c r="D399" s="33"/>
      <c r="E399" s="33"/>
      <c r="F399" s="33"/>
      <c r="G399" s="33"/>
      <c r="H399" s="33"/>
      <c r="I399" s="33"/>
      <c r="J399" s="33"/>
      <c r="K399" s="33"/>
      <c r="L399" s="33"/>
      <c r="M399" s="33"/>
      <c r="N399" s="33"/>
      <c r="O399" s="33"/>
      <c r="P399" s="33"/>
      <c r="Q399" s="33"/>
      <c r="R399" s="33"/>
    </row>
    <row r="400">
      <c r="A400" s="33"/>
      <c r="B400" s="33"/>
      <c r="C400" s="33"/>
      <c r="D400" s="33"/>
      <c r="E400" s="33"/>
      <c r="F400" s="33"/>
      <c r="G400" s="33"/>
      <c r="H400" s="33"/>
      <c r="I400" s="33"/>
      <c r="J400" s="33"/>
      <c r="K400" s="33"/>
      <c r="L400" s="33"/>
      <c r="M400" s="33"/>
      <c r="N400" s="33"/>
      <c r="O400" s="33"/>
      <c r="P400" s="33"/>
      <c r="Q400" s="33"/>
      <c r="R400" s="33"/>
    </row>
    <row r="401">
      <c r="A401" s="33"/>
      <c r="B401" s="33"/>
      <c r="C401" s="33"/>
      <c r="D401" s="33"/>
      <c r="E401" s="33"/>
      <c r="F401" s="33"/>
      <c r="G401" s="33"/>
      <c r="H401" s="33"/>
      <c r="I401" s="33"/>
      <c r="J401" s="33"/>
      <c r="K401" s="33"/>
      <c r="L401" s="33"/>
      <c r="M401" s="33"/>
      <c r="N401" s="33"/>
      <c r="O401" s="33"/>
      <c r="P401" s="33"/>
      <c r="Q401" s="33"/>
      <c r="R401" s="33"/>
    </row>
    <row r="402">
      <c r="A402" s="33"/>
      <c r="B402" s="33"/>
      <c r="C402" s="33"/>
      <c r="D402" s="33"/>
      <c r="E402" s="33"/>
      <c r="F402" s="33"/>
      <c r="G402" s="33"/>
      <c r="H402" s="33"/>
      <c r="I402" s="33"/>
      <c r="J402" s="33"/>
      <c r="K402" s="33"/>
      <c r="L402" s="33"/>
      <c r="M402" s="33"/>
      <c r="N402" s="33"/>
      <c r="O402" s="33"/>
      <c r="P402" s="33"/>
      <c r="Q402" s="33"/>
      <c r="R402" s="33"/>
    </row>
    <row r="403">
      <c r="A403" s="33"/>
      <c r="B403" s="33"/>
      <c r="C403" s="33"/>
      <c r="D403" s="33"/>
      <c r="E403" s="33"/>
      <c r="F403" s="33"/>
      <c r="G403" s="33"/>
      <c r="H403" s="33"/>
      <c r="I403" s="33"/>
      <c r="J403" s="33"/>
      <c r="K403" s="33"/>
      <c r="L403" s="33"/>
      <c r="M403" s="33"/>
      <c r="N403" s="33"/>
      <c r="O403" s="33"/>
      <c r="P403" s="33"/>
      <c r="Q403" s="33"/>
      <c r="R403" s="33"/>
    </row>
    <row r="404">
      <c r="A404" s="33"/>
      <c r="B404" s="33"/>
      <c r="C404" s="33"/>
      <c r="D404" s="33"/>
      <c r="E404" s="33"/>
      <c r="F404" s="33"/>
      <c r="G404" s="33"/>
      <c r="H404" s="33"/>
      <c r="I404" s="33"/>
      <c r="J404" s="33"/>
      <c r="K404" s="33"/>
      <c r="L404" s="33"/>
      <c r="M404" s="33"/>
      <c r="N404" s="33"/>
      <c r="O404" s="33"/>
      <c r="P404" s="33"/>
      <c r="Q404" s="33"/>
      <c r="R404" s="33"/>
    </row>
    <row r="405">
      <c r="A405" s="33"/>
      <c r="B405" s="33"/>
      <c r="C405" s="33"/>
      <c r="D405" s="33"/>
      <c r="E405" s="33"/>
      <c r="F405" s="33"/>
      <c r="G405" s="33"/>
      <c r="H405" s="33"/>
      <c r="I405" s="33"/>
      <c r="J405" s="33"/>
      <c r="K405" s="33"/>
      <c r="L405" s="33"/>
      <c r="M405" s="33"/>
      <c r="N405" s="33"/>
      <c r="O405" s="33"/>
      <c r="P405" s="33"/>
      <c r="Q405" s="33"/>
      <c r="R405" s="33"/>
    </row>
    <row r="406">
      <c r="A406" s="33"/>
      <c r="B406" s="33"/>
      <c r="C406" s="33"/>
      <c r="D406" s="33"/>
      <c r="E406" s="33"/>
      <c r="F406" s="33"/>
      <c r="G406" s="33"/>
      <c r="H406" s="33"/>
      <c r="I406" s="33"/>
      <c r="J406" s="33"/>
      <c r="K406" s="33"/>
      <c r="L406" s="33"/>
      <c r="M406" s="33"/>
      <c r="N406" s="33"/>
      <c r="O406" s="33"/>
      <c r="P406" s="33"/>
      <c r="Q406" s="33"/>
      <c r="R406" s="33"/>
    </row>
    <row r="407">
      <c r="A407" s="33"/>
      <c r="B407" s="33"/>
      <c r="C407" s="33"/>
      <c r="D407" s="33"/>
      <c r="E407" s="33"/>
      <c r="F407" s="33"/>
      <c r="G407" s="33"/>
      <c r="H407" s="33"/>
      <c r="I407" s="33"/>
      <c r="J407" s="33"/>
      <c r="K407" s="33"/>
      <c r="L407" s="33"/>
      <c r="M407" s="33"/>
      <c r="N407" s="33"/>
      <c r="O407" s="33"/>
      <c r="P407" s="33"/>
      <c r="Q407" s="33"/>
      <c r="R407" s="33"/>
    </row>
    <row r="408">
      <c r="A408" s="33"/>
      <c r="B408" s="33"/>
      <c r="C408" s="33"/>
      <c r="D408" s="33"/>
      <c r="E408" s="33"/>
      <c r="F408" s="33"/>
      <c r="G408" s="33"/>
      <c r="H408" s="33"/>
      <c r="I408" s="33"/>
      <c r="J408" s="33"/>
      <c r="K408" s="33"/>
      <c r="L408" s="33"/>
      <c r="M408" s="33"/>
      <c r="N408" s="33"/>
      <c r="O408" s="33"/>
      <c r="P408" s="33"/>
      <c r="Q408" s="33"/>
      <c r="R408" s="33"/>
    </row>
    <row r="409">
      <c r="A409" s="33"/>
      <c r="B409" s="33"/>
      <c r="C409" s="33"/>
      <c r="D409" s="33"/>
      <c r="E409" s="33"/>
      <c r="F409" s="33"/>
      <c r="G409" s="33"/>
      <c r="H409" s="33"/>
      <c r="I409" s="33"/>
      <c r="J409" s="33"/>
      <c r="K409" s="33"/>
      <c r="L409" s="33"/>
      <c r="M409" s="33"/>
      <c r="N409" s="33"/>
      <c r="O409" s="33"/>
      <c r="P409" s="33"/>
      <c r="Q409" s="33"/>
      <c r="R409" s="33"/>
    </row>
    <row r="410">
      <c r="A410" s="33"/>
      <c r="B410" s="33"/>
      <c r="C410" s="33"/>
      <c r="D410" s="33"/>
      <c r="E410" s="33"/>
      <c r="F410" s="33"/>
      <c r="G410" s="33"/>
      <c r="H410" s="33"/>
      <c r="I410" s="33"/>
      <c r="J410" s="33"/>
      <c r="K410" s="33"/>
      <c r="L410" s="33"/>
      <c r="M410" s="33"/>
      <c r="N410" s="33"/>
      <c r="O410" s="33"/>
      <c r="P410" s="33"/>
      <c r="Q410" s="33"/>
      <c r="R410" s="33"/>
    </row>
    <row r="411">
      <c r="A411" s="33"/>
      <c r="B411" s="33"/>
      <c r="C411" s="33"/>
      <c r="D411" s="33"/>
      <c r="E411" s="33"/>
      <c r="F411" s="33"/>
      <c r="G411" s="33"/>
      <c r="H411" s="33"/>
      <c r="I411" s="33"/>
      <c r="J411" s="33"/>
      <c r="K411" s="33"/>
      <c r="L411" s="33"/>
      <c r="M411" s="33"/>
      <c r="N411" s="33"/>
      <c r="O411" s="33"/>
      <c r="P411" s="33"/>
      <c r="Q411" s="33"/>
      <c r="R411" s="33"/>
    </row>
    <row r="412">
      <c r="A412" s="33"/>
      <c r="B412" s="33"/>
      <c r="C412" s="33"/>
      <c r="D412" s="33"/>
      <c r="E412" s="33"/>
      <c r="F412" s="33"/>
      <c r="G412" s="33"/>
      <c r="H412" s="33"/>
      <c r="I412" s="33"/>
      <c r="J412" s="33"/>
      <c r="K412" s="33"/>
      <c r="L412" s="33"/>
      <c r="M412" s="33"/>
      <c r="N412" s="33"/>
      <c r="O412" s="33"/>
      <c r="P412" s="33"/>
      <c r="Q412" s="33"/>
      <c r="R412" s="33"/>
    </row>
    <row r="413">
      <c r="A413" s="33"/>
      <c r="B413" s="33"/>
      <c r="C413" s="33"/>
      <c r="D413" s="33"/>
      <c r="E413" s="33"/>
      <c r="F413" s="33"/>
      <c r="G413" s="33"/>
      <c r="H413" s="33"/>
      <c r="I413" s="33"/>
      <c r="J413" s="33"/>
      <c r="K413" s="33"/>
      <c r="L413" s="33"/>
      <c r="M413" s="33"/>
      <c r="N413" s="33"/>
      <c r="O413" s="33"/>
      <c r="P413" s="33"/>
      <c r="Q413" s="33"/>
      <c r="R413" s="33"/>
    </row>
    <row r="414">
      <c r="A414" s="33"/>
      <c r="B414" s="33"/>
      <c r="C414" s="33"/>
      <c r="D414" s="33"/>
      <c r="E414" s="33"/>
      <c r="F414" s="33"/>
      <c r="G414" s="33"/>
      <c r="H414" s="33"/>
      <c r="I414" s="33"/>
      <c r="J414" s="33"/>
      <c r="K414" s="33"/>
      <c r="L414" s="33"/>
      <c r="M414" s="33"/>
      <c r="N414" s="33"/>
      <c r="O414" s="33"/>
      <c r="P414" s="33"/>
      <c r="Q414" s="33"/>
      <c r="R414" s="33"/>
    </row>
    <row r="415">
      <c r="A415" s="33"/>
      <c r="B415" s="33"/>
      <c r="C415" s="33"/>
      <c r="D415" s="33"/>
      <c r="E415" s="33"/>
      <c r="F415" s="33"/>
      <c r="G415" s="33"/>
      <c r="H415" s="33"/>
      <c r="I415" s="33"/>
      <c r="J415" s="33"/>
      <c r="K415" s="33"/>
      <c r="L415" s="33"/>
      <c r="M415" s="33"/>
      <c r="N415" s="33"/>
      <c r="O415" s="33"/>
      <c r="P415" s="33"/>
      <c r="Q415" s="33"/>
      <c r="R415" s="33"/>
    </row>
    <row r="416">
      <c r="A416" s="33"/>
      <c r="B416" s="33"/>
      <c r="C416" s="33"/>
      <c r="D416" s="33"/>
      <c r="E416" s="33"/>
      <c r="F416" s="33"/>
      <c r="G416" s="33"/>
      <c r="H416" s="33"/>
      <c r="I416" s="33"/>
      <c r="J416" s="33"/>
      <c r="K416" s="33"/>
      <c r="L416" s="33"/>
      <c r="M416" s="33"/>
      <c r="N416" s="33"/>
      <c r="O416" s="33"/>
      <c r="P416" s="33"/>
      <c r="Q416" s="33"/>
      <c r="R416" s="33"/>
    </row>
    <row r="417">
      <c r="A417" s="33"/>
      <c r="B417" s="33"/>
      <c r="C417" s="33"/>
      <c r="D417" s="33"/>
      <c r="E417" s="33"/>
      <c r="F417" s="33"/>
      <c r="G417" s="33"/>
      <c r="H417" s="33"/>
      <c r="I417" s="33"/>
      <c r="J417" s="33"/>
      <c r="K417" s="33"/>
      <c r="L417" s="33"/>
      <c r="M417" s="33"/>
      <c r="N417" s="33"/>
      <c r="O417" s="33"/>
      <c r="P417" s="33"/>
      <c r="Q417" s="33"/>
      <c r="R417" s="33"/>
    </row>
    <row r="418">
      <c r="A418" s="33"/>
      <c r="B418" s="33"/>
      <c r="C418" s="33"/>
      <c r="D418" s="33"/>
      <c r="E418" s="33"/>
      <c r="F418" s="33"/>
      <c r="G418" s="33"/>
      <c r="H418" s="33"/>
      <c r="I418" s="33"/>
      <c r="J418" s="33"/>
      <c r="K418" s="33"/>
      <c r="L418" s="33"/>
      <c r="M418" s="33"/>
      <c r="N418" s="33"/>
      <c r="O418" s="33"/>
      <c r="P418" s="33"/>
      <c r="Q418" s="33"/>
      <c r="R418" s="33"/>
    </row>
    <row r="419">
      <c r="A419" s="33"/>
      <c r="B419" s="33"/>
      <c r="C419" s="33"/>
      <c r="D419" s="33"/>
      <c r="E419" s="33"/>
      <c r="F419" s="33"/>
      <c r="G419" s="33"/>
      <c r="H419" s="33"/>
      <c r="I419" s="33"/>
      <c r="J419" s="33"/>
      <c r="K419" s="33"/>
      <c r="L419" s="33"/>
      <c r="M419" s="33"/>
      <c r="N419" s="33"/>
      <c r="O419" s="33"/>
      <c r="P419" s="33"/>
      <c r="Q419" s="33"/>
      <c r="R419" s="33"/>
    </row>
    <row r="420">
      <c r="A420" s="33"/>
      <c r="B420" s="33"/>
      <c r="C420" s="33"/>
      <c r="D420" s="33"/>
      <c r="E420" s="33"/>
      <c r="F420" s="33"/>
      <c r="G420" s="33"/>
      <c r="H420" s="33"/>
      <c r="I420" s="33"/>
      <c r="J420" s="33"/>
      <c r="K420" s="33"/>
      <c r="L420" s="33"/>
      <c r="M420" s="33"/>
      <c r="N420" s="33"/>
      <c r="O420" s="33"/>
      <c r="P420" s="33"/>
      <c r="Q420" s="33"/>
      <c r="R420" s="33"/>
    </row>
    <row r="421">
      <c r="A421" s="33"/>
      <c r="B421" s="33"/>
      <c r="C421" s="33"/>
      <c r="D421" s="33"/>
      <c r="E421" s="33"/>
      <c r="F421" s="33"/>
      <c r="G421" s="33"/>
      <c r="H421" s="33"/>
      <c r="I421" s="33"/>
      <c r="J421" s="33"/>
      <c r="K421" s="33"/>
      <c r="L421" s="33"/>
      <c r="M421" s="33"/>
      <c r="N421" s="33"/>
      <c r="O421" s="33"/>
      <c r="P421" s="33"/>
      <c r="Q421" s="33"/>
      <c r="R421" s="33"/>
    </row>
    <row r="422">
      <c r="A422" s="33"/>
      <c r="B422" s="33"/>
      <c r="C422" s="33"/>
      <c r="D422" s="33"/>
      <c r="E422" s="33"/>
      <c r="F422" s="33"/>
      <c r="G422" s="33"/>
      <c r="H422" s="33"/>
      <c r="I422" s="33"/>
      <c r="J422" s="33"/>
      <c r="K422" s="33"/>
      <c r="L422" s="33"/>
      <c r="M422" s="33"/>
      <c r="N422" s="33"/>
      <c r="O422" s="33"/>
      <c r="P422" s="33"/>
      <c r="Q422" s="33"/>
      <c r="R422" s="33"/>
    </row>
    <row r="423">
      <c r="A423" s="33"/>
      <c r="B423" s="33"/>
      <c r="C423" s="33"/>
      <c r="D423" s="33"/>
      <c r="E423" s="33"/>
      <c r="F423" s="33"/>
      <c r="G423" s="33"/>
      <c r="H423" s="33"/>
      <c r="I423" s="33"/>
      <c r="J423" s="33"/>
      <c r="K423" s="33"/>
      <c r="L423" s="33"/>
      <c r="M423" s="33"/>
      <c r="N423" s="33"/>
      <c r="O423" s="33"/>
      <c r="P423" s="33"/>
      <c r="Q423" s="33"/>
      <c r="R423" s="33"/>
    </row>
    <row r="424">
      <c r="A424" s="33"/>
      <c r="B424" s="33"/>
      <c r="C424" s="33"/>
      <c r="D424" s="33"/>
      <c r="E424" s="33"/>
      <c r="F424" s="33"/>
      <c r="G424" s="33"/>
      <c r="H424" s="33"/>
      <c r="I424" s="33"/>
      <c r="J424" s="33"/>
      <c r="K424" s="33"/>
      <c r="L424" s="33"/>
      <c r="M424" s="33"/>
      <c r="N424" s="33"/>
      <c r="O424" s="33"/>
      <c r="P424" s="33"/>
      <c r="Q424" s="33"/>
      <c r="R424" s="33"/>
    </row>
    <row r="425">
      <c r="A425" s="33"/>
      <c r="B425" s="33"/>
      <c r="C425" s="33"/>
      <c r="D425" s="33"/>
      <c r="E425" s="33"/>
      <c r="F425" s="33"/>
      <c r="G425" s="33"/>
      <c r="H425" s="33"/>
      <c r="I425" s="33"/>
      <c r="J425" s="33"/>
      <c r="K425" s="33"/>
      <c r="L425" s="33"/>
      <c r="M425" s="33"/>
      <c r="N425" s="33"/>
      <c r="O425" s="33"/>
      <c r="P425" s="33"/>
      <c r="Q425" s="33"/>
      <c r="R425" s="33"/>
    </row>
    <row r="426">
      <c r="A426" s="33"/>
      <c r="B426" s="33"/>
      <c r="C426" s="33"/>
      <c r="D426" s="33"/>
      <c r="E426" s="33"/>
      <c r="F426" s="33"/>
      <c r="G426" s="33"/>
      <c r="H426" s="33"/>
      <c r="I426" s="33"/>
      <c r="J426" s="33"/>
      <c r="K426" s="33"/>
      <c r="L426" s="33"/>
      <c r="M426" s="33"/>
      <c r="N426" s="33"/>
      <c r="O426" s="33"/>
      <c r="P426" s="33"/>
      <c r="Q426" s="33"/>
      <c r="R426" s="33"/>
    </row>
    <row r="427">
      <c r="A427" s="33"/>
      <c r="B427" s="33"/>
      <c r="C427" s="33"/>
      <c r="D427" s="33"/>
      <c r="E427" s="33"/>
      <c r="F427" s="33"/>
      <c r="G427" s="33"/>
      <c r="H427" s="33"/>
      <c r="I427" s="33"/>
      <c r="J427" s="33"/>
      <c r="K427" s="33"/>
      <c r="L427" s="33"/>
      <c r="M427" s="33"/>
      <c r="N427" s="33"/>
      <c r="O427" s="33"/>
      <c r="P427" s="33"/>
      <c r="Q427" s="33"/>
      <c r="R427" s="33"/>
    </row>
    <row r="428">
      <c r="A428" s="33"/>
      <c r="B428" s="33"/>
      <c r="C428" s="33"/>
      <c r="D428" s="33"/>
      <c r="E428" s="33"/>
      <c r="F428" s="33"/>
      <c r="G428" s="33"/>
      <c r="H428" s="33"/>
      <c r="I428" s="33"/>
      <c r="J428" s="33"/>
      <c r="K428" s="33"/>
      <c r="L428" s="33"/>
      <c r="M428" s="33"/>
      <c r="N428" s="33"/>
      <c r="O428" s="33"/>
      <c r="P428" s="33"/>
      <c r="Q428" s="33"/>
      <c r="R428" s="33"/>
    </row>
    <row r="429">
      <c r="A429" s="33"/>
      <c r="B429" s="33"/>
      <c r="C429" s="33"/>
      <c r="D429" s="33"/>
      <c r="E429" s="33"/>
      <c r="F429" s="33"/>
      <c r="G429" s="33"/>
      <c r="H429" s="33"/>
      <c r="I429" s="33"/>
      <c r="J429" s="33"/>
      <c r="K429" s="33"/>
      <c r="L429" s="33"/>
      <c r="M429" s="33"/>
      <c r="N429" s="33"/>
      <c r="O429" s="33"/>
      <c r="P429" s="33"/>
      <c r="Q429" s="33"/>
      <c r="R429" s="33"/>
    </row>
    <row r="430">
      <c r="A430" s="33"/>
      <c r="B430" s="33"/>
      <c r="C430" s="33"/>
      <c r="D430" s="33"/>
      <c r="E430" s="33"/>
      <c r="F430" s="33"/>
      <c r="G430" s="33"/>
      <c r="H430" s="33"/>
      <c r="I430" s="33"/>
      <c r="J430" s="33"/>
      <c r="K430" s="33"/>
      <c r="L430" s="33"/>
      <c r="M430" s="33"/>
      <c r="N430" s="33"/>
      <c r="O430" s="33"/>
      <c r="P430" s="33"/>
      <c r="Q430" s="33"/>
      <c r="R430" s="33"/>
    </row>
    <row r="431">
      <c r="A431" s="33"/>
      <c r="B431" s="33"/>
      <c r="C431" s="33"/>
      <c r="D431" s="33"/>
      <c r="E431" s="33"/>
      <c r="F431" s="33"/>
      <c r="G431" s="33"/>
      <c r="H431" s="33"/>
      <c r="I431" s="33"/>
      <c r="J431" s="33"/>
      <c r="K431" s="33"/>
      <c r="L431" s="33"/>
      <c r="M431" s="33"/>
      <c r="N431" s="33"/>
      <c r="O431" s="33"/>
      <c r="P431" s="33"/>
      <c r="Q431" s="33"/>
      <c r="R431" s="33"/>
    </row>
    <row r="432">
      <c r="A432" s="33"/>
      <c r="B432" s="33"/>
      <c r="C432" s="33"/>
      <c r="D432" s="33"/>
      <c r="E432" s="33"/>
      <c r="F432" s="33"/>
      <c r="G432" s="33"/>
      <c r="H432" s="33"/>
      <c r="I432" s="33"/>
      <c r="J432" s="33"/>
      <c r="K432" s="33"/>
      <c r="L432" s="33"/>
      <c r="M432" s="33"/>
      <c r="N432" s="33"/>
      <c r="O432" s="33"/>
      <c r="P432" s="33"/>
      <c r="Q432" s="33"/>
      <c r="R432" s="33"/>
    </row>
    <row r="433">
      <c r="A433" s="33"/>
      <c r="B433" s="33"/>
      <c r="C433" s="33"/>
      <c r="D433" s="33"/>
      <c r="E433" s="33"/>
      <c r="F433" s="33"/>
      <c r="G433" s="33"/>
      <c r="H433" s="33"/>
      <c r="I433" s="33"/>
      <c r="J433" s="33"/>
      <c r="K433" s="33"/>
      <c r="L433" s="33"/>
      <c r="M433" s="33"/>
      <c r="N433" s="33"/>
      <c r="O433" s="33"/>
      <c r="P433" s="33"/>
      <c r="Q433" s="33"/>
      <c r="R433" s="33"/>
    </row>
    <row r="434">
      <c r="A434" s="33"/>
      <c r="B434" s="33"/>
      <c r="C434" s="33"/>
      <c r="D434" s="33"/>
      <c r="E434" s="33"/>
      <c r="F434" s="33"/>
      <c r="G434" s="33"/>
      <c r="H434" s="33"/>
      <c r="I434" s="33"/>
      <c r="J434" s="33"/>
      <c r="K434" s="33"/>
      <c r="L434" s="33"/>
      <c r="M434" s="33"/>
      <c r="N434" s="33"/>
      <c r="O434" s="33"/>
      <c r="P434" s="33"/>
      <c r="Q434" s="33"/>
      <c r="R434" s="33"/>
    </row>
    <row r="435">
      <c r="A435" s="33"/>
      <c r="B435" s="33"/>
      <c r="C435" s="33"/>
      <c r="D435" s="33"/>
      <c r="E435" s="33"/>
      <c r="F435" s="33"/>
      <c r="G435" s="33"/>
      <c r="H435" s="33"/>
      <c r="I435" s="33"/>
      <c r="J435" s="33"/>
      <c r="K435" s="33"/>
      <c r="L435" s="33"/>
      <c r="M435" s="33"/>
      <c r="N435" s="33"/>
      <c r="O435" s="33"/>
      <c r="P435" s="33"/>
      <c r="Q435" s="33"/>
      <c r="R435" s="33"/>
    </row>
    <row r="436">
      <c r="A436" s="33"/>
      <c r="B436" s="33"/>
      <c r="C436" s="33"/>
      <c r="D436" s="33"/>
      <c r="E436" s="33"/>
      <c r="F436" s="33"/>
      <c r="G436" s="33"/>
      <c r="H436" s="33"/>
      <c r="I436" s="33"/>
      <c r="J436" s="33"/>
      <c r="K436" s="33"/>
      <c r="L436" s="33"/>
      <c r="M436" s="33"/>
      <c r="N436" s="33"/>
      <c r="O436" s="33"/>
      <c r="P436" s="33"/>
      <c r="Q436" s="33"/>
      <c r="R436" s="33"/>
    </row>
    <row r="437">
      <c r="A437" s="33"/>
      <c r="B437" s="33"/>
      <c r="C437" s="33"/>
      <c r="D437" s="33"/>
      <c r="E437" s="33"/>
      <c r="F437" s="33"/>
      <c r="G437" s="33"/>
      <c r="H437" s="33"/>
      <c r="I437" s="33"/>
      <c r="J437" s="33"/>
      <c r="K437" s="33"/>
      <c r="L437" s="33"/>
      <c r="M437" s="33"/>
      <c r="N437" s="33"/>
      <c r="O437" s="33"/>
      <c r="P437" s="33"/>
      <c r="Q437" s="33"/>
      <c r="R437" s="33"/>
    </row>
    <row r="438">
      <c r="A438" s="33"/>
      <c r="B438" s="33"/>
      <c r="C438" s="33"/>
      <c r="D438" s="33"/>
      <c r="E438" s="33"/>
      <c r="F438" s="33"/>
      <c r="G438" s="33"/>
      <c r="H438" s="33"/>
      <c r="I438" s="33"/>
      <c r="J438" s="33"/>
      <c r="K438" s="33"/>
      <c r="L438" s="33"/>
      <c r="M438" s="33"/>
      <c r="N438" s="33"/>
      <c r="O438" s="33"/>
      <c r="P438" s="33"/>
      <c r="Q438" s="33"/>
      <c r="R438" s="33"/>
    </row>
    <row r="439">
      <c r="A439" s="33"/>
      <c r="B439" s="33"/>
      <c r="C439" s="33"/>
      <c r="D439" s="33"/>
      <c r="E439" s="33"/>
      <c r="F439" s="33"/>
      <c r="G439" s="33"/>
      <c r="H439" s="33"/>
      <c r="I439" s="33"/>
      <c r="J439" s="33"/>
      <c r="K439" s="33"/>
      <c r="L439" s="33"/>
      <c r="M439" s="33"/>
      <c r="N439" s="33"/>
      <c r="O439" s="33"/>
      <c r="P439" s="33"/>
      <c r="Q439" s="33"/>
      <c r="R439" s="33"/>
    </row>
    <row r="440">
      <c r="A440" s="33"/>
      <c r="B440" s="33"/>
      <c r="C440" s="33"/>
      <c r="D440" s="33"/>
      <c r="E440" s="33"/>
      <c r="F440" s="33"/>
      <c r="G440" s="33"/>
      <c r="H440" s="33"/>
      <c r="I440" s="33"/>
      <c r="J440" s="33"/>
      <c r="K440" s="33"/>
      <c r="L440" s="33"/>
      <c r="M440" s="33"/>
      <c r="N440" s="33"/>
      <c r="O440" s="33"/>
      <c r="P440" s="33"/>
      <c r="Q440" s="33"/>
      <c r="R440" s="33"/>
    </row>
    <row r="441">
      <c r="A441" s="33"/>
      <c r="B441" s="33"/>
      <c r="C441" s="33"/>
      <c r="D441" s="33"/>
      <c r="E441" s="33"/>
      <c r="F441" s="33"/>
      <c r="G441" s="33"/>
      <c r="H441" s="33"/>
      <c r="I441" s="33"/>
      <c r="J441" s="33"/>
      <c r="K441" s="33"/>
      <c r="L441" s="33"/>
      <c r="M441" s="33"/>
      <c r="N441" s="33"/>
      <c r="O441" s="33"/>
      <c r="P441" s="33"/>
      <c r="Q441" s="33"/>
      <c r="R441" s="33"/>
    </row>
    <row r="442">
      <c r="A442" s="33"/>
      <c r="B442" s="33"/>
      <c r="C442" s="33"/>
      <c r="D442" s="33"/>
      <c r="E442" s="33"/>
      <c r="F442" s="33"/>
      <c r="G442" s="33"/>
      <c r="H442" s="33"/>
      <c r="I442" s="33"/>
      <c r="J442" s="33"/>
      <c r="K442" s="33"/>
      <c r="L442" s="33"/>
      <c r="M442" s="33"/>
      <c r="N442" s="33"/>
      <c r="O442" s="33"/>
      <c r="P442" s="33"/>
      <c r="Q442" s="33"/>
      <c r="R442" s="33"/>
    </row>
    <row r="443">
      <c r="A443" s="33"/>
      <c r="B443" s="33"/>
      <c r="C443" s="33"/>
      <c r="D443" s="33"/>
      <c r="E443" s="33"/>
      <c r="F443" s="33"/>
      <c r="G443" s="33"/>
      <c r="H443" s="33"/>
      <c r="I443" s="33"/>
      <c r="J443" s="33"/>
      <c r="K443" s="33"/>
      <c r="L443" s="33"/>
      <c r="M443" s="33"/>
      <c r="N443" s="33"/>
      <c r="O443" s="33"/>
      <c r="P443" s="33"/>
      <c r="Q443" s="33"/>
      <c r="R443" s="33"/>
    </row>
    <row r="444">
      <c r="A444" s="33"/>
      <c r="B444" s="33"/>
      <c r="C444" s="33"/>
      <c r="D444" s="33"/>
      <c r="E444" s="33"/>
      <c r="F444" s="33"/>
      <c r="G444" s="33"/>
      <c r="H444" s="33"/>
      <c r="I444" s="33"/>
      <c r="J444" s="33"/>
      <c r="K444" s="33"/>
      <c r="L444" s="33"/>
      <c r="M444" s="33"/>
      <c r="N444" s="33"/>
      <c r="O444" s="33"/>
      <c r="P444" s="33"/>
      <c r="Q444" s="33"/>
      <c r="R444" s="33"/>
    </row>
    <row r="445">
      <c r="A445" s="33"/>
      <c r="B445" s="33"/>
      <c r="C445" s="33"/>
      <c r="D445" s="33"/>
      <c r="E445" s="33"/>
      <c r="F445" s="33"/>
      <c r="G445" s="33"/>
      <c r="H445" s="33"/>
      <c r="I445" s="33"/>
      <c r="J445" s="33"/>
      <c r="K445" s="33"/>
      <c r="L445" s="33"/>
      <c r="M445" s="33"/>
      <c r="N445" s="33"/>
      <c r="O445" s="33"/>
      <c r="P445" s="33"/>
      <c r="Q445" s="33"/>
      <c r="R445" s="33"/>
    </row>
    <row r="446">
      <c r="A446" s="33"/>
      <c r="B446" s="33"/>
      <c r="C446" s="33"/>
      <c r="D446" s="33"/>
      <c r="E446" s="33"/>
      <c r="F446" s="33"/>
      <c r="G446" s="33"/>
      <c r="H446" s="33"/>
      <c r="I446" s="33"/>
      <c r="J446" s="33"/>
      <c r="K446" s="33"/>
      <c r="L446" s="33"/>
      <c r="M446" s="33"/>
      <c r="N446" s="33"/>
      <c r="O446" s="33"/>
      <c r="P446" s="33"/>
      <c r="Q446" s="33"/>
      <c r="R446" s="33"/>
    </row>
    <row r="447">
      <c r="A447" s="33"/>
      <c r="B447" s="33"/>
      <c r="C447" s="33"/>
      <c r="D447" s="33"/>
      <c r="E447" s="33"/>
      <c r="F447" s="33"/>
      <c r="G447" s="33"/>
      <c r="H447" s="33"/>
      <c r="I447" s="33"/>
      <c r="J447" s="33"/>
      <c r="K447" s="33"/>
      <c r="L447" s="33"/>
      <c r="M447" s="33"/>
      <c r="N447" s="33"/>
      <c r="O447" s="33"/>
      <c r="P447" s="33"/>
      <c r="Q447" s="33"/>
      <c r="R447" s="33"/>
    </row>
    <row r="448">
      <c r="A448" s="33"/>
      <c r="B448" s="33"/>
      <c r="C448" s="33"/>
      <c r="D448" s="33"/>
      <c r="E448" s="33"/>
      <c r="F448" s="33"/>
      <c r="G448" s="33"/>
      <c r="H448" s="33"/>
      <c r="I448" s="33"/>
      <c r="J448" s="33"/>
      <c r="K448" s="33"/>
      <c r="L448" s="33"/>
      <c r="M448" s="33"/>
      <c r="N448" s="33"/>
      <c r="O448" s="33"/>
      <c r="P448" s="33"/>
      <c r="Q448" s="33"/>
      <c r="R448" s="33"/>
    </row>
    <row r="449">
      <c r="A449" s="33"/>
      <c r="B449" s="33"/>
      <c r="C449" s="33"/>
      <c r="D449" s="33"/>
      <c r="E449" s="33"/>
      <c r="F449" s="33"/>
      <c r="G449" s="33"/>
      <c r="H449" s="33"/>
      <c r="I449" s="33"/>
      <c r="J449" s="33"/>
      <c r="K449" s="33"/>
      <c r="L449" s="33"/>
      <c r="M449" s="33"/>
      <c r="N449" s="33"/>
      <c r="O449" s="33"/>
      <c r="P449" s="33"/>
      <c r="Q449" s="33"/>
      <c r="R449" s="33"/>
    </row>
    <row r="450">
      <c r="A450" s="33"/>
      <c r="B450" s="33"/>
      <c r="C450" s="33"/>
      <c r="D450" s="33"/>
      <c r="E450" s="33"/>
      <c r="F450" s="33"/>
      <c r="G450" s="33"/>
      <c r="H450" s="33"/>
      <c r="I450" s="33"/>
      <c r="J450" s="33"/>
      <c r="K450" s="33"/>
      <c r="L450" s="33"/>
      <c r="M450" s="33"/>
      <c r="N450" s="33"/>
      <c r="O450" s="33"/>
      <c r="P450" s="33"/>
      <c r="Q450" s="33"/>
      <c r="R450" s="33"/>
    </row>
    <row r="451">
      <c r="A451" s="33"/>
      <c r="B451" s="33"/>
      <c r="C451" s="33"/>
      <c r="D451" s="33"/>
      <c r="E451" s="33"/>
      <c r="F451" s="33"/>
      <c r="G451" s="33"/>
      <c r="H451" s="33"/>
      <c r="I451" s="33"/>
      <c r="J451" s="33"/>
      <c r="K451" s="33"/>
      <c r="L451" s="33"/>
      <c r="M451" s="33"/>
      <c r="N451" s="33"/>
      <c r="O451" s="33"/>
      <c r="P451" s="33"/>
      <c r="Q451" s="33"/>
      <c r="R451" s="33"/>
    </row>
    <row r="452">
      <c r="A452" s="33"/>
      <c r="B452" s="33"/>
      <c r="C452" s="33"/>
      <c r="D452" s="33"/>
      <c r="E452" s="33"/>
      <c r="F452" s="33"/>
      <c r="G452" s="33"/>
      <c r="H452" s="33"/>
      <c r="I452" s="33"/>
      <c r="J452" s="33"/>
      <c r="K452" s="33"/>
      <c r="L452" s="33"/>
      <c r="M452" s="33"/>
      <c r="N452" s="33"/>
      <c r="O452" s="33"/>
      <c r="P452" s="33"/>
      <c r="Q452" s="33"/>
      <c r="R452" s="33"/>
    </row>
    <row r="453">
      <c r="A453" s="33"/>
      <c r="B453" s="33"/>
      <c r="C453" s="33"/>
      <c r="D453" s="33"/>
      <c r="E453" s="33"/>
      <c r="F453" s="33"/>
      <c r="G453" s="33"/>
      <c r="H453" s="33"/>
      <c r="I453" s="33"/>
      <c r="J453" s="33"/>
      <c r="K453" s="33"/>
      <c r="L453" s="33"/>
      <c r="M453" s="33"/>
      <c r="N453" s="33"/>
      <c r="O453" s="33"/>
      <c r="P453" s="33"/>
      <c r="Q453" s="33"/>
      <c r="R453" s="33"/>
    </row>
    <row r="454">
      <c r="A454" s="33"/>
      <c r="B454" s="33"/>
      <c r="C454" s="33"/>
      <c r="D454" s="33"/>
      <c r="E454" s="33"/>
      <c r="F454" s="33"/>
      <c r="G454" s="33"/>
      <c r="H454" s="33"/>
      <c r="I454" s="33"/>
      <c r="J454" s="33"/>
      <c r="K454" s="33"/>
      <c r="L454" s="33"/>
      <c r="M454" s="33"/>
      <c r="N454" s="33"/>
      <c r="O454" s="33"/>
      <c r="P454" s="33"/>
      <c r="Q454" s="33"/>
      <c r="R454" s="33"/>
    </row>
    <row r="455">
      <c r="A455" s="33"/>
      <c r="B455" s="33"/>
      <c r="C455" s="33"/>
      <c r="D455" s="33"/>
      <c r="E455" s="33"/>
      <c r="F455" s="33"/>
      <c r="G455" s="33"/>
      <c r="H455" s="33"/>
      <c r="I455" s="33"/>
      <c r="J455" s="33"/>
      <c r="K455" s="33"/>
      <c r="L455" s="33"/>
      <c r="M455" s="33"/>
      <c r="N455" s="33"/>
      <c r="O455" s="33"/>
      <c r="P455" s="33"/>
      <c r="Q455" s="33"/>
      <c r="R455" s="33"/>
    </row>
    <row r="456">
      <c r="A456" s="33"/>
      <c r="B456" s="33"/>
      <c r="C456" s="33"/>
      <c r="D456" s="33"/>
      <c r="E456" s="33"/>
      <c r="F456" s="33"/>
      <c r="G456" s="33"/>
      <c r="H456" s="33"/>
      <c r="I456" s="33"/>
      <c r="J456" s="33"/>
      <c r="K456" s="33"/>
      <c r="L456" s="33"/>
      <c r="M456" s="33"/>
      <c r="N456" s="33"/>
      <c r="O456" s="33"/>
      <c r="P456" s="33"/>
      <c r="Q456" s="33"/>
      <c r="R456" s="33"/>
    </row>
    <row r="457">
      <c r="A457" s="33"/>
      <c r="B457" s="33"/>
      <c r="C457" s="33"/>
      <c r="D457" s="33"/>
      <c r="E457" s="33"/>
      <c r="F457" s="33"/>
      <c r="G457" s="33"/>
      <c r="H457" s="33"/>
      <c r="I457" s="33"/>
      <c r="J457" s="33"/>
      <c r="K457" s="33"/>
      <c r="L457" s="33"/>
      <c r="M457" s="33"/>
      <c r="N457" s="33"/>
      <c r="O457" s="33"/>
      <c r="P457" s="33"/>
      <c r="Q457" s="33"/>
      <c r="R457" s="33"/>
    </row>
    <row r="458">
      <c r="A458" s="33"/>
      <c r="B458" s="33"/>
      <c r="C458" s="33"/>
      <c r="D458" s="33"/>
      <c r="E458" s="33"/>
      <c r="F458" s="33"/>
      <c r="G458" s="33"/>
      <c r="H458" s="33"/>
      <c r="I458" s="33"/>
      <c r="J458" s="33"/>
      <c r="K458" s="33"/>
      <c r="L458" s="33"/>
      <c r="M458" s="33"/>
      <c r="N458" s="33"/>
      <c r="O458" s="33"/>
      <c r="P458" s="33"/>
      <c r="Q458" s="33"/>
      <c r="R458" s="33"/>
    </row>
    <row r="459">
      <c r="A459" s="33"/>
      <c r="B459" s="33"/>
      <c r="C459" s="33"/>
      <c r="D459" s="33"/>
      <c r="E459" s="33"/>
      <c r="F459" s="33"/>
      <c r="G459" s="33"/>
      <c r="H459" s="33"/>
      <c r="I459" s="33"/>
      <c r="J459" s="33"/>
      <c r="K459" s="33"/>
      <c r="L459" s="33"/>
      <c r="M459" s="33"/>
      <c r="N459" s="33"/>
      <c r="O459" s="33"/>
      <c r="P459" s="33"/>
      <c r="Q459" s="33"/>
      <c r="R459" s="33"/>
    </row>
    <row r="460">
      <c r="A460" s="33"/>
      <c r="B460" s="33"/>
      <c r="C460" s="33"/>
      <c r="D460" s="33"/>
      <c r="E460" s="33"/>
      <c r="F460" s="33"/>
      <c r="G460" s="33"/>
      <c r="H460" s="33"/>
      <c r="I460" s="33"/>
      <c r="J460" s="33"/>
      <c r="K460" s="33"/>
      <c r="L460" s="33"/>
      <c r="M460" s="33"/>
      <c r="N460" s="33"/>
      <c r="O460" s="33"/>
      <c r="P460" s="33"/>
      <c r="Q460" s="33"/>
      <c r="R460" s="33"/>
    </row>
    <row r="461">
      <c r="A461" s="33"/>
      <c r="B461" s="33"/>
      <c r="C461" s="33"/>
      <c r="D461" s="33"/>
      <c r="E461" s="33"/>
      <c r="F461" s="33"/>
      <c r="G461" s="33"/>
      <c r="H461" s="33"/>
      <c r="I461" s="33"/>
      <c r="J461" s="33"/>
      <c r="K461" s="33"/>
      <c r="L461" s="33"/>
      <c r="M461" s="33"/>
      <c r="N461" s="33"/>
      <c r="O461" s="33"/>
      <c r="P461" s="33"/>
      <c r="Q461" s="33"/>
      <c r="R461" s="33"/>
    </row>
    <row r="462">
      <c r="A462" s="33"/>
      <c r="B462" s="33"/>
      <c r="C462" s="33"/>
      <c r="D462" s="33"/>
      <c r="E462" s="33"/>
      <c r="F462" s="33"/>
      <c r="G462" s="33"/>
      <c r="H462" s="33"/>
      <c r="I462" s="33"/>
      <c r="J462" s="33"/>
      <c r="K462" s="33"/>
      <c r="L462" s="33"/>
      <c r="M462" s="33"/>
      <c r="N462" s="33"/>
      <c r="O462" s="33"/>
      <c r="P462" s="33"/>
      <c r="Q462" s="33"/>
      <c r="R462" s="33"/>
    </row>
    <row r="463">
      <c r="A463" s="33"/>
      <c r="B463" s="33"/>
      <c r="C463" s="33"/>
      <c r="D463" s="33"/>
      <c r="E463" s="33"/>
      <c r="F463" s="33"/>
      <c r="G463" s="33"/>
      <c r="H463" s="33"/>
      <c r="I463" s="33"/>
      <c r="J463" s="33"/>
      <c r="K463" s="33"/>
      <c r="L463" s="33"/>
      <c r="M463" s="33"/>
      <c r="N463" s="33"/>
      <c r="O463" s="33"/>
      <c r="P463" s="33"/>
      <c r="Q463" s="33"/>
      <c r="R463" s="33"/>
    </row>
    <row r="464">
      <c r="A464" s="33"/>
      <c r="B464" s="33"/>
      <c r="C464" s="33"/>
      <c r="D464" s="33"/>
      <c r="E464" s="33"/>
      <c r="F464" s="33"/>
      <c r="G464" s="33"/>
      <c r="H464" s="33"/>
      <c r="I464" s="33"/>
      <c r="J464" s="33"/>
      <c r="K464" s="33"/>
      <c r="L464" s="33"/>
      <c r="M464" s="33"/>
      <c r="N464" s="33"/>
      <c r="O464" s="33"/>
      <c r="P464" s="33"/>
      <c r="Q464" s="33"/>
      <c r="R464" s="33"/>
    </row>
    <row r="465">
      <c r="A465" s="33"/>
      <c r="B465" s="33"/>
      <c r="C465" s="33"/>
      <c r="D465" s="33"/>
      <c r="E465" s="33"/>
      <c r="F465" s="33"/>
      <c r="G465" s="33"/>
      <c r="H465" s="33"/>
      <c r="I465" s="33"/>
      <c r="J465" s="33"/>
      <c r="K465" s="33"/>
      <c r="L465" s="33"/>
      <c r="M465" s="33"/>
      <c r="N465" s="33"/>
      <c r="O465" s="33"/>
      <c r="P465" s="33"/>
      <c r="Q465" s="33"/>
      <c r="R465" s="33"/>
    </row>
    <row r="466">
      <c r="A466" s="33"/>
      <c r="B466" s="33"/>
      <c r="C466" s="33"/>
      <c r="D466" s="33"/>
      <c r="E466" s="33"/>
      <c r="F466" s="33"/>
      <c r="G466" s="33"/>
      <c r="H466" s="33"/>
      <c r="I466" s="33"/>
      <c r="J466" s="33"/>
      <c r="K466" s="33"/>
      <c r="L466" s="33"/>
      <c r="M466" s="33"/>
      <c r="N466" s="33"/>
      <c r="O466" s="33"/>
      <c r="P466" s="33"/>
      <c r="Q466" s="33"/>
      <c r="R466" s="33"/>
    </row>
    <row r="467">
      <c r="A467" s="33"/>
      <c r="B467" s="33"/>
      <c r="C467" s="33"/>
      <c r="D467" s="33"/>
      <c r="E467" s="33"/>
      <c r="F467" s="33"/>
      <c r="G467" s="33"/>
      <c r="H467" s="33"/>
      <c r="I467" s="33"/>
      <c r="J467" s="33"/>
      <c r="K467" s="33"/>
      <c r="L467" s="33"/>
      <c r="M467" s="33"/>
      <c r="N467" s="33"/>
      <c r="O467" s="33"/>
      <c r="P467" s="33"/>
      <c r="Q467" s="33"/>
      <c r="R467" s="33"/>
    </row>
    <row r="468">
      <c r="A468" s="33"/>
      <c r="B468" s="33"/>
      <c r="C468" s="33"/>
      <c r="D468" s="33"/>
      <c r="E468" s="33"/>
      <c r="F468" s="33"/>
      <c r="G468" s="33"/>
      <c r="H468" s="33"/>
      <c r="I468" s="33"/>
      <c r="J468" s="33"/>
      <c r="K468" s="33"/>
      <c r="L468" s="33"/>
      <c r="M468" s="33"/>
      <c r="N468" s="33"/>
      <c r="O468" s="33"/>
      <c r="P468" s="33"/>
      <c r="Q468" s="33"/>
      <c r="R468" s="33"/>
    </row>
    <row r="469">
      <c r="A469" s="33"/>
      <c r="B469" s="33"/>
      <c r="C469" s="33"/>
      <c r="D469" s="33"/>
      <c r="E469" s="33"/>
      <c r="F469" s="33"/>
      <c r="G469" s="33"/>
      <c r="H469" s="33"/>
      <c r="I469" s="33"/>
      <c r="J469" s="33"/>
      <c r="K469" s="33"/>
      <c r="L469" s="33"/>
      <c r="M469" s="33"/>
      <c r="N469" s="33"/>
      <c r="O469" s="33"/>
      <c r="P469" s="33"/>
      <c r="Q469" s="33"/>
      <c r="R469" s="33"/>
    </row>
    <row r="470">
      <c r="A470" s="33"/>
      <c r="B470" s="33"/>
      <c r="C470" s="33"/>
      <c r="D470" s="33"/>
      <c r="E470" s="33"/>
      <c r="F470" s="33"/>
      <c r="G470" s="33"/>
      <c r="H470" s="33"/>
      <c r="I470" s="33"/>
      <c r="J470" s="33"/>
      <c r="K470" s="33"/>
      <c r="L470" s="33"/>
      <c r="M470" s="33"/>
      <c r="N470" s="33"/>
      <c r="O470" s="33"/>
      <c r="P470" s="33"/>
      <c r="Q470" s="33"/>
      <c r="R470" s="33"/>
    </row>
    <row r="471">
      <c r="A471" s="33"/>
      <c r="B471" s="33"/>
      <c r="C471" s="33"/>
      <c r="D471" s="33"/>
      <c r="E471" s="33"/>
      <c r="F471" s="33"/>
      <c r="G471" s="33"/>
      <c r="H471" s="33"/>
      <c r="I471" s="33"/>
      <c r="J471" s="33"/>
      <c r="K471" s="33"/>
      <c r="L471" s="33"/>
      <c r="M471" s="33"/>
      <c r="N471" s="33"/>
      <c r="O471" s="33"/>
      <c r="P471" s="33"/>
      <c r="Q471" s="33"/>
      <c r="R471" s="33"/>
    </row>
    <row r="472">
      <c r="A472" s="33"/>
      <c r="B472" s="33"/>
      <c r="C472" s="33"/>
      <c r="D472" s="33"/>
      <c r="E472" s="33"/>
      <c r="F472" s="33"/>
      <c r="G472" s="33"/>
      <c r="H472" s="33"/>
      <c r="I472" s="33"/>
      <c r="J472" s="33"/>
      <c r="K472" s="33"/>
      <c r="L472" s="33"/>
      <c r="M472" s="33"/>
      <c r="N472" s="33"/>
      <c r="O472" s="33"/>
      <c r="P472" s="33"/>
      <c r="Q472" s="33"/>
      <c r="R472" s="33"/>
    </row>
    <row r="473">
      <c r="A473" s="33"/>
      <c r="B473" s="33"/>
      <c r="C473" s="33"/>
      <c r="D473" s="33"/>
      <c r="E473" s="33"/>
      <c r="F473" s="33"/>
      <c r="G473" s="33"/>
      <c r="H473" s="33"/>
      <c r="I473" s="33"/>
      <c r="J473" s="33"/>
      <c r="K473" s="33"/>
      <c r="L473" s="33"/>
      <c r="M473" s="33"/>
      <c r="N473" s="33"/>
      <c r="O473" s="33"/>
      <c r="P473" s="33"/>
      <c r="Q473" s="33"/>
      <c r="R473" s="33"/>
    </row>
    <row r="474">
      <c r="A474" s="33"/>
      <c r="B474" s="33"/>
      <c r="C474" s="33"/>
      <c r="D474" s="33"/>
      <c r="E474" s="33"/>
      <c r="F474" s="33"/>
      <c r="G474" s="33"/>
      <c r="H474" s="33"/>
      <c r="I474" s="33"/>
      <c r="J474" s="33"/>
      <c r="K474" s="33"/>
      <c r="L474" s="33"/>
      <c r="M474" s="33"/>
      <c r="N474" s="33"/>
      <c r="O474" s="33"/>
      <c r="P474" s="33"/>
      <c r="Q474" s="33"/>
      <c r="R474" s="33"/>
    </row>
    <row r="475">
      <c r="A475" s="33"/>
      <c r="B475" s="33"/>
      <c r="C475" s="33"/>
      <c r="D475" s="33"/>
      <c r="E475" s="33"/>
      <c r="F475" s="33"/>
      <c r="G475" s="33"/>
      <c r="H475" s="33"/>
      <c r="I475" s="33"/>
      <c r="J475" s="33"/>
      <c r="K475" s="33"/>
      <c r="L475" s="33"/>
      <c r="M475" s="33"/>
      <c r="N475" s="33"/>
      <c r="O475" s="33"/>
      <c r="P475" s="33"/>
      <c r="Q475" s="33"/>
      <c r="R475" s="33"/>
    </row>
    <row r="476">
      <c r="A476" s="33"/>
      <c r="B476" s="33"/>
      <c r="C476" s="33"/>
      <c r="D476" s="33"/>
      <c r="E476" s="33"/>
      <c r="F476" s="33"/>
      <c r="G476" s="33"/>
      <c r="H476" s="33"/>
      <c r="I476" s="33"/>
      <c r="J476" s="33"/>
      <c r="K476" s="33"/>
      <c r="L476" s="33"/>
      <c r="M476" s="33"/>
      <c r="N476" s="33"/>
      <c r="O476" s="33"/>
      <c r="P476" s="33"/>
      <c r="Q476" s="33"/>
      <c r="R476" s="33"/>
    </row>
    <row r="477">
      <c r="A477" s="33"/>
      <c r="B477" s="33"/>
      <c r="C477" s="33"/>
      <c r="D477" s="33"/>
      <c r="E477" s="33"/>
      <c r="F477" s="33"/>
      <c r="G477" s="33"/>
      <c r="H477" s="33"/>
      <c r="I477" s="33"/>
      <c r="J477" s="33"/>
      <c r="K477" s="33"/>
      <c r="L477" s="33"/>
      <c r="M477" s="33"/>
      <c r="N477" s="33"/>
      <c r="O477" s="33"/>
      <c r="P477" s="33"/>
      <c r="Q477" s="33"/>
      <c r="R477" s="33"/>
    </row>
    <row r="478">
      <c r="A478" s="33"/>
      <c r="B478" s="33"/>
      <c r="C478" s="33"/>
      <c r="D478" s="33"/>
      <c r="E478" s="33"/>
      <c r="F478" s="33"/>
      <c r="G478" s="33"/>
      <c r="H478" s="33"/>
      <c r="I478" s="33"/>
      <c r="J478" s="33"/>
      <c r="K478" s="33"/>
      <c r="L478" s="33"/>
      <c r="M478" s="33"/>
      <c r="N478" s="33"/>
      <c r="O478" s="33"/>
      <c r="P478" s="33"/>
      <c r="Q478" s="33"/>
      <c r="R478" s="33"/>
    </row>
    <row r="479">
      <c r="A479" s="33"/>
      <c r="B479" s="33"/>
      <c r="C479" s="33"/>
      <c r="D479" s="33"/>
      <c r="E479" s="33"/>
      <c r="F479" s="33"/>
      <c r="G479" s="33"/>
      <c r="H479" s="33"/>
      <c r="I479" s="33"/>
      <c r="J479" s="33"/>
      <c r="K479" s="33"/>
      <c r="L479" s="33"/>
      <c r="M479" s="33"/>
      <c r="N479" s="33"/>
      <c r="O479" s="33"/>
      <c r="P479" s="33"/>
      <c r="Q479" s="33"/>
      <c r="R479" s="33"/>
    </row>
    <row r="480">
      <c r="A480" s="33"/>
      <c r="B480" s="33"/>
      <c r="C480" s="33"/>
      <c r="D480" s="33"/>
      <c r="E480" s="33"/>
      <c r="F480" s="33"/>
      <c r="G480" s="33"/>
      <c r="H480" s="33"/>
      <c r="I480" s="33"/>
      <c r="J480" s="33"/>
      <c r="K480" s="33"/>
      <c r="L480" s="33"/>
      <c r="M480" s="33"/>
      <c r="N480" s="33"/>
      <c r="O480" s="33"/>
      <c r="P480" s="33"/>
      <c r="Q480" s="33"/>
      <c r="R480" s="33"/>
    </row>
    <row r="481">
      <c r="A481" s="33"/>
      <c r="B481" s="33"/>
      <c r="C481" s="33"/>
      <c r="D481" s="33"/>
      <c r="E481" s="33"/>
      <c r="F481" s="33"/>
      <c r="G481" s="33"/>
      <c r="H481" s="33"/>
      <c r="I481" s="33"/>
      <c r="J481" s="33"/>
      <c r="K481" s="33"/>
      <c r="L481" s="33"/>
      <c r="M481" s="33"/>
      <c r="N481" s="33"/>
      <c r="O481" s="33"/>
      <c r="P481" s="33"/>
      <c r="Q481" s="33"/>
      <c r="R481" s="33"/>
    </row>
    <row r="482">
      <c r="A482" s="33"/>
      <c r="B482" s="33"/>
      <c r="C482" s="33"/>
      <c r="D482" s="33"/>
      <c r="E482" s="33"/>
      <c r="F482" s="33"/>
      <c r="G482" s="33"/>
      <c r="H482" s="33"/>
      <c r="I482" s="33"/>
      <c r="J482" s="33"/>
      <c r="K482" s="33"/>
      <c r="L482" s="33"/>
      <c r="M482" s="33"/>
      <c r="N482" s="33"/>
      <c r="O482" s="33"/>
      <c r="P482" s="33"/>
      <c r="Q482" s="33"/>
      <c r="R482" s="33"/>
    </row>
    <row r="483">
      <c r="A483" s="33"/>
      <c r="B483" s="33"/>
      <c r="C483" s="33"/>
      <c r="D483" s="33"/>
      <c r="E483" s="33"/>
      <c r="F483" s="33"/>
      <c r="G483" s="33"/>
      <c r="H483" s="33"/>
      <c r="I483" s="33"/>
      <c r="J483" s="33"/>
      <c r="K483" s="33"/>
      <c r="L483" s="33"/>
      <c r="M483" s="33"/>
      <c r="N483" s="33"/>
      <c r="O483" s="33"/>
      <c r="P483" s="33"/>
      <c r="Q483" s="33"/>
      <c r="R483" s="33"/>
    </row>
    <row r="484">
      <c r="A484" s="33"/>
      <c r="B484" s="33"/>
      <c r="C484" s="33"/>
      <c r="D484" s="33"/>
      <c r="E484" s="33"/>
      <c r="F484" s="33"/>
      <c r="G484" s="33"/>
      <c r="H484" s="33"/>
      <c r="I484" s="33"/>
      <c r="J484" s="33"/>
      <c r="K484" s="33"/>
      <c r="L484" s="33"/>
      <c r="M484" s="33"/>
      <c r="N484" s="33"/>
      <c r="O484" s="33"/>
      <c r="P484" s="33"/>
      <c r="Q484" s="33"/>
      <c r="R484" s="33"/>
    </row>
    <row r="485">
      <c r="A485" s="33"/>
      <c r="B485" s="33"/>
      <c r="C485" s="33"/>
      <c r="D485" s="33"/>
      <c r="E485" s="33"/>
      <c r="F485" s="33"/>
      <c r="G485" s="33"/>
      <c r="H485" s="33"/>
      <c r="I485" s="33"/>
      <c r="J485" s="33"/>
      <c r="K485" s="33"/>
      <c r="L485" s="33"/>
      <c r="M485" s="33"/>
      <c r="N485" s="33"/>
      <c r="O485" s="33"/>
      <c r="P485" s="33"/>
      <c r="Q485" s="33"/>
      <c r="R485" s="33"/>
    </row>
    <row r="486">
      <c r="A486" s="33"/>
      <c r="B486" s="33"/>
      <c r="C486" s="33"/>
      <c r="D486" s="33"/>
      <c r="E486" s="33"/>
      <c r="F486" s="33"/>
      <c r="G486" s="33"/>
      <c r="H486" s="33"/>
      <c r="I486" s="33"/>
      <c r="J486" s="33"/>
      <c r="K486" s="33"/>
      <c r="L486" s="33"/>
      <c r="M486" s="33"/>
      <c r="N486" s="33"/>
      <c r="O486" s="33"/>
      <c r="P486" s="33"/>
      <c r="Q486" s="33"/>
      <c r="R486" s="33"/>
    </row>
    <row r="487">
      <c r="A487" s="33"/>
      <c r="B487" s="33"/>
      <c r="C487" s="33"/>
      <c r="D487" s="33"/>
      <c r="E487" s="33"/>
      <c r="F487" s="33"/>
      <c r="G487" s="33"/>
      <c r="H487" s="33"/>
      <c r="I487" s="33"/>
      <c r="J487" s="33"/>
      <c r="K487" s="33"/>
      <c r="L487" s="33"/>
      <c r="M487" s="33"/>
      <c r="N487" s="33"/>
      <c r="O487" s="33"/>
      <c r="P487" s="33"/>
      <c r="Q487" s="33"/>
      <c r="R487" s="33"/>
    </row>
    <row r="488">
      <c r="A488" s="33"/>
      <c r="B488" s="33"/>
      <c r="C488" s="33"/>
      <c r="D488" s="33"/>
      <c r="E488" s="33"/>
      <c r="F488" s="33"/>
      <c r="G488" s="33"/>
      <c r="H488" s="33"/>
      <c r="I488" s="33"/>
      <c r="J488" s="33"/>
      <c r="K488" s="33"/>
      <c r="L488" s="33"/>
      <c r="M488" s="33"/>
      <c r="N488" s="33"/>
      <c r="O488" s="33"/>
      <c r="P488" s="33"/>
      <c r="Q488" s="33"/>
      <c r="R488" s="33"/>
    </row>
    <row r="489">
      <c r="A489" s="33"/>
      <c r="B489" s="33"/>
      <c r="C489" s="33"/>
      <c r="D489" s="33"/>
      <c r="E489" s="33"/>
      <c r="F489" s="33"/>
      <c r="G489" s="33"/>
      <c r="H489" s="33"/>
      <c r="I489" s="33"/>
      <c r="J489" s="33"/>
      <c r="K489" s="33"/>
      <c r="L489" s="33"/>
      <c r="M489" s="33"/>
      <c r="N489" s="33"/>
      <c r="O489" s="33"/>
      <c r="P489" s="33"/>
      <c r="Q489" s="33"/>
      <c r="R489" s="33"/>
    </row>
    <row r="490">
      <c r="A490" s="33"/>
      <c r="B490" s="33"/>
      <c r="C490" s="33"/>
      <c r="D490" s="33"/>
      <c r="E490" s="33"/>
      <c r="F490" s="33"/>
      <c r="G490" s="33"/>
      <c r="H490" s="33"/>
      <c r="I490" s="33"/>
      <c r="J490" s="33"/>
      <c r="K490" s="33"/>
      <c r="L490" s="33"/>
      <c r="M490" s="33"/>
      <c r="N490" s="33"/>
      <c r="O490" s="33"/>
      <c r="P490" s="33"/>
      <c r="Q490" s="33"/>
      <c r="R490" s="33"/>
    </row>
    <row r="491">
      <c r="A491" s="33"/>
      <c r="B491" s="33"/>
      <c r="C491" s="33"/>
      <c r="D491" s="33"/>
      <c r="E491" s="33"/>
      <c r="F491" s="33"/>
      <c r="G491" s="33"/>
      <c r="H491" s="33"/>
      <c r="I491" s="33"/>
      <c r="J491" s="33"/>
      <c r="K491" s="33"/>
      <c r="L491" s="33"/>
      <c r="M491" s="33"/>
      <c r="N491" s="33"/>
      <c r="O491" s="33"/>
      <c r="P491" s="33"/>
      <c r="Q491" s="33"/>
      <c r="R491" s="33"/>
    </row>
    <row r="492">
      <c r="A492" s="33"/>
      <c r="B492" s="33"/>
      <c r="C492" s="33"/>
      <c r="D492" s="33"/>
      <c r="E492" s="33"/>
      <c r="F492" s="33"/>
      <c r="G492" s="33"/>
      <c r="H492" s="33"/>
      <c r="I492" s="33"/>
      <c r="J492" s="33"/>
      <c r="K492" s="33"/>
      <c r="L492" s="33"/>
      <c r="M492" s="33"/>
      <c r="N492" s="33"/>
      <c r="O492" s="33"/>
      <c r="P492" s="33"/>
      <c r="Q492" s="33"/>
      <c r="R492" s="33"/>
    </row>
    <row r="493">
      <c r="A493" s="33"/>
      <c r="B493" s="33"/>
      <c r="C493" s="33"/>
      <c r="D493" s="33"/>
      <c r="E493" s="33"/>
      <c r="F493" s="33"/>
      <c r="G493" s="33"/>
      <c r="H493" s="33"/>
      <c r="I493" s="33"/>
      <c r="J493" s="33"/>
      <c r="K493" s="33"/>
      <c r="L493" s="33"/>
      <c r="M493" s="33"/>
      <c r="N493" s="33"/>
      <c r="O493" s="33"/>
      <c r="P493" s="33"/>
      <c r="Q493" s="33"/>
      <c r="R493" s="33"/>
    </row>
    <row r="494">
      <c r="A494" s="33"/>
      <c r="B494" s="33"/>
      <c r="C494" s="33"/>
      <c r="D494" s="33"/>
      <c r="E494" s="33"/>
      <c r="F494" s="33"/>
      <c r="G494" s="33"/>
      <c r="H494" s="33"/>
      <c r="I494" s="33"/>
      <c r="J494" s="33"/>
      <c r="K494" s="33"/>
      <c r="L494" s="33"/>
      <c r="M494" s="33"/>
      <c r="N494" s="33"/>
      <c r="O494" s="33"/>
      <c r="P494" s="33"/>
      <c r="Q494" s="33"/>
      <c r="R494" s="33"/>
    </row>
    <row r="495">
      <c r="A495" s="33"/>
      <c r="B495" s="33"/>
      <c r="C495" s="33"/>
      <c r="D495" s="33"/>
      <c r="E495" s="33"/>
      <c r="F495" s="33"/>
      <c r="G495" s="33"/>
      <c r="H495" s="33"/>
      <c r="I495" s="33"/>
      <c r="J495" s="33"/>
      <c r="K495" s="33"/>
      <c r="L495" s="33"/>
      <c r="M495" s="33"/>
      <c r="N495" s="33"/>
      <c r="O495" s="33"/>
      <c r="P495" s="33"/>
      <c r="Q495" s="33"/>
      <c r="R495" s="33"/>
    </row>
    <row r="496">
      <c r="A496" s="33"/>
      <c r="B496" s="33"/>
      <c r="C496" s="33"/>
      <c r="D496" s="33"/>
      <c r="E496" s="33"/>
      <c r="F496" s="33"/>
      <c r="G496" s="33"/>
      <c r="H496" s="33"/>
      <c r="I496" s="33"/>
      <c r="J496" s="33"/>
      <c r="K496" s="33"/>
      <c r="L496" s="33"/>
      <c r="M496" s="33"/>
      <c r="N496" s="33"/>
      <c r="O496" s="33"/>
      <c r="P496" s="33"/>
      <c r="Q496" s="33"/>
      <c r="R496" s="33"/>
    </row>
    <row r="497">
      <c r="A497" s="33"/>
      <c r="B497" s="33"/>
      <c r="C497" s="33"/>
      <c r="D497" s="33"/>
      <c r="E497" s="33"/>
      <c r="F497" s="33"/>
      <c r="G497" s="33"/>
      <c r="H497" s="33"/>
      <c r="I497" s="33"/>
      <c r="J497" s="33"/>
      <c r="K497" s="33"/>
      <c r="L497" s="33"/>
      <c r="M497" s="33"/>
      <c r="N497" s="33"/>
      <c r="O497" s="33"/>
      <c r="P497" s="33"/>
      <c r="Q497" s="33"/>
      <c r="R497" s="33"/>
    </row>
    <row r="498">
      <c r="A498" s="33"/>
      <c r="B498" s="33"/>
      <c r="C498" s="33"/>
      <c r="D498" s="33"/>
      <c r="E498" s="33"/>
      <c r="F498" s="33"/>
      <c r="G498" s="33"/>
      <c r="H498" s="33"/>
      <c r="I498" s="33"/>
      <c r="J498" s="33"/>
      <c r="K498" s="33"/>
      <c r="L498" s="33"/>
      <c r="M498" s="33"/>
      <c r="N498" s="33"/>
      <c r="O498" s="33"/>
      <c r="P498" s="33"/>
      <c r="Q498" s="33"/>
      <c r="R498" s="33"/>
    </row>
    <row r="499">
      <c r="A499" s="33"/>
      <c r="B499" s="33"/>
      <c r="C499" s="33"/>
      <c r="D499" s="33"/>
      <c r="E499" s="33"/>
      <c r="F499" s="33"/>
      <c r="G499" s="33"/>
      <c r="H499" s="33"/>
      <c r="I499" s="33"/>
      <c r="J499" s="33"/>
      <c r="K499" s="33"/>
      <c r="L499" s="33"/>
      <c r="M499" s="33"/>
      <c r="N499" s="33"/>
      <c r="O499" s="33"/>
      <c r="P499" s="33"/>
      <c r="Q499" s="33"/>
      <c r="R499" s="33"/>
    </row>
    <row r="500">
      <c r="A500" s="33"/>
      <c r="B500" s="33"/>
      <c r="C500" s="33"/>
      <c r="D500" s="33"/>
      <c r="E500" s="33"/>
      <c r="F500" s="33"/>
      <c r="G500" s="33"/>
      <c r="H500" s="33"/>
      <c r="I500" s="33"/>
      <c r="J500" s="33"/>
      <c r="K500" s="33"/>
      <c r="L500" s="33"/>
      <c r="M500" s="33"/>
      <c r="N500" s="33"/>
      <c r="O500" s="33"/>
      <c r="P500" s="33"/>
      <c r="Q500" s="33"/>
      <c r="R500" s="33"/>
    </row>
    <row r="501">
      <c r="A501" s="33"/>
      <c r="B501" s="33"/>
      <c r="C501" s="33"/>
      <c r="D501" s="33"/>
      <c r="E501" s="33"/>
      <c r="F501" s="33"/>
      <c r="G501" s="33"/>
      <c r="H501" s="33"/>
      <c r="I501" s="33"/>
      <c r="J501" s="33"/>
      <c r="K501" s="33"/>
      <c r="L501" s="33"/>
      <c r="M501" s="33"/>
      <c r="N501" s="33"/>
      <c r="O501" s="33"/>
      <c r="P501" s="33"/>
      <c r="Q501" s="33"/>
      <c r="R501" s="33"/>
    </row>
    <row r="502">
      <c r="A502" s="33"/>
      <c r="B502" s="33"/>
      <c r="C502" s="33"/>
      <c r="D502" s="33"/>
      <c r="E502" s="33"/>
      <c r="F502" s="33"/>
      <c r="G502" s="33"/>
      <c r="H502" s="33"/>
      <c r="I502" s="33"/>
      <c r="J502" s="33"/>
      <c r="K502" s="33"/>
      <c r="L502" s="33"/>
      <c r="M502" s="33"/>
      <c r="N502" s="33"/>
      <c r="O502" s="33"/>
      <c r="P502" s="33"/>
      <c r="Q502" s="33"/>
      <c r="R502" s="33"/>
    </row>
    <row r="503">
      <c r="A503" s="33"/>
      <c r="B503" s="33"/>
      <c r="C503" s="33"/>
      <c r="D503" s="33"/>
      <c r="E503" s="33"/>
      <c r="F503" s="33"/>
      <c r="G503" s="33"/>
      <c r="H503" s="33"/>
      <c r="I503" s="33"/>
      <c r="J503" s="33"/>
      <c r="K503" s="33"/>
      <c r="L503" s="33"/>
      <c r="M503" s="33"/>
      <c r="N503" s="33"/>
      <c r="O503" s="33"/>
      <c r="P503" s="33"/>
      <c r="Q503" s="33"/>
      <c r="R503" s="33"/>
    </row>
    <row r="504">
      <c r="A504" s="33"/>
      <c r="B504" s="33"/>
      <c r="C504" s="33"/>
      <c r="D504" s="33"/>
      <c r="E504" s="33"/>
      <c r="F504" s="33"/>
      <c r="G504" s="33"/>
      <c r="H504" s="33"/>
      <c r="I504" s="33"/>
      <c r="J504" s="33"/>
      <c r="K504" s="33"/>
      <c r="L504" s="33"/>
      <c r="M504" s="33"/>
      <c r="N504" s="33"/>
      <c r="O504" s="33"/>
      <c r="P504" s="33"/>
      <c r="Q504" s="33"/>
      <c r="R504" s="33"/>
    </row>
    <row r="505">
      <c r="A505" s="33"/>
      <c r="B505" s="33"/>
      <c r="C505" s="33"/>
      <c r="D505" s="33"/>
      <c r="E505" s="33"/>
      <c r="F505" s="33"/>
      <c r="G505" s="33"/>
      <c r="H505" s="33"/>
      <c r="I505" s="33"/>
      <c r="J505" s="33"/>
      <c r="K505" s="33"/>
      <c r="L505" s="33"/>
      <c r="M505" s="33"/>
      <c r="N505" s="33"/>
      <c r="O505" s="33"/>
      <c r="P505" s="33"/>
      <c r="Q505" s="33"/>
      <c r="R505" s="33"/>
    </row>
    <row r="506">
      <c r="A506" s="33"/>
      <c r="B506" s="33"/>
      <c r="C506" s="33"/>
      <c r="D506" s="33"/>
      <c r="E506" s="33"/>
      <c r="F506" s="33"/>
      <c r="G506" s="33"/>
      <c r="H506" s="33"/>
      <c r="I506" s="33"/>
      <c r="J506" s="33"/>
      <c r="K506" s="33"/>
      <c r="L506" s="33"/>
      <c r="M506" s="33"/>
      <c r="N506" s="33"/>
      <c r="O506" s="33"/>
      <c r="P506" s="33"/>
      <c r="Q506" s="33"/>
      <c r="R506" s="33"/>
    </row>
    <row r="507">
      <c r="A507" s="33"/>
      <c r="B507" s="33"/>
      <c r="C507" s="33"/>
      <c r="D507" s="33"/>
      <c r="E507" s="33"/>
      <c r="F507" s="33"/>
      <c r="G507" s="33"/>
      <c r="H507" s="33"/>
      <c r="I507" s="33"/>
      <c r="J507" s="33"/>
      <c r="K507" s="33"/>
      <c r="L507" s="33"/>
      <c r="M507" s="33"/>
      <c r="N507" s="33"/>
      <c r="O507" s="33"/>
      <c r="P507" s="33"/>
      <c r="Q507" s="33"/>
      <c r="R507" s="33"/>
    </row>
    <row r="508">
      <c r="A508" s="33"/>
      <c r="B508" s="33"/>
      <c r="C508" s="33"/>
      <c r="D508" s="33"/>
      <c r="E508" s="33"/>
      <c r="F508" s="33"/>
      <c r="G508" s="33"/>
      <c r="H508" s="33"/>
      <c r="I508" s="33"/>
      <c r="J508" s="33"/>
      <c r="K508" s="33"/>
      <c r="L508" s="33"/>
      <c r="M508" s="33"/>
      <c r="N508" s="33"/>
      <c r="O508" s="33"/>
      <c r="P508" s="33"/>
      <c r="Q508" s="33"/>
      <c r="R508" s="33"/>
    </row>
    <row r="509">
      <c r="A509" s="33"/>
      <c r="B509" s="33"/>
      <c r="C509" s="33"/>
      <c r="D509" s="33"/>
      <c r="E509" s="33"/>
      <c r="F509" s="33"/>
      <c r="G509" s="33"/>
      <c r="H509" s="33"/>
      <c r="I509" s="33"/>
      <c r="J509" s="33"/>
      <c r="K509" s="33"/>
      <c r="L509" s="33"/>
      <c r="M509" s="33"/>
      <c r="N509" s="33"/>
      <c r="O509" s="33"/>
      <c r="P509" s="33"/>
      <c r="Q509" s="33"/>
      <c r="R509" s="33"/>
    </row>
    <row r="510">
      <c r="A510" s="33"/>
      <c r="B510" s="33"/>
      <c r="C510" s="33"/>
      <c r="D510" s="33"/>
      <c r="E510" s="33"/>
      <c r="F510" s="33"/>
      <c r="G510" s="33"/>
      <c r="H510" s="33"/>
      <c r="I510" s="33"/>
      <c r="J510" s="33"/>
      <c r="K510" s="33"/>
      <c r="L510" s="33"/>
      <c r="M510" s="33"/>
      <c r="N510" s="33"/>
      <c r="O510" s="33"/>
      <c r="P510" s="33"/>
      <c r="Q510" s="33"/>
      <c r="R510" s="33"/>
    </row>
    <row r="511">
      <c r="A511" s="33"/>
      <c r="B511" s="33"/>
      <c r="C511" s="33"/>
      <c r="D511" s="33"/>
      <c r="E511" s="33"/>
      <c r="F511" s="33"/>
      <c r="G511" s="33"/>
      <c r="H511" s="33"/>
      <c r="I511" s="33"/>
      <c r="J511" s="33"/>
      <c r="K511" s="33"/>
      <c r="L511" s="33"/>
      <c r="M511" s="33"/>
      <c r="N511" s="33"/>
      <c r="O511" s="33"/>
      <c r="P511" s="33"/>
      <c r="Q511" s="33"/>
      <c r="R511" s="33"/>
    </row>
    <row r="512">
      <c r="A512" s="33"/>
      <c r="B512" s="33"/>
      <c r="C512" s="33"/>
      <c r="D512" s="33"/>
      <c r="E512" s="33"/>
      <c r="F512" s="33"/>
      <c r="G512" s="33"/>
      <c r="H512" s="33"/>
      <c r="I512" s="33"/>
      <c r="J512" s="33"/>
      <c r="K512" s="33"/>
      <c r="L512" s="33"/>
      <c r="M512" s="33"/>
      <c r="N512" s="33"/>
      <c r="O512" s="33"/>
      <c r="P512" s="33"/>
      <c r="Q512" s="33"/>
      <c r="R512" s="33"/>
    </row>
    <row r="513">
      <c r="A513" s="33"/>
      <c r="B513" s="33"/>
      <c r="C513" s="33"/>
      <c r="D513" s="33"/>
      <c r="E513" s="33"/>
      <c r="F513" s="33"/>
      <c r="G513" s="33"/>
      <c r="H513" s="33"/>
      <c r="I513" s="33"/>
      <c r="J513" s="33"/>
      <c r="K513" s="33"/>
      <c r="L513" s="33"/>
      <c r="M513" s="33"/>
      <c r="N513" s="33"/>
      <c r="O513" s="33"/>
      <c r="P513" s="33"/>
      <c r="Q513" s="33"/>
      <c r="R513" s="33"/>
    </row>
    <row r="514">
      <c r="A514" s="33"/>
      <c r="B514" s="33"/>
      <c r="C514" s="33"/>
      <c r="D514" s="33"/>
      <c r="E514" s="33"/>
      <c r="F514" s="33"/>
      <c r="G514" s="33"/>
      <c r="H514" s="33"/>
      <c r="I514" s="33"/>
      <c r="J514" s="33"/>
      <c r="K514" s="33"/>
      <c r="L514" s="33"/>
      <c r="M514" s="33"/>
      <c r="N514" s="33"/>
      <c r="O514" s="33"/>
      <c r="P514" s="33"/>
      <c r="Q514" s="33"/>
      <c r="R514" s="33"/>
    </row>
    <row r="515">
      <c r="A515" s="33"/>
      <c r="B515" s="33"/>
      <c r="C515" s="33"/>
      <c r="D515" s="33"/>
      <c r="E515" s="33"/>
      <c r="F515" s="33"/>
      <c r="G515" s="33"/>
      <c r="H515" s="33"/>
      <c r="I515" s="33"/>
      <c r="J515" s="33"/>
      <c r="K515" s="33"/>
      <c r="L515" s="33"/>
      <c r="M515" s="33"/>
      <c r="N515" s="33"/>
      <c r="O515" s="33"/>
      <c r="P515" s="33"/>
      <c r="Q515" s="33"/>
      <c r="R515" s="33"/>
    </row>
    <row r="516">
      <c r="A516" s="33"/>
      <c r="B516" s="33"/>
      <c r="C516" s="33"/>
      <c r="D516" s="33"/>
      <c r="E516" s="33"/>
      <c r="F516" s="33"/>
      <c r="G516" s="33"/>
      <c r="H516" s="33"/>
      <c r="I516" s="33"/>
      <c r="J516" s="33"/>
      <c r="K516" s="33"/>
      <c r="L516" s="33"/>
      <c r="M516" s="33"/>
      <c r="N516" s="33"/>
      <c r="O516" s="33"/>
      <c r="P516" s="33"/>
      <c r="Q516" s="33"/>
      <c r="R516" s="33"/>
    </row>
    <row r="517">
      <c r="A517" s="33"/>
      <c r="B517" s="33"/>
      <c r="C517" s="33"/>
      <c r="D517" s="33"/>
      <c r="E517" s="33"/>
      <c r="F517" s="33"/>
      <c r="G517" s="33"/>
      <c r="H517" s="33"/>
      <c r="I517" s="33"/>
      <c r="J517" s="33"/>
      <c r="K517" s="33"/>
      <c r="L517" s="33"/>
      <c r="M517" s="33"/>
      <c r="N517" s="33"/>
      <c r="O517" s="33"/>
      <c r="P517" s="33"/>
      <c r="Q517" s="33"/>
      <c r="R517" s="33"/>
    </row>
    <row r="518">
      <c r="A518" s="33"/>
      <c r="B518" s="33"/>
      <c r="C518" s="33"/>
      <c r="D518" s="33"/>
      <c r="E518" s="33"/>
      <c r="F518" s="33"/>
      <c r="G518" s="33"/>
      <c r="H518" s="33"/>
      <c r="I518" s="33"/>
      <c r="J518" s="33"/>
      <c r="K518" s="33"/>
      <c r="L518" s="33"/>
      <c r="M518" s="33"/>
      <c r="N518" s="33"/>
      <c r="O518" s="33"/>
      <c r="P518" s="33"/>
      <c r="Q518" s="33"/>
      <c r="R518" s="33"/>
    </row>
    <row r="519">
      <c r="A519" s="33"/>
      <c r="B519" s="33"/>
      <c r="C519" s="33"/>
      <c r="D519" s="33"/>
      <c r="E519" s="33"/>
      <c r="F519" s="33"/>
      <c r="G519" s="33"/>
      <c r="H519" s="33"/>
      <c r="I519" s="33"/>
      <c r="J519" s="33"/>
      <c r="K519" s="33"/>
      <c r="L519" s="33"/>
      <c r="M519" s="33"/>
      <c r="N519" s="33"/>
      <c r="O519" s="33"/>
      <c r="P519" s="33"/>
      <c r="Q519" s="33"/>
      <c r="R519" s="33"/>
    </row>
    <row r="520">
      <c r="A520" s="33"/>
      <c r="B520" s="33"/>
      <c r="C520" s="33"/>
      <c r="D520" s="33"/>
      <c r="E520" s="33"/>
      <c r="F520" s="33"/>
      <c r="G520" s="33"/>
      <c r="H520" s="33"/>
      <c r="I520" s="33"/>
      <c r="J520" s="33"/>
      <c r="K520" s="33"/>
      <c r="L520" s="33"/>
      <c r="M520" s="33"/>
      <c r="N520" s="33"/>
      <c r="O520" s="33"/>
      <c r="P520" s="33"/>
      <c r="Q520" s="33"/>
      <c r="R520" s="33"/>
    </row>
    <row r="521">
      <c r="A521" s="33"/>
      <c r="B521" s="33"/>
      <c r="C521" s="33"/>
      <c r="D521" s="33"/>
      <c r="E521" s="33"/>
      <c r="F521" s="33"/>
      <c r="G521" s="33"/>
      <c r="H521" s="33"/>
      <c r="I521" s="33"/>
      <c r="J521" s="33"/>
      <c r="K521" s="33"/>
      <c r="L521" s="33"/>
      <c r="M521" s="33"/>
      <c r="N521" s="33"/>
      <c r="O521" s="33"/>
      <c r="P521" s="33"/>
      <c r="Q521" s="33"/>
      <c r="R521" s="33"/>
    </row>
    <row r="522">
      <c r="A522" s="33"/>
      <c r="B522" s="33"/>
      <c r="C522" s="33"/>
      <c r="D522" s="33"/>
      <c r="E522" s="33"/>
      <c r="F522" s="33"/>
      <c r="G522" s="33"/>
      <c r="H522" s="33"/>
      <c r="I522" s="33"/>
      <c r="J522" s="33"/>
      <c r="K522" s="33"/>
      <c r="L522" s="33"/>
      <c r="M522" s="33"/>
      <c r="N522" s="33"/>
      <c r="O522" s="33"/>
      <c r="P522" s="33"/>
      <c r="Q522" s="33"/>
      <c r="R522" s="33"/>
    </row>
    <row r="523">
      <c r="A523" s="33"/>
      <c r="B523" s="33"/>
      <c r="C523" s="33"/>
      <c r="D523" s="33"/>
      <c r="E523" s="33"/>
      <c r="F523" s="33"/>
      <c r="G523" s="33"/>
      <c r="H523" s="33"/>
      <c r="I523" s="33"/>
      <c r="J523" s="33"/>
      <c r="K523" s="33"/>
      <c r="L523" s="33"/>
      <c r="M523" s="33"/>
      <c r="N523" s="33"/>
      <c r="O523" s="33"/>
      <c r="P523" s="33"/>
      <c r="Q523" s="33"/>
      <c r="R523" s="33"/>
    </row>
    <row r="524">
      <c r="A524" s="33"/>
      <c r="B524" s="33"/>
      <c r="C524" s="33"/>
      <c r="D524" s="33"/>
      <c r="E524" s="33"/>
      <c r="F524" s="33"/>
      <c r="G524" s="33"/>
      <c r="H524" s="33"/>
      <c r="I524" s="33"/>
      <c r="J524" s="33"/>
      <c r="K524" s="33"/>
      <c r="L524" s="33"/>
      <c r="M524" s="33"/>
      <c r="N524" s="33"/>
      <c r="O524" s="33"/>
      <c r="P524" s="33"/>
      <c r="Q524" s="33"/>
      <c r="R524" s="33"/>
    </row>
    <row r="525">
      <c r="A525" s="33"/>
      <c r="B525" s="33"/>
      <c r="C525" s="33"/>
      <c r="D525" s="33"/>
      <c r="E525" s="33"/>
      <c r="F525" s="33"/>
      <c r="G525" s="33"/>
      <c r="H525" s="33"/>
      <c r="I525" s="33"/>
      <c r="J525" s="33"/>
      <c r="K525" s="33"/>
      <c r="L525" s="33"/>
      <c r="M525" s="33"/>
      <c r="N525" s="33"/>
      <c r="O525" s="33"/>
      <c r="P525" s="33"/>
      <c r="Q525" s="33"/>
      <c r="R525" s="33"/>
    </row>
    <row r="526">
      <c r="A526" s="33"/>
      <c r="B526" s="33"/>
      <c r="C526" s="33"/>
      <c r="D526" s="33"/>
      <c r="E526" s="33"/>
      <c r="F526" s="33"/>
      <c r="G526" s="33"/>
      <c r="H526" s="33"/>
      <c r="I526" s="33"/>
      <c r="J526" s="33"/>
      <c r="K526" s="33"/>
      <c r="L526" s="33"/>
      <c r="M526" s="33"/>
      <c r="N526" s="33"/>
      <c r="O526" s="33"/>
      <c r="P526" s="33"/>
      <c r="Q526" s="33"/>
      <c r="R526" s="33"/>
    </row>
    <row r="527">
      <c r="A527" s="33"/>
      <c r="B527" s="33"/>
      <c r="C527" s="33"/>
      <c r="D527" s="33"/>
      <c r="E527" s="33"/>
      <c r="F527" s="33"/>
      <c r="G527" s="33"/>
      <c r="H527" s="33"/>
      <c r="I527" s="33"/>
      <c r="J527" s="33"/>
      <c r="K527" s="33"/>
      <c r="L527" s="33"/>
      <c r="M527" s="33"/>
      <c r="N527" s="33"/>
      <c r="O527" s="33"/>
      <c r="P527" s="33"/>
      <c r="Q527" s="33"/>
      <c r="R527" s="33"/>
    </row>
    <row r="528">
      <c r="A528" s="33"/>
      <c r="B528" s="33"/>
      <c r="C528" s="33"/>
      <c r="D528" s="33"/>
      <c r="E528" s="33"/>
      <c r="F528" s="33"/>
      <c r="G528" s="33"/>
      <c r="H528" s="33"/>
      <c r="I528" s="33"/>
      <c r="J528" s="33"/>
      <c r="K528" s="33"/>
      <c r="L528" s="33"/>
      <c r="M528" s="33"/>
      <c r="N528" s="33"/>
      <c r="O528" s="33"/>
      <c r="P528" s="33"/>
      <c r="Q528" s="33"/>
      <c r="R528" s="33"/>
    </row>
    <row r="529">
      <c r="A529" s="33"/>
      <c r="B529" s="33"/>
      <c r="C529" s="33"/>
      <c r="D529" s="33"/>
      <c r="E529" s="33"/>
      <c r="F529" s="33"/>
      <c r="G529" s="33"/>
      <c r="H529" s="33"/>
      <c r="I529" s="33"/>
      <c r="J529" s="33"/>
      <c r="K529" s="33"/>
      <c r="L529" s="33"/>
      <c r="M529" s="33"/>
      <c r="N529" s="33"/>
      <c r="O529" s="33"/>
      <c r="P529" s="33"/>
      <c r="Q529" s="33"/>
      <c r="R529" s="33"/>
    </row>
    <row r="530">
      <c r="A530" s="33"/>
      <c r="B530" s="33"/>
      <c r="C530" s="33"/>
      <c r="D530" s="33"/>
      <c r="E530" s="33"/>
      <c r="F530" s="33"/>
      <c r="G530" s="33"/>
      <c r="H530" s="33"/>
      <c r="I530" s="33"/>
      <c r="J530" s="33"/>
      <c r="K530" s="33"/>
      <c r="L530" s="33"/>
      <c r="M530" s="33"/>
      <c r="N530" s="33"/>
      <c r="O530" s="33"/>
      <c r="P530" s="33"/>
      <c r="Q530" s="33"/>
      <c r="R530" s="33"/>
    </row>
    <row r="531">
      <c r="A531" s="33"/>
      <c r="B531" s="33"/>
      <c r="C531" s="33"/>
      <c r="D531" s="33"/>
      <c r="E531" s="33"/>
      <c r="F531" s="33"/>
      <c r="G531" s="33"/>
      <c r="H531" s="33"/>
      <c r="I531" s="33"/>
      <c r="J531" s="33"/>
      <c r="K531" s="33"/>
      <c r="L531" s="33"/>
      <c r="M531" s="33"/>
      <c r="N531" s="33"/>
      <c r="O531" s="33"/>
      <c r="P531" s="33"/>
      <c r="Q531" s="33"/>
      <c r="R531" s="33"/>
    </row>
    <row r="532">
      <c r="A532" s="33"/>
      <c r="B532" s="33"/>
      <c r="C532" s="33"/>
      <c r="D532" s="33"/>
      <c r="E532" s="33"/>
      <c r="F532" s="33"/>
      <c r="G532" s="33"/>
      <c r="H532" s="33"/>
      <c r="I532" s="33"/>
      <c r="J532" s="33"/>
      <c r="K532" s="33"/>
      <c r="L532" s="33"/>
      <c r="M532" s="33"/>
      <c r="N532" s="33"/>
      <c r="O532" s="33"/>
      <c r="P532" s="33"/>
      <c r="Q532" s="33"/>
      <c r="R532" s="33"/>
    </row>
    <row r="533">
      <c r="A533" s="33"/>
      <c r="B533" s="33"/>
      <c r="C533" s="33"/>
      <c r="D533" s="33"/>
      <c r="E533" s="33"/>
      <c r="F533" s="33"/>
      <c r="G533" s="33"/>
      <c r="H533" s="33"/>
      <c r="I533" s="33"/>
      <c r="J533" s="33"/>
      <c r="K533" s="33"/>
      <c r="L533" s="33"/>
      <c r="M533" s="33"/>
      <c r="N533" s="33"/>
      <c r="O533" s="33"/>
      <c r="P533" s="33"/>
      <c r="Q533" s="33"/>
      <c r="R533" s="33"/>
    </row>
    <row r="534">
      <c r="A534" s="33"/>
      <c r="B534" s="33"/>
      <c r="C534" s="33"/>
      <c r="D534" s="33"/>
      <c r="E534" s="33"/>
      <c r="F534" s="33"/>
      <c r="G534" s="33"/>
      <c r="H534" s="33"/>
      <c r="I534" s="33"/>
      <c r="J534" s="33"/>
      <c r="K534" s="33"/>
      <c r="L534" s="33"/>
      <c r="M534" s="33"/>
      <c r="N534" s="33"/>
      <c r="O534" s="33"/>
      <c r="P534" s="33"/>
      <c r="Q534" s="33"/>
      <c r="R534" s="33"/>
    </row>
    <row r="535">
      <c r="A535" s="33"/>
      <c r="B535" s="33"/>
      <c r="C535" s="33"/>
      <c r="D535" s="33"/>
      <c r="E535" s="33"/>
      <c r="F535" s="33"/>
      <c r="G535" s="33"/>
      <c r="H535" s="33"/>
      <c r="I535" s="33"/>
      <c r="J535" s="33"/>
      <c r="K535" s="33"/>
      <c r="L535" s="33"/>
      <c r="M535" s="33"/>
      <c r="N535" s="33"/>
      <c r="O535" s="33"/>
      <c r="P535" s="33"/>
      <c r="Q535" s="33"/>
      <c r="R535" s="33"/>
    </row>
    <row r="536">
      <c r="A536" s="33"/>
      <c r="B536" s="33"/>
      <c r="C536" s="33"/>
      <c r="D536" s="33"/>
      <c r="E536" s="33"/>
      <c r="F536" s="33"/>
      <c r="G536" s="33"/>
      <c r="H536" s="33"/>
      <c r="I536" s="33"/>
      <c r="J536" s="33"/>
      <c r="K536" s="33"/>
      <c r="L536" s="33"/>
      <c r="M536" s="33"/>
      <c r="N536" s="33"/>
      <c r="O536" s="33"/>
      <c r="P536" s="33"/>
      <c r="Q536" s="33"/>
      <c r="R536" s="33"/>
    </row>
    <row r="537">
      <c r="A537" s="33"/>
      <c r="B537" s="33"/>
      <c r="C537" s="33"/>
      <c r="D537" s="33"/>
      <c r="E537" s="33"/>
      <c r="F537" s="33"/>
      <c r="G537" s="33"/>
      <c r="H537" s="33"/>
      <c r="I537" s="33"/>
      <c r="J537" s="33"/>
      <c r="K537" s="33"/>
      <c r="L537" s="33"/>
      <c r="M537" s="33"/>
      <c r="N537" s="33"/>
      <c r="O537" s="33"/>
      <c r="P537" s="33"/>
      <c r="Q537" s="33"/>
      <c r="R537" s="33"/>
    </row>
    <row r="538">
      <c r="A538" s="33"/>
      <c r="B538" s="33"/>
      <c r="C538" s="33"/>
      <c r="D538" s="33"/>
      <c r="E538" s="33"/>
      <c r="F538" s="33"/>
      <c r="G538" s="33"/>
      <c r="H538" s="33"/>
      <c r="I538" s="33"/>
      <c r="J538" s="33"/>
      <c r="K538" s="33"/>
      <c r="L538" s="33"/>
      <c r="M538" s="33"/>
      <c r="N538" s="33"/>
      <c r="O538" s="33"/>
      <c r="P538" s="33"/>
      <c r="Q538" s="33"/>
      <c r="R538" s="33"/>
    </row>
    <row r="539">
      <c r="A539" s="33"/>
      <c r="B539" s="33"/>
      <c r="C539" s="33"/>
      <c r="D539" s="33"/>
      <c r="E539" s="33"/>
      <c r="F539" s="33"/>
      <c r="G539" s="33"/>
      <c r="H539" s="33"/>
      <c r="I539" s="33"/>
      <c r="J539" s="33"/>
      <c r="K539" s="33"/>
      <c r="L539" s="33"/>
      <c r="M539" s="33"/>
      <c r="N539" s="33"/>
      <c r="O539" s="33"/>
      <c r="P539" s="33"/>
      <c r="Q539" s="33"/>
      <c r="R539" s="33"/>
    </row>
    <row r="540">
      <c r="A540" s="33"/>
      <c r="B540" s="33"/>
      <c r="C540" s="33"/>
      <c r="D540" s="33"/>
      <c r="E540" s="33"/>
      <c r="F540" s="33"/>
      <c r="G540" s="33"/>
      <c r="H540" s="33"/>
      <c r="I540" s="33"/>
      <c r="J540" s="33"/>
      <c r="K540" s="33"/>
      <c r="L540" s="33"/>
      <c r="M540" s="33"/>
      <c r="N540" s="33"/>
      <c r="O540" s="33"/>
      <c r="P540" s="33"/>
      <c r="Q540" s="33"/>
      <c r="R540" s="33"/>
    </row>
    <row r="541">
      <c r="A541" s="33"/>
      <c r="B541" s="33"/>
      <c r="C541" s="33"/>
      <c r="D541" s="33"/>
      <c r="E541" s="33"/>
      <c r="F541" s="33"/>
      <c r="G541" s="33"/>
      <c r="H541" s="33"/>
      <c r="I541" s="33"/>
      <c r="J541" s="33"/>
      <c r="K541" s="33"/>
      <c r="L541" s="33"/>
      <c r="M541" s="33"/>
      <c r="N541" s="33"/>
      <c r="O541" s="33"/>
      <c r="P541" s="33"/>
      <c r="Q541" s="33"/>
      <c r="R541" s="33"/>
    </row>
    <row r="542">
      <c r="A542" s="33"/>
      <c r="B542" s="33"/>
      <c r="C542" s="33"/>
      <c r="D542" s="33"/>
      <c r="E542" s="33"/>
      <c r="F542" s="33"/>
      <c r="G542" s="33"/>
      <c r="H542" s="33"/>
      <c r="I542" s="33"/>
      <c r="J542" s="33"/>
      <c r="K542" s="33"/>
      <c r="L542" s="33"/>
      <c r="M542" s="33"/>
      <c r="N542" s="33"/>
      <c r="O542" s="33"/>
      <c r="P542" s="33"/>
      <c r="Q542" s="33"/>
      <c r="R542" s="33"/>
    </row>
    <row r="543">
      <c r="A543" s="33"/>
      <c r="B543" s="33"/>
      <c r="C543" s="33"/>
      <c r="D543" s="33"/>
      <c r="E543" s="33"/>
      <c r="F543" s="33"/>
      <c r="G543" s="33"/>
      <c r="H543" s="33"/>
      <c r="I543" s="33"/>
      <c r="J543" s="33"/>
      <c r="K543" s="33"/>
      <c r="L543" s="33"/>
      <c r="M543" s="33"/>
      <c r="N543" s="33"/>
      <c r="O543" s="33"/>
      <c r="P543" s="33"/>
      <c r="Q543" s="33"/>
      <c r="R543" s="33"/>
    </row>
    <row r="544">
      <c r="A544" s="33"/>
      <c r="B544" s="33"/>
      <c r="C544" s="33"/>
      <c r="D544" s="33"/>
      <c r="E544" s="33"/>
      <c r="F544" s="33"/>
      <c r="G544" s="33"/>
      <c r="H544" s="33"/>
      <c r="I544" s="33"/>
      <c r="J544" s="33"/>
      <c r="K544" s="33"/>
      <c r="L544" s="33"/>
      <c r="M544" s="33"/>
      <c r="N544" s="33"/>
      <c r="O544" s="33"/>
      <c r="P544" s="33"/>
      <c r="Q544" s="33"/>
      <c r="R544" s="33"/>
    </row>
    <row r="545">
      <c r="A545" s="33"/>
      <c r="B545" s="33"/>
      <c r="C545" s="33"/>
      <c r="D545" s="33"/>
      <c r="E545" s="33"/>
      <c r="F545" s="33"/>
      <c r="G545" s="33"/>
      <c r="H545" s="33"/>
      <c r="I545" s="33"/>
      <c r="J545" s="33"/>
      <c r="K545" s="33"/>
      <c r="L545" s="33"/>
      <c r="M545" s="33"/>
      <c r="N545" s="33"/>
      <c r="O545" s="33"/>
      <c r="P545" s="33"/>
      <c r="Q545" s="33"/>
      <c r="R545" s="33"/>
    </row>
    <row r="546">
      <c r="A546" s="33"/>
      <c r="B546" s="33"/>
      <c r="C546" s="33"/>
      <c r="D546" s="33"/>
      <c r="E546" s="33"/>
      <c r="F546" s="33"/>
      <c r="G546" s="33"/>
      <c r="H546" s="33"/>
      <c r="I546" s="33"/>
      <c r="J546" s="33"/>
      <c r="K546" s="33"/>
      <c r="L546" s="33"/>
      <c r="M546" s="33"/>
      <c r="N546" s="33"/>
      <c r="O546" s="33"/>
      <c r="P546" s="33"/>
      <c r="Q546" s="33"/>
      <c r="R546" s="33"/>
    </row>
    <row r="547">
      <c r="A547" s="33"/>
      <c r="B547" s="33"/>
      <c r="C547" s="33"/>
      <c r="D547" s="33"/>
      <c r="E547" s="33"/>
      <c r="F547" s="33"/>
      <c r="G547" s="33"/>
      <c r="H547" s="33"/>
      <c r="I547" s="33"/>
      <c r="J547" s="33"/>
      <c r="K547" s="33"/>
      <c r="L547" s="33"/>
      <c r="M547" s="33"/>
      <c r="N547" s="33"/>
      <c r="O547" s="33"/>
      <c r="P547" s="33"/>
      <c r="Q547" s="33"/>
      <c r="R547" s="33"/>
    </row>
    <row r="548">
      <c r="A548" s="33"/>
      <c r="B548" s="33"/>
      <c r="C548" s="33"/>
      <c r="D548" s="33"/>
      <c r="E548" s="33"/>
      <c r="F548" s="33"/>
      <c r="G548" s="33"/>
      <c r="H548" s="33"/>
      <c r="I548" s="33"/>
      <c r="J548" s="33"/>
      <c r="K548" s="33"/>
      <c r="L548" s="33"/>
      <c r="M548" s="33"/>
      <c r="N548" s="33"/>
      <c r="O548" s="33"/>
      <c r="P548" s="33"/>
      <c r="Q548" s="33"/>
      <c r="R548" s="33"/>
    </row>
    <row r="549">
      <c r="A549" s="33"/>
      <c r="B549" s="33"/>
      <c r="C549" s="33"/>
      <c r="D549" s="33"/>
      <c r="E549" s="33"/>
      <c r="F549" s="33"/>
      <c r="G549" s="33"/>
      <c r="H549" s="33"/>
      <c r="I549" s="33"/>
      <c r="J549" s="33"/>
      <c r="K549" s="33"/>
      <c r="L549" s="33"/>
      <c r="M549" s="33"/>
      <c r="N549" s="33"/>
      <c r="O549" s="33"/>
      <c r="P549" s="33"/>
      <c r="Q549" s="33"/>
      <c r="R549" s="33"/>
    </row>
    <row r="550">
      <c r="A550" s="33"/>
      <c r="B550" s="33"/>
      <c r="C550" s="33"/>
      <c r="D550" s="33"/>
      <c r="E550" s="33"/>
      <c r="F550" s="33"/>
      <c r="G550" s="33"/>
      <c r="H550" s="33"/>
      <c r="I550" s="33"/>
      <c r="J550" s="33"/>
      <c r="K550" s="33"/>
      <c r="L550" s="33"/>
      <c r="M550" s="33"/>
      <c r="N550" s="33"/>
      <c r="O550" s="33"/>
      <c r="P550" s="33"/>
      <c r="Q550" s="33"/>
      <c r="R550" s="33"/>
    </row>
    <row r="551">
      <c r="A551" s="33"/>
      <c r="B551" s="33"/>
      <c r="C551" s="33"/>
      <c r="D551" s="33"/>
      <c r="E551" s="33"/>
      <c r="F551" s="33"/>
      <c r="G551" s="33"/>
      <c r="H551" s="33"/>
      <c r="I551" s="33"/>
      <c r="J551" s="33"/>
      <c r="K551" s="33"/>
      <c r="L551" s="33"/>
      <c r="M551" s="33"/>
      <c r="N551" s="33"/>
      <c r="O551" s="33"/>
      <c r="P551" s="33"/>
      <c r="Q551" s="33"/>
      <c r="R551" s="33"/>
    </row>
    <row r="552">
      <c r="A552" s="33"/>
      <c r="B552" s="33"/>
      <c r="C552" s="33"/>
      <c r="D552" s="33"/>
      <c r="E552" s="33"/>
      <c r="F552" s="33"/>
      <c r="G552" s="33"/>
      <c r="H552" s="33"/>
      <c r="I552" s="33"/>
      <c r="J552" s="33"/>
      <c r="K552" s="33"/>
      <c r="L552" s="33"/>
      <c r="M552" s="33"/>
      <c r="N552" s="33"/>
      <c r="O552" s="33"/>
      <c r="P552" s="33"/>
      <c r="Q552" s="33"/>
      <c r="R552" s="33"/>
    </row>
    <row r="553">
      <c r="A553" s="33"/>
      <c r="B553" s="33"/>
      <c r="C553" s="33"/>
      <c r="D553" s="33"/>
      <c r="E553" s="33"/>
      <c r="F553" s="33"/>
      <c r="G553" s="33"/>
      <c r="H553" s="33"/>
      <c r="I553" s="33"/>
      <c r="J553" s="33"/>
      <c r="K553" s="33"/>
      <c r="L553" s="33"/>
      <c r="M553" s="33"/>
      <c r="N553" s="33"/>
      <c r="O553" s="33"/>
      <c r="P553" s="33"/>
      <c r="Q553" s="33"/>
      <c r="R553" s="33"/>
    </row>
    <row r="554">
      <c r="A554" s="33"/>
      <c r="B554" s="33"/>
      <c r="C554" s="33"/>
      <c r="D554" s="33"/>
      <c r="E554" s="33"/>
      <c r="F554" s="33"/>
      <c r="G554" s="33"/>
      <c r="H554" s="33"/>
      <c r="I554" s="33"/>
      <c r="J554" s="33"/>
      <c r="K554" s="33"/>
      <c r="L554" s="33"/>
      <c r="M554" s="33"/>
      <c r="N554" s="33"/>
      <c r="O554" s="33"/>
      <c r="P554" s="33"/>
      <c r="Q554" s="33"/>
      <c r="R554" s="33"/>
    </row>
    <row r="555">
      <c r="A555" s="33"/>
      <c r="B555" s="33"/>
      <c r="C555" s="33"/>
      <c r="D555" s="33"/>
      <c r="E555" s="33"/>
      <c r="F555" s="33"/>
      <c r="G555" s="33"/>
      <c r="H555" s="33"/>
      <c r="I555" s="33"/>
      <c r="J555" s="33"/>
      <c r="K555" s="33"/>
      <c r="L555" s="33"/>
      <c r="M555" s="33"/>
      <c r="N555" s="33"/>
      <c r="O555" s="33"/>
      <c r="P555" s="33"/>
      <c r="Q555" s="33"/>
      <c r="R555" s="33"/>
    </row>
    <row r="556">
      <c r="A556" s="33"/>
      <c r="B556" s="33"/>
      <c r="C556" s="33"/>
      <c r="D556" s="33"/>
      <c r="E556" s="33"/>
      <c r="F556" s="33"/>
      <c r="G556" s="33"/>
      <c r="H556" s="33"/>
      <c r="I556" s="33"/>
      <c r="J556" s="33"/>
      <c r="K556" s="33"/>
      <c r="L556" s="33"/>
      <c r="M556" s="33"/>
      <c r="N556" s="33"/>
      <c r="O556" s="33"/>
      <c r="P556" s="33"/>
      <c r="Q556" s="33"/>
      <c r="R556" s="33"/>
    </row>
    <row r="557">
      <c r="A557" s="33"/>
      <c r="B557" s="33"/>
      <c r="C557" s="33"/>
      <c r="D557" s="33"/>
      <c r="E557" s="33"/>
      <c r="F557" s="33"/>
      <c r="G557" s="33"/>
      <c r="H557" s="33"/>
      <c r="I557" s="33"/>
      <c r="J557" s="33"/>
      <c r="K557" s="33"/>
      <c r="L557" s="33"/>
      <c r="M557" s="33"/>
      <c r="N557" s="33"/>
      <c r="O557" s="33"/>
      <c r="P557" s="33"/>
      <c r="Q557" s="33"/>
      <c r="R557" s="33"/>
    </row>
    <row r="558">
      <c r="A558" s="33"/>
      <c r="B558" s="33"/>
      <c r="C558" s="33"/>
      <c r="D558" s="33"/>
      <c r="E558" s="33"/>
      <c r="F558" s="33"/>
      <c r="G558" s="33"/>
      <c r="H558" s="33"/>
      <c r="I558" s="33"/>
      <c r="J558" s="33"/>
      <c r="K558" s="33"/>
      <c r="L558" s="33"/>
      <c r="M558" s="33"/>
      <c r="N558" s="33"/>
      <c r="O558" s="33"/>
      <c r="P558" s="33"/>
      <c r="Q558" s="33"/>
      <c r="R558" s="33"/>
    </row>
    <row r="559">
      <c r="A559" s="33"/>
      <c r="B559" s="33"/>
      <c r="C559" s="33"/>
      <c r="D559" s="33"/>
      <c r="E559" s="33"/>
      <c r="F559" s="33"/>
      <c r="G559" s="33"/>
      <c r="H559" s="33"/>
      <c r="I559" s="33"/>
      <c r="J559" s="33"/>
      <c r="K559" s="33"/>
      <c r="L559" s="33"/>
      <c r="M559" s="33"/>
      <c r="N559" s="33"/>
      <c r="O559" s="33"/>
      <c r="P559" s="33"/>
      <c r="Q559" s="33"/>
      <c r="R559" s="33"/>
    </row>
    <row r="560">
      <c r="A560" s="33"/>
      <c r="B560" s="33"/>
      <c r="C560" s="33"/>
      <c r="D560" s="33"/>
      <c r="E560" s="33"/>
      <c r="F560" s="33"/>
      <c r="G560" s="33"/>
      <c r="H560" s="33"/>
      <c r="I560" s="33"/>
      <c r="J560" s="33"/>
      <c r="K560" s="33"/>
      <c r="L560" s="33"/>
      <c r="M560" s="33"/>
      <c r="N560" s="33"/>
      <c r="O560" s="33"/>
      <c r="P560" s="33"/>
      <c r="Q560" s="33"/>
      <c r="R560" s="33"/>
    </row>
    <row r="561">
      <c r="A561" s="33"/>
      <c r="B561" s="33"/>
      <c r="C561" s="33"/>
      <c r="D561" s="33"/>
      <c r="E561" s="33"/>
      <c r="F561" s="33"/>
      <c r="G561" s="33"/>
      <c r="H561" s="33"/>
      <c r="I561" s="33"/>
      <c r="J561" s="33"/>
      <c r="K561" s="33"/>
      <c r="L561" s="33"/>
      <c r="M561" s="33"/>
      <c r="N561" s="33"/>
      <c r="O561" s="33"/>
      <c r="P561" s="33"/>
      <c r="Q561" s="33"/>
      <c r="R561" s="33"/>
    </row>
    <row r="562">
      <c r="A562" s="33"/>
      <c r="B562" s="33"/>
      <c r="C562" s="33"/>
      <c r="D562" s="33"/>
      <c r="E562" s="33"/>
      <c r="F562" s="33"/>
      <c r="G562" s="33"/>
      <c r="H562" s="33"/>
      <c r="I562" s="33"/>
      <c r="J562" s="33"/>
      <c r="K562" s="33"/>
      <c r="L562" s="33"/>
      <c r="M562" s="33"/>
      <c r="N562" s="33"/>
      <c r="O562" s="33"/>
      <c r="P562" s="33"/>
      <c r="Q562" s="33"/>
      <c r="R562" s="33"/>
    </row>
    <row r="563">
      <c r="A563" s="33"/>
      <c r="B563" s="33"/>
      <c r="C563" s="33"/>
      <c r="D563" s="33"/>
      <c r="E563" s="33"/>
      <c r="F563" s="33"/>
      <c r="G563" s="33"/>
      <c r="H563" s="33"/>
      <c r="I563" s="33"/>
      <c r="J563" s="33"/>
      <c r="K563" s="33"/>
      <c r="L563" s="33"/>
      <c r="M563" s="33"/>
      <c r="N563" s="33"/>
      <c r="O563" s="33"/>
      <c r="P563" s="33"/>
      <c r="Q563" s="33"/>
      <c r="R563" s="33"/>
    </row>
    <row r="564">
      <c r="A564" s="33"/>
      <c r="B564" s="33"/>
      <c r="C564" s="33"/>
      <c r="D564" s="33"/>
      <c r="E564" s="33"/>
      <c r="F564" s="33"/>
      <c r="G564" s="33"/>
      <c r="H564" s="33"/>
      <c r="I564" s="33"/>
      <c r="J564" s="33"/>
      <c r="K564" s="33"/>
      <c r="L564" s="33"/>
      <c r="M564" s="33"/>
      <c r="N564" s="33"/>
      <c r="O564" s="33"/>
      <c r="P564" s="33"/>
      <c r="Q564" s="33"/>
      <c r="R564" s="33"/>
    </row>
    <row r="565">
      <c r="A565" s="33"/>
      <c r="B565" s="33"/>
      <c r="C565" s="33"/>
      <c r="D565" s="33"/>
      <c r="E565" s="33"/>
      <c r="F565" s="33"/>
      <c r="G565" s="33"/>
      <c r="H565" s="33"/>
      <c r="I565" s="33"/>
      <c r="J565" s="33"/>
      <c r="K565" s="33"/>
      <c r="L565" s="33"/>
      <c r="M565" s="33"/>
      <c r="N565" s="33"/>
      <c r="O565" s="33"/>
      <c r="P565" s="33"/>
      <c r="Q565" s="33"/>
      <c r="R565" s="33"/>
    </row>
    <row r="566">
      <c r="A566" s="33"/>
      <c r="B566" s="33"/>
      <c r="C566" s="33"/>
      <c r="D566" s="33"/>
      <c r="E566" s="33"/>
      <c r="F566" s="33"/>
      <c r="G566" s="33"/>
      <c r="H566" s="33"/>
      <c r="I566" s="33"/>
      <c r="J566" s="33"/>
      <c r="K566" s="33"/>
      <c r="L566" s="33"/>
      <c r="M566" s="33"/>
      <c r="N566" s="33"/>
      <c r="O566" s="33"/>
      <c r="P566" s="33"/>
      <c r="Q566" s="33"/>
      <c r="R566" s="33"/>
    </row>
    <row r="567">
      <c r="A567" s="33"/>
      <c r="B567" s="33"/>
      <c r="C567" s="33"/>
      <c r="D567" s="33"/>
      <c r="E567" s="33"/>
      <c r="F567" s="33"/>
      <c r="G567" s="33"/>
      <c r="H567" s="33"/>
      <c r="I567" s="33"/>
      <c r="J567" s="33"/>
      <c r="K567" s="33"/>
      <c r="L567" s="33"/>
      <c r="M567" s="33"/>
      <c r="N567" s="33"/>
      <c r="O567" s="33"/>
      <c r="P567" s="33"/>
      <c r="Q567" s="33"/>
      <c r="R567" s="33"/>
    </row>
    <row r="568">
      <c r="A568" s="33"/>
      <c r="B568" s="33"/>
      <c r="C568" s="33"/>
      <c r="D568" s="33"/>
      <c r="E568" s="33"/>
      <c r="F568" s="33"/>
      <c r="G568" s="33"/>
      <c r="H568" s="33"/>
      <c r="I568" s="33"/>
      <c r="J568" s="33"/>
      <c r="K568" s="33"/>
      <c r="L568" s="33"/>
      <c r="M568" s="33"/>
      <c r="N568" s="33"/>
      <c r="O568" s="33"/>
      <c r="P568" s="33"/>
      <c r="Q568" s="33"/>
      <c r="R568" s="33"/>
    </row>
    <row r="569">
      <c r="A569" s="33"/>
      <c r="B569" s="33"/>
      <c r="C569" s="33"/>
      <c r="D569" s="33"/>
      <c r="E569" s="33"/>
      <c r="F569" s="33"/>
      <c r="G569" s="33"/>
      <c r="H569" s="33"/>
      <c r="I569" s="33"/>
      <c r="J569" s="33"/>
      <c r="K569" s="33"/>
      <c r="L569" s="33"/>
      <c r="M569" s="33"/>
      <c r="N569" s="33"/>
      <c r="O569" s="33"/>
      <c r="P569" s="33"/>
      <c r="Q569" s="33"/>
      <c r="R569" s="33"/>
    </row>
    <row r="570">
      <c r="A570" s="33"/>
      <c r="B570" s="33"/>
      <c r="C570" s="33"/>
      <c r="D570" s="33"/>
      <c r="E570" s="33"/>
      <c r="F570" s="33"/>
      <c r="G570" s="33"/>
      <c r="H570" s="33"/>
      <c r="I570" s="33"/>
      <c r="J570" s="33"/>
      <c r="K570" s="33"/>
      <c r="L570" s="33"/>
      <c r="M570" s="33"/>
      <c r="N570" s="33"/>
      <c r="O570" s="33"/>
      <c r="P570" s="33"/>
      <c r="Q570" s="33"/>
      <c r="R570" s="33"/>
    </row>
    <row r="571">
      <c r="A571" s="33"/>
      <c r="B571" s="33"/>
      <c r="C571" s="33"/>
      <c r="D571" s="33"/>
      <c r="E571" s="33"/>
      <c r="F571" s="33"/>
      <c r="G571" s="33"/>
      <c r="H571" s="33"/>
      <c r="I571" s="33"/>
      <c r="J571" s="33"/>
      <c r="K571" s="33"/>
      <c r="L571" s="33"/>
      <c r="M571" s="33"/>
      <c r="N571" s="33"/>
      <c r="O571" s="33"/>
      <c r="P571" s="33"/>
      <c r="Q571" s="33"/>
      <c r="R571" s="33"/>
    </row>
    <row r="572">
      <c r="A572" s="33"/>
      <c r="B572" s="33"/>
      <c r="C572" s="33"/>
      <c r="D572" s="33"/>
      <c r="E572" s="33"/>
      <c r="F572" s="33"/>
      <c r="G572" s="33"/>
      <c r="H572" s="33"/>
      <c r="I572" s="33"/>
      <c r="J572" s="33"/>
      <c r="K572" s="33"/>
      <c r="L572" s="33"/>
      <c r="M572" s="33"/>
      <c r="N572" s="33"/>
      <c r="O572" s="33"/>
      <c r="P572" s="33"/>
      <c r="Q572" s="33"/>
      <c r="R572" s="33"/>
    </row>
    <row r="573">
      <c r="A573" s="33"/>
      <c r="B573" s="33"/>
      <c r="C573" s="33"/>
      <c r="D573" s="33"/>
      <c r="E573" s="33"/>
      <c r="F573" s="33"/>
      <c r="G573" s="33"/>
      <c r="H573" s="33"/>
      <c r="I573" s="33"/>
      <c r="J573" s="33"/>
      <c r="K573" s="33"/>
      <c r="L573" s="33"/>
      <c r="M573" s="33"/>
      <c r="N573" s="33"/>
      <c r="O573" s="33"/>
      <c r="P573" s="33"/>
      <c r="Q573" s="33"/>
      <c r="R573" s="33"/>
    </row>
    <row r="574">
      <c r="A574" s="33"/>
      <c r="B574" s="33"/>
      <c r="C574" s="33"/>
      <c r="D574" s="33"/>
      <c r="E574" s="33"/>
      <c r="F574" s="33"/>
      <c r="G574" s="33"/>
      <c r="H574" s="33"/>
      <c r="I574" s="33"/>
      <c r="J574" s="33"/>
      <c r="K574" s="33"/>
      <c r="L574" s="33"/>
      <c r="M574" s="33"/>
      <c r="N574" s="33"/>
      <c r="O574" s="33"/>
      <c r="P574" s="33"/>
      <c r="Q574" s="33"/>
      <c r="R574" s="33"/>
    </row>
    <row r="575">
      <c r="A575" s="33"/>
      <c r="B575" s="33"/>
      <c r="C575" s="33"/>
      <c r="D575" s="33"/>
      <c r="E575" s="33"/>
      <c r="F575" s="33"/>
      <c r="G575" s="33"/>
      <c r="H575" s="33"/>
      <c r="I575" s="33"/>
      <c r="J575" s="33"/>
      <c r="K575" s="33"/>
      <c r="L575" s="33"/>
      <c r="M575" s="33"/>
      <c r="N575" s="33"/>
      <c r="O575" s="33"/>
      <c r="P575" s="33"/>
      <c r="Q575" s="33"/>
      <c r="R575" s="33"/>
    </row>
    <row r="576">
      <c r="A576" s="33"/>
      <c r="B576" s="33"/>
      <c r="C576" s="33"/>
      <c r="D576" s="33"/>
      <c r="E576" s="33"/>
      <c r="F576" s="33"/>
      <c r="G576" s="33"/>
      <c r="H576" s="33"/>
      <c r="I576" s="33"/>
      <c r="J576" s="33"/>
      <c r="K576" s="33"/>
      <c r="L576" s="33"/>
      <c r="M576" s="33"/>
      <c r="N576" s="33"/>
      <c r="O576" s="33"/>
      <c r="P576" s="33"/>
      <c r="Q576" s="33"/>
      <c r="R576" s="33"/>
    </row>
    <row r="577">
      <c r="A577" s="33"/>
      <c r="B577" s="33"/>
      <c r="C577" s="33"/>
      <c r="D577" s="33"/>
      <c r="E577" s="33"/>
      <c r="F577" s="33"/>
      <c r="G577" s="33"/>
      <c r="H577" s="33"/>
      <c r="I577" s="33"/>
      <c r="J577" s="33"/>
      <c r="K577" s="33"/>
      <c r="L577" s="33"/>
      <c r="M577" s="33"/>
      <c r="N577" s="33"/>
      <c r="O577" s="33"/>
      <c r="P577" s="33"/>
      <c r="Q577" s="33"/>
      <c r="R577" s="33"/>
    </row>
    <row r="578">
      <c r="A578" s="33"/>
      <c r="B578" s="33"/>
      <c r="C578" s="33"/>
      <c r="D578" s="33"/>
      <c r="E578" s="33"/>
      <c r="F578" s="33"/>
      <c r="G578" s="33"/>
      <c r="H578" s="33"/>
      <c r="I578" s="33"/>
      <c r="J578" s="33"/>
      <c r="K578" s="33"/>
      <c r="L578" s="33"/>
      <c r="M578" s="33"/>
      <c r="N578" s="33"/>
      <c r="O578" s="33"/>
      <c r="P578" s="33"/>
      <c r="Q578" s="33"/>
      <c r="R578" s="33"/>
    </row>
    <row r="579">
      <c r="A579" s="33"/>
      <c r="B579" s="33"/>
      <c r="C579" s="33"/>
      <c r="D579" s="33"/>
      <c r="E579" s="33"/>
      <c r="F579" s="33"/>
      <c r="G579" s="33"/>
      <c r="H579" s="33"/>
      <c r="I579" s="33"/>
      <c r="J579" s="33"/>
      <c r="K579" s="33"/>
      <c r="L579" s="33"/>
      <c r="M579" s="33"/>
      <c r="N579" s="33"/>
      <c r="O579" s="33"/>
      <c r="P579" s="33"/>
      <c r="Q579" s="33"/>
      <c r="R579" s="33"/>
    </row>
    <row r="580">
      <c r="A580" s="33"/>
      <c r="B580" s="33"/>
      <c r="C580" s="33"/>
      <c r="D580" s="33"/>
      <c r="E580" s="33"/>
      <c r="F580" s="33"/>
      <c r="G580" s="33"/>
      <c r="H580" s="33"/>
      <c r="I580" s="33"/>
      <c r="J580" s="33"/>
      <c r="K580" s="33"/>
      <c r="L580" s="33"/>
      <c r="M580" s="33"/>
      <c r="N580" s="33"/>
      <c r="O580" s="33"/>
      <c r="P580" s="33"/>
      <c r="Q580" s="33"/>
      <c r="R580" s="33"/>
    </row>
    <row r="581">
      <c r="A581" s="33"/>
      <c r="B581" s="33"/>
      <c r="C581" s="33"/>
      <c r="D581" s="33"/>
      <c r="E581" s="33"/>
      <c r="F581" s="33"/>
      <c r="G581" s="33"/>
      <c r="H581" s="33"/>
      <c r="I581" s="33"/>
      <c r="J581" s="33"/>
      <c r="K581" s="33"/>
      <c r="L581" s="33"/>
      <c r="M581" s="33"/>
      <c r="N581" s="33"/>
      <c r="O581" s="33"/>
      <c r="P581" s="33"/>
      <c r="Q581" s="33"/>
      <c r="R581" s="33"/>
    </row>
    <row r="582">
      <c r="A582" s="33"/>
      <c r="B582" s="33"/>
      <c r="C582" s="33"/>
      <c r="D582" s="33"/>
      <c r="E582" s="33"/>
      <c r="F582" s="33"/>
      <c r="G582" s="33"/>
      <c r="H582" s="33"/>
      <c r="I582" s="33"/>
      <c r="J582" s="33"/>
      <c r="K582" s="33"/>
      <c r="L582" s="33"/>
      <c r="M582" s="33"/>
      <c r="N582" s="33"/>
      <c r="O582" s="33"/>
      <c r="P582" s="33"/>
      <c r="Q582" s="33"/>
      <c r="R582" s="33"/>
    </row>
    <row r="583">
      <c r="A583" s="33"/>
      <c r="B583" s="33"/>
      <c r="C583" s="33"/>
      <c r="D583" s="33"/>
      <c r="E583" s="33"/>
      <c r="F583" s="33"/>
      <c r="G583" s="33"/>
      <c r="H583" s="33"/>
      <c r="I583" s="33"/>
      <c r="J583" s="33"/>
      <c r="K583" s="33"/>
      <c r="L583" s="33"/>
      <c r="M583" s="33"/>
      <c r="N583" s="33"/>
      <c r="O583" s="33"/>
      <c r="P583" s="33"/>
      <c r="Q583" s="33"/>
      <c r="R583" s="33"/>
    </row>
    <row r="584">
      <c r="A584" s="33"/>
      <c r="B584" s="33"/>
      <c r="C584" s="33"/>
      <c r="D584" s="33"/>
      <c r="E584" s="33"/>
      <c r="F584" s="33"/>
      <c r="G584" s="33"/>
      <c r="H584" s="33"/>
      <c r="I584" s="33"/>
      <c r="J584" s="33"/>
      <c r="K584" s="33"/>
      <c r="L584" s="33"/>
      <c r="M584" s="33"/>
      <c r="N584" s="33"/>
      <c r="O584" s="33"/>
      <c r="P584" s="33"/>
      <c r="Q584" s="33"/>
      <c r="R584" s="33"/>
    </row>
    <row r="585">
      <c r="A585" s="33"/>
      <c r="B585" s="33"/>
      <c r="C585" s="33"/>
      <c r="D585" s="33"/>
      <c r="E585" s="33"/>
      <c r="F585" s="33"/>
      <c r="G585" s="33"/>
      <c r="H585" s="33"/>
      <c r="I585" s="33"/>
      <c r="J585" s="33"/>
      <c r="K585" s="33"/>
      <c r="L585" s="33"/>
      <c r="M585" s="33"/>
      <c r="N585" s="33"/>
      <c r="O585" s="33"/>
      <c r="P585" s="33"/>
      <c r="Q585" s="33"/>
      <c r="R585" s="33"/>
    </row>
    <row r="586">
      <c r="A586" s="33"/>
      <c r="B586" s="33"/>
      <c r="C586" s="33"/>
      <c r="D586" s="33"/>
      <c r="E586" s="33"/>
      <c r="F586" s="33"/>
      <c r="G586" s="33"/>
      <c r="H586" s="33"/>
      <c r="I586" s="33"/>
      <c r="J586" s="33"/>
      <c r="K586" s="33"/>
      <c r="L586" s="33"/>
      <c r="M586" s="33"/>
      <c r="N586" s="33"/>
      <c r="O586" s="33"/>
      <c r="P586" s="33"/>
      <c r="Q586" s="33"/>
      <c r="R586" s="33"/>
    </row>
    <row r="587">
      <c r="A587" s="33"/>
      <c r="B587" s="33"/>
      <c r="C587" s="33"/>
      <c r="D587" s="33"/>
      <c r="E587" s="33"/>
      <c r="F587" s="33"/>
      <c r="G587" s="33"/>
      <c r="H587" s="33"/>
      <c r="I587" s="33"/>
      <c r="J587" s="33"/>
      <c r="K587" s="33"/>
      <c r="L587" s="33"/>
      <c r="M587" s="33"/>
      <c r="N587" s="33"/>
      <c r="O587" s="33"/>
      <c r="P587" s="33"/>
      <c r="Q587" s="33"/>
      <c r="R587" s="33"/>
    </row>
    <row r="588">
      <c r="A588" s="33"/>
      <c r="B588" s="33"/>
      <c r="C588" s="33"/>
      <c r="D588" s="33"/>
      <c r="E588" s="33"/>
      <c r="F588" s="33"/>
      <c r="G588" s="33"/>
      <c r="H588" s="33"/>
      <c r="I588" s="33"/>
      <c r="J588" s="33"/>
      <c r="K588" s="33"/>
      <c r="L588" s="33"/>
      <c r="M588" s="33"/>
      <c r="N588" s="33"/>
      <c r="O588" s="33"/>
      <c r="P588" s="33"/>
      <c r="Q588" s="33"/>
      <c r="R588" s="33"/>
    </row>
    <row r="589">
      <c r="A589" s="33"/>
      <c r="B589" s="33"/>
      <c r="C589" s="33"/>
      <c r="D589" s="33"/>
      <c r="E589" s="33"/>
      <c r="F589" s="33"/>
      <c r="G589" s="33"/>
      <c r="H589" s="33"/>
      <c r="I589" s="33"/>
      <c r="J589" s="33"/>
      <c r="K589" s="33"/>
      <c r="L589" s="33"/>
      <c r="M589" s="33"/>
      <c r="N589" s="33"/>
      <c r="O589" s="33"/>
      <c r="P589" s="33"/>
      <c r="Q589" s="33"/>
      <c r="R589" s="33"/>
    </row>
    <row r="590">
      <c r="A590" s="33"/>
      <c r="B590" s="33"/>
      <c r="C590" s="33"/>
      <c r="D590" s="33"/>
      <c r="E590" s="33"/>
      <c r="F590" s="33"/>
      <c r="G590" s="33"/>
      <c r="H590" s="33"/>
      <c r="I590" s="33"/>
      <c r="J590" s="33"/>
      <c r="K590" s="33"/>
      <c r="L590" s="33"/>
      <c r="M590" s="33"/>
      <c r="N590" s="33"/>
      <c r="O590" s="33"/>
      <c r="P590" s="33"/>
      <c r="Q590" s="33"/>
      <c r="R590" s="33"/>
    </row>
    <row r="591">
      <c r="A591" s="33"/>
      <c r="B591" s="33"/>
      <c r="C591" s="33"/>
      <c r="D591" s="33"/>
      <c r="E591" s="33"/>
      <c r="F591" s="33"/>
      <c r="G591" s="33"/>
      <c r="H591" s="33"/>
      <c r="I591" s="33"/>
      <c r="J591" s="33"/>
      <c r="K591" s="33"/>
      <c r="L591" s="33"/>
      <c r="M591" s="33"/>
      <c r="N591" s="33"/>
      <c r="O591" s="33"/>
      <c r="P591" s="33"/>
      <c r="Q591" s="33"/>
      <c r="R591" s="33"/>
    </row>
    <row r="592">
      <c r="A592" s="33"/>
      <c r="B592" s="33"/>
      <c r="C592" s="33"/>
      <c r="D592" s="33"/>
      <c r="E592" s="33"/>
      <c r="F592" s="33"/>
      <c r="G592" s="33"/>
      <c r="H592" s="33"/>
      <c r="I592" s="33"/>
      <c r="J592" s="33"/>
      <c r="K592" s="33"/>
      <c r="L592" s="33"/>
      <c r="M592" s="33"/>
      <c r="N592" s="33"/>
      <c r="O592" s="33"/>
      <c r="P592" s="33"/>
      <c r="Q592" s="33"/>
      <c r="R592" s="33"/>
    </row>
    <row r="593">
      <c r="A593" s="33"/>
      <c r="B593" s="33"/>
      <c r="C593" s="33"/>
      <c r="D593" s="33"/>
      <c r="E593" s="33"/>
      <c r="F593" s="33"/>
      <c r="G593" s="33"/>
      <c r="H593" s="33"/>
      <c r="I593" s="33"/>
      <c r="J593" s="33"/>
      <c r="K593" s="33"/>
      <c r="L593" s="33"/>
      <c r="M593" s="33"/>
      <c r="N593" s="33"/>
      <c r="O593" s="33"/>
      <c r="P593" s="33"/>
      <c r="Q593" s="33"/>
      <c r="R593" s="33"/>
    </row>
    <row r="594">
      <c r="A594" s="33"/>
      <c r="B594" s="33"/>
      <c r="C594" s="33"/>
      <c r="D594" s="33"/>
      <c r="E594" s="33"/>
      <c r="F594" s="33"/>
      <c r="G594" s="33"/>
      <c r="H594" s="33"/>
      <c r="I594" s="33"/>
      <c r="J594" s="33"/>
      <c r="K594" s="33"/>
      <c r="L594" s="33"/>
      <c r="M594" s="33"/>
      <c r="N594" s="33"/>
      <c r="O594" s="33"/>
      <c r="P594" s="33"/>
      <c r="Q594" s="33"/>
      <c r="R594" s="33"/>
    </row>
    <row r="595">
      <c r="A595" s="33"/>
      <c r="B595" s="33"/>
      <c r="C595" s="33"/>
      <c r="D595" s="33"/>
      <c r="E595" s="33"/>
      <c r="F595" s="33"/>
      <c r="G595" s="33"/>
      <c r="H595" s="33"/>
      <c r="I595" s="33"/>
      <c r="J595" s="33"/>
      <c r="K595" s="33"/>
      <c r="L595" s="33"/>
      <c r="M595" s="33"/>
      <c r="N595" s="33"/>
      <c r="O595" s="33"/>
      <c r="P595" s="33"/>
      <c r="Q595" s="33"/>
      <c r="R595" s="33"/>
    </row>
    <row r="596">
      <c r="A596" s="33"/>
      <c r="B596" s="33"/>
      <c r="C596" s="33"/>
      <c r="D596" s="33"/>
      <c r="E596" s="33"/>
      <c r="F596" s="33"/>
      <c r="G596" s="33"/>
      <c r="H596" s="33"/>
      <c r="I596" s="33"/>
      <c r="J596" s="33"/>
      <c r="K596" s="33"/>
      <c r="L596" s="33"/>
      <c r="M596" s="33"/>
      <c r="N596" s="33"/>
      <c r="O596" s="33"/>
      <c r="P596" s="33"/>
      <c r="Q596" s="33"/>
      <c r="R596" s="33"/>
    </row>
    <row r="597">
      <c r="A597" s="33"/>
      <c r="B597" s="33"/>
      <c r="C597" s="33"/>
      <c r="D597" s="33"/>
      <c r="E597" s="33"/>
      <c r="F597" s="33"/>
      <c r="G597" s="33"/>
      <c r="H597" s="33"/>
      <c r="I597" s="33"/>
      <c r="J597" s="33"/>
      <c r="K597" s="33"/>
      <c r="L597" s="33"/>
      <c r="M597" s="33"/>
      <c r="N597" s="33"/>
      <c r="O597" s="33"/>
      <c r="P597" s="33"/>
      <c r="Q597" s="33"/>
      <c r="R597" s="33"/>
    </row>
    <row r="598">
      <c r="A598" s="33"/>
      <c r="B598" s="33"/>
      <c r="C598" s="33"/>
      <c r="D598" s="33"/>
      <c r="E598" s="33"/>
      <c r="F598" s="33"/>
      <c r="G598" s="33"/>
      <c r="H598" s="33"/>
      <c r="I598" s="33"/>
      <c r="J598" s="33"/>
      <c r="K598" s="33"/>
      <c r="L598" s="33"/>
      <c r="M598" s="33"/>
      <c r="N598" s="33"/>
      <c r="O598" s="33"/>
      <c r="P598" s="33"/>
      <c r="Q598" s="33"/>
      <c r="R598" s="33"/>
    </row>
    <row r="599">
      <c r="A599" s="33"/>
      <c r="B599" s="33"/>
      <c r="C599" s="33"/>
      <c r="D599" s="33"/>
      <c r="E599" s="33"/>
      <c r="F599" s="33"/>
      <c r="G599" s="33"/>
      <c r="H599" s="33"/>
      <c r="I599" s="33"/>
      <c r="J599" s="33"/>
      <c r="K599" s="33"/>
      <c r="L599" s="33"/>
      <c r="M599" s="33"/>
      <c r="N599" s="33"/>
      <c r="O599" s="33"/>
      <c r="P599" s="33"/>
      <c r="Q599" s="33"/>
      <c r="R599" s="33"/>
    </row>
    <row r="600">
      <c r="A600" s="33"/>
      <c r="B600" s="33"/>
      <c r="C600" s="33"/>
      <c r="D600" s="33"/>
      <c r="E600" s="33"/>
      <c r="F600" s="33"/>
      <c r="G600" s="33"/>
      <c r="H600" s="33"/>
      <c r="I600" s="33"/>
      <c r="J600" s="33"/>
      <c r="K600" s="33"/>
      <c r="L600" s="33"/>
      <c r="M600" s="33"/>
      <c r="N600" s="33"/>
      <c r="O600" s="33"/>
      <c r="P600" s="33"/>
      <c r="Q600" s="33"/>
      <c r="R600" s="33"/>
    </row>
    <row r="601">
      <c r="A601" s="33"/>
      <c r="B601" s="33"/>
      <c r="C601" s="33"/>
      <c r="D601" s="33"/>
      <c r="E601" s="33"/>
      <c r="F601" s="33"/>
      <c r="G601" s="33"/>
      <c r="H601" s="33"/>
      <c r="I601" s="33"/>
      <c r="J601" s="33"/>
      <c r="K601" s="33"/>
      <c r="L601" s="33"/>
      <c r="M601" s="33"/>
      <c r="N601" s="33"/>
      <c r="O601" s="33"/>
      <c r="P601" s="33"/>
      <c r="Q601" s="33"/>
      <c r="R601" s="33"/>
    </row>
    <row r="602">
      <c r="A602" s="33"/>
      <c r="B602" s="33"/>
      <c r="C602" s="33"/>
      <c r="D602" s="33"/>
      <c r="E602" s="33"/>
      <c r="F602" s="33"/>
      <c r="G602" s="33"/>
      <c r="H602" s="33"/>
      <c r="I602" s="33"/>
      <c r="J602" s="33"/>
      <c r="K602" s="33"/>
      <c r="L602" s="33"/>
      <c r="M602" s="33"/>
      <c r="N602" s="33"/>
      <c r="O602" s="33"/>
      <c r="P602" s="33"/>
      <c r="Q602" s="33"/>
      <c r="R602" s="33"/>
    </row>
    <row r="603">
      <c r="A603" s="33"/>
      <c r="B603" s="33"/>
      <c r="C603" s="33"/>
      <c r="D603" s="33"/>
      <c r="E603" s="33"/>
      <c r="F603" s="33"/>
      <c r="G603" s="33"/>
      <c r="H603" s="33"/>
      <c r="I603" s="33"/>
      <c r="J603" s="33"/>
      <c r="K603" s="33"/>
      <c r="L603" s="33"/>
      <c r="M603" s="33"/>
      <c r="N603" s="33"/>
      <c r="O603" s="33"/>
      <c r="P603" s="33"/>
      <c r="Q603" s="33"/>
      <c r="R603" s="33"/>
    </row>
    <row r="604">
      <c r="A604" s="33"/>
      <c r="B604" s="33"/>
      <c r="C604" s="33"/>
      <c r="D604" s="33"/>
      <c r="E604" s="33"/>
      <c r="F604" s="33"/>
      <c r="G604" s="33"/>
      <c r="H604" s="33"/>
      <c r="I604" s="33"/>
      <c r="J604" s="33"/>
      <c r="K604" s="33"/>
      <c r="L604" s="33"/>
      <c r="M604" s="33"/>
      <c r="N604" s="33"/>
      <c r="O604" s="33"/>
      <c r="P604" s="33"/>
      <c r="Q604" s="33"/>
      <c r="R604" s="33"/>
    </row>
    <row r="605">
      <c r="A605" s="33"/>
      <c r="B605" s="33"/>
      <c r="C605" s="33"/>
      <c r="D605" s="33"/>
      <c r="E605" s="33"/>
      <c r="F605" s="33"/>
      <c r="G605" s="33"/>
      <c r="H605" s="33"/>
      <c r="I605" s="33"/>
      <c r="J605" s="33"/>
      <c r="K605" s="33"/>
      <c r="L605" s="33"/>
      <c r="M605" s="33"/>
      <c r="N605" s="33"/>
      <c r="O605" s="33"/>
      <c r="P605" s="33"/>
      <c r="Q605" s="33"/>
      <c r="R605" s="33"/>
    </row>
    <row r="606">
      <c r="A606" s="33"/>
      <c r="B606" s="33"/>
      <c r="C606" s="33"/>
      <c r="D606" s="33"/>
      <c r="E606" s="33"/>
      <c r="F606" s="33"/>
      <c r="G606" s="33"/>
      <c r="H606" s="33"/>
      <c r="I606" s="33"/>
      <c r="J606" s="33"/>
      <c r="K606" s="33"/>
      <c r="L606" s="33"/>
      <c r="M606" s="33"/>
      <c r="N606" s="33"/>
      <c r="O606" s="33"/>
      <c r="P606" s="33"/>
      <c r="Q606" s="33"/>
      <c r="R606" s="33"/>
    </row>
    <row r="607">
      <c r="A607" s="33"/>
      <c r="B607" s="33"/>
      <c r="C607" s="33"/>
      <c r="D607" s="33"/>
      <c r="E607" s="33"/>
      <c r="F607" s="33"/>
      <c r="G607" s="33"/>
      <c r="H607" s="33"/>
      <c r="I607" s="33"/>
      <c r="J607" s="33"/>
      <c r="K607" s="33"/>
      <c r="L607" s="33"/>
      <c r="M607" s="33"/>
      <c r="N607" s="33"/>
      <c r="O607" s="33"/>
      <c r="P607" s="33"/>
      <c r="Q607" s="33"/>
      <c r="R607" s="33"/>
    </row>
    <row r="608">
      <c r="A608" s="33"/>
      <c r="B608" s="33"/>
      <c r="C608" s="33"/>
      <c r="D608" s="33"/>
      <c r="E608" s="33"/>
      <c r="F608" s="33"/>
      <c r="G608" s="33"/>
      <c r="H608" s="33"/>
      <c r="I608" s="33"/>
      <c r="J608" s="33"/>
      <c r="K608" s="33"/>
      <c r="L608" s="33"/>
      <c r="M608" s="33"/>
      <c r="N608" s="33"/>
      <c r="O608" s="33"/>
      <c r="P608" s="33"/>
      <c r="Q608" s="33"/>
      <c r="R608" s="33"/>
    </row>
    <row r="609">
      <c r="A609" s="33"/>
      <c r="B609" s="33"/>
      <c r="C609" s="33"/>
      <c r="D609" s="33"/>
      <c r="E609" s="33"/>
      <c r="F609" s="33"/>
      <c r="G609" s="33"/>
      <c r="H609" s="33"/>
      <c r="I609" s="33"/>
      <c r="J609" s="33"/>
      <c r="K609" s="33"/>
      <c r="L609" s="33"/>
      <c r="M609" s="33"/>
      <c r="N609" s="33"/>
      <c r="O609" s="33"/>
      <c r="P609" s="33"/>
      <c r="Q609" s="33"/>
      <c r="R609" s="33"/>
    </row>
    <row r="610">
      <c r="A610" s="33"/>
      <c r="B610" s="33"/>
      <c r="C610" s="33"/>
      <c r="D610" s="33"/>
      <c r="E610" s="33"/>
      <c r="F610" s="33"/>
      <c r="G610" s="33"/>
      <c r="H610" s="33"/>
      <c r="I610" s="33"/>
      <c r="J610" s="33"/>
      <c r="K610" s="33"/>
      <c r="L610" s="33"/>
      <c r="M610" s="33"/>
      <c r="N610" s="33"/>
      <c r="O610" s="33"/>
      <c r="P610" s="33"/>
      <c r="Q610" s="33"/>
      <c r="R610" s="33"/>
    </row>
    <row r="611">
      <c r="A611" s="33"/>
      <c r="B611" s="33"/>
      <c r="C611" s="33"/>
      <c r="D611" s="33"/>
      <c r="E611" s="33"/>
      <c r="F611" s="33"/>
      <c r="G611" s="33"/>
      <c r="H611" s="33"/>
      <c r="I611" s="33"/>
      <c r="J611" s="33"/>
      <c r="K611" s="33"/>
      <c r="L611" s="33"/>
      <c r="M611" s="33"/>
      <c r="N611" s="33"/>
      <c r="O611" s="33"/>
      <c r="P611" s="33"/>
      <c r="Q611" s="33"/>
      <c r="R611" s="33"/>
    </row>
    <row r="612">
      <c r="A612" s="33"/>
      <c r="B612" s="33"/>
      <c r="C612" s="33"/>
      <c r="D612" s="33"/>
      <c r="E612" s="33"/>
      <c r="F612" s="33"/>
      <c r="G612" s="33"/>
      <c r="H612" s="33"/>
      <c r="I612" s="33"/>
      <c r="J612" s="33"/>
      <c r="K612" s="33"/>
      <c r="L612" s="33"/>
      <c r="M612" s="33"/>
      <c r="N612" s="33"/>
      <c r="O612" s="33"/>
      <c r="P612" s="33"/>
      <c r="Q612" s="33"/>
      <c r="R612" s="33"/>
    </row>
    <row r="613">
      <c r="A613" s="33"/>
      <c r="B613" s="33"/>
      <c r="C613" s="33"/>
      <c r="D613" s="33"/>
      <c r="E613" s="33"/>
      <c r="F613" s="33"/>
      <c r="G613" s="33"/>
      <c r="H613" s="33"/>
      <c r="I613" s="33"/>
      <c r="J613" s="33"/>
      <c r="K613" s="33"/>
      <c r="L613" s="33"/>
      <c r="M613" s="33"/>
      <c r="N613" s="33"/>
      <c r="O613" s="33"/>
      <c r="P613" s="33"/>
      <c r="Q613" s="33"/>
      <c r="R613" s="33"/>
    </row>
    <row r="614">
      <c r="A614" s="33"/>
      <c r="B614" s="33"/>
      <c r="C614" s="33"/>
      <c r="D614" s="33"/>
      <c r="E614" s="33"/>
      <c r="F614" s="33"/>
      <c r="G614" s="33"/>
      <c r="H614" s="33"/>
      <c r="I614" s="33"/>
      <c r="J614" s="33"/>
      <c r="K614" s="33"/>
      <c r="L614" s="33"/>
      <c r="M614" s="33"/>
      <c r="N614" s="33"/>
      <c r="O614" s="33"/>
      <c r="P614" s="33"/>
      <c r="Q614" s="33"/>
      <c r="R614" s="33"/>
    </row>
    <row r="615">
      <c r="A615" s="33"/>
      <c r="B615" s="33"/>
      <c r="C615" s="33"/>
      <c r="D615" s="33"/>
      <c r="E615" s="33"/>
      <c r="F615" s="33"/>
      <c r="G615" s="33"/>
      <c r="H615" s="33"/>
      <c r="I615" s="33"/>
      <c r="J615" s="33"/>
      <c r="K615" s="33"/>
      <c r="L615" s="33"/>
      <c r="M615" s="33"/>
      <c r="N615" s="33"/>
      <c r="O615" s="33"/>
      <c r="P615" s="33"/>
      <c r="Q615" s="33"/>
      <c r="R615" s="33"/>
    </row>
    <row r="616">
      <c r="A616" s="33"/>
      <c r="B616" s="33"/>
      <c r="C616" s="33"/>
      <c r="D616" s="33"/>
      <c r="E616" s="33"/>
      <c r="F616" s="33"/>
      <c r="G616" s="33"/>
      <c r="H616" s="33"/>
      <c r="I616" s="33"/>
      <c r="J616" s="33"/>
      <c r="K616" s="33"/>
      <c r="L616" s="33"/>
      <c r="M616" s="33"/>
      <c r="N616" s="33"/>
      <c r="O616" s="33"/>
      <c r="P616" s="33"/>
      <c r="Q616" s="33"/>
      <c r="R616" s="33"/>
    </row>
    <row r="617">
      <c r="A617" s="33"/>
      <c r="B617" s="33"/>
      <c r="C617" s="33"/>
      <c r="D617" s="33"/>
      <c r="E617" s="33"/>
      <c r="F617" s="33"/>
      <c r="G617" s="33"/>
      <c r="H617" s="33"/>
      <c r="I617" s="33"/>
      <c r="J617" s="33"/>
      <c r="K617" s="33"/>
      <c r="L617" s="33"/>
      <c r="M617" s="33"/>
      <c r="N617" s="33"/>
      <c r="O617" s="33"/>
      <c r="P617" s="33"/>
      <c r="Q617" s="33"/>
      <c r="R617" s="33"/>
    </row>
    <row r="618">
      <c r="A618" s="33"/>
      <c r="B618" s="33"/>
      <c r="C618" s="33"/>
      <c r="D618" s="33"/>
      <c r="E618" s="33"/>
      <c r="F618" s="33"/>
      <c r="G618" s="33"/>
      <c r="H618" s="33"/>
      <c r="I618" s="33"/>
      <c r="J618" s="33"/>
      <c r="K618" s="33"/>
      <c r="L618" s="33"/>
      <c r="M618" s="33"/>
      <c r="N618" s="33"/>
      <c r="O618" s="33"/>
      <c r="P618" s="33"/>
      <c r="Q618" s="33"/>
      <c r="R618" s="33"/>
    </row>
    <row r="619">
      <c r="A619" s="33"/>
      <c r="B619" s="33"/>
      <c r="C619" s="33"/>
      <c r="D619" s="33"/>
      <c r="E619" s="33"/>
      <c r="F619" s="33"/>
      <c r="G619" s="33"/>
      <c r="H619" s="33"/>
      <c r="I619" s="33"/>
      <c r="J619" s="33"/>
      <c r="K619" s="33"/>
      <c r="L619" s="33"/>
      <c r="M619" s="33"/>
      <c r="N619" s="33"/>
      <c r="O619" s="33"/>
      <c r="P619" s="33"/>
      <c r="Q619" s="33"/>
      <c r="R619" s="33"/>
    </row>
    <row r="620">
      <c r="A620" s="33"/>
      <c r="B620" s="33"/>
      <c r="C620" s="33"/>
      <c r="D620" s="33"/>
      <c r="E620" s="33"/>
      <c r="F620" s="33"/>
      <c r="G620" s="33"/>
      <c r="H620" s="33"/>
      <c r="I620" s="33"/>
      <c r="J620" s="33"/>
      <c r="K620" s="33"/>
      <c r="L620" s="33"/>
      <c r="M620" s="33"/>
      <c r="N620" s="33"/>
      <c r="O620" s="33"/>
      <c r="P620" s="33"/>
      <c r="Q620" s="33"/>
      <c r="R620" s="33"/>
    </row>
    <row r="621">
      <c r="A621" s="33"/>
      <c r="B621" s="33"/>
      <c r="C621" s="33"/>
      <c r="D621" s="33"/>
      <c r="E621" s="33"/>
      <c r="F621" s="33"/>
      <c r="G621" s="33"/>
      <c r="H621" s="33"/>
      <c r="I621" s="33"/>
      <c r="J621" s="33"/>
      <c r="K621" s="33"/>
      <c r="L621" s="33"/>
      <c r="M621" s="33"/>
      <c r="N621" s="33"/>
      <c r="O621" s="33"/>
      <c r="P621" s="33"/>
      <c r="Q621" s="33"/>
      <c r="R621" s="33"/>
    </row>
    <row r="622">
      <c r="A622" s="33"/>
      <c r="B622" s="33"/>
      <c r="C622" s="33"/>
      <c r="D622" s="33"/>
      <c r="E622" s="33"/>
      <c r="F622" s="33"/>
      <c r="G622" s="33"/>
      <c r="H622" s="33"/>
      <c r="I622" s="33"/>
      <c r="J622" s="33"/>
      <c r="K622" s="33"/>
      <c r="L622" s="33"/>
      <c r="M622" s="33"/>
      <c r="N622" s="33"/>
      <c r="O622" s="33"/>
      <c r="P622" s="33"/>
      <c r="Q622" s="33"/>
      <c r="R622" s="33"/>
    </row>
    <row r="623">
      <c r="A623" s="33"/>
      <c r="B623" s="33"/>
      <c r="C623" s="33"/>
      <c r="D623" s="33"/>
      <c r="E623" s="33"/>
      <c r="F623" s="33"/>
      <c r="G623" s="33"/>
      <c r="H623" s="33"/>
      <c r="I623" s="33"/>
      <c r="J623" s="33"/>
      <c r="K623" s="33"/>
      <c r="L623" s="33"/>
      <c r="M623" s="33"/>
      <c r="N623" s="33"/>
      <c r="O623" s="33"/>
      <c r="P623" s="33"/>
      <c r="Q623" s="33"/>
      <c r="R623" s="33"/>
    </row>
    <row r="624">
      <c r="A624" s="33"/>
      <c r="B624" s="33"/>
      <c r="C624" s="33"/>
      <c r="D624" s="33"/>
      <c r="E624" s="33"/>
      <c r="F624" s="33"/>
      <c r="G624" s="33"/>
      <c r="H624" s="33"/>
      <c r="I624" s="33"/>
      <c r="J624" s="33"/>
      <c r="K624" s="33"/>
      <c r="L624" s="33"/>
      <c r="M624" s="33"/>
      <c r="N624" s="33"/>
      <c r="O624" s="33"/>
      <c r="P624" s="33"/>
      <c r="Q624" s="33"/>
      <c r="R624" s="33"/>
    </row>
    <row r="625">
      <c r="A625" s="33"/>
      <c r="B625" s="33"/>
      <c r="C625" s="33"/>
      <c r="D625" s="33"/>
      <c r="E625" s="33"/>
      <c r="F625" s="33"/>
      <c r="G625" s="33"/>
      <c r="H625" s="33"/>
      <c r="I625" s="33"/>
      <c r="J625" s="33"/>
      <c r="K625" s="33"/>
      <c r="L625" s="33"/>
      <c r="M625" s="33"/>
      <c r="N625" s="33"/>
      <c r="O625" s="33"/>
      <c r="P625" s="33"/>
      <c r="Q625" s="33"/>
      <c r="R625" s="33"/>
    </row>
    <row r="626">
      <c r="A626" s="33"/>
      <c r="B626" s="33"/>
      <c r="C626" s="33"/>
      <c r="D626" s="33"/>
      <c r="E626" s="33"/>
      <c r="F626" s="33"/>
      <c r="G626" s="33"/>
      <c r="H626" s="33"/>
      <c r="I626" s="33"/>
      <c r="J626" s="33"/>
      <c r="K626" s="33"/>
      <c r="L626" s="33"/>
      <c r="M626" s="33"/>
      <c r="N626" s="33"/>
      <c r="O626" s="33"/>
      <c r="P626" s="33"/>
      <c r="Q626" s="33"/>
      <c r="R626" s="33"/>
    </row>
    <row r="627">
      <c r="A627" s="33"/>
      <c r="B627" s="33"/>
      <c r="C627" s="33"/>
      <c r="D627" s="33"/>
      <c r="E627" s="33"/>
      <c r="F627" s="33"/>
      <c r="G627" s="33"/>
      <c r="H627" s="33"/>
      <c r="I627" s="33"/>
      <c r="J627" s="33"/>
      <c r="K627" s="33"/>
      <c r="L627" s="33"/>
      <c r="M627" s="33"/>
      <c r="N627" s="33"/>
      <c r="O627" s="33"/>
      <c r="P627" s="33"/>
      <c r="Q627" s="33"/>
      <c r="R627" s="33"/>
    </row>
    <row r="628">
      <c r="A628" s="33"/>
      <c r="B628" s="33"/>
      <c r="C628" s="33"/>
      <c r="D628" s="33"/>
      <c r="E628" s="33"/>
      <c r="F628" s="33"/>
      <c r="G628" s="33"/>
      <c r="H628" s="33"/>
      <c r="I628" s="33"/>
      <c r="J628" s="33"/>
      <c r="K628" s="33"/>
      <c r="L628" s="33"/>
      <c r="M628" s="33"/>
      <c r="N628" s="33"/>
      <c r="O628" s="33"/>
      <c r="P628" s="33"/>
      <c r="Q628" s="33"/>
      <c r="R628" s="33"/>
    </row>
    <row r="629">
      <c r="A629" s="33"/>
      <c r="B629" s="33"/>
      <c r="C629" s="33"/>
      <c r="D629" s="33"/>
      <c r="E629" s="33"/>
      <c r="F629" s="33"/>
      <c r="G629" s="33"/>
      <c r="H629" s="33"/>
      <c r="I629" s="33"/>
      <c r="J629" s="33"/>
      <c r="K629" s="33"/>
      <c r="L629" s="33"/>
      <c r="M629" s="33"/>
      <c r="N629" s="33"/>
      <c r="O629" s="33"/>
      <c r="P629" s="33"/>
      <c r="Q629" s="33"/>
      <c r="R629" s="33"/>
    </row>
    <row r="630">
      <c r="A630" s="33"/>
      <c r="B630" s="33"/>
      <c r="C630" s="33"/>
      <c r="D630" s="33"/>
      <c r="E630" s="33"/>
      <c r="F630" s="33"/>
      <c r="G630" s="33"/>
      <c r="H630" s="33"/>
      <c r="I630" s="33"/>
      <c r="J630" s="33"/>
      <c r="K630" s="33"/>
      <c r="L630" s="33"/>
      <c r="M630" s="33"/>
      <c r="N630" s="33"/>
      <c r="O630" s="33"/>
      <c r="P630" s="33"/>
      <c r="Q630" s="33"/>
      <c r="R630" s="33"/>
    </row>
    <row r="631">
      <c r="A631" s="33"/>
      <c r="B631" s="33"/>
      <c r="C631" s="33"/>
      <c r="D631" s="33"/>
      <c r="E631" s="33"/>
      <c r="F631" s="33"/>
      <c r="G631" s="33"/>
      <c r="H631" s="33"/>
      <c r="I631" s="33"/>
      <c r="J631" s="33"/>
      <c r="K631" s="33"/>
      <c r="L631" s="33"/>
      <c r="M631" s="33"/>
      <c r="N631" s="33"/>
      <c r="O631" s="33"/>
      <c r="P631" s="33"/>
      <c r="Q631" s="33"/>
      <c r="R631" s="33"/>
    </row>
    <row r="632">
      <c r="A632" s="33"/>
      <c r="B632" s="33"/>
      <c r="C632" s="33"/>
      <c r="D632" s="33"/>
      <c r="E632" s="33"/>
      <c r="F632" s="33"/>
      <c r="G632" s="33"/>
      <c r="H632" s="33"/>
      <c r="I632" s="33"/>
      <c r="J632" s="33"/>
      <c r="K632" s="33"/>
      <c r="L632" s="33"/>
      <c r="M632" s="33"/>
      <c r="N632" s="33"/>
      <c r="O632" s="33"/>
      <c r="P632" s="33"/>
      <c r="Q632" s="33"/>
      <c r="R632" s="33"/>
    </row>
    <row r="633">
      <c r="A633" s="33"/>
      <c r="B633" s="33"/>
      <c r="C633" s="33"/>
      <c r="D633" s="33"/>
      <c r="E633" s="33"/>
      <c r="F633" s="33"/>
      <c r="G633" s="33"/>
      <c r="H633" s="33"/>
      <c r="I633" s="33"/>
      <c r="J633" s="33"/>
      <c r="K633" s="33"/>
      <c r="L633" s="33"/>
      <c r="M633" s="33"/>
      <c r="N633" s="33"/>
      <c r="O633" s="33"/>
      <c r="P633" s="33"/>
      <c r="Q633" s="33"/>
      <c r="R633" s="33"/>
    </row>
    <row r="634">
      <c r="A634" s="33"/>
      <c r="B634" s="33"/>
      <c r="C634" s="33"/>
      <c r="D634" s="33"/>
      <c r="E634" s="33"/>
      <c r="F634" s="33"/>
      <c r="G634" s="33"/>
      <c r="H634" s="33"/>
      <c r="I634" s="33"/>
      <c r="J634" s="33"/>
      <c r="K634" s="33"/>
      <c r="L634" s="33"/>
      <c r="M634" s="33"/>
      <c r="N634" s="33"/>
      <c r="O634" s="33"/>
      <c r="P634" s="33"/>
      <c r="Q634" s="33"/>
      <c r="R634" s="33"/>
    </row>
    <row r="635">
      <c r="A635" s="33"/>
      <c r="B635" s="33"/>
      <c r="C635" s="33"/>
      <c r="D635" s="33"/>
      <c r="E635" s="33"/>
      <c r="F635" s="33"/>
      <c r="G635" s="33"/>
      <c r="H635" s="33"/>
      <c r="I635" s="33"/>
      <c r="J635" s="33"/>
      <c r="K635" s="33"/>
      <c r="L635" s="33"/>
      <c r="M635" s="33"/>
      <c r="N635" s="33"/>
      <c r="O635" s="33"/>
      <c r="P635" s="33"/>
      <c r="Q635" s="33"/>
      <c r="R635" s="33"/>
    </row>
    <row r="636">
      <c r="A636" s="33"/>
      <c r="B636" s="33"/>
      <c r="C636" s="33"/>
      <c r="D636" s="33"/>
      <c r="E636" s="33"/>
      <c r="F636" s="33"/>
      <c r="G636" s="33"/>
      <c r="H636" s="33"/>
      <c r="I636" s="33"/>
      <c r="J636" s="33"/>
      <c r="K636" s="33"/>
      <c r="L636" s="33"/>
      <c r="M636" s="33"/>
      <c r="N636" s="33"/>
      <c r="O636" s="33"/>
      <c r="P636" s="33"/>
      <c r="Q636" s="33"/>
      <c r="R636" s="33"/>
    </row>
    <row r="637">
      <c r="A637" s="33"/>
      <c r="B637" s="33"/>
      <c r="C637" s="33"/>
      <c r="D637" s="33"/>
      <c r="E637" s="33"/>
      <c r="F637" s="33"/>
      <c r="G637" s="33"/>
      <c r="H637" s="33"/>
      <c r="I637" s="33"/>
      <c r="J637" s="33"/>
      <c r="K637" s="33"/>
      <c r="L637" s="33"/>
      <c r="M637" s="33"/>
      <c r="N637" s="33"/>
      <c r="O637" s="33"/>
      <c r="P637" s="33"/>
      <c r="Q637" s="33"/>
      <c r="R637" s="33"/>
    </row>
    <row r="638">
      <c r="A638" s="33"/>
      <c r="B638" s="33"/>
      <c r="C638" s="33"/>
      <c r="D638" s="33"/>
      <c r="E638" s="33"/>
      <c r="F638" s="33"/>
      <c r="G638" s="33"/>
      <c r="H638" s="33"/>
      <c r="I638" s="33"/>
      <c r="J638" s="33"/>
      <c r="K638" s="33"/>
      <c r="L638" s="33"/>
      <c r="M638" s="33"/>
      <c r="N638" s="33"/>
      <c r="O638" s="33"/>
      <c r="P638" s="33"/>
      <c r="Q638" s="33"/>
      <c r="R638" s="33"/>
    </row>
    <row r="639">
      <c r="A639" s="33"/>
      <c r="B639" s="33"/>
      <c r="C639" s="33"/>
      <c r="D639" s="33"/>
      <c r="E639" s="33"/>
      <c r="F639" s="33"/>
      <c r="G639" s="33"/>
      <c r="H639" s="33"/>
      <c r="I639" s="33"/>
      <c r="J639" s="33"/>
      <c r="K639" s="33"/>
      <c r="L639" s="33"/>
      <c r="M639" s="33"/>
      <c r="N639" s="33"/>
      <c r="O639" s="33"/>
      <c r="P639" s="33"/>
      <c r="Q639" s="33"/>
      <c r="R639" s="33"/>
    </row>
    <row r="640">
      <c r="A640" s="33"/>
      <c r="B640" s="33"/>
      <c r="C640" s="33"/>
      <c r="D640" s="33"/>
      <c r="E640" s="33"/>
      <c r="F640" s="33"/>
      <c r="G640" s="33"/>
      <c r="H640" s="33"/>
      <c r="I640" s="33"/>
      <c r="J640" s="33"/>
      <c r="K640" s="33"/>
      <c r="L640" s="33"/>
      <c r="M640" s="33"/>
      <c r="N640" s="33"/>
      <c r="O640" s="33"/>
      <c r="P640" s="33"/>
      <c r="Q640" s="33"/>
      <c r="R640" s="33"/>
    </row>
    <row r="641">
      <c r="A641" s="33"/>
      <c r="B641" s="33"/>
      <c r="C641" s="33"/>
      <c r="D641" s="33"/>
      <c r="E641" s="33"/>
      <c r="F641" s="33"/>
      <c r="G641" s="33"/>
      <c r="H641" s="33"/>
      <c r="I641" s="33"/>
      <c r="J641" s="33"/>
      <c r="K641" s="33"/>
      <c r="L641" s="33"/>
      <c r="M641" s="33"/>
      <c r="N641" s="33"/>
      <c r="O641" s="33"/>
      <c r="P641" s="33"/>
      <c r="Q641" s="33"/>
      <c r="R641" s="33"/>
    </row>
    <row r="642">
      <c r="A642" s="33"/>
      <c r="B642" s="33"/>
      <c r="C642" s="33"/>
      <c r="D642" s="33"/>
      <c r="E642" s="33"/>
      <c r="F642" s="33"/>
      <c r="G642" s="33"/>
      <c r="H642" s="33"/>
      <c r="I642" s="33"/>
      <c r="J642" s="33"/>
      <c r="K642" s="33"/>
      <c r="L642" s="33"/>
      <c r="M642" s="33"/>
      <c r="N642" s="33"/>
      <c r="O642" s="33"/>
      <c r="P642" s="33"/>
      <c r="Q642" s="33"/>
      <c r="R642" s="33"/>
    </row>
    <row r="643">
      <c r="A643" s="33"/>
      <c r="B643" s="33"/>
      <c r="C643" s="33"/>
      <c r="D643" s="33"/>
      <c r="E643" s="33"/>
      <c r="F643" s="33"/>
      <c r="G643" s="33"/>
      <c r="H643" s="33"/>
      <c r="I643" s="33"/>
      <c r="J643" s="33"/>
      <c r="K643" s="33"/>
      <c r="L643" s="33"/>
      <c r="M643" s="33"/>
      <c r="N643" s="33"/>
      <c r="O643" s="33"/>
      <c r="P643" s="33"/>
      <c r="Q643" s="33"/>
      <c r="R643" s="33"/>
    </row>
    <row r="644">
      <c r="A644" s="33"/>
      <c r="B644" s="33"/>
      <c r="C644" s="33"/>
      <c r="D644" s="33"/>
      <c r="E644" s="33"/>
      <c r="F644" s="33"/>
      <c r="G644" s="33"/>
      <c r="H644" s="33"/>
      <c r="I644" s="33"/>
      <c r="J644" s="33"/>
      <c r="K644" s="33"/>
      <c r="L644" s="33"/>
      <c r="M644" s="33"/>
      <c r="N644" s="33"/>
      <c r="O644" s="33"/>
      <c r="P644" s="33"/>
      <c r="Q644" s="33"/>
      <c r="R644" s="33"/>
    </row>
    <row r="645">
      <c r="A645" s="33"/>
      <c r="B645" s="33"/>
      <c r="C645" s="33"/>
      <c r="D645" s="33"/>
      <c r="E645" s="33"/>
      <c r="F645" s="33"/>
      <c r="G645" s="33"/>
      <c r="H645" s="33"/>
      <c r="I645" s="33"/>
      <c r="J645" s="33"/>
      <c r="K645" s="33"/>
      <c r="L645" s="33"/>
      <c r="M645" s="33"/>
      <c r="N645" s="33"/>
      <c r="O645" s="33"/>
      <c r="P645" s="33"/>
      <c r="Q645" s="33"/>
      <c r="R645" s="33"/>
    </row>
    <row r="646">
      <c r="A646" s="33"/>
      <c r="B646" s="33"/>
      <c r="C646" s="33"/>
      <c r="D646" s="33"/>
      <c r="E646" s="33"/>
      <c r="F646" s="33"/>
      <c r="G646" s="33"/>
      <c r="H646" s="33"/>
      <c r="I646" s="33"/>
      <c r="J646" s="33"/>
      <c r="K646" s="33"/>
      <c r="L646" s="33"/>
      <c r="M646" s="33"/>
      <c r="N646" s="33"/>
      <c r="O646" s="33"/>
      <c r="P646" s="33"/>
      <c r="Q646" s="33"/>
      <c r="R646" s="33"/>
    </row>
    <row r="647">
      <c r="A647" s="33"/>
      <c r="B647" s="33"/>
      <c r="C647" s="33"/>
      <c r="D647" s="33"/>
      <c r="E647" s="33"/>
      <c r="F647" s="33"/>
      <c r="G647" s="33"/>
      <c r="H647" s="33"/>
      <c r="I647" s="33"/>
      <c r="J647" s="33"/>
      <c r="K647" s="33"/>
      <c r="L647" s="33"/>
      <c r="M647" s="33"/>
      <c r="N647" s="33"/>
      <c r="O647" s="33"/>
      <c r="P647" s="33"/>
      <c r="Q647" s="33"/>
      <c r="R647" s="33"/>
    </row>
    <row r="648">
      <c r="A648" s="33"/>
      <c r="B648" s="33"/>
      <c r="C648" s="33"/>
      <c r="D648" s="33"/>
      <c r="E648" s="33"/>
      <c r="F648" s="33"/>
      <c r="G648" s="33"/>
      <c r="H648" s="33"/>
      <c r="I648" s="33"/>
      <c r="J648" s="33"/>
      <c r="K648" s="33"/>
      <c r="L648" s="33"/>
      <c r="M648" s="33"/>
      <c r="N648" s="33"/>
      <c r="O648" s="33"/>
      <c r="P648" s="33"/>
      <c r="Q648" s="33"/>
      <c r="R648" s="33"/>
    </row>
    <row r="649">
      <c r="A649" s="33"/>
      <c r="B649" s="33"/>
      <c r="C649" s="33"/>
      <c r="D649" s="33"/>
      <c r="E649" s="33"/>
      <c r="F649" s="33"/>
      <c r="G649" s="33"/>
      <c r="H649" s="33"/>
      <c r="I649" s="33"/>
      <c r="J649" s="33"/>
      <c r="K649" s="33"/>
      <c r="L649" s="33"/>
      <c r="M649" s="33"/>
      <c r="N649" s="33"/>
      <c r="O649" s="33"/>
      <c r="P649" s="33"/>
      <c r="Q649" s="33"/>
      <c r="R649" s="33"/>
    </row>
    <row r="650">
      <c r="A650" s="33"/>
      <c r="B650" s="33"/>
      <c r="C650" s="33"/>
      <c r="D650" s="33"/>
      <c r="E650" s="33"/>
      <c r="F650" s="33"/>
      <c r="G650" s="33"/>
      <c r="H650" s="33"/>
      <c r="I650" s="33"/>
      <c r="J650" s="33"/>
      <c r="K650" s="33"/>
      <c r="L650" s="33"/>
      <c r="M650" s="33"/>
      <c r="N650" s="33"/>
      <c r="O650" s="33"/>
      <c r="P650" s="33"/>
      <c r="Q650" s="33"/>
      <c r="R650" s="33"/>
    </row>
    <row r="651">
      <c r="A651" s="33"/>
      <c r="B651" s="33"/>
      <c r="C651" s="33"/>
      <c r="D651" s="33"/>
      <c r="E651" s="33"/>
      <c r="F651" s="33"/>
      <c r="G651" s="33"/>
      <c r="H651" s="33"/>
      <c r="I651" s="33"/>
      <c r="J651" s="33"/>
      <c r="K651" s="33"/>
      <c r="L651" s="33"/>
      <c r="M651" s="33"/>
      <c r="N651" s="33"/>
      <c r="O651" s="33"/>
      <c r="P651" s="33"/>
      <c r="Q651" s="33"/>
      <c r="R651" s="33"/>
    </row>
    <row r="652">
      <c r="A652" s="33"/>
      <c r="B652" s="33"/>
      <c r="C652" s="33"/>
      <c r="D652" s="33"/>
      <c r="E652" s="33"/>
      <c r="F652" s="33"/>
      <c r="G652" s="33"/>
      <c r="H652" s="33"/>
      <c r="I652" s="33"/>
      <c r="J652" s="33"/>
      <c r="K652" s="33"/>
      <c r="L652" s="33"/>
      <c r="M652" s="33"/>
      <c r="N652" s="33"/>
      <c r="O652" s="33"/>
      <c r="P652" s="33"/>
      <c r="Q652" s="33"/>
      <c r="R652" s="33"/>
    </row>
    <row r="653">
      <c r="A653" s="33"/>
      <c r="B653" s="33"/>
      <c r="C653" s="33"/>
      <c r="D653" s="33"/>
      <c r="E653" s="33"/>
      <c r="F653" s="33"/>
      <c r="G653" s="33"/>
      <c r="H653" s="33"/>
      <c r="I653" s="33"/>
      <c r="J653" s="33"/>
      <c r="K653" s="33"/>
      <c r="L653" s="33"/>
      <c r="M653" s="33"/>
      <c r="N653" s="33"/>
      <c r="O653" s="33"/>
      <c r="P653" s="33"/>
      <c r="Q653" s="33"/>
      <c r="R653" s="33"/>
    </row>
    <row r="654">
      <c r="A654" s="33"/>
      <c r="B654" s="33"/>
      <c r="C654" s="33"/>
      <c r="D654" s="33"/>
      <c r="E654" s="33"/>
      <c r="F654" s="33"/>
      <c r="G654" s="33"/>
      <c r="H654" s="33"/>
      <c r="I654" s="33"/>
      <c r="J654" s="33"/>
      <c r="K654" s="33"/>
      <c r="L654" s="33"/>
      <c r="M654" s="33"/>
      <c r="N654" s="33"/>
      <c r="O654" s="33"/>
      <c r="P654" s="33"/>
      <c r="Q654" s="33"/>
      <c r="R654" s="33"/>
    </row>
    <row r="655">
      <c r="A655" s="33"/>
      <c r="B655" s="33"/>
      <c r="C655" s="33"/>
      <c r="D655" s="33"/>
      <c r="E655" s="33"/>
      <c r="F655" s="33"/>
      <c r="G655" s="33"/>
      <c r="H655" s="33"/>
      <c r="I655" s="33"/>
      <c r="J655" s="33"/>
      <c r="K655" s="33"/>
      <c r="L655" s="33"/>
      <c r="M655" s="33"/>
      <c r="N655" s="33"/>
      <c r="O655" s="33"/>
      <c r="P655" s="33"/>
      <c r="Q655" s="33"/>
      <c r="R655" s="33"/>
    </row>
    <row r="656">
      <c r="A656" s="33"/>
      <c r="B656" s="33"/>
      <c r="C656" s="33"/>
      <c r="D656" s="33"/>
      <c r="E656" s="33"/>
      <c r="F656" s="33"/>
      <c r="G656" s="33"/>
      <c r="H656" s="33"/>
      <c r="I656" s="33"/>
      <c r="J656" s="33"/>
      <c r="K656" s="33"/>
      <c r="L656" s="33"/>
      <c r="M656" s="33"/>
      <c r="N656" s="33"/>
      <c r="O656" s="33"/>
      <c r="P656" s="33"/>
      <c r="Q656" s="33"/>
      <c r="R656" s="33"/>
    </row>
    <row r="657">
      <c r="A657" s="33"/>
      <c r="B657" s="33"/>
      <c r="C657" s="33"/>
      <c r="D657" s="33"/>
      <c r="E657" s="33"/>
      <c r="F657" s="33"/>
      <c r="G657" s="33"/>
      <c r="H657" s="33"/>
      <c r="I657" s="33"/>
      <c r="J657" s="33"/>
      <c r="K657" s="33"/>
      <c r="L657" s="33"/>
      <c r="M657" s="33"/>
      <c r="N657" s="33"/>
      <c r="O657" s="33"/>
      <c r="P657" s="33"/>
      <c r="Q657" s="33"/>
      <c r="R657" s="33"/>
    </row>
    <row r="658">
      <c r="A658" s="33"/>
      <c r="B658" s="33"/>
      <c r="C658" s="33"/>
      <c r="D658" s="33"/>
      <c r="E658" s="33"/>
      <c r="F658" s="33"/>
      <c r="G658" s="33"/>
      <c r="H658" s="33"/>
      <c r="I658" s="33"/>
      <c r="J658" s="33"/>
      <c r="K658" s="33"/>
      <c r="L658" s="33"/>
      <c r="M658" s="33"/>
      <c r="N658" s="33"/>
      <c r="O658" s="33"/>
      <c r="P658" s="33"/>
      <c r="Q658" s="33"/>
      <c r="R658" s="33"/>
    </row>
    <row r="659">
      <c r="A659" s="33"/>
      <c r="B659" s="33"/>
      <c r="C659" s="33"/>
      <c r="D659" s="33"/>
      <c r="E659" s="33"/>
      <c r="F659" s="33"/>
      <c r="G659" s="33"/>
      <c r="H659" s="33"/>
      <c r="I659" s="33"/>
      <c r="J659" s="33"/>
      <c r="K659" s="33"/>
      <c r="L659" s="33"/>
      <c r="M659" s="33"/>
      <c r="N659" s="33"/>
      <c r="O659" s="33"/>
      <c r="P659" s="33"/>
      <c r="Q659" s="33"/>
      <c r="R659" s="33"/>
    </row>
    <row r="660">
      <c r="A660" s="33"/>
      <c r="B660" s="33"/>
      <c r="C660" s="33"/>
      <c r="D660" s="33"/>
      <c r="E660" s="33"/>
      <c r="F660" s="33"/>
      <c r="G660" s="33"/>
      <c r="H660" s="33"/>
      <c r="I660" s="33"/>
      <c r="J660" s="33"/>
      <c r="K660" s="33"/>
      <c r="L660" s="33"/>
      <c r="M660" s="33"/>
      <c r="N660" s="33"/>
      <c r="O660" s="33"/>
      <c r="P660" s="33"/>
      <c r="Q660" s="33"/>
      <c r="R660" s="33"/>
    </row>
    <row r="661">
      <c r="A661" s="33"/>
      <c r="B661" s="33"/>
      <c r="C661" s="33"/>
      <c r="D661" s="33"/>
      <c r="E661" s="33"/>
      <c r="F661" s="33"/>
      <c r="G661" s="33"/>
      <c r="H661" s="33"/>
      <c r="I661" s="33"/>
      <c r="J661" s="33"/>
      <c r="K661" s="33"/>
      <c r="L661" s="33"/>
      <c r="M661" s="33"/>
      <c r="N661" s="33"/>
      <c r="O661" s="33"/>
      <c r="P661" s="33"/>
      <c r="Q661" s="33"/>
      <c r="R661" s="33"/>
    </row>
    <row r="662">
      <c r="A662" s="33"/>
      <c r="B662" s="33"/>
      <c r="C662" s="33"/>
      <c r="D662" s="33"/>
      <c r="E662" s="33"/>
      <c r="F662" s="33"/>
      <c r="G662" s="33"/>
      <c r="H662" s="33"/>
      <c r="I662" s="33"/>
      <c r="J662" s="33"/>
      <c r="K662" s="33"/>
      <c r="L662" s="33"/>
      <c r="M662" s="33"/>
      <c r="N662" s="33"/>
      <c r="O662" s="33"/>
      <c r="P662" s="33"/>
      <c r="Q662" s="33"/>
      <c r="R662" s="33"/>
    </row>
    <row r="663">
      <c r="A663" s="33"/>
      <c r="B663" s="33"/>
      <c r="C663" s="33"/>
      <c r="D663" s="33"/>
      <c r="E663" s="33"/>
      <c r="F663" s="33"/>
      <c r="G663" s="33"/>
      <c r="H663" s="33"/>
      <c r="I663" s="33"/>
      <c r="J663" s="33"/>
      <c r="K663" s="33"/>
      <c r="L663" s="33"/>
      <c r="M663" s="33"/>
      <c r="N663" s="33"/>
      <c r="O663" s="33"/>
      <c r="P663" s="33"/>
      <c r="Q663" s="33"/>
      <c r="R663" s="33"/>
    </row>
    <row r="664">
      <c r="A664" s="33"/>
      <c r="B664" s="33"/>
      <c r="C664" s="33"/>
      <c r="D664" s="33"/>
      <c r="E664" s="33"/>
      <c r="F664" s="33"/>
      <c r="G664" s="33"/>
      <c r="H664" s="33"/>
      <c r="I664" s="33"/>
      <c r="J664" s="33"/>
      <c r="K664" s="33"/>
      <c r="L664" s="33"/>
      <c r="M664" s="33"/>
      <c r="N664" s="33"/>
      <c r="O664" s="33"/>
      <c r="P664" s="33"/>
      <c r="Q664" s="33"/>
      <c r="R664" s="33"/>
    </row>
    <row r="665">
      <c r="A665" s="33"/>
      <c r="B665" s="33"/>
      <c r="C665" s="33"/>
      <c r="D665" s="33"/>
      <c r="E665" s="33"/>
      <c r="F665" s="33"/>
      <c r="G665" s="33"/>
      <c r="H665" s="33"/>
      <c r="I665" s="33"/>
      <c r="J665" s="33"/>
      <c r="K665" s="33"/>
      <c r="L665" s="33"/>
      <c r="M665" s="33"/>
      <c r="N665" s="33"/>
      <c r="O665" s="33"/>
      <c r="P665" s="33"/>
      <c r="Q665" s="33"/>
      <c r="R665" s="33"/>
    </row>
    <row r="666">
      <c r="A666" s="33"/>
      <c r="B666" s="33"/>
      <c r="C666" s="33"/>
      <c r="D666" s="33"/>
      <c r="E666" s="33"/>
      <c r="F666" s="33"/>
      <c r="G666" s="33"/>
      <c r="H666" s="33"/>
      <c r="I666" s="33"/>
      <c r="J666" s="33"/>
      <c r="K666" s="33"/>
      <c r="L666" s="33"/>
      <c r="M666" s="33"/>
      <c r="N666" s="33"/>
      <c r="O666" s="33"/>
      <c r="P666" s="33"/>
      <c r="Q666" s="33"/>
      <c r="R666" s="33"/>
    </row>
    <row r="667">
      <c r="A667" s="33"/>
      <c r="B667" s="33"/>
      <c r="C667" s="33"/>
      <c r="D667" s="33"/>
      <c r="E667" s="33"/>
      <c r="F667" s="33"/>
      <c r="G667" s="33"/>
      <c r="H667" s="33"/>
      <c r="I667" s="33"/>
      <c r="J667" s="33"/>
      <c r="K667" s="33"/>
      <c r="L667" s="33"/>
      <c r="M667" s="33"/>
      <c r="N667" s="33"/>
      <c r="O667" s="33"/>
      <c r="P667" s="33"/>
      <c r="Q667" s="33"/>
      <c r="R667" s="33"/>
    </row>
    <row r="668">
      <c r="A668" s="33"/>
      <c r="B668" s="33"/>
      <c r="C668" s="33"/>
      <c r="D668" s="33"/>
      <c r="E668" s="33"/>
      <c r="F668" s="33"/>
      <c r="G668" s="33"/>
      <c r="H668" s="33"/>
      <c r="I668" s="33"/>
      <c r="J668" s="33"/>
      <c r="K668" s="33"/>
      <c r="L668" s="33"/>
      <c r="M668" s="33"/>
      <c r="N668" s="33"/>
      <c r="O668" s="33"/>
      <c r="P668" s="33"/>
      <c r="Q668" s="33"/>
      <c r="R668" s="33"/>
    </row>
    <row r="669">
      <c r="A669" s="33"/>
      <c r="B669" s="33"/>
      <c r="C669" s="33"/>
      <c r="D669" s="33"/>
      <c r="E669" s="33"/>
      <c r="F669" s="33"/>
      <c r="G669" s="33"/>
      <c r="H669" s="33"/>
      <c r="I669" s="33"/>
      <c r="J669" s="33"/>
      <c r="K669" s="33"/>
      <c r="L669" s="33"/>
      <c r="M669" s="33"/>
      <c r="N669" s="33"/>
      <c r="O669" s="33"/>
      <c r="P669" s="33"/>
      <c r="Q669" s="33"/>
      <c r="R669" s="33"/>
    </row>
    <row r="670">
      <c r="A670" s="33"/>
      <c r="B670" s="33"/>
      <c r="C670" s="33"/>
      <c r="D670" s="33"/>
      <c r="E670" s="33"/>
      <c r="F670" s="33"/>
      <c r="G670" s="33"/>
      <c r="H670" s="33"/>
      <c r="I670" s="33"/>
      <c r="J670" s="33"/>
      <c r="K670" s="33"/>
      <c r="L670" s="33"/>
      <c r="M670" s="33"/>
      <c r="N670" s="33"/>
      <c r="O670" s="33"/>
      <c r="P670" s="33"/>
      <c r="Q670" s="33"/>
      <c r="R670" s="33"/>
    </row>
    <row r="671">
      <c r="A671" s="33"/>
      <c r="B671" s="33"/>
      <c r="C671" s="33"/>
      <c r="D671" s="33"/>
      <c r="E671" s="33"/>
      <c r="F671" s="33"/>
      <c r="G671" s="33"/>
      <c r="H671" s="33"/>
      <c r="I671" s="33"/>
      <c r="J671" s="33"/>
      <c r="K671" s="33"/>
      <c r="L671" s="33"/>
      <c r="M671" s="33"/>
      <c r="N671" s="33"/>
      <c r="O671" s="33"/>
      <c r="P671" s="33"/>
      <c r="Q671" s="33"/>
      <c r="R671" s="33"/>
    </row>
    <row r="672">
      <c r="A672" s="33"/>
      <c r="B672" s="33"/>
      <c r="C672" s="33"/>
      <c r="D672" s="33"/>
      <c r="E672" s="33"/>
      <c r="F672" s="33"/>
      <c r="G672" s="33"/>
      <c r="H672" s="33"/>
      <c r="I672" s="33"/>
      <c r="J672" s="33"/>
      <c r="K672" s="33"/>
      <c r="L672" s="33"/>
      <c r="M672" s="33"/>
      <c r="N672" s="33"/>
      <c r="O672" s="33"/>
      <c r="P672" s="33"/>
      <c r="Q672" s="33"/>
      <c r="R672" s="33"/>
    </row>
    <row r="673">
      <c r="A673" s="33"/>
      <c r="B673" s="33"/>
      <c r="C673" s="33"/>
      <c r="D673" s="33"/>
      <c r="E673" s="33"/>
      <c r="F673" s="33"/>
      <c r="G673" s="33"/>
      <c r="H673" s="33"/>
      <c r="I673" s="33"/>
      <c r="J673" s="33"/>
      <c r="K673" s="33"/>
      <c r="L673" s="33"/>
      <c r="M673" s="33"/>
      <c r="N673" s="33"/>
      <c r="O673" s="33"/>
      <c r="P673" s="33"/>
      <c r="Q673" s="33"/>
      <c r="R673" s="33"/>
    </row>
    <row r="674">
      <c r="A674" s="33"/>
      <c r="B674" s="33"/>
      <c r="C674" s="33"/>
      <c r="D674" s="33"/>
      <c r="E674" s="33"/>
      <c r="F674" s="33"/>
      <c r="G674" s="33"/>
      <c r="H674" s="33"/>
      <c r="I674" s="33"/>
      <c r="J674" s="33"/>
      <c r="K674" s="33"/>
      <c r="L674" s="33"/>
      <c r="M674" s="33"/>
      <c r="N674" s="33"/>
      <c r="O674" s="33"/>
      <c r="P674" s="33"/>
      <c r="Q674" s="33"/>
      <c r="R674" s="33"/>
    </row>
    <row r="675">
      <c r="A675" s="33"/>
      <c r="B675" s="33"/>
      <c r="C675" s="33"/>
      <c r="D675" s="33"/>
      <c r="E675" s="33"/>
      <c r="F675" s="33"/>
      <c r="G675" s="33"/>
      <c r="H675" s="33"/>
      <c r="I675" s="33"/>
      <c r="J675" s="33"/>
      <c r="K675" s="33"/>
      <c r="L675" s="33"/>
      <c r="M675" s="33"/>
      <c r="N675" s="33"/>
      <c r="O675" s="33"/>
      <c r="P675" s="33"/>
      <c r="Q675" s="33"/>
      <c r="R675" s="33"/>
    </row>
    <row r="676">
      <c r="A676" s="33"/>
      <c r="B676" s="33"/>
      <c r="C676" s="33"/>
      <c r="D676" s="33"/>
      <c r="E676" s="33"/>
      <c r="F676" s="33"/>
      <c r="G676" s="33"/>
      <c r="H676" s="33"/>
      <c r="I676" s="33"/>
      <c r="J676" s="33"/>
      <c r="K676" s="33"/>
      <c r="L676" s="33"/>
      <c r="M676" s="33"/>
      <c r="N676" s="33"/>
      <c r="O676" s="33"/>
      <c r="P676" s="33"/>
      <c r="Q676" s="33"/>
      <c r="R676" s="33"/>
    </row>
    <row r="677">
      <c r="A677" s="33"/>
      <c r="B677" s="33"/>
      <c r="C677" s="33"/>
      <c r="D677" s="33"/>
      <c r="E677" s="33"/>
      <c r="F677" s="33"/>
      <c r="G677" s="33"/>
      <c r="H677" s="33"/>
      <c r="I677" s="33"/>
      <c r="J677" s="33"/>
      <c r="K677" s="33"/>
      <c r="L677" s="33"/>
      <c r="M677" s="33"/>
      <c r="N677" s="33"/>
      <c r="O677" s="33"/>
      <c r="P677" s="33"/>
      <c r="Q677" s="33"/>
      <c r="R677" s="33"/>
    </row>
    <row r="678">
      <c r="A678" s="33"/>
      <c r="B678" s="33"/>
      <c r="C678" s="33"/>
      <c r="D678" s="33"/>
      <c r="E678" s="33"/>
      <c r="F678" s="33"/>
      <c r="G678" s="33"/>
      <c r="H678" s="33"/>
      <c r="I678" s="33"/>
      <c r="J678" s="33"/>
      <c r="K678" s="33"/>
      <c r="L678" s="33"/>
      <c r="M678" s="33"/>
      <c r="N678" s="33"/>
      <c r="O678" s="33"/>
      <c r="P678" s="33"/>
      <c r="Q678" s="33"/>
      <c r="R678" s="33"/>
    </row>
    <row r="679">
      <c r="A679" s="33"/>
      <c r="B679" s="33"/>
      <c r="C679" s="33"/>
      <c r="D679" s="33"/>
      <c r="E679" s="33"/>
      <c r="F679" s="33"/>
      <c r="G679" s="33"/>
      <c r="H679" s="33"/>
      <c r="I679" s="33"/>
      <c r="J679" s="33"/>
      <c r="K679" s="33"/>
      <c r="L679" s="33"/>
      <c r="M679" s="33"/>
      <c r="N679" s="33"/>
      <c r="O679" s="33"/>
      <c r="P679" s="33"/>
      <c r="Q679" s="33"/>
      <c r="R679" s="33"/>
    </row>
    <row r="680">
      <c r="A680" s="33"/>
      <c r="B680" s="33"/>
      <c r="C680" s="33"/>
      <c r="D680" s="33"/>
      <c r="E680" s="33"/>
      <c r="F680" s="33"/>
      <c r="G680" s="33"/>
      <c r="H680" s="33"/>
      <c r="I680" s="33"/>
      <c r="J680" s="33"/>
      <c r="K680" s="33"/>
      <c r="L680" s="33"/>
      <c r="M680" s="33"/>
      <c r="N680" s="33"/>
      <c r="O680" s="33"/>
      <c r="P680" s="33"/>
      <c r="Q680" s="33"/>
      <c r="R680" s="33"/>
    </row>
    <row r="681">
      <c r="A681" s="33"/>
      <c r="B681" s="33"/>
      <c r="C681" s="33"/>
      <c r="D681" s="33"/>
      <c r="E681" s="33"/>
      <c r="F681" s="33"/>
      <c r="G681" s="33"/>
      <c r="H681" s="33"/>
      <c r="I681" s="33"/>
      <c r="J681" s="33"/>
      <c r="K681" s="33"/>
      <c r="L681" s="33"/>
      <c r="M681" s="33"/>
      <c r="N681" s="33"/>
      <c r="O681" s="33"/>
      <c r="P681" s="33"/>
      <c r="Q681" s="33"/>
      <c r="R681" s="33"/>
    </row>
    <row r="682">
      <c r="A682" s="33"/>
      <c r="B682" s="33"/>
      <c r="C682" s="33"/>
      <c r="D682" s="33"/>
      <c r="E682" s="33"/>
      <c r="F682" s="33"/>
      <c r="G682" s="33"/>
      <c r="H682" s="33"/>
      <c r="I682" s="33"/>
      <c r="J682" s="33"/>
      <c r="K682" s="33"/>
      <c r="L682" s="33"/>
      <c r="M682" s="33"/>
      <c r="N682" s="33"/>
      <c r="O682" s="33"/>
      <c r="P682" s="33"/>
      <c r="Q682" s="33"/>
      <c r="R682" s="33"/>
    </row>
    <row r="683">
      <c r="A683" s="33"/>
      <c r="B683" s="33"/>
      <c r="C683" s="33"/>
      <c r="D683" s="33"/>
      <c r="E683" s="33"/>
      <c r="F683" s="33"/>
      <c r="G683" s="33"/>
      <c r="H683" s="33"/>
      <c r="I683" s="33"/>
      <c r="J683" s="33"/>
      <c r="K683" s="33"/>
      <c r="L683" s="33"/>
      <c r="M683" s="33"/>
      <c r="N683" s="33"/>
      <c r="O683" s="33"/>
      <c r="P683" s="33"/>
      <c r="Q683" s="33"/>
      <c r="R683" s="33"/>
    </row>
    <row r="684">
      <c r="A684" s="33"/>
      <c r="B684" s="33"/>
      <c r="C684" s="33"/>
      <c r="D684" s="33"/>
      <c r="E684" s="33"/>
      <c r="F684" s="33"/>
      <c r="G684" s="33"/>
      <c r="H684" s="33"/>
      <c r="I684" s="33"/>
      <c r="J684" s="33"/>
      <c r="K684" s="33"/>
      <c r="L684" s="33"/>
      <c r="M684" s="33"/>
      <c r="N684" s="33"/>
      <c r="O684" s="33"/>
      <c r="P684" s="33"/>
      <c r="Q684" s="33"/>
      <c r="R684" s="33"/>
    </row>
    <row r="685">
      <c r="A685" s="33"/>
      <c r="B685" s="33"/>
      <c r="C685" s="33"/>
      <c r="D685" s="33"/>
      <c r="E685" s="33"/>
      <c r="F685" s="33"/>
      <c r="G685" s="33"/>
      <c r="H685" s="33"/>
      <c r="I685" s="33"/>
      <c r="J685" s="33"/>
      <c r="K685" s="33"/>
      <c r="L685" s="33"/>
      <c r="M685" s="33"/>
      <c r="N685" s="33"/>
      <c r="O685" s="33"/>
      <c r="P685" s="33"/>
      <c r="Q685" s="33"/>
      <c r="R685" s="33"/>
    </row>
    <row r="686">
      <c r="A686" s="33"/>
      <c r="B686" s="33"/>
      <c r="C686" s="33"/>
      <c r="D686" s="33"/>
      <c r="E686" s="33"/>
      <c r="F686" s="33"/>
      <c r="G686" s="33"/>
      <c r="H686" s="33"/>
      <c r="I686" s="33"/>
      <c r="J686" s="33"/>
      <c r="K686" s="33"/>
      <c r="L686" s="33"/>
      <c r="M686" s="33"/>
      <c r="N686" s="33"/>
      <c r="O686" s="33"/>
      <c r="P686" s="33"/>
      <c r="Q686" s="33"/>
      <c r="R686" s="33"/>
    </row>
    <row r="687">
      <c r="A687" s="33"/>
      <c r="B687" s="33"/>
      <c r="C687" s="33"/>
      <c r="D687" s="33"/>
      <c r="E687" s="33"/>
      <c r="F687" s="33"/>
      <c r="G687" s="33"/>
      <c r="H687" s="33"/>
      <c r="I687" s="33"/>
      <c r="J687" s="33"/>
      <c r="K687" s="33"/>
      <c r="L687" s="33"/>
      <c r="M687" s="33"/>
      <c r="N687" s="33"/>
      <c r="O687" s="33"/>
      <c r="P687" s="33"/>
      <c r="Q687" s="33"/>
      <c r="R687" s="33"/>
    </row>
    <row r="688">
      <c r="A688" s="33"/>
      <c r="B688" s="33"/>
      <c r="C688" s="33"/>
      <c r="D688" s="33"/>
      <c r="E688" s="33"/>
      <c r="F688" s="33"/>
      <c r="G688" s="33"/>
      <c r="H688" s="33"/>
      <c r="I688" s="33"/>
      <c r="J688" s="33"/>
      <c r="K688" s="33"/>
      <c r="L688" s="33"/>
      <c r="M688" s="33"/>
      <c r="N688" s="33"/>
      <c r="O688" s="33"/>
      <c r="P688" s="33"/>
      <c r="Q688" s="33"/>
      <c r="R688" s="33"/>
    </row>
    <row r="689">
      <c r="A689" s="33"/>
      <c r="B689" s="33"/>
      <c r="C689" s="33"/>
      <c r="D689" s="33"/>
      <c r="E689" s="33"/>
      <c r="F689" s="33"/>
      <c r="G689" s="33"/>
      <c r="H689" s="33"/>
      <c r="I689" s="33"/>
      <c r="J689" s="33"/>
      <c r="K689" s="33"/>
      <c r="L689" s="33"/>
      <c r="M689" s="33"/>
      <c r="N689" s="33"/>
      <c r="O689" s="33"/>
      <c r="P689" s="33"/>
      <c r="Q689" s="33"/>
      <c r="R689" s="33"/>
    </row>
    <row r="690">
      <c r="A690" s="33"/>
      <c r="B690" s="33"/>
      <c r="C690" s="33"/>
      <c r="D690" s="33"/>
      <c r="E690" s="33"/>
      <c r="F690" s="33"/>
      <c r="G690" s="33"/>
      <c r="H690" s="33"/>
      <c r="I690" s="33"/>
      <c r="J690" s="33"/>
      <c r="K690" s="33"/>
      <c r="L690" s="33"/>
      <c r="M690" s="33"/>
      <c r="N690" s="33"/>
      <c r="O690" s="33"/>
      <c r="P690" s="33"/>
      <c r="Q690" s="33"/>
      <c r="R690" s="33"/>
    </row>
    <row r="691">
      <c r="A691" s="33"/>
      <c r="B691" s="33"/>
      <c r="C691" s="33"/>
      <c r="D691" s="33"/>
      <c r="E691" s="33"/>
      <c r="F691" s="33"/>
      <c r="G691" s="33"/>
      <c r="H691" s="33"/>
      <c r="I691" s="33"/>
      <c r="J691" s="33"/>
      <c r="K691" s="33"/>
      <c r="L691" s="33"/>
      <c r="M691" s="33"/>
      <c r="N691" s="33"/>
      <c r="O691" s="33"/>
      <c r="P691" s="33"/>
      <c r="Q691" s="33"/>
      <c r="R691" s="33"/>
    </row>
    <row r="692">
      <c r="A692" s="33"/>
      <c r="B692" s="33"/>
      <c r="C692" s="33"/>
      <c r="D692" s="33"/>
      <c r="E692" s="33"/>
      <c r="F692" s="33"/>
      <c r="G692" s="33"/>
      <c r="H692" s="33"/>
      <c r="I692" s="33"/>
      <c r="J692" s="33"/>
      <c r="K692" s="33"/>
      <c r="L692" s="33"/>
      <c r="M692" s="33"/>
      <c r="N692" s="33"/>
      <c r="O692" s="33"/>
      <c r="P692" s="33"/>
      <c r="Q692" s="33"/>
      <c r="R692" s="33"/>
    </row>
    <row r="693">
      <c r="A693" s="33"/>
      <c r="B693" s="33"/>
      <c r="C693" s="33"/>
      <c r="D693" s="33"/>
      <c r="E693" s="33"/>
      <c r="F693" s="33"/>
      <c r="G693" s="33"/>
      <c r="H693" s="33"/>
      <c r="I693" s="33"/>
      <c r="J693" s="33"/>
      <c r="K693" s="33"/>
      <c r="L693" s="33"/>
      <c r="M693" s="33"/>
      <c r="N693" s="33"/>
      <c r="O693" s="33"/>
      <c r="P693" s="33"/>
      <c r="Q693" s="33"/>
      <c r="R693" s="33"/>
    </row>
    <row r="694">
      <c r="A694" s="33"/>
      <c r="B694" s="33"/>
      <c r="C694" s="33"/>
      <c r="D694" s="33"/>
      <c r="E694" s="33"/>
      <c r="F694" s="33"/>
      <c r="G694" s="33"/>
      <c r="H694" s="33"/>
      <c r="I694" s="33"/>
      <c r="J694" s="33"/>
      <c r="K694" s="33"/>
      <c r="L694" s="33"/>
      <c r="M694" s="33"/>
      <c r="N694" s="33"/>
      <c r="O694" s="33"/>
      <c r="P694" s="33"/>
      <c r="Q694" s="33"/>
      <c r="R694" s="33"/>
    </row>
    <row r="695">
      <c r="A695" s="33"/>
      <c r="B695" s="33"/>
      <c r="C695" s="33"/>
      <c r="D695" s="33"/>
      <c r="E695" s="33"/>
      <c r="F695" s="33"/>
      <c r="G695" s="33"/>
      <c r="H695" s="33"/>
      <c r="I695" s="33"/>
      <c r="J695" s="33"/>
      <c r="K695" s="33"/>
      <c r="L695" s="33"/>
      <c r="M695" s="33"/>
      <c r="N695" s="33"/>
      <c r="O695" s="33"/>
      <c r="P695" s="33"/>
      <c r="Q695" s="33"/>
      <c r="R695" s="33"/>
    </row>
    <row r="696">
      <c r="A696" s="33"/>
      <c r="B696" s="33"/>
      <c r="C696" s="33"/>
      <c r="D696" s="33"/>
      <c r="E696" s="33"/>
      <c r="F696" s="33"/>
      <c r="G696" s="33"/>
      <c r="H696" s="33"/>
      <c r="I696" s="33"/>
      <c r="J696" s="33"/>
      <c r="K696" s="33"/>
      <c r="L696" s="33"/>
      <c r="M696" s="33"/>
      <c r="N696" s="33"/>
      <c r="O696" s="33"/>
      <c r="P696" s="33"/>
      <c r="Q696" s="33"/>
      <c r="R696" s="33"/>
    </row>
    <row r="697">
      <c r="A697" s="33"/>
      <c r="B697" s="33"/>
      <c r="C697" s="33"/>
      <c r="D697" s="33"/>
      <c r="E697" s="33"/>
      <c r="F697" s="33"/>
      <c r="G697" s="33"/>
      <c r="H697" s="33"/>
      <c r="I697" s="33"/>
      <c r="J697" s="33"/>
      <c r="K697" s="33"/>
      <c r="L697" s="33"/>
      <c r="M697" s="33"/>
      <c r="N697" s="33"/>
      <c r="O697" s="33"/>
      <c r="P697" s="33"/>
      <c r="Q697" s="33"/>
      <c r="R697" s="33"/>
    </row>
    <row r="698">
      <c r="A698" s="33"/>
      <c r="B698" s="33"/>
      <c r="C698" s="33"/>
      <c r="D698" s="33"/>
      <c r="E698" s="33"/>
      <c r="F698" s="33"/>
      <c r="G698" s="33"/>
      <c r="H698" s="33"/>
      <c r="I698" s="33"/>
      <c r="J698" s="33"/>
      <c r="K698" s="33"/>
      <c r="L698" s="33"/>
      <c r="M698" s="33"/>
      <c r="N698" s="33"/>
      <c r="O698" s="33"/>
      <c r="P698" s="33"/>
      <c r="Q698" s="33"/>
      <c r="R698" s="33"/>
    </row>
    <row r="699">
      <c r="A699" s="33"/>
      <c r="B699" s="33"/>
      <c r="C699" s="33"/>
      <c r="D699" s="33"/>
      <c r="E699" s="33"/>
      <c r="F699" s="33"/>
      <c r="G699" s="33"/>
      <c r="H699" s="33"/>
      <c r="I699" s="33"/>
      <c r="J699" s="33"/>
      <c r="K699" s="33"/>
      <c r="L699" s="33"/>
      <c r="M699" s="33"/>
      <c r="N699" s="33"/>
      <c r="O699" s="33"/>
      <c r="P699" s="33"/>
      <c r="Q699" s="33"/>
      <c r="R699" s="33"/>
    </row>
    <row r="700">
      <c r="A700" s="33"/>
      <c r="B700" s="33"/>
      <c r="C700" s="33"/>
      <c r="D700" s="33"/>
      <c r="E700" s="33"/>
      <c r="F700" s="33"/>
      <c r="G700" s="33"/>
      <c r="H700" s="33"/>
      <c r="I700" s="33"/>
      <c r="J700" s="33"/>
      <c r="K700" s="33"/>
      <c r="L700" s="33"/>
      <c r="M700" s="33"/>
      <c r="N700" s="33"/>
      <c r="O700" s="33"/>
      <c r="P700" s="33"/>
      <c r="Q700" s="33"/>
      <c r="R700" s="33"/>
    </row>
    <row r="701">
      <c r="A701" s="33"/>
      <c r="B701" s="33"/>
      <c r="C701" s="33"/>
      <c r="D701" s="33"/>
      <c r="E701" s="33"/>
      <c r="F701" s="33"/>
      <c r="G701" s="33"/>
      <c r="H701" s="33"/>
      <c r="I701" s="33"/>
      <c r="J701" s="33"/>
      <c r="K701" s="33"/>
      <c r="L701" s="33"/>
      <c r="M701" s="33"/>
      <c r="N701" s="33"/>
      <c r="O701" s="33"/>
      <c r="P701" s="33"/>
      <c r="Q701" s="33"/>
      <c r="R701" s="33"/>
    </row>
    <row r="702">
      <c r="A702" s="33"/>
      <c r="B702" s="33"/>
      <c r="C702" s="33"/>
      <c r="D702" s="33"/>
      <c r="E702" s="33"/>
      <c r="F702" s="33"/>
      <c r="G702" s="33"/>
      <c r="H702" s="33"/>
      <c r="I702" s="33"/>
      <c r="J702" s="33"/>
      <c r="K702" s="33"/>
      <c r="L702" s="33"/>
      <c r="M702" s="33"/>
      <c r="N702" s="33"/>
      <c r="O702" s="33"/>
      <c r="P702" s="33"/>
      <c r="Q702" s="33"/>
      <c r="R702" s="33"/>
    </row>
    <row r="703">
      <c r="A703" s="33"/>
      <c r="B703" s="33"/>
      <c r="C703" s="33"/>
      <c r="D703" s="33"/>
      <c r="E703" s="33"/>
      <c r="F703" s="33"/>
      <c r="G703" s="33"/>
      <c r="H703" s="33"/>
      <c r="I703" s="33"/>
      <c r="J703" s="33"/>
      <c r="K703" s="33"/>
      <c r="L703" s="33"/>
      <c r="M703" s="33"/>
      <c r="N703" s="33"/>
      <c r="O703" s="33"/>
      <c r="P703" s="33"/>
      <c r="Q703" s="33"/>
      <c r="R703" s="33"/>
    </row>
    <row r="704">
      <c r="A704" s="33"/>
      <c r="B704" s="33"/>
      <c r="C704" s="33"/>
      <c r="D704" s="33"/>
      <c r="E704" s="33"/>
      <c r="F704" s="33"/>
      <c r="G704" s="33"/>
      <c r="H704" s="33"/>
      <c r="I704" s="33"/>
      <c r="J704" s="33"/>
      <c r="K704" s="33"/>
      <c r="L704" s="33"/>
      <c r="M704" s="33"/>
      <c r="N704" s="33"/>
      <c r="O704" s="33"/>
      <c r="P704" s="33"/>
      <c r="Q704" s="33"/>
      <c r="R704" s="33"/>
    </row>
    <row r="705">
      <c r="A705" s="33"/>
      <c r="B705" s="33"/>
      <c r="C705" s="33"/>
      <c r="D705" s="33"/>
      <c r="E705" s="33"/>
      <c r="F705" s="33"/>
      <c r="G705" s="33"/>
      <c r="H705" s="33"/>
      <c r="I705" s="33"/>
      <c r="J705" s="33"/>
      <c r="K705" s="33"/>
      <c r="L705" s="33"/>
      <c r="M705" s="33"/>
      <c r="N705" s="33"/>
      <c r="O705" s="33"/>
      <c r="P705" s="33"/>
      <c r="Q705" s="33"/>
      <c r="R705" s="33"/>
    </row>
    <row r="706">
      <c r="A706" s="33"/>
      <c r="B706" s="33"/>
      <c r="C706" s="33"/>
      <c r="D706" s="33"/>
      <c r="E706" s="33"/>
      <c r="F706" s="33"/>
      <c r="G706" s="33"/>
      <c r="H706" s="33"/>
      <c r="I706" s="33"/>
      <c r="J706" s="33"/>
      <c r="K706" s="33"/>
      <c r="L706" s="33"/>
      <c r="M706" s="33"/>
      <c r="N706" s="33"/>
      <c r="O706" s="33"/>
      <c r="P706" s="33"/>
      <c r="Q706" s="33"/>
      <c r="R706" s="33"/>
    </row>
    <row r="707">
      <c r="A707" s="33"/>
      <c r="B707" s="33"/>
      <c r="C707" s="33"/>
      <c r="D707" s="33"/>
      <c r="E707" s="33"/>
      <c r="F707" s="33"/>
      <c r="G707" s="33"/>
      <c r="H707" s="33"/>
      <c r="I707" s="33"/>
      <c r="J707" s="33"/>
      <c r="K707" s="33"/>
      <c r="L707" s="33"/>
      <c r="M707" s="33"/>
      <c r="N707" s="33"/>
      <c r="O707" s="33"/>
      <c r="P707" s="33"/>
      <c r="Q707" s="33"/>
      <c r="R707" s="33"/>
    </row>
    <row r="708">
      <c r="A708" s="33"/>
      <c r="B708" s="33"/>
      <c r="C708" s="33"/>
      <c r="D708" s="33"/>
      <c r="E708" s="33"/>
      <c r="F708" s="33"/>
      <c r="G708" s="33"/>
      <c r="H708" s="33"/>
      <c r="I708" s="33"/>
      <c r="J708" s="33"/>
      <c r="K708" s="33"/>
      <c r="L708" s="33"/>
      <c r="M708" s="33"/>
      <c r="N708" s="33"/>
      <c r="O708" s="33"/>
      <c r="P708" s="33"/>
      <c r="Q708" s="33"/>
      <c r="R708" s="33"/>
    </row>
    <row r="709">
      <c r="A709" s="33"/>
      <c r="B709" s="33"/>
      <c r="C709" s="33"/>
      <c r="D709" s="33"/>
      <c r="E709" s="33"/>
      <c r="F709" s="33"/>
      <c r="G709" s="33"/>
      <c r="H709" s="33"/>
      <c r="I709" s="33"/>
      <c r="J709" s="33"/>
      <c r="K709" s="33"/>
      <c r="L709" s="33"/>
      <c r="M709" s="33"/>
      <c r="N709" s="33"/>
      <c r="O709" s="33"/>
      <c r="P709" s="33"/>
      <c r="Q709" s="33"/>
      <c r="R709" s="33"/>
    </row>
    <row r="710">
      <c r="A710" s="33"/>
      <c r="B710" s="33"/>
      <c r="C710" s="33"/>
      <c r="D710" s="33"/>
      <c r="E710" s="33"/>
      <c r="F710" s="33"/>
      <c r="G710" s="33"/>
      <c r="H710" s="33"/>
      <c r="I710" s="33"/>
      <c r="J710" s="33"/>
      <c r="K710" s="33"/>
      <c r="L710" s="33"/>
      <c r="M710" s="33"/>
      <c r="N710" s="33"/>
      <c r="O710" s="33"/>
      <c r="P710" s="33"/>
      <c r="Q710" s="33"/>
      <c r="R710" s="33"/>
    </row>
    <row r="711">
      <c r="A711" s="33"/>
      <c r="B711" s="33"/>
      <c r="C711" s="33"/>
      <c r="D711" s="33"/>
      <c r="E711" s="33"/>
      <c r="F711" s="33"/>
      <c r="G711" s="33"/>
      <c r="H711" s="33"/>
      <c r="I711" s="33"/>
      <c r="J711" s="33"/>
      <c r="K711" s="33"/>
      <c r="L711" s="33"/>
      <c r="M711" s="33"/>
      <c r="N711" s="33"/>
      <c r="O711" s="33"/>
      <c r="P711" s="33"/>
      <c r="Q711" s="33"/>
      <c r="R711" s="33"/>
    </row>
    <row r="712">
      <c r="A712" s="33"/>
      <c r="B712" s="33"/>
      <c r="C712" s="33"/>
      <c r="D712" s="33"/>
      <c r="E712" s="33"/>
      <c r="F712" s="33"/>
      <c r="G712" s="33"/>
      <c r="H712" s="33"/>
      <c r="I712" s="33"/>
      <c r="J712" s="33"/>
      <c r="K712" s="33"/>
      <c r="L712" s="33"/>
      <c r="M712" s="33"/>
      <c r="N712" s="33"/>
      <c r="O712" s="33"/>
      <c r="P712" s="33"/>
      <c r="Q712" s="33"/>
      <c r="R712" s="33"/>
    </row>
    <row r="713">
      <c r="A713" s="33"/>
      <c r="B713" s="33"/>
      <c r="C713" s="33"/>
      <c r="D713" s="33"/>
      <c r="E713" s="33"/>
      <c r="F713" s="33"/>
      <c r="G713" s="33"/>
      <c r="H713" s="33"/>
      <c r="I713" s="33"/>
      <c r="J713" s="33"/>
      <c r="K713" s="33"/>
      <c r="L713" s="33"/>
      <c r="M713" s="33"/>
      <c r="N713" s="33"/>
      <c r="O713" s="33"/>
      <c r="P713" s="33"/>
      <c r="Q713" s="33"/>
      <c r="R713" s="33"/>
    </row>
    <row r="714">
      <c r="A714" s="33"/>
      <c r="B714" s="33"/>
      <c r="C714" s="33"/>
      <c r="D714" s="33"/>
      <c r="E714" s="33"/>
      <c r="F714" s="33"/>
      <c r="G714" s="33"/>
      <c r="H714" s="33"/>
      <c r="I714" s="33"/>
      <c r="J714" s="33"/>
      <c r="K714" s="33"/>
      <c r="L714" s="33"/>
      <c r="M714" s="33"/>
      <c r="N714" s="33"/>
      <c r="O714" s="33"/>
      <c r="P714" s="33"/>
      <c r="Q714" s="33"/>
      <c r="R714" s="33"/>
    </row>
    <row r="715">
      <c r="A715" s="33"/>
      <c r="B715" s="33"/>
      <c r="C715" s="33"/>
      <c r="D715" s="33"/>
      <c r="E715" s="33"/>
      <c r="F715" s="33"/>
      <c r="G715" s="33"/>
      <c r="H715" s="33"/>
      <c r="I715" s="33"/>
      <c r="J715" s="33"/>
      <c r="K715" s="33"/>
      <c r="L715" s="33"/>
      <c r="M715" s="33"/>
      <c r="N715" s="33"/>
      <c r="O715" s="33"/>
      <c r="P715" s="33"/>
      <c r="Q715" s="33"/>
      <c r="R715" s="33"/>
    </row>
    <row r="716">
      <c r="A716" s="33"/>
      <c r="B716" s="33"/>
      <c r="C716" s="33"/>
      <c r="D716" s="33"/>
      <c r="E716" s="33"/>
      <c r="F716" s="33"/>
      <c r="G716" s="33"/>
      <c r="H716" s="33"/>
      <c r="I716" s="33"/>
      <c r="J716" s="33"/>
      <c r="K716" s="33"/>
      <c r="L716" s="33"/>
      <c r="M716" s="33"/>
      <c r="N716" s="33"/>
      <c r="O716" s="33"/>
      <c r="P716" s="33"/>
      <c r="Q716" s="33"/>
      <c r="R716" s="33"/>
    </row>
    <row r="717">
      <c r="A717" s="33"/>
      <c r="B717" s="33"/>
      <c r="C717" s="33"/>
      <c r="D717" s="33"/>
      <c r="E717" s="33"/>
      <c r="F717" s="33"/>
      <c r="G717" s="33"/>
      <c r="H717" s="33"/>
      <c r="I717" s="33"/>
      <c r="J717" s="33"/>
      <c r="K717" s="33"/>
      <c r="L717" s="33"/>
      <c r="M717" s="33"/>
      <c r="N717" s="33"/>
      <c r="O717" s="33"/>
      <c r="P717" s="33"/>
      <c r="Q717" s="33"/>
      <c r="R717" s="33"/>
    </row>
    <row r="718">
      <c r="A718" s="33"/>
      <c r="B718" s="33"/>
      <c r="C718" s="33"/>
      <c r="D718" s="33"/>
      <c r="E718" s="33"/>
      <c r="F718" s="33"/>
      <c r="G718" s="33"/>
      <c r="H718" s="33"/>
      <c r="I718" s="33"/>
      <c r="J718" s="33"/>
      <c r="K718" s="33"/>
      <c r="L718" s="33"/>
      <c r="M718" s="33"/>
      <c r="N718" s="33"/>
      <c r="O718" s="33"/>
      <c r="P718" s="33"/>
      <c r="Q718" s="33"/>
      <c r="R718" s="33"/>
    </row>
    <row r="719">
      <c r="A719" s="33"/>
      <c r="B719" s="33"/>
      <c r="C719" s="33"/>
      <c r="D719" s="33"/>
      <c r="E719" s="33"/>
      <c r="F719" s="33"/>
      <c r="G719" s="33"/>
      <c r="H719" s="33"/>
      <c r="I719" s="33"/>
      <c r="J719" s="33"/>
      <c r="K719" s="33"/>
      <c r="L719" s="33"/>
      <c r="M719" s="33"/>
      <c r="N719" s="33"/>
      <c r="O719" s="33"/>
      <c r="P719" s="33"/>
      <c r="Q719" s="33"/>
      <c r="R719" s="33"/>
    </row>
    <row r="720">
      <c r="A720" s="33"/>
      <c r="B720" s="33"/>
      <c r="C720" s="33"/>
      <c r="D720" s="33"/>
      <c r="E720" s="33"/>
      <c r="F720" s="33"/>
      <c r="G720" s="33"/>
      <c r="H720" s="33"/>
      <c r="I720" s="33"/>
      <c r="J720" s="33"/>
      <c r="K720" s="33"/>
      <c r="L720" s="33"/>
      <c r="M720" s="33"/>
      <c r="N720" s="33"/>
      <c r="O720" s="33"/>
      <c r="P720" s="33"/>
      <c r="Q720" s="33"/>
      <c r="R720" s="33"/>
    </row>
    <row r="721">
      <c r="A721" s="33"/>
      <c r="B721" s="33"/>
      <c r="C721" s="33"/>
      <c r="D721" s="33"/>
      <c r="E721" s="33"/>
      <c r="F721" s="33"/>
      <c r="G721" s="33"/>
      <c r="H721" s="33"/>
      <c r="I721" s="33"/>
      <c r="J721" s="33"/>
      <c r="K721" s="33"/>
      <c r="L721" s="33"/>
      <c r="M721" s="33"/>
      <c r="N721" s="33"/>
      <c r="O721" s="33"/>
      <c r="P721" s="33"/>
      <c r="Q721" s="33"/>
      <c r="R721" s="33"/>
    </row>
    <row r="722">
      <c r="A722" s="33"/>
      <c r="B722" s="33"/>
      <c r="C722" s="33"/>
      <c r="D722" s="33"/>
      <c r="E722" s="33"/>
      <c r="F722" s="33"/>
      <c r="G722" s="33"/>
      <c r="H722" s="33"/>
      <c r="I722" s="33"/>
      <c r="J722" s="33"/>
      <c r="K722" s="33"/>
      <c r="L722" s="33"/>
      <c r="M722" s="33"/>
      <c r="N722" s="33"/>
      <c r="O722" s="33"/>
      <c r="P722" s="33"/>
      <c r="Q722" s="33"/>
      <c r="R722" s="33"/>
    </row>
    <row r="723">
      <c r="A723" s="33"/>
      <c r="B723" s="33"/>
      <c r="C723" s="33"/>
      <c r="D723" s="33"/>
      <c r="E723" s="33"/>
      <c r="F723" s="33"/>
      <c r="G723" s="33"/>
      <c r="H723" s="33"/>
      <c r="I723" s="33"/>
      <c r="J723" s="33"/>
      <c r="K723" s="33"/>
      <c r="L723" s="33"/>
      <c r="M723" s="33"/>
      <c r="N723" s="33"/>
      <c r="O723" s="33"/>
      <c r="P723" s="33"/>
      <c r="Q723" s="33"/>
      <c r="R723" s="33"/>
    </row>
    <row r="724">
      <c r="A724" s="33"/>
      <c r="B724" s="33"/>
      <c r="C724" s="33"/>
      <c r="D724" s="33"/>
      <c r="E724" s="33"/>
      <c r="F724" s="33"/>
      <c r="G724" s="33"/>
      <c r="H724" s="33"/>
      <c r="I724" s="33"/>
      <c r="J724" s="33"/>
      <c r="K724" s="33"/>
      <c r="L724" s="33"/>
      <c r="M724" s="33"/>
      <c r="N724" s="33"/>
      <c r="O724" s="33"/>
      <c r="P724" s="33"/>
      <c r="Q724" s="33"/>
      <c r="R724" s="33"/>
    </row>
    <row r="725">
      <c r="A725" s="33"/>
      <c r="B725" s="33"/>
      <c r="C725" s="33"/>
      <c r="D725" s="33"/>
      <c r="E725" s="33"/>
      <c r="F725" s="33"/>
      <c r="G725" s="33"/>
      <c r="H725" s="33"/>
      <c r="I725" s="33"/>
      <c r="J725" s="33"/>
      <c r="K725" s="33"/>
      <c r="L725" s="33"/>
      <c r="M725" s="33"/>
      <c r="N725" s="33"/>
      <c r="O725" s="33"/>
      <c r="P725" s="33"/>
      <c r="Q725" s="33"/>
      <c r="R725" s="33"/>
    </row>
    <row r="726">
      <c r="A726" s="33"/>
      <c r="B726" s="33"/>
      <c r="C726" s="33"/>
      <c r="D726" s="33"/>
      <c r="E726" s="33"/>
      <c r="F726" s="33"/>
      <c r="G726" s="33"/>
      <c r="H726" s="33"/>
      <c r="I726" s="33"/>
      <c r="J726" s="33"/>
      <c r="K726" s="33"/>
      <c r="L726" s="33"/>
      <c r="M726" s="33"/>
      <c r="N726" s="33"/>
      <c r="O726" s="33"/>
      <c r="P726" s="33"/>
      <c r="Q726" s="33"/>
      <c r="R726" s="33"/>
    </row>
    <row r="727">
      <c r="A727" s="33"/>
      <c r="B727" s="33"/>
      <c r="C727" s="33"/>
      <c r="D727" s="33"/>
      <c r="E727" s="33"/>
      <c r="F727" s="33"/>
      <c r="G727" s="33"/>
      <c r="H727" s="33"/>
      <c r="I727" s="33"/>
      <c r="J727" s="33"/>
      <c r="K727" s="33"/>
      <c r="L727" s="33"/>
      <c r="M727" s="33"/>
      <c r="N727" s="33"/>
      <c r="O727" s="33"/>
      <c r="P727" s="33"/>
      <c r="Q727" s="33"/>
      <c r="R727" s="33"/>
    </row>
    <row r="728">
      <c r="A728" s="33"/>
      <c r="B728" s="33"/>
      <c r="C728" s="33"/>
      <c r="D728" s="33"/>
      <c r="E728" s="33"/>
      <c r="F728" s="33"/>
      <c r="G728" s="33"/>
      <c r="H728" s="33"/>
      <c r="I728" s="33"/>
      <c r="J728" s="33"/>
      <c r="K728" s="33"/>
      <c r="L728" s="33"/>
      <c r="M728" s="33"/>
      <c r="N728" s="33"/>
      <c r="O728" s="33"/>
      <c r="P728" s="33"/>
      <c r="Q728" s="33"/>
      <c r="R728" s="33"/>
    </row>
    <row r="729">
      <c r="A729" s="33"/>
      <c r="B729" s="33"/>
      <c r="C729" s="33"/>
      <c r="D729" s="33"/>
      <c r="E729" s="33"/>
      <c r="F729" s="33"/>
      <c r="G729" s="33"/>
      <c r="H729" s="33"/>
      <c r="I729" s="33"/>
      <c r="J729" s="33"/>
      <c r="K729" s="33"/>
      <c r="L729" s="33"/>
      <c r="M729" s="33"/>
      <c r="N729" s="33"/>
      <c r="O729" s="33"/>
      <c r="P729" s="33"/>
      <c r="Q729" s="33"/>
      <c r="R729" s="33"/>
    </row>
    <row r="730">
      <c r="A730" s="33"/>
      <c r="B730" s="33"/>
      <c r="C730" s="33"/>
      <c r="D730" s="33"/>
      <c r="E730" s="33"/>
      <c r="F730" s="33"/>
      <c r="G730" s="33"/>
      <c r="H730" s="33"/>
      <c r="I730" s="33"/>
      <c r="J730" s="33"/>
      <c r="K730" s="33"/>
      <c r="L730" s="33"/>
      <c r="M730" s="33"/>
      <c r="N730" s="33"/>
      <c r="O730" s="33"/>
      <c r="P730" s="33"/>
      <c r="Q730" s="33"/>
      <c r="R730" s="33"/>
    </row>
    <row r="731">
      <c r="A731" s="33"/>
      <c r="B731" s="33"/>
      <c r="C731" s="33"/>
      <c r="D731" s="33"/>
      <c r="E731" s="33"/>
      <c r="F731" s="33"/>
      <c r="G731" s="33"/>
      <c r="H731" s="33"/>
      <c r="I731" s="33"/>
      <c r="J731" s="33"/>
      <c r="K731" s="33"/>
      <c r="L731" s="33"/>
      <c r="M731" s="33"/>
      <c r="N731" s="33"/>
      <c r="O731" s="33"/>
      <c r="P731" s="33"/>
      <c r="Q731" s="33"/>
      <c r="R731" s="33"/>
    </row>
    <row r="732">
      <c r="A732" s="33"/>
      <c r="B732" s="33"/>
      <c r="C732" s="33"/>
      <c r="D732" s="33"/>
      <c r="E732" s="33"/>
      <c r="F732" s="33"/>
      <c r="G732" s="33"/>
      <c r="H732" s="33"/>
      <c r="I732" s="33"/>
      <c r="J732" s="33"/>
      <c r="K732" s="33"/>
      <c r="L732" s="33"/>
      <c r="M732" s="33"/>
      <c r="N732" s="33"/>
      <c r="O732" s="33"/>
      <c r="P732" s="33"/>
      <c r="Q732" s="33"/>
      <c r="R732" s="33"/>
    </row>
    <row r="733">
      <c r="A733" s="33"/>
      <c r="B733" s="33"/>
      <c r="C733" s="33"/>
      <c r="D733" s="33"/>
      <c r="E733" s="33"/>
      <c r="F733" s="33"/>
      <c r="G733" s="33"/>
      <c r="H733" s="33"/>
      <c r="I733" s="33"/>
      <c r="J733" s="33"/>
      <c r="K733" s="33"/>
      <c r="L733" s="33"/>
      <c r="M733" s="33"/>
      <c r="N733" s="33"/>
      <c r="O733" s="33"/>
      <c r="P733" s="33"/>
      <c r="Q733" s="33"/>
      <c r="R733" s="33"/>
    </row>
    <row r="734">
      <c r="A734" s="33"/>
      <c r="B734" s="33"/>
      <c r="C734" s="33"/>
      <c r="D734" s="33"/>
      <c r="E734" s="33"/>
      <c r="F734" s="33"/>
      <c r="G734" s="33"/>
      <c r="H734" s="33"/>
      <c r="I734" s="33"/>
      <c r="J734" s="33"/>
      <c r="K734" s="33"/>
      <c r="L734" s="33"/>
      <c r="M734" s="33"/>
      <c r="N734" s="33"/>
      <c r="O734" s="33"/>
      <c r="P734" s="33"/>
      <c r="Q734" s="33"/>
      <c r="R734" s="33"/>
    </row>
    <row r="735">
      <c r="A735" s="33"/>
      <c r="B735" s="33"/>
      <c r="C735" s="33"/>
      <c r="D735" s="33"/>
      <c r="E735" s="33"/>
      <c r="F735" s="33"/>
      <c r="G735" s="33"/>
      <c r="H735" s="33"/>
      <c r="I735" s="33"/>
      <c r="J735" s="33"/>
      <c r="K735" s="33"/>
      <c r="L735" s="33"/>
      <c r="M735" s="33"/>
      <c r="N735" s="33"/>
      <c r="O735" s="33"/>
      <c r="P735" s="33"/>
      <c r="Q735" s="33"/>
      <c r="R735" s="33"/>
    </row>
    <row r="736">
      <c r="A736" s="33"/>
      <c r="B736" s="33"/>
      <c r="C736" s="33"/>
      <c r="D736" s="33"/>
      <c r="E736" s="33"/>
      <c r="F736" s="33"/>
      <c r="G736" s="33"/>
      <c r="H736" s="33"/>
      <c r="I736" s="33"/>
      <c r="J736" s="33"/>
      <c r="K736" s="33"/>
      <c r="L736" s="33"/>
      <c r="M736" s="33"/>
      <c r="N736" s="33"/>
      <c r="O736" s="33"/>
      <c r="P736" s="33"/>
      <c r="Q736" s="33"/>
      <c r="R736" s="33"/>
    </row>
    <row r="737">
      <c r="A737" s="33"/>
      <c r="B737" s="33"/>
      <c r="C737" s="33"/>
      <c r="D737" s="33"/>
      <c r="E737" s="33"/>
      <c r="F737" s="33"/>
      <c r="G737" s="33"/>
      <c r="H737" s="33"/>
      <c r="I737" s="33"/>
      <c r="J737" s="33"/>
      <c r="K737" s="33"/>
      <c r="L737" s="33"/>
      <c r="M737" s="33"/>
      <c r="N737" s="33"/>
      <c r="O737" s="33"/>
      <c r="P737" s="33"/>
      <c r="Q737" s="33"/>
      <c r="R737" s="33"/>
    </row>
    <row r="738">
      <c r="A738" s="33"/>
      <c r="B738" s="33"/>
      <c r="C738" s="33"/>
      <c r="D738" s="33"/>
      <c r="E738" s="33"/>
      <c r="F738" s="33"/>
      <c r="G738" s="33"/>
      <c r="H738" s="33"/>
      <c r="I738" s="33"/>
      <c r="J738" s="33"/>
      <c r="K738" s="33"/>
      <c r="L738" s="33"/>
      <c r="M738" s="33"/>
      <c r="N738" s="33"/>
      <c r="O738" s="33"/>
      <c r="P738" s="33"/>
      <c r="Q738" s="33"/>
      <c r="R738" s="33"/>
    </row>
    <row r="739">
      <c r="A739" s="33"/>
      <c r="B739" s="33"/>
      <c r="C739" s="33"/>
      <c r="D739" s="33"/>
      <c r="E739" s="33"/>
      <c r="F739" s="33"/>
      <c r="G739" s="33"/>
      <c r="H739" s="33"/>
      <c r="I739" s="33"/>
      <c r="J739" s="33"/>
      <c r="K739" s="33"/>
      <c r="L739" s="33"/>
      <c r="M739" s="33"/>
      <c r="N739" s="33"/>
      <c r="O739" s="33"/>
      <c r="P739" s="33"/>
      <c r="Q739" s="33"/>
      <c r="R739" s="33"/>
    </row>
    <row r="740">
      <c r="A740" s="33"/>
      <c r="B740" s="33"/>
      <c r="C740" s="33"/>
      <c r="D740" s="33"/>
      <c r="E740" s="33"/>
      <c r="F740" s="33"/>
      <c r="G740" s="33"/>
      <c r="H740" s="33"/>
      <c r="I740" s="33"/>
      <c r="J740" s="33"/>
      <c r="K740" s="33"/>
      <c r="L740" s="33"/>
      <c r="M740" s="33"/>
      <c r="N740" s="33"/>
      <c r="O740" s="33"/>
      <c r="P740" s="33"/>
      <c r="Q740" s="33"/>
      <c r="R740" s="33"/>
    </row>
    <row r="741">
      <c r="A741" s="33"/>
      <c r="B741" s="33"/>
      <c r="C741" s="33"/>
      <c r="D741" s="33"/>
      <c r="E741" s="33"/>
      <c r="F741" s="33"/>
      <c r="G741" s="33"/>
      <c r="H741" s="33"/>
      <c r="I741" s="33"/>
      <c r="J741" s="33"/>
      <c r="K741" s="33"/>
      <c r="L741" s="33"/>
      <c r="M741" s="33"/>
      <c r="N741" s="33"/>
      <c r="O741" s="33"/>
      <c r="P741" s="33"/>
      <c r="Q741" s="33"/>
      <c r="R741" s="33"/>
    </row>
    <row r="742">
      <c r="A742" s="33"/>
      <c r="B742" s="33"/>
      <c r="C742" s="33"/>
      <c r="D742" s="33"/>
      <c r="E742" s="33"/>
      <c r="F742" s="33"/>
      <c r="G742" s="33"/>
      <c r="H742" s="33"/>
      <c r="I742" s="33"/>
      <c r="J742" s="33"/>
      <c r="K742" s="33"/>
      <c r="L742" s="33"/>
      <c r="M742" s="33"/>
      <c r="N742" s="33"/>
      <c r="O742" s="33"/>
      <c r="P742" s="33"/>
      <c r="Q742" s="33"/>
      <c r="R742" s="33"/>
    </row>
    <row r="743">
      <c r="A743" s="33"/>
      <c r="B743" s="33"/>
      <c r="C743" s="33"/>
      <c r="D743" s="33"/>
      <c r="E743" s="33"/>
      <c r="F743" s="33"/>
      <c r="G743" s="33"/>
      <c r="H743" s="33"/>
      <c r="I743" s="33"/>
      <c r="J743" s="33"/>
      <c r="K743" s="33"/>
      <c r="L743" s="33"/>
      <c r="M743" s="33"/>
      <c r="N743" s="33"/>
      <c r="O743" s="33"/>
      <c r="P743" s="33"/>
      <c r="Q743" s="33"/>
      <c r="R743" s="33"/>
    </row>
    <row r="744">
      <c r="A744" s="33"/>
      <c r="B744" s="33"/>
      <c r="C744" s="33"/>
      <c r="D744" s="33"/>
      <c r="E744" s="33"/>
      <c r="F744" s="33"/>
      <c r="G744" s="33"/>
      <c r="H744" s="33"/>
      <c r="I744" s="33"/>
      <c r="J744" s="33"/>
      <c r="K744" s="33"/>
      <c r="L744" s="33"/>
      <c r="M744" s="33"/>
      <c r="N744" s="33"/>
      <c r="O744" s="33"/>
      <c r="P744" s="33"/>
      <c r="Q744" s="33"/>
      <c r="R744" s="33"/>
    </row>
    <row r="745">
      <c r="A745" s="33"/>
      <c r="B745" s="33"/>
      <c r="C745" s="33"/>
      <c r="D745" s="33"/>
      <c r="E745" s="33"/>
      <c r="F745" s="33"/>
      <c r="G745" s="33"/>
      <c r="H745" s="33"/>
      <c r="I745" s="33"/>
      <c r="J745" s="33"/>
      <c r="K745" s="33"/>
      <c r="L745" s="33"/>
      <c r="M745" s="33"/>
      <c r="N745" s="33"/>
      <c r="O745" s="33"/>
      <c r="P745" s="33"/>
      <c r="Q745" s="33"/>
      <c r="R745" s="33"/>
    </row>
    <row r="746">
      <c r="A746" s="33"/>
      <c r="B746" s="33"/>
      <c r="C746" s="33"/>
      <c r="D746" s="33"/>
      <c r="E746" s="33"/>
      <c r="F746" s="33"/>
      <c r="G746" s="33"/>
      <c r="H746" s="33"/>
      <c r="I746" s="33"/>
      <c r="J746" s="33"/>
      <c r="K746" s="33"/>
      <c r="L746" s="33"/>
      <c r="M746" s="33"/>
      <c r="N746" s="33"/>
      <c r="O746" s="33"/>
      <c r="P746" s="33"/>
      <c r="Q746" s="33"/>
      <c r="R746" s="33"/>
    </row>
    <row r="747">
      <c r="A747" s="33"/>
      <c r="B747" s="33"/>
      <c r="C747" s="33"/>
      <c r="D747" s="33"/>
      <c r="E747" s="33"/>
      <c r="F747" s="33"/>
      <c r="G747" s="33"/>
      <c r="H747" s="33"/>
      <c r="I747" s="33"/>
      <c r="J747" s="33"/>
      <c r="K747" s="33"/>
      <c r="L747" s="33"/>
      <c r="M747" s="33"/>
      <c r="N747" s="33"/>
      <c r="O747" s="33"/>
      <c r="P747" s="33"/>
      <c r="Q747" s="33"/>
      <c r="R747" s="33"/>
    </row>
    <row r="748">
      <c r="A748" s="33"/>
      <c r="B748" s="33"/>
      <c r="C748" s="33"/>
      <c r="D748" s="33"/>
      <c r="E748" s="33"/>
      <c r="F748" s="33"/>
      <c r="G748" s="33"/>
      <c r="H748" s="33"/>
      <c r="I748" s="33"/>
      <c r="J748" s="33"/>
      <c r="K748" s="33"/>
      <c r="L748" s="33"/>
      <c r="M748" s="33"/>
      <c r="N748" s="33"/>
      <c r="O748" s="33"/>
      <c r="P748" s="33"/>
      <c r="Q748" s="33"/>
      <c r="R748" s="33"/>
    </row>
    <row r="749">
      <c r="A749" s="33"/>
      <c r="B749" s="33"/>
      <c r="C749" s="33"/>
      <c r="D749" s="33"/>
      <c r="E749" s="33"/>
      <c r="F749" s="33"/>
      <c r="G749" s="33"/>
      <c r="H749" s="33"/>
      <c r="I749" s="33"/>
      <c r="J749" s="33"/>
      <c r="K749" s="33"/>
      <c r="L749" s="33"/>
      <c r="M749" s="33"/>
      <c r="N749" s="33"/>
      <c r="O749" s="33"/>
      <c r="P749" s="33"/>
      <c r="Q749" s="33"/>
      <c r="R749" s="33"/>
    </row>
    <row r="750">
      <c r="A750" s="33"/>
      <c r="B750" s="33"/>
      <c r="C750" s="33"/>
      <c r="D750" s="33"/>
      <c r="E750" s="33"/>
      <c r="F750" s="33"/>
      <c r="G750" s="33"/>
      <c r="H750" s="33"/>
      <c r="I750" s="33"/>
      <c r="J750" s="33"/>
      <c r="K750" s="33"/>
      <c r="L750" s="33"/>
      <c r="M750" s="33"/>
      <c r="N750" s="33"/>
      <c r="O750" s="33"/>
      <c r="P750" s="33"/>
      <c r="Q750" s="33"/>
      <c r="R750" s="33"/>
    </row>
    <row r="751">
      <c r="A751" s="33"/>
      <c r="B751" s="33"/>
      <c r="C751" s="33"/>
      <c r="D751" s="33"/>
      <c r="E751" s="33"/>
      <c r="F751" s="33"/>
      <c r="G751" s="33"/>
      <c r="H751" s="33"/>
      <c r="I751" s="33"/>
      <c r="J751" s="33"/>
      <c r="K751" s="33"/>
      <c r="L751" s="33"/>
      <c r="M751" s="33"/>
      <c r="N751" s="33"/>
      <c r="O751" s="33"/>
      <c r="P751" s="33"/>
      <c r="Q751" s="33"/>
      <c r="R751" s="33"/>
    </row>
    <row r="752">
      <c r="A752" s="33"/>
      <c r="B752" s="33"/>
      <c r="C752" s="33"/>
      <c r="D752" s="33"/>
      <c r="E752" s="33"/>
      <c r="F752" s="33"/>
      <c r="G752" s="33"/>
      <c r="H752" s="33"/>
      <c r="I752" s="33"/>
      <c r="J752" s="33"/>
      <c r="K752" s="33"/>
      <c r="L752" s="33"/>
      <c r="M752" s="33"/>
      <c r="N752" s="33"/>
      <c r="O752" s="33"/>
      <c r="P752" s="33"/>
      <c r="Q752" s="33"/>
      <c r="R752" s="33"/>
    </row>
    <row r="753">
      <c r="A753" s="33"/>
      <c r="B753" s="33"/>
      <c r="C753" s="33"/>
      <c r="D753" s="33"/>
      <c r="E753" s="33"/>
      <c r="F753" s="33"/>
      <c r="G753" s="33"/>
      <c r="H753" s="33"/>
      <c r="I753" s="33"/>
      <c r="J753" s="33"/>
      <c r="K753" s="33"/>
      <c r="L753" s="33"/>
      <c r="M753" s="33"/>
      <c r="N753" s="33"/>
      <c r="O753" s="33"/>
      <c r="P753" s="33"/>
      <c r="Q753" s="33"/>
      <c r="R753" s="33"/>
    </row>
    <row r="754">
      <c r="A754" s="33"/>
      <c r="B754" s="33"/>
      <c r="C754" s="33"/>
      <c r="D754" s="33"/>
      <c r="E754" s="33"/>
      <c r="F754" s="33"/>
      <c r="G754" s="33"/>
      <c r="H754" s="33"/>
      <c r="I754" s="33"/>
      <c r="J754" s="33"/>
      <c r="K754" s="33"/>
      <c r="L754" s="33"/>
      <c r="M754" s="33"/>
      <c r="N754" s="33"/>
      <c r="O754" s="33"/>
      <c r="P754" s="33"/>
      <c r="Q754" s="33"/>
      <c r="R754" s="33"/>
    </row>
    <row r="755">
      <c r="A755" s="33"/>
      <c r="B755" s="33"/>
      <c r="C755" s="33"/>
      <c r="D755" s="33"/>
      <c r="E755" s="33"/>
      <c r="F755" s="33"/>
      <c r="G755" s="33"/>
      <c r="H755" s="33"/>
      <c r="I755" s="33"/>
      <c r="J755" s="33"/>
      <c r="K755" s="33"/>
      <c r="L755" s="33"/>
      <c r="M755" s="33"/>
      <c r="N755" s="33"/>
      <c r="O755" s="33"/>
      <c r="P755" s="33"/>
      <c r="Q755" s="33"/>
      <c r="R755" s="33"/>
    </row>
    <row r="756">
      <c r="A756" s="33"/>
      <c r="B756" s="33"/>
      <c r="C756" s="33"/>
      <c r="D756" s="33"/>
      <c r="E756" s="33"/>
      <c r="F756" s="33"/>
      <c r="G756" s="33"/>
      <c r="H756" s="33"/>
      <c r="I756" s="33"/>
      <c r="J756" s="33"/>
      <c r="K756" s="33"/>
      <c r="L756" s="33"/>
      <c r="M756" s="33"/>
      <c r="N756" s="33"/>
      <c r="O756" s="33"/>
      <c r="P756" s="33"/>
      <c r="Q756" s="33"/>
      <c r="R756" s="33"/>
    </row>
    <row r="757">
      <c r="A757" s="33"/>
      <c r="B757" s="33"/>
      <c r="C757" s="33"/>
      <c r="D757" s="33"/>
      <c r="E757" s="33"/>
      <c r="F757" s="33"/>
      <c r="G757" s="33"/>
      <c r="H757" s="33"/>
      <c r="I757" s="33"/>
      <c r="J757" s="33"/>
      <c r="K757" s="33"/>
      <c r="L757" s="33"/>
      <c r="M757" s="33"/>
      <c r="N757" s="33"/>
      <c r="O757" s="33"/>
      <c r="P757" s="33"/>
      <c r="Q757" s="33"/>
      <c r="R757" s="33"/>
    </row>
    <row r="758">
      <c r="A758" s="33"/>
      <c r="B758" s="33"/>
      <c r="C758" s="33"/>
      <c r="D758" s="33"/>
      <c r="E758" s="33"/>
      <c r="F758" s="33"/>
      <c r="G758" s="33"/>
      <c r="H758" s="33"/>
      <c r="I758" s="33"/>
      <c r="J758" s="33"/>
      <c r="K758" s="33"/>
      <c r="L758" s="33"/>
      <c r="M758" s="33"/>
      <c r="N758" s="33"/>
      <c r="O758" s="33"/>
      <c r="P758" s="33"/>
      <c r="Q758" s="33"/>
      <c r="R758" s="33"/>
    </row>
    <row r="759">
      <c r="A759" s="33"/>
      <c r="B759" s="33"/>
      <c r="C759" s="33"/>
      <c r="D759" s="33"/>
      <c r="E759" s="33"/>
      <c r="F759" s="33"/>
      <c r="G759" s="33"/>
      <c r="H759" s="33"/>
      <c r="I759" s="33"/>
      <c r="J759" s="33"/>
      <c r="K759" s="33"/>
      <c r="L759" s="33"/>
      <c r="M759" s="33"/>
      <c r="N759" s="33"/>
      <c r="O759" s="33"/>
      <c r="P759" s="33"/>
      <c r="Q759" s="33"/>
      <c r="R759" s="33"/>
    </row>
    <row r="760">
      <c r="A760" s="33"/>
      <c r="B760" s="33"/>
      <c r="C760" s="33"/>
      <c r="D760" s="33"/>
      <c r="E760" s="33"/>
      <c r="F760" s="33"/>
      <c r="G760" s="33"/>
      <c r="H760" s="33"/>
      <c r="I760" s="33"/>
      <c r="J760" s="33"/>
      <c r="K760" s="33"/>
      <c r="L760" s="33"/>
      <c r="M760" s="33"/>
      <c r="N760" s="33"/>
      <c r="O760" s="33"/>
      <c r="P760" s="33"/>
      <c r="Q760" s="33"/>
      <c r="R760" s="33"/>
    </row>
    <row r="761">
      <c r="A761" s="33"/>
      <c r="B761" s="33"/>
      <c r="C761" s="33"/>
      <c r="D761" s="33"/>
      <c r="E761" s="33"/>
      <c r="F761" s="33"/>
      <c r="G761" s="33"/>
      <c r="H761" s="33"/>
      <c r="I761" s="33"/>
      <c r="J761" s="33"/>
      <c r="K761" s="33"/>
      <c r="L761" s="33"/>
      <c r="M761" s="33"/>
      <c r="N761" s="33"/>
      <c r="O761" s="33"/>
      <c r="P761" s="33"/>
      <c r="Q761" s="33"/>
      <c r="R761" s="33"/>
    </row>
    <row r="762">
      <c r="A762" s="33"/>
      <c r="B762" s="33"/>
      <c r="C762" s="33"/>
      <c r="D762" s="33"/>
      <c r="E762" s="33"/>
      <c r="F762" s="33"/>
      <c r="G762" s="33"/>
      <c r="H762" s="33"/>
      <c r="I762" s="33"/>
      <c r="J762" s="33"/>
      <c r="K762" s="33"/>
      <c r="L762" s="33"/>
      <c r="M762" s="33"/>
      <c r="N762" s="33"/>
      <c r="O762" s="33"/>
      <c r="P762" s="33"/>
      <c r="Q762" s="33"/>
      <c r="R762" s="33"/>
    </row>
    <row r="763">
      <c r="A763" s="33"/>
      <c r="B763" s="33"/>
      <c r="C763" s="33"/>
      <c r="D763" s="33"/>
      <c r="E763" s="33"/>
      <c r="F763" s="33"/>
      <c r="G763" s="33"/>
      <c r="H763" s="33"/>
      <c r="I763" s="33"/>
      <c r="J763" s="33"/>
      <c r="K763" s="33"/>
      <c r="L763" s="33"/>
      <c r="M763" s="33"/>
      <c r="N763" s="33"/>
      <c r="O763" s="33"/>
      <c r="P763" s="33"/>
      <c r="Q763" s="33"/>
      <c r="R763" s="33"/>
    </row>
    <row r="764">
      <c r="A764" s="33"/>
      <c r="B764" s="33"/>
      <c r="C764" s="33"/>
      <c r="D764" s="33"/>
      <c r="E764" s="33"/>
      <c r="F764" s="33"/>
      <c r="G764" s="33"/>
      <c r="H764" s="33"/>
      <c r="I764" s="33"/>
      <c r="J764" s="33"/>
      <c r="K764" s="33"/>
      <c r="L764" s="33"/>
      <c r="M764" s="33"/>
      <c r="N764" s="33"/>
      <c r="O764" s="33"/>
      <c r="P764" s="33"/>
      <c r="Q764" s="33"/>
      <c r="R764" s="33"/>
    </row>
    <row r="765">
      <c r="A765" s="33"/>
      <c r="B765" s="33"/>
      <c r="C765" s="33"/>
      <c r="D765" s="33"/>
      <c r="E765" s="33"/>
      <c r="F765" s="33"/>
      <c r="G765" s="33"/>
      <c r="H765" s="33"/>
      <c r="I765" s="33"/>
      <c r="J765" s="33"/>
      <c r="K765" s="33"/>
      <c r="L765" s="33"/>
      <c r="M765" s="33"/>
      <c r="N765" s="33"/>
      <c r="O765" s="33"/>
      <c r="P765" s="33"/>
      <c r="Q765" s="33"/>
      <c r="R765" s="33"/>
    </row>
    <row r="766">
      <c r="A766" s="33"/>
      <c r="B766" s="33"/>
      <c r="C766" s="33"/>
      <c r="D766" s="33"/>
      <c r="E766" s="33"/>
      <c r="F766" s="33"/>
      <c r="G766" s="33"/>
      <c r="H766" s="33"/>
      <c r="I766" s="33"/>
      <c r="J766" s="33"/>
      <c r="K766" s="33"/>
      <c r="L766" s="33"/>
      <c r="M766" s="33"/>
      <c r="N766" s="33"/>
      <c r="O766" s="33"/>
      <c r="P766" s="33"/>
      <c r="Q766" s="33"/>
      <c r="R766" s="33"/>
    </row>
    <row r="767">
      <c r="A767" s="33"/>
      <c r="B767" s="33"/>
      <c r="C767" s="33"/>
      <c r="D767" s="33"/>
      <c r="E767" s="33"/>
      <c r="F767" s="33"/>
      <c r="G767" s="33"/>
      <c r="H767" s="33"/>
      <c r="I767" s="33"/>
      <c r="J767" s="33"/>
      <c r="K767" s="33"/>
      <c r="L767" s="33"/>
      <c r="M767" s="33"/>
      <c r="N767" s="33"/>
      <c r="O767" s="33"/>
      <c r="P767" s="33"/>
      <c r="Q767" s="33"/>
      <c r="R767" s="33"/>
    </row>
    <row r="768">
      <c r="A768" s="33"/>
      <c r="B768" s="33"/>
      <c r="C768" s="33"/>
      <c r="D768" s="33"/>
      <c r="E768" s="33"/>
      <c r="F768" s="33"/>
      <c r="G768" s="33"/>
      <c r="H768" s="33"/>
      <c r="I768" s="33"/>
      <c r="J768" s="33"/>
      <c r="K768" s="33"/>
      <c r="L768" s="33"/>
      <c r="M768" s="33"/>
      <c r="N768" s="33"/>
      <c r="O768" s="33"/>
      <c r="P768" s="33"/>
      <c r="Q768" s="33"/>
      <c r="R768" s="33"/>
    </row>
    <row r="769">
      <c r="A769" s="33"/>
      <c r="B769" s="33"/>
      <c r="C769" s="33"/>
      <c r="D769" s="33"/>
      <c r="E769" s="33"/>
      <c r="F769" s="33"/>
      <c r="G769" s="33"/>
      <c r="H769" s="33"/>
      <c r="I769" s="33"/>
      <c r="J769" s="33"/>
      <c r="K769" s="33"/>
      <c r="L769" s="33"/>
      <c r="M769" s="33"/>
      <c r="N769" s="33"/>
      <c r="O769" s="33"/>
      <c r="P769" s="33"/>
      <c r="Q769" s="33"/>
      <c r="R769" s="33"/>
    </row>
    <row r="770">
      <c r="A770" s="33"/>
      <c r="B770" s="33"/>
      <c r="C770" s="33"/>
      <c r="D770" s="33"/>
      <c r="E770" s="33"/>
      <c r="F770" s="33"/>
      <c r="G770" s="33"/>
      <c r="H770" s="33"/>
      <c r="I770" s="33"/>
      <c r="J770" s="33"/>
      <c r="K770" s="33"/>
      <c r="L770" s="33"/>
      <c r="M770" s="33"/>
      <c r="N770" s="33"/>
      <c r="O770" s="33"/>
      <c r="P770" s="33"/>
      <c r="Q770" s="33"/>
      <c r="R770" s="33"/>
    </row>
    <row r="771">
      <c r="A771" s="33"/>
      <c r="B771" s="33"/>
      <c r="C771" s="33"/>
      <c r="D771" s="33"/>
      <c r="E771" s="33"/>
      <c r="F771" s="33"/>
      <c r="G771" s="33"/>
      <c r="H771" s="33"/>
      <c r="I771" s="33"/>
      <c r="J771" s="33"/>
      <c r="K771" s="33"/>
      <c r="L771" s="33"/>
      <c r="M771" s="33"/>
      <c r="N771" s="33"/>
      <c r="O771" s="33"/>
      <c r="P771" s="33"/>
      <c r="Q771" s="33"/>
      <c r="R771" s="33"/>
    </row>
    <row r="772">
      <c r="A772" s="33"/>
      <c r="B772" s="33"/>
      <c r="C772" s="33"/>
      <c r="D772" s="33"/>
      <c r="E772" s="33"/>
      <c r="F772" s="33"/>
      <c r="G772" s="33"/>
      <c r="H772" s="33"/>
      <c r="I772" s="33"/>
      <c r="J772" s="33"/>
      <c r="K772" s="33"/>
      <c r="L772" s="33"/>
      <c r="M772" s="33"/>
      <c r="N772" s="33"/>
      <c r="O772" s="33"/>
      <c r="P772" s="33"/>
      <c r="Q772" s="33"/>
      <c r="R772" s="33"/>
    </row>
    <row r="773">
      <c r="A773" s="33"/>
      <c r="B773" s="33"/>
      <c r="C773" s="33"/>
      <c r="D773" s="33"/>
      <c r="E773" s="33"/>
      <c r="F773" s="33"/>
      <c r="G773" s="33"/>
      <c r="H773" s="33"/>
      <c r="I773" s="33"/>
      <c r="J773" s="33"/>
      <c r="K773" s="33"/>
      <c r="L773" s="33"/>
      <c r="M773" s="33"/>
      <c r="N773" s="33"/>
      <c r="O773" s="33"/>
      <c r="P773" s="33"/>
      <c r="Q773" s="33"/>
      <c r="R773" s="33"/>
    </row>
    <row r="774">
      <c r="A774" s="33"/>
      <c r="B774" s="33"/>
      <c r="C774" s="33"/>
      <c r="D774" s="33"/>
      <c r="E774" s="33"/>
      <c r="F774" s="33"/>
      <c r="G774" s="33"/>
      <c r="H774" s="33"/>
      <c r="I774" s="33"/>
      <c r="J774" s="33"/>
      <c r="K774" s="33"/>
      <c r="L774" s="33"/>
      <c r="M774" s="33"/>
      <c r="N774" s="33"/>
      <c r="O774" s="33"/>
      <c r="P774" s="33"/>
      <c r="Q774" s="33"/>
      <c r="R774" s="33"/>
    </row>
    <row r="775">
      <c r="A775" s="33"/>
      <c r="B775" s="33"/>
      <c r="C775" s="33"/>
      <c r="D775" s="33"/>
      <c r="E775" s="33"/>
      <c r="F775" s="33"/>
      <c r="G775" s="33"/>
      <c r="H775" s="33"/>
      <c r="I775" s="33"/>
      <c r="J775" s="33"/>
      <c r="K775" s="33"/>
      <c r="L775" s="33"/>
      <c r="M775" s="33"/>
      <c r="N775" s="33"/>
      <c r="O775" s="33"/>
      <c r="P775" s="33"/>
      <c r="Q775" s="33"/>
      <c r="R775" s="33"/>
    </row>
    <row r="776">
      <c r="A776" s="33"/>
      <c r="B776" s="33"/>
      <c r="C776" s="33"/>
      <c r="D776" s="33"/>
      <c r="E776" s="33"/>
      <c r="F776" s="33"/>
      <c r="G776" s="33"/>
      <c r="H776" s="33"/>
      <c r="I776" s="33"/>
      <c r="J776" s="33"/>
      <c r="K776" s="33"/>
      <c r="L776" s="33"/>
      <c r="M776" s="33"/>
      <c r="N776" s="33"/>
      <c r="O776" s="33"/>
      <c r="P776" s="33"/>
      <c r="Q776" s="33"/>
      <c r="R776" s="33"/>
    </row>
    <row r="777">
      <c r="A777" s="33"/>
      <c r="B777" s="33"/>
      <c r="C777" s="33"/>
      <c r="D777" s="33"/>
      <c r="E777" s="33"/>
      <c r="F777" s="33"/>
      <c r="G777" s="33"/>
      <c r="H777" s="33"/>
      <c r="I777" s="33"/>
      <c r="J777" s="33"/>
      <c r="K777" s="33"/>
      <c r="L777" s="33"/>
      <c r="M777" s="33"/>
      <c r="N777" s="33"/>
      <c r="O777" s="33"/>
      <c r="P777" s="33"/>
      <c r="Q777" s="33"/>
      <c r="R777" s="33"/>
    </row>
    <row r="778">
      <c r="A778" s="33"/>
      <c r="B778" s="33"/>
      <c r="C778" s="33"/>
      <c r="D778" s="33"/>
      <c r="E778" s="33"/>
      <c r="F778" s="33"/>
      <c r="G778" s="33"/>
      <c r="H778" s="33"/>
      <c r="I778" s="33"/>
      <c r="J778" s="33"/>
      <c r="K778" s="33"/>
      <c r="L778" s="33"/>
      <c r="M778" s="33"/>
      <c r="N778" s="33"/>
      <c r="O778" s="33"/>
      <c r="P778" s="33"/>
      <c r="Q778" s="33"/>
      <c r="R778" s="33"/>
    </row>
    <row r="779">
      <c r="A779" s="33"/>
      <c r="B779" s="33"/>
      <c r="C779" s="33"/>
      <c r="D779" s="33"/>
      <c r="E779" s="33"/>
      <c r="F779" s="33"/>
      <c r="G779" s="33"/>
      <c r="H779" s="33"/>
      <c r="I779" s="33"/>
      <c r="J779" s="33"/>
      <c r="K779" s="33"/>
      <c r="L779" s="33"/>
      <c r="M779" s="33"/>
      <c r="N779" s="33"/>
      <c r="O779" s="33"/>
      <c r="P779" s="33"/>
      <c r="Q779" s="33"/>
      <c r="R779" s="33"/>
    </row>
    <row r="780">
      <c r="A780" s="33"/>
      <c r="B780" s="33"/>
      <c r="C780" s="33"/>
      <c r="D780" s="33"/>
      <c r="E780" s="33"/>
      <c r="F780" s="33"/>
      <c r="G780" s="33"/>
      <c r="H780" s="33"/>
      <c r="I780" s="33"/>
      <c r="J780" s="33"/>
      <c r="K780" s="33"/>
      <c r="L780" s="33"/>
      <c r="M780" s="33"/>
      <c r="N780" s="33"/>
      <c r="O780" s="33"/>
      <c r="P780" s="33"/>
      <c r="Q780" s="33"/>
      <c r="R780" s="33"/>
    </row>
    <row r="781">
      <c r="A781" s="33"/>
      <c r="B781" s="33"/>
      <c r="C781" s="33"/>
      <c r="D781" s="33"/>
      <c r="E781" s="33"/>
      <c r="F781" s="33"/>
      <c r="G781" s="33"/>
      <c r="H781" s="33"/>
      <c r="I781" s="33"/>
      <c r="J781" s="33"/>
      <c r="K781" s="33"/>
      <c r="L781" s="33"/>
      <c r="M781" s="33"/>
      <c r="N781" s="33"/>
      <c r="O781" s="33"/>
      <c r="P781" s="33"/>
      <c r="Q781" s="33"/>
      <c r="R781" s="33"/>
    </row>
    <row r="782">
      <c r="A782" s="33"/>
      <c r="B782" s="33"/>
      <c r="C782" s="33"/>
      <c r="D782" s="33"/>
      <c r="E782" s="33"/>
      <c r="F782" s="33"/>
      <c r="G782" s="33"/>
      <c r="H782" s="33"/>
      <c r="I782" s="33"/>
      <c r="J782" s="33"/>
      <c r="K782" s="33"/>
      <c r="L782" s="33"/>
      <c r="M782" s="33"/>
      <c r="N782" s="33"/>
      <c r="O782" s="33"/>
      <c r="P782" s="33"/>
      <c r="Q782" s="33"/>
      <c r="R782" s="33"/>
    </row>
    <row r="783">
      <c r="A783" s="33"/>
      <c r="B783" s="33"/>
      <c r="C783" s="33"/>
      <c r="D783" s="33"/>
      <c r="E783" s="33"/>
      <c r="F783" s="33"/>
      <c r="G783" s="33"/>
      <c r="H783" s="33"/>
      <c r="I783" s="33"/>
      <c r="J783" s="33"/>
      <c r="K783" s="33"/>
      <c r="L783" s="33"/>
      <c r="M783" s="33"/>
      <c r="N783" s="33"/>
      <c r="O783" s="33"/>
      <c r="P783" s="33"/>
      <c r="Q783" s="33"/>
      <c r="R783" s="33"/>
    </row>
    <row r="784">
      <c r="A784" s="33"/>
      <c r="B784" s="33"/>
      <c r="C784" s="33"/>
      <c r="D784" s="33"/>
      <c r="E784" s="33"/>
      <c r="F784" s="33"/>
      <c r="G784" s="33"/>
      <c r="H784" s="33"/>
      <c r="I784" s="33"/>
      <c r="J784" s="33"/>
      <c r="K784" s="33"/>
      <c r="L784" s="33"/>
      <c r="M784" s="33"/>
      <c r="N784" s="33"/>
      <c r="O784" s="33"/>
      <c r="P784" s="33"/>
      <c r="Q784" s="33"/>
      <c r="R784" s="33"/>
    </row>
    <row r="785">
      <c r="A785" s="33"/>
      <c r="B785" s="33"/>
      <c r="C785" s="33"/>
      <c r="D785" s="33"/>
      <c r="E785" s="33"/>
      <c r="F785" s="33"/>
      <c r="G785" s="33"/>
      <c r="H785" s="33"/>
      <c r="I785" s="33"/>
      <c r="J785" s="33"/>
      <c r="K785" s="33"/>
      <c r="L785" s="33"/>
      <c r="M785" s="33"/>
      <c r="N785" s="33"/>
      <c r="O785" s="33"/>
      <c r="P785" s="33"/>
      <c r="Q785" s="33"/>
      <c r="R785" s="33"/>
    </row>
    <row r="786">
      <c r="A786" s="33"/>
      <c r="B786" s="33"/>
      <c r="C786" s="33"/>
      <c r="D786" s="33"/>
      <c r="E786" s="33"/>
      <c r="F786" s="33"/>
      <c r="G786" s="33"/>
      <c r="H786" s="33"/>
      <c r="I786" s="33"/>
      <c r="J786" s="33"/>
      <c r="K786" s="33"/>
      <c r="L786" s="33"/>
      <c r="M786" s="33"/>
      <c r="N786" s="33"/>
      <c r="O786" s="33"/>
      <c r="P786" s="33"/>
      <c r="Q786" s="33"/>
      <c r="R786" s="33"/>
    </row>
    <row r="787">
      <c r="A787" s="33"/>
      <c r="B787" s="33"/>
      <c r="C787" s="33"/>
      <c r="D787" s="33"/>
      <c r="E787" s="33"/>
      <c r="F787" s="33"/>
      <c r="G787" s="33"/>
      <c r="H787" s="33"/>
      <c r="I787" s="33"/>
      <c r="J787" s="33"/>
      <c r="K787" s="33"/>
      <c r="L787" s="33"/>
      <c r="M787" s="33"/>
      <c r="N787" s="33"/>
      <c r="O787" s="33"/>
      <c r="P787" s="33"/>
      <c r="Q787" s="33"/>
      <c r="R787" s="33"/>
    </row>
    <row r="788">
      <c r="A788" s="33"/>
      <c r="B788" s="33"/>
      <c r="C788" s="33"/>
      <c r="D788" s="33"/>
      <c r="E788" s="33"/>
      <c r="F788" s="33"/>
      <c r="G788" s="33"/>
      <c r="H788" s="33"/>
      <c r="I788" s="33"/>
      <c r="J788" s="33"/>
      <c r="K788" s="33"/>
      <c r="L788" s="33"/>
      <c r="M788" s="33"/>
      <c r="N788" s="33"/>
      <c r="O788" s="33"/>
      <c r="P788" s="33"/>
      <c r="Q788" s="33"/>
      <c r="R788" s="33"/>
    </row>
    <row r="789">
      <c r="A789" s="33"/>
      <c r="B789" s="33"/>
      <c r="C789" s="33"/>
      <c r="D789" s="33"/>
      <c r="E789" s="33"/>
      <c r="F789" s="33"/>
      <c r="G789" s="33"/>
      <c r="H789" s="33"/>
      <c r="I789" s="33"/>
      <c r="J789" s="33"/>
      <c r="K789" s="33"/>
      <c r="L789" s="33"/>
      <c r="M789" s="33"/>
      <c r="N789" s="33"/>
      <c r="O789" s="33"/>
      <c r="P789" s="33"/>
      <c r="Q789" s="33"/>
      <c r="R789" s="33"/>
    </row>
    <row r="790">
      <c r="A790" s="33"/>
      <c r="B790" s="33"/>
      <c r="C790" s="33"/>
      <c r="D790" s="33"/>
      <c r="E790" s="33"/>
      <c r="F790" s="33"/>
      <c r="G790" s="33"/>
      <c r="H790" s="33"/>
      <c r="I790" s="33"/>
      <c r="J790" s="33"/>
      <c r="K790" s="33"/>
      <c r="L790" s="33"/>
      <c r="M790" s="33"/>
      <c r="N790" s="33"/>
      <c r="O790" s="33"/>
      <c r="P790" s="33"/>
      <c r="Q790" s="33"/>
      <c r="R790" s="33"/>
    </row>
    <row r="791">
      <c r="A791" s="33"/>
      <c r="B791" s="33"/>
      <c r="C791" s="33"/>
      <c r="D791" s="33"/>
      <c r="E791" s="33"/>
      <c r="F791" s="33"/>
      <c r="G791" s="33"/>
      <c r="H791" s="33"/>
      <c r="I791" s="33"/>
      <c r="J791" s="33"/>
      <c r="K791" s="33"/>
      <c r="L791" s="33"/>
      <c r="M791" s="33"/>
      <c r="N791" s="33"/>
      <c r="O791" s="33"/>
      <c r="P791" s="33"/>
      <c r="Q791" s="33"/>
      <c r="R791" s="33"/>
    </row>
    <row r="792">
      <c r="A792" s="33"/>
      <c r="B792" s="33"/>
      <c r="C792" s="33"/>
      <c r="D792" s="33"/>
      <c r="E792" s="33"/>
      <c r="F792" s="33"/>
      <c r="G792" s="33"/>
      <c r="H792" s="33"/>
      <c r="I792" s="33"/>
      <c r="J792" s="33"/>
      <c r="K792" s="33"/>
      <c r="L792" s="33"/>
      <c r="M792" s="33"/>
      <c r="N792" s="33"/>
      <c r="O792" s="33"/>
      <c r="P792" s="33"/>
      <c r="Q792" s="33"/>
      <c r="R792" s="33"/>
    </row>
    <row r="793">
      <c r="A793" s="33"/>
      <c r="B793" s="33"/>
      <c r="C793" s="33"/>
      <c r="D793" s="33"/>
      <c r="E793" s="33"/>
      <c r="F793" s="33"/>
      <c r="G793" s="33"/>
      <c r="H793" s="33"/>
      <c r="I793" s="33"/>
      <c r="J793" s="33"/>
      <c r="K793" s="33"/>
      <c r="L793" s="33"/>
      <c r="M793" s="33"/>
      <c r="N793" s="33"/>
      <c r="O793" s="33"/>
      <c r="P793" s="33"/>
      <c r="Q793" s="33"/>
      <c r="R793" s="33"/>
    </row>
    <row r="794">
      <c r="A794" s="33"/>
      <c r="B794" s="33"/>
      <c r="C794" s="33"/>
      <c r="D794" s="33"/>
      <c r="E794" s="33"/>
      <c r="F794" s="33"/>
      <c r="G794" s="33"/>
      <c r="H794" s="33"/>
      <c r="I794" s="33"/>
      <c r="J794" s="33"/>
      <c r="K794" s="33"/>
      <c r="L794" s="33"/>
      <c r="M794" s="33"/>
      <c r="N794" s="33"/>
      <c r="O794" s="33"/>
      <c r="P794" s="33"/>
      <c r="Q794" s="33"/>
      <c r="R794" s="33"/>
    </row>
    <row r="795">
      <c r="A795" s="33"/>
      <c r="B795" s="33"/>
      <c r="C795" s="33"/>
      <c r="D795" s="33"/>
      <c r="E795" s="33"/>
      <c r="F795" s="33"/>
      <c r="G795" s="33"/>
      <c r="H795" s="33"/>
      <c r="I795" s="33"/>
      <c r="J795" s="33"/>
      <c r="K795" s="33"/>
      <c r="L795" s="33"/>
      <c r="M795" s="33"/>
      <c r="N795" s="33"/>
      <c r="O795" s="33"/>
      <c r="P795" s="33"/>
      <c r="Q795" s="33"/>
      <c r="R795" s="33"/>
    </row>
    <row r="796">
      <c r="A796" s="33"/>
      <c r="B796" s="33"/>
      <c r="C796" s="33"/>
      <c r="D796" s="33"/>
      <c r="E796" s="33"/>
      <c r="F796" s="33"/>
      <c r="G796" s="33"/>
      <c r="H796" s="33"/>
      <c r="I796" s="33"/>
      <c r="J796" s="33"/>
      <c r="K796" s="33"/>
      <c r="L796" s="33"/>
      <c r="M796" s="33"/>
      <c r="N796" s="33"/>
      <c r="O796" s="33"/>
      <c r="P796" s="33"/>
      <c r="Q796" s="33"/>
      <c r="R796" s="33"/>
    </row>
    <row r="797">
      <c r="A797" s="33"/>
      <c r="B797" s="33"/>
      <c r="C797" s="33"/>
      <c r="D797" s="33"/>
      <c r="E797" s="33"/>
      <c r="F797" s="33"/>
      <c r="G797" s="33"/>
      <c r="H797" s="33"/>
      <c r="I797" s="33"/>
      <c r="J797" s="33"/>
      <c r="K797" s="33"/>
      <c r="L797" s="33"/>
      <c r="M797" s="33"/>
      <c r="N797" s="33"/>
      <c r="O797" s="33"/>
      <c r="P797" s="33"/>
      <c r="Q797" s="33"/>
      <c r="R797" s="33"/>
    </row>
    <row r="798">
      <c r="A798" s="33"/>
      <c r="B798" s="33"/>
      <c r="C798" s="33"/>
      <c r="D798" s="33"/>
      <c r="E798" s="33"/>
      <c r="F798" s="33"/>
      <c r="G798" s="33"/>
      <c r="H798" s="33"/>
      <c r="I798" s="33"/>
      <c r="J798" s="33"/>
      <c r="K798" s="33"/>
      <c r="L798" s="33"/>
      <c r="M798" s="33"/>
      <c r="N798" s="33"/>
      <c r="O798" s="33"/>
      <c r="P798" s="33"/>
      <c r="Q798" s="33"/>
      <c r="R798" s="33"/>
    </row>
    <row r="799">
      <c r="A799" s="33"/>
      <c r="B799" s="33"/>
      <c r="C799" s="33"/>
      <c r="D799" s="33"/>
      <c r="E799" s="33"/>
      <c r="F799" s="33"/>
      <c r="G799" s="33"/>
      <c r="H799" s="33"/>
      <c r="I799" s="33"/>
      <c r="J799" s="33"/>
      <c r="K799" s="33"/>
      <c r="L799" s="33"/>
      <c r="M799" s="33"/>
      <c r="N799" s="33"/>
      <c r="O799" s="33"/>
      <c r="P799" s="33"/>
      <c r="Q799" s="33"/>
      <c r="R799" s="33"/>
    </row>
    <row r="800">
      <c r="A800" s="33"/>
      <c r="B800" s="33"/>
      <c r="C800" s="33"/>
      <c r="D800" s="33"/>
      <c r="E800" s="33"/>
      <c r="F800" s="33"/>
      <c r="G800" s="33"/>
      <c r="H800" s="33"/>
      <c r="I800" s="33"/>
      <c r="J800" s="33"/>
      <c r="K800" s="33"/>
      <c r="L800" s="33"/>
      <c r="M800" s="33"/>
      <c r="N800" s="33"/>
      <c r="O800" s="33"/>
      <c r="P800" s="33"/>
      <c r="Q800" s="33"/>
      <c r="R800" s="33"/>
    </row>
    <row r="801">
      <c r="A801" s="33"/>
      <c r="B801" s="33"/>
      <c r="C801" s="33"/>
      <c r="D801" s="33"/>
      <c r="E801" s="33"/>
      <c r="F801" s="33"/>
      <c r="G801" s="33"/>
      <c r="H801" s="33"/>
      <c r="I801" s="33"/>
      <c r="J801" s="33"/>
      <c r="K801" s="33"/>
      <c r="L801" s="33"/>
      <c r="M801" s="33"/>
      <c r="N801" s="33"/>
      <c r="O801" s="33"/>
      <c r="P801" s="33"/>
      <c r="Q801" s="33"/>
      <c r="R801" s="33"/>
    </row>
    <row r="802">
      <c r="A802" s="33"/>
      <c r="B802" s="33"/>
      <c r="C802" s="33"/>
      <c r="D802" s="33"/>
      <c r="E802" s="33"/>
      <c r="F802" s="33"/>
      <c r="G802" s="33"/>
      <c r="H802" s="33"/>
      <c r="I802" s="33"/>
      <c r="J802" s="33"/>
      <c r="K802" s="33"/>
      <c r="L802" s="33"/>
      <c r="M802" s="33"/>
      <c r="N802" s="33"/>
      <c r="O802" s="33"/>
      <c r="P802" s="33"/>
      <c r="Q802" s="33"/>
      <c r="R802" s="33"/>
    </row>
    <row r="803">
      <c r="A803" s="33"/>
      <c r="B803" s="33"/>
      <c r="C803" s="33"/>
      <c r="D803" s="33"/>
      <c r="E803" s="33"/>
      <c r="F803" s="33"/>
      <c r="G803" s="33"/>
      <c r="H803" s="33"/>
      <c r="I803" s="33"/>
      <c r="J803" s="33"/>
      <c r="K803" s="33"/>
      <c r="L803" s="33"/>
      <c r="M803" s="33"/>
      <c r="N803" s="33"/>
      <c r="O803" s="33"/>
      <c r="P803" s="33"/>
      <c r="Q803" s="33"/>
      <c r="R803" s="33"/>
    </row>
    <row r="804">
      <c r="A804" s="33"/>
      <c r="B804" s="33"/>
      <c r="C804" s="33"/>
      <c r="D804" s="33"/>
      <c r="E804" s="33"/>
      <c r="F804" s="33"/>
      <c r="G804" s="33"/>
      <c r="H804" s="33"/>
      <c r="I804" s="33"/>
      <c r="J804" s="33"/>
      <c r="K804" s="33"/>
      <c r="L804" s="33"/>
      <c r="M804" s="33"/>
      <c r="N804" s="33"/>
      <c r="O804" s="33"/>
      <c r="P804" s="33"/>
      <c r="Q804" s="33"/>
      <c r="R804" s="33"/>
    </row>
    <row r="805">
      <c r="A805" s="33"/>
      <c r="B805" s="33"/>
      <c r="C805" s="33"/>
      <c r="D805" s="33"/>
      <c r="E805" s="33"/>
      <c r="F805" s="33"/>
      <c r="G805" s="33"/>
      <c r="H805" s="33"/>
      <c r="I805" s="33"/>
      <c r="J805" s="33"/>
      <c r="K805" s="33"/>
      <c r="L805" s="33"/>
      <c r="M805" s="33"/>
      <c r="N805" s="33"/>
      <c r="O805" s="33"/>
      <c r="P805" s="33"/>
      <c r="Q805" s="33"/>
      <c r="R805" s="33"/>
    </row>
    <row r="806">
      <c r="A806" s="33"/>
      <c r="B806" s="33"/>
      <c r="C806" s="33"/>
      <c r="D806" s="33"/>
      <c r="E806" s="33"/>
      <c r="F806" s="33"/>
      <c r="G806" s="33"/>
      <c r="H806" s="33"/>
      <c r="I806" s="33"/>
      <c r="J806" s="33"/>
      <c r="K806" s="33"/>
      <c r="L806" s="33"/>
      <c r="M806" s="33"/>
      <c r="N806" s="33"/>
      <c r="O806" s="33"/>
      <c r="P806" s="33"/>
      <c r="Q806" s="33"/>
      <c r="R806" s="33"/>
    </row>
    <row r="807">
      <c r="A807" s="33"/>
      <c r="B807" s="33"/>
      <c r="C807" s="33"/>
      <c r="D807" s="33"/>
      <c r="E807" s="33"/>
      <c r="F807" s="33"/>
      <c r="G807" s="33"/>
      <c r="H807" s="33"/>
      <c r="I807" s="33"/>
      <c r="J807" s="33"/>
      <c r="K807" s="33"/>
      <c r="L807" s="33"/>
      <c r="M807" s="33"/>
      <c r="N807" s="33"/>
      <c r="O807" s="33"/>
      <c r="P807" s="33"/>
      <c r="Q807" s="33"/>
      <c r="R807" s="33"/>
    </row>
    <row r="808">
      <c r="A808" s="33"/>
      <c r="B808" s="33"/>
      <c r="C808" s="33"/>
      <c r="D808" s="33"/>
      <c r="E808" s="33"/>
      <c r="F808" s="33"/>
      <c r="G808" s="33"/>
      <c r="H808" s="33"/>
      <c r="I808" s="33"/>
      <c r="J808" s="33"/>
      <c r="K808" s="33"/>
      <c r="L808" s="33"/>
      <c r="M808" s="33"/>
      <c r="N808" s="33"/>
      <c r="O808" s="33"/>
      <c r="P808" s="33"/>
      <c r="Q808" s="33"/>
      <c r="R808" s="33"/>
    </row>
    <row r="809">
      <c r="A809" s="33"/>
      <c r="B809" s="33"/>
      <c r="C809" s="33"/>
      <c r="D809" s="33"/>
      <c r="E809" s="33"/>
      <c r="F809" s="33"/>
      <c r="G809" s="33"/>
      <c r="H809" s="33"/>
      <c r="I809" s="33"/>
      <c r="J809" s="33"/>
      <c r="K809" s="33"/>
      <c r="L809" s="33"/>
      <c r="M809" s="33"/>
      <c r="N809" s="33"/>
      <c r="O809" s="33"/>
      <c r="P809" s="33"/>
      <c r="Q809" s="33"/>
      <c r="R809" s="33"/>
    </row>
    <row r="810">
      <c r="A810" s="33"/>
      <c r="B810" s="33"/>
      <c r="C810" s="33"/>
      <c r="D810" s="33"/>
      <c r="E810" s="33"/>
      <c r="F810" s="33"/>
      <c r="G810" s="33"/>
      <c r="H810" s="33"/>
      <c r="I810" s="33"/>
      <c r="J810" s="33"/>
      <c r="K810" s="33"/>
      <c r="L810" s="33"/>
      <c r="M810" s="33"/>
      <c r="N810" s="33"/>
      <c r="O810" s="33"/>
      <c r="P810" s="33"/>
      <c r="Q810" s="33"/>
      <c r="R810" s="33"/>
    </row>
    <row r="811">
      <c r="A811" s="33"/>
      <c r="B811" s="33"/>
      <c r="C811" s="33"/>
      <c r="D811" s="33"/>
      <c r="E811" s="33"/>
      <c r="F811" s="33"/>
      <c r="G811" s="33"/>
      <c r="H811" s="33"/>
      <c r="I811" s="33"/>
      <c r="J811" s="33"/>
      <c r="K811" s="33"/>
      <c r="L811" s="33"/>
      <c r="M811" s="33"/>
      <c r="N811" s="33"/>
      <c r="O811" s="33"/>
      <c r="P811" s="33"/>
      <c r="Q811" s="33"/>
      <c r="R811" s="33"/>
    </row>
    <row r="812">
      <c r="A812" s="33"/>
      <c r="B812" s="33"/>
      <c r="C812" s="33"/>
      <c r="D812" s="33"/>
      <c r="E812" s="33"/>
      <c r="F812" s="33"/>
      <c r="G812" s="33"/>
      <c r="H812" s="33"/>
      <c r="I812" s="33"/>
      <c r="J812" s="33"/>
      <c r="K812" s="33"/>
      <c r="L812" s="33"/>
      <c r="M812" s="33"/>
      <c r="N812" s="33"/>
      <c r="O812" s="33"/>
      <c r="P812" s="33"/>
      <c r="Q812" s="33"/>
      <c r="R812" s="33"/>
    </row>
    <row r="813">
      <c r="A813" s="33"/>
      <c r="B813" s="33"/>
      <c r="C813" s="33"/>
      <c r="D813" s="33"/>
      <c r="E813" s="33"/>
      <c r="F813" s="33"/>
      <c r="G813" s="33"/>
      <c r="H813" s="33"/>
      <c r="I813" s="33"/>
      <c r="J813" s="33"/>
      <c r="K813" s="33"/>
      <c r="L813" s="33"/>
      <c r="M813" s="33"/>
      <c r="N813" s="33"/>
      <c r="O813" s="33"/>
      <c r="P813" s="33"/>
      <c r="Q813" s="33"/>
      <c r="R813" s="33"/>
    </row>
    <row r="814">
      <c r="A814" s="33"/>
      <c r="B814" s="33"/>
      <c r="C814" s="33"/>
      <c r="D814" s="33"/>
      <c r="E814" s="33"/>
      <c r="F814" s="33"/>
      <c r="G814" s="33"/>
      <c r="H814" s="33"/>
      <c r="I814" s="33"/>
      <c r="J814" s="33"/>
      <c r="K814" s="33"/>
      <c r="L814" s="33"/>
      <c r="M814" s="33"/>
      <c r="N814" s="33"/>
      <c r="O814" s="33"/>
      <c r="P814" s="33"/>
      <c r="Q814" s="33"/>
      <c r="R814" s="33"/>
    </row>
    <row r="815">
      <c r="A815" s="33"/>
      <c r="B815" s="33"/>
      <c r="C815" s="33"/>
      <c r="D815" s="33"/>
      <c r="E815" s="33"/>
      <c r="F815" s="33"/>
      <c r="G815" s="33"/>
      <c r="H815" s="33"/>
      <c r="I815" s="33"/>
      <c r="J815" s="33"/>
      <c r="K815" s="33"/>
      <c r="L815" s="33"/>
      <c r="M815" s="33"/>
      <c r="N815" s="33"/>
      <c r="O815" s="33"/>
      <c r="P815" s="33"/>
      <c r="Q815" s="33"/>
      <c r="R815" s="33"/>
    </row>
    <row r="816">
      <c r="A816" s="33"/>
      <c r="B816" s="33"/>
      <c r="C816" s="33"/>
      <c r="D816" s="33"/>
      <c r="E816" s="33"/>
      <c r="F816" s="33"/>
      <c r="G816" s="33"/>
      <c r="H816" s="33"/>
      <c r="I816" s="33"/>
      <c r="J816" s="33"/>
      <c r="K816" s="33"/>
      <c r="L816" s="33"/>
      <c r="M816" s="33"/>
      <c r="N816" s="33"/>
      <c r="O816" s="33"/>
      <c r="P816" s="33"/>
      <c r="Q816" s="33"/>
      <c r="R816" s="33"/>
    </row>
    <row r="817">
      <c r="A817" s="33"/>
      <c r="B817" s="33"/>
      <c r="C817" s="33"/>
      <c r="D817" s="33"/>
      <c r="E817" s="33"/>
      <c r="F817" s="33"/>
      <c r="G817" s="33"/>
      <c r="H817" s="33"/>
      <c r="I817" s="33"/>
      <c r="J817" s="33"/>
      <c r="K817" s="33"/>
      <c r="L817" s="33"/>
      <c r="M817" s="33"/>
      <c r="N817" s="33"/>
      <c r="O817" s="33"/>
      <c r="P817" s="33"/>
      <c r="Q817" s="33"/>
      <c r="R817" s="33"/>
    </row>
    <row r="818">
      <c r="A818" s="33"/>
      <c r="B818" s="33"/>
      <c r="C818" s="33"/>
      <c r="D818" s="33"/>
      <c r="E818" s="33"/>
      <c r="F818" s="33"/>
      <c r="G818" s="33"/>
      <c r="H818" s="33"/>
      <c r="I818" s="33"/>
      <c r="J818" s="33"/>
      <c r="K818" s="33"/>
      <c r="L818" s="33"/>
      <c r="M818" s="33"/>
      <c r="N818" s="33"/>
      <c r="O818" s="33"/>
      <c r="P818" s="33"/>
      <c r="Q818" s="33"/>
      <c r="R818" s="33"/>
    </row>
    <row r="819">
      <c r="A819" s="33"/>
      <c r="B819" s="33"/>
      <c r="C819" s="33"/>
      <c r="D819" s="33"/>
      <c r="E819" s="33"/>
      <c r="F819" s="33"/>
      <c r="G819" s="33"/>
      <c r="H819" s="33"/>
      <c r="I819" s="33"/>
      <c r="J819" s="33"/>
      <c r="K819" s="33"/>
      <c r="L819" s="33"/>
      <c r="M819" s="33"/>
      <c r="N819" s="33"/>
      <c r="O819" s="33"/>
      <c r="P819" s="33"/>
      <c r="Q819" s="33"/>
      <c r="R819" s="33"/>
    </row>
    <row r="820">
      <c r="A820" s="33"/>
      <c r="B820" s="33"/>
      <c r="C820" s="33"/>
      <c r="D820" s="33"/>
      <c r="E820" s="33"/>
      <c r="F820" s="33"/>
      <c r="G820" s="33"/>
      <c r="H820" s="33"/>
      <c r="I820" s="33"/>
      <c r="J820" s="33"/>
      <c r="K820" s="33"/>
      <c r="L820" s="33"/>
      <c r="M820" s="33"/>
      <c r="N820" s="33"/>
      <c r="O820" s="33"/>
      <c r="P820" s="33"/>
      <c r="Q820" s="33"/>
      <c r="R820" s="33"/>
    </row>
    <row r="821">
      <c r="A821" s="33"/>
      <c r="B821" s="33"/>
      <c r="C821" s="33"/>
      <c r="D821" s="33"/>
      <c r="E821" s="33"/>
      <c r="F821" s="33"/>
      <c r="G821" s="33"/>
      <c r="H821" s="33"/>
      <c r="I821" s="33"/>
      <c r="J821" s="33"/>
      <c r="K821" s="33"/>
      <c r="L821" s="33"/>
      <c r="M821" s="33"/>
      <c r="N821" s="33"/>
      <c r="O821" s="33"/>
      <c r="P821" s="33"/>
      <c r="Q821" s="33"/>
      <c r="R821" s="33"/>
    </row>
    <row r="822">
      <c r="A822" s="33"/>
      <c r="B822" s="33"/>
      <c r="C822" s="33"/>
      <c r="D822" s="33"/>
      <c r="E822" s="33"/>
      <c r="F822" s="33"/>
      <c r="G822" s="33"/>
      <c r="H822" s="33"/>
      <c r="I822" s="33"/>
      <c r="J822" s="33"/>
      <c r="K822" s="33"/>
      <c r="L822" s="33"/>
      <c r="M822" s="33"/>
      <c r="N822" s="33"/>
      <c r="O822" s="33"/>
      <c r="P822" s="33"/>
      <c r="Q822" s="33"/>
      <c r="R822" s="33"/>
    </row>
    <row r="823">
      <c r="A823" s="33"/>
      <c r="B823" s="33"/>
      <c r="C823" s="33"/>
      <c r="D823" s="33"/>
      <c r="E823" s="33"/>
      <c r="F823" s="33"/>
      <c r="G823" s="33"/>
      <c r="H823" s="33"/>
      <c r="I823" s="33"/>
      <c r="J823" s="33"/>
      <c r="K823" s="33"/>
      <c r="L823" s="33"/>
      <c r="M823" s="33"/>
      <c r="N823" s="33"/>
      <c r="O823" s="33"/>
      <c r="P823" s="33"/>
      <c r="Q823" s="33"/>
      <c r="R823" s="33"/>
    </row>
    <row r="824">
      <c r="A824" s="33"/>
      <c r="B824" s="33"/>
      <c r="C824" s="33"/>
      <c r="D824" s="33"/>
      <c r="E824" s="33"/>
      <c r="F824" s="33"/>
      <c r="G824" s="33"/>
      <c r="H824" s="33"/>
      <c r="I824" s="33"/>
      <c r="J824" s="33"/>
      <c r="K824" s="33"/>
      <c r="L824" s="33"/>
      <c r="M824" s="33"/>
      <c r="N824" s="33"/>
      <c r="O824" s="33"/>
      <c r="P824" s="33"/>
      <c r="Q824" s="33"/>
      <c r="R824" s="33"/>
    </row>
    <row r="825">
      <c r="A825" s="33"/>
      <c r="B825" s="33"/>
      <c r="C825" s="33"/>
      <c r="D825" s="33"/>
      <c r="E825" s="33"/>
      <c r="F825" s="33"/>
      <c r="G825" s="33"/>
      <c r="H825" s="33"/>
      <c r="I825" s="33"/>
      <c r="J825" s="33"/>
      <c r="K825" s="33"/>
      <c r="L825" s="33"/>
      <c r="M825" s="33"/>
      <c r="N825" s="33"/>
      <c r="O825" s="33"/>
      <c r="P825" s="33"/>
      <c r="Q825" s="33"/>
      <c r="R825" s="33"/>
    </row>
    <row r="826">
      <c r="A826" s="33"/>
      <c r="B826" s="33"/>
      <c r="C826" s="33"/>
      <c r="D826" s="33"/>
      <c r="E826" s="33"/>
      <c r="F826" s="33"/>
      <c r="G826" s="33"/>
      <c r="H826" s="33"/>
      <c r="I826" s="33"/>
      <c r="J826" s="33"/>
      <c r="K826" s="33"/>
      <c r="L826" s="33"/>
      <c r="M826" s="33"/>
      <c r="N826" s="33"/>
      <c r="O826" s="33"/>
      <c r="P826" s="33"/>
      <c r="Q826" s="33"/>
      <c r="R826" s="33"/>
    </row>
    <row r="827">
      <c r="A827" s="33"/>
      <c r="B827" s="33"/>
      <c r="C827" s="33"/>
      <c r="D827" s="33"/>
      <c r="E827" s="33"/>
      <c r="F827" s="33"/>
      <c r="G827" s="33"/>
      <c r="H827" s="33"/>
      <c r="I827" s="33"/>
      <c r="J827" s="33"/>
      <c r="K827" s="33"/>
      <c r="L827" s="33"/>
      <c r="M827" s="33"/>
      <c r="N827" s="33"/>
      <c r="O827" s="33"/>
      <c r="P827" s="33"/>
      <c r="Q827" s="33"/>
      <c r="R827" s="33"/>
    </row>
    <row r="828">
      <c r="A828" s="33"/>
      <c r="B828" s="33"/>
      <c r="C828" s="33"/>
      <c r="D828" s="33"/>
      <c r="E828" s="33"/>
      <c r="F828" s="33"/>
      <c r="G828" s="33"/>
      <c r="H828" s="33"/>
      <c r="I828" s="33"/>
      <c r="J828" s="33"/>
      <c r="K828" s="33"/>
      <c r="L828" s="33"/>
      <c r="M828" s="33"/>
      <c r="N828" s="33"/>
      <c r="O828" s="33"/>
      <c r="P828" s="33"/>
      <c r="Q828" s="33"/>
      <c r="R828" s="33"/>
    </row>
    <row r="829">
      <c r="A829" s="33"/>
      <c r="B829" s="33"/>
      <c r="C829" s="33"/>
      <c r="D829" s="33"/>
      <c r="E829" s="33"/>
      <c r="F829" s="33"/>
      <c r="G829" s="33"/>
      <c r="H829" s="33"/>
      <c r="I829" s="33"/>
      <c r="J829" s="33"/>
      <c r="K829" s="33"/>
      <c r="L829" s="33"/>
      <c r="M829" s="33"/>
      <c r="N829" s="33"/>
      <c r="O829" s="33"/>
      <c r="P829" s="33"/>
      <c r="Q829" s="33"/>
      <c r="R829" s="33"/>
    </row>
    <row r="830">
      <c r="A830" s="33"/>
      <c r="B830" s="33"/>
      <c r="C830" s="33"/>
      <c r="D830" s="33"/>
      <c r="E830" s="33"/>
      <c r="F830" s="33"/>
      <c r="G830" s="33"/>
      <c r="H830" s="33"/>
      <c r="I830" s="33"/>
      <c r="J830" s="33"/>
      <c r="K830" s="33"/>
      <c r="L830" s="33"/>
      <c r="M830" s="33"/>
      <c r="N830" s="33"/>
      <c r="O830" s="33"/>
      <c r="P830" s="33"/>
      <c r="Q830" s="33"/>
      <c r="R830" s="33"/>
    </row>
    <row r="831">
      <c r="A831" s="33"/>
      <c r="B831" s="33"/>
      <c r="C831" s="33"/>
      <c r="D831" s="33"/>
      <c r="E831" s="33"/>
      <c r="F831" s="33"/>
      <c r="G831" s="33"/>
      <c r="H831" s="33"/>
      <c r="I831" s="33"/>
      <c r="J831" s="33"/>
      <c r="K831" s="33"/>
      <c r="L831" s="33"/>
      <c r="M831" s="33"/>
      <c r="N831" s="33"/>
      <c r="O831" s="33"/>
      <c r="P831" s="33"/>
      <c r="Q831" s="33"/>
      <c r="R831" s="33"/>
    </row>
    <row r="832">
      <c r="A832" s="33"/>
      <c r="B832" s="33"/>
      <c r="C832" s="33"/>
      <c r="D832" s="33"/>
      <c r="E832" s="33"/>
      <c r="F832" s="33"/>
      <c r="G832" s="33"/>
      <c r="H832" s="33"/>
      <c r="I832" s="33"/>
      <c r="J832" s="33"/>
      <c r="K832" s="33"/>
      <c r="L832" s="33"/>
      <c r="M832" s="33"/>
      <c r="N832" s="33"/>
      <c r="O832" s="33"/>
      <c r="P832" s="33"/>
      <c r="Q832" s="33"/>
      <c r="R832" s="33"/>
    </row>
    <row r="833">
      <c r="A833" s="33"/>
      <c r="B833" s="33"/>
      <c r="C833" s="33"/>
      <c r="D833" s="33"/>
      <c r="E833" s="33"/>
      <c r="F833" s="33"/>
      <c r="G833" s="33"/>
      <c r="H833" s="33"/>
      <c r="I833" s="33"/>
      <c r="J833" s="33"/>
      <c r="K833" s="33"/>
      <c r="L833" s="33"/>
      <c r="M833" s="33"/>
      <c r="N833" s="33"/>
      <c r="O833" s="33"/>
      <c r="P833" s="33"/>
      <c r="Q833" s="33"/>
      <c r="R833" s="33"/>
    </row>
    <row r="834">
      <c r="A834" s="33"/>
      <c r="B834" s="33"/>
      <c r="C834" s="33"/>
      <c r="D834" s="33"/>
      <c r="E834" s="33"/>
      <c r="F834" s="33"/>
      <c r="G834" s="33"/>
      <c r="H834" s="33"/>
      <c r="I834" s="33"/>
      <c r="J834" s="33"/>
      <c r="K834" s="33"/>
      <c r="L834" s="33"/>
      <c r="M834" s="33"/>
      <c r="N834" s="33"/>
      <c r="O834" s="33"/>
      <c r="P834" s="33"/>
      <c r="Q834" s="33"/>
      <c r="R834" s="33"/>
    </row>
    <row r="835">
      <c r="A835" s="33"/>
      <c r="B835" s="33"/>
      <c r="C835" s="33"/>
      <c r="D835" s="33"/>
      <c r="E835" s="33"/>
      <c r="F835" s="33"/>
      <c r="G835" s="33"/>
      <c r="H835" s="33"/>
      <c r="I835" s="33"/>
      <c r="J835" s="33"/>
      <c r="K835" s="33"/>
      <c r="L835" s="33"/>
      <c r="M835" s="33"/>
      <c r="N835" s="33"/>
      <c r="O835" s="33"/>
      <c r="P835" s="33"/>
      <c r="Q835" s="33"/>
      <c r="R835" s="33"/>
    </row>
    <row r="836">
      <c r="A836" s="33"/>
      <c r="B836" s="33"/>
      <c r="C836" s="33"/>
      <c r="D836" s="33"/>
      <c r="E836" s="33"/>
      <c r="F836" s="33"/>
      <c r="G836" s="33"/>
      <c r="H836" s="33"/>
      <c r="I836" s="33"/>
      <c r="J836" s="33"/>
      <c r="K836" s="33"/>
      <c r="L836" s="33"/>
      <c r="M836" s="33"/>
      <c r="N836" s="33"/>
      <c r="O836" s="33"/>
      <c r="P836" s="33"/>
      <c r="Q836" s="33"/>
      <c r="R836" s="33"/>
    </row>
    <row r="837">
      <c r="A837" s="33"/>
      <c r="B837" s="33"/>
      <c r="C837" s="33"/>
      <c r="D837" s="33"/>
      <c r="E837" s="33"/>
      <c r="F837" s="33"/>
      <c r="G837" s="33"/>
      <c r="H837" s="33"/>
      <c r="I837" s="33"/>
      <c r="J837" s="33"/>
      <c r="K837" s="33"/>
      <c r="L837" s="33"/>
      <c r="M837" s="33"/>
      <c r="N837" s="33"/>
      <c r="O837" s="33"/>
      <c r="P837" s="33"/>
      <c r="Q837" s="33"/>
      <c r="R837" s="33"/>
    </row>
    <row r="838">
      <c r="A838" s="33"/>
      <c r="B838" s="33"/>
      <c r="C838" s="33"/>
      <c r="D838" s="33"/>
      <c r="E838" s="33"/>
      <c r="F838" s="33"/>
      <c r="G838" s="33"/>
      <c r="H838" s="33"/>
      <c r="I838" s="33"/>
      <c r="J838" s="33"/>
      <c r="K838" s="33"/>
      <c r="L838" s="33"/>
      <c r="M838" s="33"/>
      <c r="N838" s="33"/>
      <c r="O838" s="33"/>
      <c r="P838" s="33"/>
      <c r="Q838" s="33"/>
      <c r="R838" s="33"/>
    </row>
    <row r="839">
      <c r="A839" s="33"/>
      <c r="B839" s="33"/>
      <c r="C839" s="33"/>
      <c r="D839" s="33"/>
      <c r="E839" s="33"/>
      <c r="F839" s="33"/>
      <c r="G839" s="33"/>
      <c r="H839" s="33"/>
      <c r="I839" s="33"/>
      <c r="J839" s="33"/>
      <c r="K839" s="33"/>
      <c r="L839" s="33"/>
      <c r="M839" s="33"/>
      <c r="N839" s="33"/>
      <c r="O839" s="33"/>
      <c r="P839" s="33"/>
      <c r="Q839" s="33"/>
      <c r="R839" s="33"/>
    </row>
    <row r="840">
      <c r="A840" s="33"/>
      <c r="B840" s="33"/>
      <c r="C840" s="33"/>
      <c r="D840" s="33"/>
      <c r="E840" s="33"/>
      <c r="F840" s="33"/>
      <c r="G840" s="33"/>
      <c r="H840" s="33"/>
      <c r="I840" s="33"/>
      <c r="J840" s="33"/>
      <c r="K840" s="33"/>
      <c r="L840" s="33"/>
      <c r="M840" s="33"/>
      <c r="N840" s="33"/>
      <c r="O840" s="33"/>
      <c r="P840" s="33"/>
      <c r="Q840" s="33"/>
      <c r="R840" s="33"/>
    </row>
    <row r="841">
      <c r="A841" s="33"/>
      <c r="B841" s="33"/>
      <c r="C841" s="33"/>
      <c r="D841" s="33"/>
      <c r="E841" s="33"/>
      <c r="F841" s="33"/>
      <c r="G841" s="33"/>
      <c r="H841" s="33"/>
      <c r="I841" s="33"/>
      <c r="J841" s="33"/>
      <c r="K841" s="33"/>
      <c r="L841" s="33"/>
      <c r="M841" s="33"/>
      <c r="N841" s="33"/>
      <c r="O841" s="33"/>
      <c r="P841" s="33"/>
      <c r="Q841" s="33"/>
      <c r="R841" s="33"/>
    </row>
    <row r="842">
      <c r="A842" s="33"/>
      <c r="B842" s="33"/>
      <c r="C842" s="33"/>
      <c r="D842" s="33"/>
      <c r="E842" s="33"/>
      <c r="F842" s="33"/>
      <c r="G842" s="33"/>
      <c r="H842" s="33"/>
      <c r="I842" s="33"/>
      <c r="J842" s="33"/>
      <c r="K842" s="33"/>
      <c r="L842" s="33"/>
      <c r="M842" s="33"/>
      <c r="N842" s="33"/>
      <c r="O842" s="33"/>
      <c r="P842" s="33"/>
      <c r="Q842" s="33"/>
      <c r="R842" s="33"/>
    </row>
    <row r="843">
      <c r="A843" s="33"/>
      <c r="B843" s="33"/>
      <c r="C843" s="33"/>
      <c r="D843" s="33"/>
      <c r="E843" s="33"/>
      <c r="F843" s="33"/>
      <c r="G843" s="33"/>
      <c r="H843" s="33"/>
      <c r="I843" s="33"/>
      <c r="J843" s="33"/>
      <c r="K843" s="33"/>
      <c r="L843" s="33"/>
      <c r="M843" s="33"/>
      <c r="N843" s="33"/>
      <c r="O843" s="33"/>
      <c r="P843" s="33"/>
      <c r="Q843" s="33"/>
      <c r="R843" s="33"/>
    </row>
    <row r="844">
      <c r="A844" s="33"/>
      <c r="B844" s="33"/>
      <c r="C844" s="33"/>
      <c r="D844" s="33"/>
      <c r="E844" s="33"/>
      <c r="F844" s="33"/>
      <c r="G844" s="33"/>
      <c r="H844" s="33"/>
      <c r="I844" s="33"/>
      <c r="J844" s="33"/>
      <c r="K844" s="33"/>
      <c r="L844" s="33"/>
      <c r="M844" s="33"/>
      <c r="N844" s="33"/>
      <c r="O844" s="33"/>
      <c r="P844" s="33"/>
      <c r="Q844" s="33"/>
      <c r="R844" s="33"/>
    </row>
    <row r="845">
      <c r="A845" s="33"/>
      <c r="B845" s="33"/>
      <c r="C845" s="33"/>
      <c r="D845" s="33"/>
      <c r="E845" s="33"/>
      <c r="F845" s="33"/>
      <c r="G845" s="33"/>
      <c r="H845" s="33"/>
      <c r="I845" s="33"/>
      <c r="J845" s="33"/>
      <c r="K845" s="33"/>
      <c r="L845" s="33"/>
      <c r="M845" s="33"/>
      <c r="N845" s="33"/>
      <c r="O845" s="33"/>
      <c r="P845" s="33"/>
      <c r="Q845" s="33"/>
      <c r="R845" s="33"/>
    </row>
    <row r="846">
      <c r="A846" s="33"/>
      <c r="B846" s="33"/>
      <c r="C846" s="33"/>
      <c r="D846" s="33"/>
      <c r="E846" s="33"/>
      <c r="F846" s="33"/>
      <c r="G846" s="33"/>
      <c r="H846" s="33"/>
      <c r="I846" s="33"/>
      <c r="J846" s="33"/>
      <c r="K846" s="33"/>
      <c r="L846" s="33"/>
      <c r="M846" s="33"/>
      <c r="N846" s="33"/>
      <c r="O846" s="33"/>
      <c r="P846" s="33"/>
      <c r="Q846" s="33"/>
      <c r="R846" s="33"/>
    </row>
    <row r="847">
      <c r="A847" s="33"/>
      <c r="B847" s="33"/>
      <c r="C847" s="33"/>
      <c r="D847" s="33"/>
      <c r="E847" s="33"/>
      <c r="F847" s="33"/>
      <c r="G847" s="33"/>
      <c r="H847" s="33"/>
      <c r="I847" s="33"/>
      <c r="J847" s="33"/>
      <c r="K847" s="33"/>
      <c r="L847" s="33"/>
      <c r="M847" s="33"/>
      <c r="N847" s="33"/>
      <c r="O847" s="33"/>
      <c r="P847" s="33"/>
      <c r="Q847" s="33"/>
      <c r="R847" s="33"/>
    </row>
    <row r="848">
      <c r="A848" s="33"/>
      <c r="B848" s="33"/>
      <c r="C848" s="33"/>
      <c r="D848" s="33"/>
      <c r="E848" s="33"/>
      <c r="F848" s="33"/>
      <c r="G848" s="33"/>
      <c r="H848" s="33"/>
      <c r="I848" s="33"/>
      <c r="J848" s="33"/>
      <c r="K848" s="33"/>
      <c r="L848" s="33"/>
      <c r="M848" s="33"/>
      <c r="N848" s="33"/>
      <c r="O848" s="33"/>
      <c r="P848" s="33"/>
      <c r="Q848" s="33"/>
      <c r="R848" s="33"/>
    </row>
    <row r="849">
      <c r="A849" s="33"/>
      <c r="B849" s="33"/>
      <c r="C849" s="33"/>
      <c r="D849" s="33"/>
      <c r="E849" s="33"/>
      <c r="F849" s="33"/>
      <c r="G849" s="33"/>
      <c r="H849" s="33"/>
      <c r="I849" s="33"/>
      <c r="J849" s="33"/>
      <c r="K849" s="33"/>
      <c r="L849" s="33"/>
      <c r="M849" s="33"/>
      <c r="N849" s="33"/>
      <c r="O849" s="33"/>
      <c r="P849" s="33"/>
      <c r="Q849" s="33"/>
      <c r="R849" s="33"/>
    </row>
    <row r="850">
      <c r="A850" s="33"/>
      <c r="B850" s="33"/>
      <c r="C850" s="33"/>
      <c r="D850" s="33"/>
      <c r="E850" s="33"/>
      <c r="F850" s="33"/>
      <c r="G850" s="33"/>
      <c r="H850" s="33"/>
      <c r="I850" s="33"/>
      <c r="J850" s="33"/>
      <c r="K850" s="33"/>
      <c r="L850" s="33"/>
      <c r="M850" s="33"/>
      <c r="N850" s="33"/>
      <c r="O850" s="33"/>
      <c r="P850" s="33"/>
      <c r="Q850" s="33"/>
      <c r="R850" s="33"/>
    </row>
    <row r="851">
      <c r="A851" s="33"/>
      <c r="B851" s="33"/>
      <c r="C851" s="33"/>
      <c r="D851" s="33"/>
      <c r="E851" s="33"/>
      <c r="F851" s="33"/>
      <c r="G851" s="33"/>
      <c r="H851" s="33"/>
      <c r="I851" s="33"/>
      <c r="J851" s="33"/>
      <c r="K851" s="33"/>
      <c r="L851" s="33"/>
      <c r="M851" s="33"/>
      <c r="N851" s="33"/>
      <c r="O851" s="33"/>
      <c r="P851" s="33"/>
      <c r="Q851" s="33"/>
      <c r="R851" s="33"/>
    </row>
    <row r="852">
      <c r="A852" s="33"/>
      <c r="B852" s="33"/>
      <c r="C852" s="33"/>
      <c r="D852" s="33"/>
      <c r="E852" s="33"/>
      <c r="F852" s="33"/>
      <c r="G852" s="33"/>
      <c r="H852" s="33"/>
      <c r="I852" s="33"/>
      <c r="J852" s="33"/>
      <c r="K852" s="33"/>
      <c r="L852" s="33"/>
      <c r="M852" s="33"/>
      <c r="N852" s="33"/>
      <c r="O852" s="33"/>
      <c r="P852" s="33"/>
      <c r="Q852" s="33"/>
      <c r="R852" s="33"/>
    </row>
    <row r="853">
      <c r="A853" s="33"/>
      <c r="B853" s="33"/>
      <c r="C853" s="33"/>
      <c r="D853" s="33"/>
      <c r="E853" s="33"/>
      <c r="F853" s="33"/>
      <c r="G853" s="33"/>
      <c r="H853" s="33"/>
      <c r="I853" s="33"/>
      <c r="J853" s="33"/>
      <c r="K853" s="33"/>
      <c r="L853" s="33"/>
      <c r="M853" s="33"/>
      <c r="N853" s="33"/>
      <c r="O853" s="33"/>
      <c r="P853" s="33"/>
      <c r="Q853" s="33"/>
      <c r="R853" s="33"/>
    </row>
    <row r="854">
      <c r="A854" s="33"/>
      <c r="B854" s="33"/>
      <c r="C854" s="33"/>
      <c r="D854" s="33"/>
      <c r="E854" s="33"/>
      <c r="F854" s="33"/>
      <c r="G854" s="33"/>
      <c r="H854" s="33"/>
      <c r="I854" s="33"/>
      <c r="J854" s="33"/>
      <c r="K854" s="33"/>
      <c r="L854" s="33"/>
      <c r="M854" s="33"/>
      <c r="N854" s="33"/>
      <c r="O854" s="33"/>
      <c r="P854" s="33"/>
      <c r="Q854" s="33"/>
      <c r="R854" s="33"/>
    </row>
    <row r="855">
      <c r="A855" s="33"/>
      <c r="B855" s="33"/>
      <c r="C855" s="33"/>
      <c r="D855" s="33"/>
      <c r="E855" s="33"/>
      <c r="F855" s="33"/>
      <c r="G855" s="33"/>
      <c r="H855" s="33"/>
      <c r="I855" s="33"/>
      <c r="J855" s="33"/>
      <c r="K855" s="33"/>
      <c r="L855" s="33"/>
      <c r="M855" s="33"/>
      <c r="N855" s="33"/>
      <c r="O855" s="33"/>
      <c r="P855" s="33"/>
      <c r="Q855" s="33"/>
      <c r="R855" s="33"/>
    </row>
    <row r="856">
      <c r="A856" s="33"/>
      <c r="B856" s="33"/>
      <c r="C856" s="33"/>
      <c r="D856" s="33"/>
      <c r="E856" s="33"/>
      <c r="F856" s="33"/>
      <c r="G856" s="33"/>
      <c r="H856" s="33"/>
      <c r="I856" s="33"/>
      <c r="J856" s="33"/>
      <c r="K856" s="33"/>
      <c r="L856" s="33"/>
      <c r="M856" s="33"/>
      <c r="N856" s="33"/>
      <c r="O856" s="33"/>
      <c r="P856" s="33"/>
      <c r="Q856" s="33"/>
      <c r="R856" s="33"/>
    </row>
    <row r="857">
      <c r="A857" s="33"/>
      <c r="B857" s="33"/>
      <c r="C857" s="33"/>
      <c r="D857" s="33"/>
      <c r="E857" s="33"/>
      <c r="F857" s="33"/>
      <c r="G857" s="33"/>
      <c r="H857" s="33"/>
      <c r="I857" s="33"/>
      <c r="J857" s="33"/>
      <c r="K857" s="33"/>
      <c r="L857" s="33"/>
      <c r="M857" s="33"/>
      <c r="N857" s="33"/>
      <c r="O857" s="33"/>
      <c r="P857" s="33"/>
      <c r="Q857" s="33"/>
      <c r="R857" s="33"/>
    </row>
    <row r="858">
      <c r="A858" s="33"/>
      <c r="B858" s="33"/>
      <c r="C858" s="33"/>
      <c r="D858" s="33"/>
      <c r="E858" s="33"/>
      <c r="F858" s="33"/>
      <c r="G858" s="33"/>
      <c r="H858" s="33"/>
      <c r="I858" s="33"/>
      <c r="J858" s="33"/>
      <c r="K858" s="33"/>
      <c r="L858" s="33"/>
      <c r="M858" s="33"/>
      <c r="N858" s="33"/>
      <c r="O858" s="33"/>
      <c r="P858" s="33"/>
      <c r="Q858" s="33"/>
      <c r="R858" s="33"/>
    </row>
    <row r="859">
      <c r="A859" s="33"/>
      <c r="B859" s="33"/>
      <c r="C859" s="33"/>
      <c r="D859" s="33"/>
      <c r="E859" s="33"/>
      <c r="F859" s="33"/>
      <c r="G859" s="33"/>
      <c r="H859" s="33"/>
      <c r="I859" s="33"/>
      <c r="J859" s="33"/>
      <c r="K859" s="33"/>
      <c r="L859" s="33"/>
      <c r="M859" s="33"/>
      <c r="N859" s="33"/>
      <c r="O859" s="33"/>
      <c r="P859" s="33"/>
      <c r="Q859" s="33"/>
      <c r="R859" s="33"/>
    </row>
    <row r="860">
      <c r="A860" s="33"/>
      <c r="B860" s="33"/>
      <c r="C860" s="33"/>
      <c r="D860" s="33"/>
      <c r="E860" s="33"/>
      <c r="F860" s="33"/>
      <c r="G860" s="33"/>
      <c r="H860" s="33"/>
      <c r="I860" s="33"/>
      <c r="J860" s="33"/>
      <c r="K860" s="33"/>
      <c r="L860" s="33"/>
      <c r="M860" s="33"/>
      <c r="N860" s="33"/>
      <c r="O860" s="33"/>
      <c r="P860" s="33"/>
      <c r="Q860" s="33"/>
      <c r="R860" s="33"/>
    </row>
    <row r="861">
      <c r="A861" s="33"/>
      <c r="B861" s="33"/>
      <c r="C861" s="33"/>
      <c r="D861" s="33"/>
      <c r="E861" s="33"/>
      <c r="F861" s="33"/>
      <c r="G861" s="33"/>
      <c r="H861" s="33"/>
      <c r="I861" s="33"/>
      <c r="J861" s="33"/>
      <c r="K861" s="33"/>
      <c r="L861" s="33"/>
      <c r="M861" s="33"/>
      <c r="N861" s="33"/>
      <c r="O861" s="33"/>
      <c r="P861" s="33"/>
      <c r="Q861" s="33"/>
      <c r="R861" s="33"/>
    </row>
    <row r="862">
      <c r="A862" s="33"/>
      <c r="B862" s="33"/>
      <c r="C862" s="33"/>
      <c r="D862" s="33"/>
      <c r="E862" s="33"/>
      <c r="F862" s="33"/>
      <c r="G862" s="33"/>
      <c r="H862" s="33"/>
      <c r="I862" s="33"/>
      <c r="J862" s="33"/>
      <c r="K862" s="33"/>
      <c r="L862" s="33"/>
      <c r="M862" s="33"/>
      <c r="N862" s="33"/>
      <c r="O862" s="33"/>
      <c r="P862" s="33"/>
      <c r="Q862" s="33"/>
      <c r="R862" s="33"/>
    </row>
    <row r="863">
      <c r="A863" s="33"/>
      <c r="B863" s="33"/>
      <c r="C863" s="33"/>
      <c r="D863" s="33"/>
      <c r="E863" s="33"/>
      <c r="F863" s="33"/>
      <c r="G863" s="33"/>
      <c r="H863" s="33"/>
      <c r="I863" s="33"/>
      <c r="J863" s="33"/>
      <c r="K863" s="33"/>
      <c r="L863" s="33"/>
      <c r="M863" s="33"/>
      <c r="N863" s="33"/>
      <c r="O863" s="33"/>
      <c r="P863" s="33"/>
      <c r="Q863" s="33"/>
      <c r="R863" s="33"/>
    </row>
    <row r="864">
      <c r="A864" s="33"/>
      <c r="B864" s="33"/>
      <c r="C864" s="33"/>
      <c r="D864" s="33"/>
      <c r="E864" s="33"/>
      <c r="F864" s="33"/>
      <c r="G864" s="33"/>
      <c r="H864" s="33"/>
      <c r="I864" s="33"/>
      <c r="J864" s="33"/>
      <c r="K864" s="33"/>
      <c r="L864" s="33"/>
      <c r="M864" s="33"/>
      <c r="N864" s="33"/>
      <c r="O864" s="33"/>
      <c r="P864" s="33"/>
      <c r="Q864" s="33"/>
      <c r="R864" s="33"/>
    </row>
    <row r="865">
      <c r="A865" s="33"/>
      <c r="B865" s="33"/>
      <c r="C865" s="33"/>
      <c r="D865" s="33"/>
      <c r="E865" s="33"/>
      <c r="F865" s="33"/>
      <c r="G865" s="33"/>
      <c r="H865" s="33"/>
      <c r="I865" s="33"/>
      <c r="J865" s="33"/>
      <c r="K865" s="33"/>
      <c r="L865" s="33"/>
      <c r="M865" s="33"/>
      <c r="N865" s="33"/>
      <c r="O865" s="33"/>
      <c r="P865" s="33"/>
      <c r="Q865" s="33"/>
      <c r="R865" s="33"/>
    </row>
    <row r="866">
      <c r="A866" s="33"/>
      <c r="B866" s="33"/>
      <c r="C866" s="33"/>
      <c r="D866" s="33"/>
      <c r="E866" s="33"/>
      <c r="F866" s="33"/>
      <c r="G866" s="33"/>
      <c r="H866" s="33"/>
      <c r="I866" s="33"/>
      <c r="J866" s="33"/>
      <c r="K866" s="33"/>
      <c r="L866" s="33"/>
      <c r="M866" s="33"/>
      <c r="N866" s="33"/>
      <c r="O866" s="33"/>
      <c r="P866" s="33"/>
      <c r="Q866" s="33"/>
      <c r="R866" s="33"/>
    </row>
    <row r="867">
      <c r="A867" s="33"/>
      <c r="B867" s="33"/>
      <c r="C867" s="33"/>
      <c r="D867" s="33"/>
      <c r="E867" s="33"/>
      <c r="F867" s="33"/>
      <c r="G867" s="33"/>
      <c r="H867" s="33"/>
      <c r="I867" s="33"/>
      <c r="J867" s="33"/>
      <c r="K867" s="33"/>
      <c r="L867" s="33"/>
      <c r="M867" s="33"/>
      <c r="N867" s="33"/>
      <c r="O867" s="33"/>
      <c r="P867" s="33"/>
      <c r="Q867" s="33"/>
      <c r="R867" s="33"/>
    </row>
    <row r="868">
      <c r="A868" s="33"/>
      <c r="B868" s="33"/>
      <c r="C868" s="33"/>
      <c r="D868" s="33"/>
      <c r="E868" s="33"/>
      <c r="F868" s="33"/>
      <c r="G868" s="33"/>
      <c r="H868" s="33"/>
      <c r="I868" s="33"/>
      <c r="J868" s="33"/>
      <c r="K868" s="33"/>
      <c r="L868" s="33"/>
      <c r="M868" s="33"/>
      <c r="N868" s="33"/>
      <c r="O868" s="33"/>
      <c r="P868" s="33"/>
      <c r="Q868" s="33"/>
      <c r="R868" s="33"/>
    </row>
    <row r="869">
      <c r="A869" s="33"/>
      <c r="B869" s="33"/>
      <c r="C869" s="33"/>
      <c r="D869" s="33"/>
      <c r="E869" s="33"/>
      <c r="F869" s="33"/>
      <c r="G869" s="33"/>
      <c r="H869" s="33"/>
      <c r="I869" s="33"/>
      <c r="J869" s="33"/>
      <c r="K869" s="33"/>
      <c r="L869" s="33"/>
      <c r="M869" s="33"/>
      <c r="N869" s="33"/>
      <c r="O869" s="33"/>
      <c r="P869" s="33"/>
      <c r="Q869" s="33"/>
      <c r="R869" s="33"/>
    </row>
    <row r="870">
      <c r="A870" s="33"/>
      <c r="B870" s="33"/>
      <c r="C870" s="33"/>
      <c r="D870" s="33"/>
      <c r="E870" s="33"/>
      <c r="F870" s="33"/>
      <c r="G870" s="33"/>
      <c r="H870" s="33"/>
      <c r="I870" s="33"/>
      <c r="J870" s="33"/>
      <c r="K870" s="33"/>
      <c r="L870" s="33"/>
      <c r="M870" s="33"/>
      <c r="N870" s="33"/>
      <c r="O870" s="33"/>
      <c r="P870" s="33"/>
      <c r="Q870" s="33"/>
      <c r="R870" s="33"/>
    </row>
    <row r="871">
      <c r="A871" s="33"/>
      <c r="B871" s="33"/>
      <c r="C871" s="33"/>
      <c r="D871" s="33"/>
      <c r="E871" s="33"/>
      <c r="F871" s="33"/>
      <c r="G871" s="33"/>
      <c r="H871" s="33"/>
      <c r="I871" s="33"/>
      <c r="J871" s="33"/>
      <c r="K871" s="33"/>
      <c r="L871" s="33"/>
      <c r="M871" s="33"/>
      <c r="N871" s="33"/>
      <c r="O871" s="33"/>
      <c r="P871" s="33"/>
      <c r="Q871" s="33"/>
      <c r="R871" s="33"/>
    </row>
    <row r="872">
      <c r="A872" s="33"/>
      <c r="B872" s="33"/>
      <c r="C872" s="33"/>
      <c r="D872" s="33"/>
      <c r="E872" s="33"/>
      <c r="F872" s="33"/>
      <c r="G872" s="33"/>
      <c r="H872" s="33"/>
      <c r="I872" s="33"/>
      <c r="J872" s="33"/>
      <c r="K872" s="33"/>
      <c r="L872" s="33"/>
      <c r="M872" s="33"/>
      <c r="N872" s="33"/>
      <c r="O872" s="33"/>
      <c r="P872" s="33"/>
      <c r="Q872" s="33"/>
      <c r="R872" s="33"/>
    </row>
    <row r="873">
      <c r="A873" s="33"/>
      <c r="B873" s="33"/>
      <c r="C873" s="33"/>
      <c r="D873" s="33"/>
      <c r="E873" s="33"/>
      <c r="F873" s="33"/>
      <c r="G873" s="33"/>
      <c r="H873" s="33"/>
      <c r="I873" s="33"/>
      <c r="J873" s="33"/>
      <c r="K873" s="33"/>
      <c r="L873" s="33"/>
      <c r="M873" s="33"/>
      <c r="N873" s="33"/>
      <c r="O873" s="33"/>
      <c r="P873" s="33"/>
      <c r="Q873" s="33"/>
      <c r="R873" s="33"/>
    </row>
    <row r="874">
      <c r="A874" s="33"/>
      <c r="B874" s="33"/>
      <c r="C874" s="33"/>
      <c r="D874" s="33"/>
      <c r="E874" s="33"/>
      <c r="F874" s="33"/>
      <c r="G874" s="33"/>
      <c r="H874" s="33"/>
      <c r="I874" s="33"/>
      <c r="J874" s="33"/>
      <c r="K874" s="33"/>
      <c r="L874" s="33"/>
      <c r="M874" s="33"/>
      <c r="N874" s="33"/>
      <c r="O874" s="33"/>
      <c r="P874" s="33"/>
      <c r="Q874" s="33"/>
      <c r="R874" s="33"/>
    </row>
    <row r="875">
      <c r="A875" s="33"/>
      <c r="B875" s="33"/>
      <c r="C875" s="33"/>
      <c r="D875" s="33"/>
      <c r="E875" s="33"/>
      <c r="F875" s="33"/>
      <c r="G875" s="33"/>
      <c r="H875" s="33"/>
      <c r="I875" s="33"/>
      <c r="J875" s="33"/>
      <c r="K875" s="33"/>
      <c r="L875" s="33"/>
      <c r="M875" s="33"/>
      <c r="N875" s="33"/>
      <c r="O875" s="33"/>
      <c r="P875" s="33"/>
      <c r="Q875" s="33"/>
      <c r="R875" s="33"/>
    </row>
    <row r="876">
      <c r="A876" s="33"/>
      <c r="B876" s="33"/>
      <c r="C876" s="33"/>
      <c r="D876" s="33"/>
      <c r="E876" s="33"/>
      <c r="F876" s="33"/>
      <c r="G876" s="33"/>
      <c r="H876" s="33"/>
      <c r="I876" s="33"/>
      <c r="J876" s="33"/>
      <c r="K876" s="33"/>
      <c r="L876" s="33"/>
      <c r="M876" s="33"/>
      <c r="N876" s="33"/>
      <c r="O876" s="33"/>
      <c r="P876" s="33"/>
      <c r="Q876" s="33"/>
      <c r="R876" s="33"/>
    </row>
    <row r="877">
      <c r="A877" s="33"/>
      <c r="B877" s="33"/>
      <c r="C877" s="33"/>
      <c r="D877" s="33"/>
      <c r="E877" s="33"/>
      <c r="F877" s="33"/>
      <c r="G877" s="33"/>
      <c r="H877" s="33"/>
      <c r="I877" s="33"/>
      <c r="J877" s="33"/>
      <c r="K877" s="33"/>
      <c r="L877" s="33"/>
      <c r="M877" s="33"/>
      <c r="N877" s="33"/>
      <c r="O877" s="33"/>
      <c r="P877" s="33"/>
      <c r="Q877" s="33"/>
      <c r="R877" s="33"/>
    </row>
    <row r="878">
      <c r="A878" s="33"/>
      <c r="B878" s="33"/>
      <c r="C878" s="33"/>
      <c r="D878" s="33"/>
      <c r="E878" s="33"/>
      <c r="F878" s="33"/>
      <c r="G878" s="33"/>
      <c r="H878" s="33"/>
      <c r="I878" s="33"/>
      <c r="J878" s="33"/>
      <c r="K878" s="33"/>
      <c r="L878" s="33"/>
      <c r="M878" s="33"/>
      <c r="N878" s="33"/>
      <c r="O878" s="33"/>
      <c r="P878" s="33"/>
      <c r="Q878" s="33"/>
      <c r="R878" s="33"/>
    </row>
    <row r="879">
      <c r="A879" s="33"/>
      <c r="B879" s="33"/>
      <c r="C879" s="33"/>
      <c r="D879" s="33"/>
      <c r="E879" s="33"/>
      <c r="F879" s="33"/>
      <c r="G879" s="33"/>
      <c r="H879" s="33"/>
      <c r="I879" s="33"/>
      <c r="J879" s="33"/>
      <c r="K879" s="33"/>
      <c r="L879" s="33"/>
      <c r="M879" s="33"/>
      <c r="N879" s="33"/>
      <c r="O879" s="33"/>
      <c r="P879" s="33"/>
      <c r="Q879" s="33"/>
      <c r="R879" s="33"/>
    </row>
    <row r="880">
      <c r="A880" s="33"/>
      <c r="B880" s="33"/>
      <c r="C880" s="33"/>
      <c r="D880" s="33"/>
      <c r="E880" s="33"/>
      <c r="F880" s="33"/>
      <c r="G880" s="33"/>
      <c r="H880" s="33"/>
      <c r="I880" s="33"/>
      <c r="J880" s="33"/>
      <c r="K880" s="33"/>
      <c r="L880" s="33"/>
      <c r="M880" s="33"/>
      <c r="N880" s="33"/>
      <c r="O880" s="33"/>
      <c r="P880" s="33"/>
      <c r="Q880" s="33"/>
      <c r="R880" s="33"/>
    </row>
    <row r="881">
      <c r="A881" s="33"/>
      <c r="B881" s="33"/>
      <c r="C881" s="33"/>
      <c r="D881" s="33"/>
      <c r="E881" s="33"/>
      <c r="F881" s="33"/>
      <c r="G881" s="33"/>
      <c r="H881" s="33"/>
      <c r="I881" s="33"/>
      <c r="J881" s="33"/>
      <c r="K881" s="33"/>
      <c r="L881" s="33"/>
      <c r="M881" s="33"/>
      <c r="N881" s="33"/>
      <c r="O881" s="33"/>
      <c r="P881" s="33"/>
      <c r="Q881" s="33"/>
      <c r="R881" s="33"/>
    </row>
    <row r="882">
      <c r="A882" s="33"/>
      <c r="B882" s="33"/>
      <c r="C882" s="33"/>
      <c r="D882" s="33"/>
      <c r="E882" s="33"/>
      <c r="F882" s="33"/>
      <c r="G882" s="33"/>
      <c r="H882" s="33"/>
      <c r="I882" s="33"/>
      <c r="J882" s="33"/>
      <c r="K882" s="33"/>
      <c r="L882" s="33"/>
      <c r="M882" s="33"/>
      <c r="N882" s="33"/>
      <c r="O882" s="33"/>
      <c r="P882" s="33"/>
      <c r="Q882" s="33"/>
      <c r="R882" s="33"/>
    </row>
    <row r="883">
      <c r="A883" s="33"/>
      <c r="B883" s="33"/>
      <c r="C883" s="33"/>
      <c r="D883" s="33"/>
      <c r="E883" s="33"/>
      <c r="F883" s="33"/>
      <c r="G883" s="33"/>
      <c r="H883" s="33"/>
      <c r="I883" s="33"/>
      <c r="J883" s="33"/>
      <c r="K883" s="33"/>
      <c r="L883" s="33"/>
      <c r="M883" s="33"/>
      <c r="N883" s="33"/>
      <c r="O883" s="33"/>
      <c r="P883" s="33"/>
      <c r="Q883" s="33"/>
      <c r="R883" s="33"/>
    </row>
    <row r="884">
      <c r="A884" s="33"/>
      <c r="B884" s="33"/>
      <c r="C884" s="33"/>
      <c r="D884" s="33"/>
      <c r="E884" s="33"/>
      <c r="F884" s="33"/>
      <c r="G884" s="33"/>
      <c r="H884" s="33"/>
      <c r="I884" s="33"/>
      <c r="J884" s="33"/>
      <c r="K884" s="33"/>
      <c r="L884" s="33"/>
      <c r="M884" s="33"/>
      <c r="N884" s="33"/>
      <c r="O884" s="33"/>
      <c r="P884" s="33"/>
      <c r="Q884" s="33"/>
      <c r="R884" s="33"/>
    </row>
    <row r="885">
      <c r="A885" s="33"/>
      <c r="B885" s="33"/>
      <c r="C885" s="33"/>
      <c r="D885" s="33"/>
      <c r="E885" s="33"/>
      <c r="F885" s="33"/>
      <c r="G885" s="33"/>
      <c r="H885" s="33"/>
      <c r="I885" s="33"/>
      <c r="J885" s="33"/>
      <c r="K885" s="33"/>
      <c r="L885" s="33"/>
      <c r="M885" s="33"/>
      <c r="N885" s="33"/>
      <c r="O885" s="33"/>
      <c r="P885" s="33"/>
      <c r="Q885" s="33"/>
      <c r="R885" s="33"/>
    </row>
    <row r="886">
      <c r="A886" s="33"/>
      <c r="B886" s="33"/>
      <c r="C886" s="33"/>
      <c r="D886" s="33"/>
      <c r="E886" s="33"/>
      <c r="F886" s="33"/>
      <c r="G886" s="33"/>
      <c r="H886" s="33"/>
      <c r="I886" s="33"/>
      <c r="J886" s="33"/>
      <c r="K886" s="33"/>
      <c r="L886" s="33"/>
      <c r="M886" s="33"/>
      <c r="N886" s="33"/>
      <c r="O886" s="33"/>
      <c r="P886" s="33"/>
      <c r="Q886" s="33"/>
      <c r="R886" s="33"/>
    </row>
    <row r="887">
      <c r="A887" s="33"/>
      <c r="B887" s="33"/>
      <c r="C887" s="33"/>
      <c r="D887" s="33"/>
      <c r="E887" s="33"/>
      <c r="F887" s="33"/>
      <c r="G887" s="33"/>
      <c r="H887" s="33"/>
      <c r="I887" s="33"/>
      <c r="J887" s="33"/>
      <c r="K887" s="33"/>
      <c r="L887" s="33"/>
      <c r="M887" s="33"/>
      <c r="N887" s="33"/>
      <c r="O887" s="33"/>
      <c r="P887" s="33"/>
      <c r="Q887" s="33"/>
      <c r="R887" s="33"/>
    </row>
    <row r="888">
      <c r="A888" s="33"/>
      <c r="B888" s="33"/>
      <c r="C888" s="33"/>
      <c r="D888" s="33"/>
      <c r="E888" s="33"/>
      <c r="F888" s="33"/>
      <c r="G888" s="33"/>
      <c r="H888" s="33"/>
      <c r="I888" s="33"/>
      <c r="J888" s="33"/>
      <c r="K888" s="33"/>
      <c r="L888" s="33"/>
      <c r="M888" s="33"/>
      <c r="N888" s="33"/>
      <c r="O888" s="33"/>
      <c r="P888" s="33"/>
      <c r="Q888" s="33"/>
      <c r="R888" s="33"/>
    </row>
    <row r="889">
      <c r="A889" s="33"/>
      <c r="B889" s="33"/>
      <c r="C889" s="33"/>
      <c r="D889" s="33"/>
      <c r="E889" s="33"/>
      <c r="F889" s="33"/>
      <c r="G889" s="33"/>
      <c r="H889" s="33"/>
      <c r="I889" s="33"/>
      <c r="J889" s="33"/>
      <c r="K889" s="33"/>
      <c r="L889" s="33"/>
      <c r="M889" s="33"/>
      <c r="N889" s="33"/>
      <c r="O889" s="33"/>
      <c r="P889" s="33"/>
      <c r="Q889" s="33"/>
      <c r="R889" s="33"/>
    </row>
    <row r="890">
      <c r="A890" s="33"/>
      <c r="B890" s="33"/>
      <c r="C890" s="33"/>
      <c r="D890" s="33"/>
      <c r="E890" s="33"/>
      <c r="F890" s="33"/>
      <c r="G890" s="33"/>
      <c r="H890" s="33"/>
      <c r="I890" s="33"/>
      <c r="J890" s="33"/>
      <c r="K890" s="33"/>
      <c r="L890" s="33"/>
      <c r="M890" s="33"/>
      <c r="N890" s="33"/>
      <c r="O890" s="33"/>
      <c r="P890" s="33"/>
      <c r="Q890" s="33"/>
      <c r="R890" s="33"/>
    </row>
    <row r="891">
      <c r="A891" s="33"/>
      <c r="B891" s="33"/>
      <c r="C891" s="33"/>
      <c r="D891" s="33"/>
      <c r="E891" s="33"/>
      <c r="F891" s="33"/>
      <c r="G891" s="33"/>
      <c r="H891" s="33"/>
      <c r="I891" s="33"/>
      <c r="J891" s="33"/>
      <c r="K891" s="33"/>
      <c r="L891" s="33"/>
      <c r="M891" s="33"/>
      <c r="N891" s="33"/>
      <c r="O891" s="33"/>
      <c r="P891" s="33"/>
      <c r="Q891" s="33"/>
      <c r="R891" s="33"/>
    </row>
    <row r="892">
      <c r="A892" s="33"/>
      <c r="B892" s="33"/>
      <c r="C892" s="33"/>
      <c r="D892" s="33"/>
      <c r="E892" s="33"/>
      <c r="F892" s="33"/>
      <c r="G892" s="33"/>
      <c r="H892" s="33"/>
      <c r="I892" s="33"/>
      <c r="J892" s="33"/>
      <c r="K892" s="33"/>
      <c r="L892" s="33"/>
      <c r="M892" s="33"/>
      <c r="N892" s="33"/>
      <c r="O892" s="33"/>
      <c r="P892" s="33"/>
      <c r="Q892" s="33"/>
      <c r="R892" s="33"/>
    </row>
    <row r="893">
      <c r="A893" s="33"/>
      <c r="B893" s="33"/>
      <c r="C893" s="33"/>
      <c r="D893" s="33"/>
      <c r="E893" s="33"/>
      <c r="F893" s="33"/>
      <c r="G893" s="33"/>
      <c r="H893" s="33"/>
      <c r="I893" s="33"/>
      <c r="J893" s="33"/>
      <c r="K893" s="33"/>
      <c r="L893" s="33"/>
      <c r="M893" s="33"/>
      <c r="N893" s="33"/>
      <c r="O893" s="33"/>
      <c r="P893" s="33"/>
      <c r="Q893" s="33"/>
      <c r="R893" s="33"/>
    </row>
    <row r="894">
      <c r="A894" s="33"/>
      <c r="B894" s="33"/>
      <c r="C894" s="33"/>
      <c r="D894" s="33"/>
      <c r="E894" s="33"/>
      <c r="F894" s="33"/>
      <c r="G894" s="33"/>
      <c r="H894" s="33"/>
      <c r="I894" s="33"/>
      <c r="J894" s="33"/>
      <c r="K894" s="33"/>
      <c r="L894" s="33"/>
      <c r="M894" s="33"/>
      <c r="N894" s="33"/>
      <c r="O894" s="33"/>
      <c r="P894" s="33"/>
      <c r="Q894" s="33"/>
      <c r="R894" s="33"/>
    </row>
    <row r="895">
      <c r="A895" s="33"/>
      <c r="B895" s="33"/>
      <c r="C895" s="33"/>
      <c r="D895" s="33"/>
      <c r="E895" s="33"/>
      <c r="F895" s="33"/>
      <c r="G895" s="33"/>
      <c r="H895" s="33"/>
      <c r="I895" s="33"/>
      <c r="J895" s="33"/>
      <c r="K895" s="33"/>
      <c r="L895" s="33"/>
      <c r="M895" s="33"/>
      <c r="N895" s="33"/>
      <c r="O895" s="33"/>
      <c r="P895" s="33"/>
      <c r="Q895" s="33"/>
      <c r="R895" s="33"/>
    </row>
    <row r="896">
      <c r="A896" s="33"/>
      <c r="B896" s="33"/>
      <c r="C896" s="33"/>
      <c r="D896" s="33"/>
      <c r="E896" s="33"/>
      <c r="F896" s="33"/>
      <c r="G896" s="33"/>
      <c r="H896" s="33"/>
      <c r="I896" s="33"/>
      <c r="J896" s="33"/>
      <c r="K896" s="33"/>
      <c r="L896" s="33"/>
      <c r="M896" s="33"/>
      <c r="N896" s="33"/>
      <c r="O896" s="33"/>
      <c r="P896" s="33"/>
      <c r="Q896" s="33"/>
      <c r="R896" s="33"/>
    </row>
    <row r="897">
      <c r="A897" s="33"/>
      <c r="B897" s="33"/>
      <c r="C897" s="33"/>
      <c r="D897" s="33"/>
      <c r="E897" s="33"/>
      <c r="F897" s="33"/>
      <c r="G897" s="33"/>
      <c r="H897" s="33"/>
      <c r="I897" s="33"/>
      <c r="J897" s="33"/>
      <c r="K897" s="33"/>
      <c r="L897" s="33"/>
      <c r="M897" s="33"/>
      <c r="N897" s="33"/>
      <c r="O897" s="33"/>
      <c r="P897" s="33"/>
      <c r="Q897" s="33"/>
      <c r="R897" s="33"/>
    </row>
    <row r="898">
      <c r="A898" s="33"/>
      <c r="B898" s="33"/>
      <c r="C898" s="33"/>
      <c r="D898" s="33"/>
      <c r="E898" s="33"/>
      <c r="F898" s="33"/>
      <c r="G898" s="33"/>
      <c r="H898" s="33"/>
      <c r="I898" s="33"/>
      <c r="J898" s="33"/>
      <c r="K898" s="33"/>
      <c r="L898" s="33"/>
      <c r="M898" s="33"/>
      <c r="N898" s="33"/>
      <c r="O898" s="33"/>
      <c r="P898" s="33"/>
      <c r="Q898" s="33"/>
      <c r="R898" s="33"/>
    </row>
    <row r="899">
      <c r="A899" s="33"/>
      <c r="B899" s="33"/>
      <c r="C899" s="33"/>
      <c r="D899" s="33"/>
      <c r="E899" s="33"/>
      <c r="F899" s="33"/>
      <c r="G899" s="33"/>
      <c r="H899" s="33"/>
      <c r="I899" s="33"/>
      <c r="J899" s="33"/>
      <c r="K899" s="33"/>
      <c r="L899" s="33"/>
      <c r="M899" s="33"/>
      <c r="N899" s="33"/>
      <c r="O899" s="33"/>
      <c r="P899" s="33"/>
      <c r="Q899" s="33"/>
      <c r="R899" s="33"/>
    </row>
    <row r="900">
      <c r="A900" s="33"/>
      <c r="B900" s="33"/>
      <c r="C900" s="33"/>
      <c r="D900" s="33"/>
      <c r="E900" s="33"/>
      <c r="F900" s="33"/>
      <c r="G900" s="33"/>
      <c r="H900" s="33"/>
      <c r="I900" s="33"/>
      <c r="J900" s="33"/>
      <c r="K900" s="33"/>
      <c r="L900" s="33"/>
      <c r="M900" s="33"/>
      <c r="N900" s="33"/>
      <c r="O900" s="33"/>
      <c r="P900" s="33"/>
      <c r="Q900" s="33"/>
      <c r="R900" s="33"/>
    </row>
    <row r="901">
      <c r="A901" s="33"/>
      <c r="B901" s="33"/>
      <c r="C901" s="33"/>
      <c r="D901" s="33"/>
      <c r="E901" s="33"/>
      <c r="F901" s="33"/>
      <c r="G901" s="33"/>
      <c r="H901" s="33"/>
      <c r="I901" s="33"/>
      <c r="J901" s="33"/>
      <c r="K901" s="33"/>
      <c r="L901" s="33"/>
      <c r="M901" s="33"/>
      <c r="N901" s="33"/>
      <c r="O901" s="33"/>
      <c r="P901" s="33"/>
      <c r="Q901" s="33"/>
      <c r="R901" s="33"/>
    </row>
    <row r="902">
      <c r="A902" s="33"/>
      <c r="B902" s="33"/>
      <c r="C902" s="33"/>
      <c r="D902" s="33"/>
      <c r="E902" s="33"/>
      <c r="F902" s="33"/>
      <c r="G902" s="33"/>
      <c r="H902" s="33"/>
      <c r="I902" s="33"/>
      <c r="J902" s="33"/>
      <c r="K902" s="33"/>
      <c r="L902" s="33"/>
      <c r="M902" s="33"/>
      <c r="N902" s="33"/>
      <c r="O902" s="33"/>
      <c r="P902" s="33"/>
      <c r="Q902" s="33"/>
      <c r="R902" s="33"/>
    </row>
    <row r="903">
      <c r="A903" s="33"/>
      <c r="B903" s="33"/>
      <c r="C903" s="33"/>
      <c r="D903" s="33"/>
      <c r="E903" s="33"/>
      <c r="F903" s="33"/>
      <c r="G903" s="33"/>
      <c r="H903" s="33"/>
      <c r="I903" s="33"/>
      <c r="J903" s="33"/>
      <c r="K903" s="33"/>
      <c r="L903" s="33"/>
      <c r="M903" s="33"/>
      <c r="N903" s="33"/>
      <c r="O903" s="33"/>
      <c r="P903" s="33"/>
      <c r="Q903" s="33"/>
      <c r="R903" s="33"/>
    </row>
    <row r="904">
      <c r="A904" s="33"/>
      <c r="B904" s="33"/>
      <c r="C904" s="33"/>
      <c r="D904" s="33"/>
      <c r="E904" s="33"/>
      <c r="F904" s="33"/>
      <c r="G904" s="33"/>
      <c r="H904" s="33"/>
      <c r="I904" s="33"/>
      <c r="J904" s="33"/>
      <c r="K904" s="33"/>
      <c r="L904" s="33"/>
      <c r="M904" s="33"/>
      <c r="N904" s="33"/>
      <c r="O904" s="33"/>
      <c r="P904" s="33"/>
      <c r="Q904" s="33"/>
      <c r="R904" s="33"/>
    </row>
    <row r="905">
      <c r="A905" s="33"/>
      <c r="B905" s="33"/>
      <c r="C905" s="33"/>
      <c r="D905" s="33"/>
      <c r="E905" s="33"/>
      <c r="F905" s="33"/>
      <c r="G905" s="33"/>
      <c r="H905" s="33"/>
      <c r="I905" s="33"/>
      <c r="J905" s="33"/>
      <c r="K905" s="33"/>
      <c r="L905" s="33"/>
      <c r="M905" s="33"/>
      <c r="N905" s="33"/>
      <c r="O905" s="33"/>
      <c r="P905" s="33"/>
      <c r="Q905" s="33"/>
      <c r="R905" s="33"/>
    </row>
    <row r="906">
      <c r="A906" s="33"/>
      <c r="B906" s="33"/>
      <c r="C906" s="33"/>
      <c r="D906" s="33"/>
      <c r="E906" s="33"/>
      <c r="F906" s="33"/>
      <c r="G906" s="33"/>
      <c r="H906" s="33"/>
      <c r="I906" s="33"/>
      <c r="J906" s="33"/>
      <c r="K906" s="33"/>
      <c r="L906" s="33"/>
      <c r="M906" s="33"/>
      <c r="N906" s="33"/>
      <c r="O906" s="33"/>
      <c r="P906" s="33"/>
      <c r="Q906" s="33"/>
      <c r="R906" s="33"/>
    </row>
    <row r="907">
      <c r="A907" s="33"/>
      <c r="B907" s="33"/>
      <c r="C907" s="33"/>
      <c r="D907" s="33"/>
      <c r="E907" s="33"/>
      <c r="F907" s="33"/>
      <c r="G907" s="33"/>
      <c r="H907" s="33"/>
      <c r="I907" s="33"/>
      <c r="J907" s="33"/>
      <c r="K907" s="33"/>
      <c r="L907" s="33"/>
      <c r="M907" s="33"/>
      <c r="N907" s="33"/>
      <c r="O907" s="33"/>
      <c r="P907" s="33"/>
      <c r="Q907" s="33"/>
      <c r="R907" s="33"/>
    </row>
    <row r="908">
      <c r="A908" s="33"/>
      <c r="B908" s="33"/>
      <c r="C908" s="33"/>
      <c r="D908" s="33"/>
      <c r="E908" s="33"/>
      <c r="F908" s="33"/>
      <c r="G908" s="33"/>
      <c r="H908" s="33"/>
      <c r="I908" s="33"/>
      <c r="J908" s="33"/>
      <c r="K908" s="33"/>
      <c r="L908" s="33"/>
      <c r="M908" s="33"/>
      <c r="N908" s="33"/>
      <c r="O908" s="33"/>
      <c r="P908" s="33"/>
      <c r="Q908" s="33"/>
      <c r="R908" s="33"/>
    </row>
    <row r="909">
      <c r="A909" s="33"/>
      <c r="B909" s="33"/>
      <c r="C909" s="33"/>
      <c r="D909" s="33"/>
      <c r="E909" s="33"/>
      <c r="F909" s="33"/>
      <c r="G909" s="33"/>
      <c r="H909" s="33"/>
      <c r="I909" s="33"/>
      <c r="J909" s="33"/>
      <c r="K909" s="33"/>
      <c r="L909" s="33"/>
      <c r="M909" s="33"/>
      <c r="N909" s="33"/>
      <c r="O909" s="33"/>
      <c r="P909" s="33"/>
      <c r="Q909" s="33"/>
      <c r="R909" s="33"/>
    </row>
    <row r="910">
      <c r="A910" s="33"/>
      <c r="B910" s="33"/>
      <c r="C910" s="33"/>
      <c r="D910" s="33"/>
      <c r="E910" s="33"/>
      <c r="F910" s="33"/>
      <c r="G910" s="33"/>
      <c r="H910" s="33"/>
      <c r="I910" s="33"/>
      <c r="J910" s="33"/>
      <c r="K910" s="33"/>
      <c r="L910" s="33"/>
      <c r="M910" s="33"/>
      <c r="N910" s="33"/>
      <c r="O910" s="33"/>
      <c r="P910" s="33"/>
      <c r="Q910" s="33"/>
      <c r="R910" s="33"/>
    </row>
    <row r="911">
      <c r="A911" s="33"/>
      <c r="B911" s="33"/>
      <c r="C911" s="33"/>
      <c r="D911" s="33"/>
      <c r="E911" s="33"/>
      <c r="F911" s="33"/>
      <c r="G911" s="33"/>
      <c r="H911" s="33"/>
      <c r="I911" s="33"/>
      <c r="J911" s="33"/>
      <c r="K911" s="33"/>
      <c r="L911" s="33"/>
      <c r="M911" s="33"/>
      <c r="N911" s="33"/>
      <c r="O911" s="33"/>
      <c r="P911" s="33"/>
      <c r="Q911" s="33"/>
      <c r="R911" s="33"/>
    </row>
    <row r="912">
      <c r="A912" s="33"/>
      <c r="B912" s="33"/>
      <c r="C912" s="33"/>
      <c r="D912" s="33"/>
      <c r="E912" s="33"/>
      <c r="F912" s="33"/>
      <c r="G912" s="33"/>
      <c r="H912" s="33"/>
      <c r="I912" s="33"/>
      <c r="J912" s="33"/>
      <c r="K912" s="33"/>
      <c r="L912" s="33"/>
      <c r="M912" s="33"/>
      <c r="N912" s="33"/>
      <c r="O912" s="33"/>
      <c r="P912" s="33"/>
      <c r="Q912" s="33"/>
      <c r="R912" s="33"/>
    </row>
    <row r="913">
      <c r="A913" s="33"/>
      <c r="B913" s="33"/>
      <c r="C913" s="33"/>
      <c r="D913" s="33"/>
      <c r="E913" s="33"/>
      <c r="F913" s="33"/>
      <c r="G913" s="33"/>
      <c r="H913" s="33"/>
      <c r="I913" s="33"/>
      <c r="J913" s="33"/>
      <c r="K913" s="33"/>
      <c r="L913" s="33"/>
      <c r="M913" s="33"/>
      <c r="N913" s="33"/>
      <c r="O913" s="33"/>
      <c r="P913" s="33"/>
      <c r="Q913" s="33"/>
      <c r="R913" s="33"/>
    </row>
    <row r="914">
      <c r="A914" s="33"/>
      <c r="B914" s="33"/>
      <c r="C914" s="33"/>
      <c r="D914" s="33"/>
      <c r="E914" s="33"/>
      <c r="F914" s="33"/>
      <c r="G914" s="33"/>
      <c r="H914" s="33"/>
      <c r="I914" s="33"/>
      <c r="J914" s="33"/>
      <c r="K914" s="33"/>
      <c r="L914" s="33"/>
      <c r="M914" s="33"/>
      <c r="N914" s="33"/>
      <c r="O914" s="33"/>
      <c r="P914" s="33"/>
      <c r="Q914" s="33"/>
      <c r="R914" s="33"/>
    </row>
    <row r="915">
      <c r="A915" s="33"/>
      <c r="B915" s="33"/>
      <c r="C915" s="33"/>
      <c r="D915" s="33"/>
      <c r="E915" s="33"/>
      <c r="F915" s="33"/>
      <c r="G915" s="33"/>
      <c r="H915" s="33"/>
      <c r="I915" s="33"/>
      <c r="J915" s="33"/>
      <c r="K915" s="33"/>
      <c r="L915" s="33"/>
      <c r="M915" s="33"/>
      <c r="N915" s="33"/>
      <c r="O915" s="33"/>
      <c r="P915" s="33"/>
      <c r="Q915" s="33"/>
      <c r="R915" s="33"/>
    </row>
    <row r="916">
      <c r="A916" s="33"/>
      <c r="B916" s="33"/>
      <c r="C916" s="33"/>
      <c r="D916" s="33"/>
      <c r="E916" s="33"/>
      <c r="F916" s="33"/>
      <c r="G916" s="33"/>
      <c r="H916" s="33"/>
      <c r="I916" s="33"/>
      <c r="J916" s="33"/>
      <c r="K916" s="33"/>
      <c r="L916" s="33"/>
      <c r="M916" s="33"/>
      <c r="N916" s="33"/>
      <c r="O916" s="33"/>
      <c r="P916" s="33"/>
      <c r="Q916" s="33"/>
      <c r="R916" s="33"/>
    </row>
    <row r="917">
      <c r="A917" s="33"/>
      <c r="B917" s="33"/>
      <c r="C917" s="33"/>
      <c r="D917" s="33"/>
      <c r="E917" s="33"/>
      <c r="F917" s="33"/>
      <c r="G917" s="33"/>
      <c r="H917" s="33"/>
      <c r="I917" s="33"/>
      <c r="J917" s="33"/>
      <c r="K917" s="33"/>
      <c r="L917" s="33"/>
      <c r="M917" s="33"/>
      <c r="N917" s="33"/>
      <c r="O917" s="33"/>
      <c r="P917" s="33"/>
      <c r="Q917" s="33"/>
      <c r="R917" s="33"/>
    </row>
    <row r="918">
      <c r="A918" s="33"/>
      <c r="B918" s="33"/>
      <c r="C918" s="33"/>
      <c r="D918" s="33"/>
      <c r="E918" s="33"/>
      <c r="F918" s="33"/>
      <c r="G918" s="33"/>
      <c r="H918" s="33"/>
      <c r="I918" s="33"/>
      <c r="J918" s="33"/>
      <c r="K918" s="33"/>
      <c r="L918" s="33"/>
      <c r="M918" s="33"/>
      <c r="N918" s="33"/>
      <c r="O918" s="33"/>
      <c r="P918" s="33"/>
      <c r="Q918" s="33"/>
      <c r="R918" s="33"/>
    </row>
    <row r="919">
      <c r="A919" s="33"/>
      <c r="B919" s="33"/>
      <c r="C919" s="33"/>
      <c r="D919" s="33"/>
      <c r="E919" s="33"/>
      <c r="F919" s="33"/>
      <c r="G919" s="33"/>
      <c r="H919" s="33"/>
      <c r="I919" s="33"/>
      <c r="J919" s="33"/>
      <c r="K919" s="33"/>
      <c r="L919" s="33"/>
      <c r="M919" s="33"/>
      <c r="N919" s="33"/>
      <c r="O919" s="33"/>
      <c r="P919" s="33"/>
      <c r="Q919" s="33"/>
      <c r="R919" s="33"/>
    </row>
    <row r="920">
      <c r="A920" s="33"/>
      <c r="B920" s="33"/>
      <c r="C920" s="33"/>
      <c r="D920" s="33"/>
      <c r="E920" s="33"/>
      <c r="F920" s="33"/>
      <c r="G920" s="33"/>
      <c r="H920" s="33"/>
      <c r="I920" s="33"/>
      <c r="J920" s="33"/>
      <c r="K920" s="33"/>
      <c r="L920" s="33"/>
      <c r="M920" s="33"/>
      <c r="N920" s="33"/>
      <c r="O920" s="33"/>
      <c r="P920" s="33"/>
      <c r="Q920" s="33"/>
      <c r="R920" s="33"/>
    </row>
    <row r="921">
      <c r="A921" s="33"/>
      <c r="B921" s="33"/>
      <c r="C921" s="33"/>
      <c r="D921" s="33"/>
      <c r="E921" s="33"/>
      <c r="F921" s="33"/>
      <c r="G921" s="33"/>
      <c r="H921" s="33"/>
      <c r="I921" s="33"/>
      <c r="J921" s="33"/>
      <c r="K921" s="33"/>
      <c r="L921" s="33"/>
      <c r="M921" s="33"/>
      <c r="N921" s="33"/>
      <c r="O921" s="33"/>
      <c r="P921" s="33"/>
      <c r="Q921" s="33"/>
      <c r="R921" s="33"/>
    </row>
    <row r="922">
      <c r="A922" s="33"/>
      <c r="B922" s="33"/>
      <c r="C922" s="33"/>
      <c r="D922" s="33"/>
      <c r="E922" s="33"/>
      <c r="F922" s="33"/>
      <c r="G922" s="33"/>
      <c r="H922" s="33"/>
      <c r="I922" s="33"/>
      <c r="J922" s="33"/>
      <c r="K922" s="33"/>
      <c r="L922" s="33"/>
      <c r="M922" s="33"/>
      <c r="N922" s="33"/>
      <c r="O922" s="33"/>
      <c r="P922" s="33"/>
      <c r="Q922" s="33"/>
      <c r="R922" s="33"/>
    </row>
    <row r="923">
      <c r="A923" s="33"/>
      <c r="B923" s="33"/>
      <c r="C923" s="33"/>
      <c r="D923" s="33"/>
      <c r="E923" s="33"/>
      <c r="F923" s="33"/>
      <c r="G923" s="33"/>
      <c r="H923" s="33"/>
      <c r="I923" s="33"/>
      <c r="J923" s="33"/>
      <c r="K923" s="33"/>
      <c r="L923" s="33"/>
      <c r="M923" s="33"/>
      <c r="N923" s="33"/>
      <c r="O923" s="33"/>
      <c r="P923" s="33"/>
      <c r="Q923" s="33"/>
      <c r="R923" s="33"/>
    </row>
    <row r="924">
      <c r="A924" s="33"/>
      <c r="B924" s="33"/>
      <c r="C924" s="33"/>
      <c r="D924" s="33"/>
      <c r="E924" s="33"/>
      <c r="F924" s="33"/>
      <c r="G924" s="33"/>
      <c r="H924" s="33"/>
      <c r="I924" s="33"/>
      <c r="J924" s="33"/>
      <c r="K924" s="33"/>
      <c r="L924" s="33"/>
      <c r="M924" s="33"/>
      <c r="N924" s="33"/>
      <c r="O924" s="33"/>
      <c r="P924" s="33"/>
      <c r="Q924" s="33"/>
      <c r="R924" s="33"/>
    </row>
    <row r="925">
      <c r="A925" s="33"/>
      <c r="B925" s="33"/>
      <c r="C925" s="33"/>
      <c r="D925" s="33"/>
      <c r="E925" s="33"/>
      <c r="F925" s="33"/>
      <c r="G925" s="33"/>
      <c r="H925" s="33"/>
      <c r="I925" s="33"/>
      <c r="J925" s="33"/>
      <c r="K925" s="33"/>
      <c r="L925" s="33"/>
      <c r="M925" s="33"/>
      <c r="N925" s="33"/>
      <c r="O925" s="33"/>
      <c r="P925" s="33"/>
      <c r="Q925" s="33"/>
      <c r="R925" s="33"/>
    </row>
    <row r="926">
      <c r="A926" s="33"/>
      <c r="B926" s="33"/>
      <c r="C926" s="33"/>
      <c r="D926" s="33"/>
      <c r="E926" s="33"/>
      <c r="F926" s="33"/>
      <c r="G926" s="33"/>
      <c r="H926" s="33"/>
      <c r="I926" s="33"/>
      <c r="J926" s="33"/>
      <c r="K926" s="33"/>
      <c r="L926" s="33"/>
      <c r="M926" s="33"/>
      <c r="N926" s="33"/>
      <c r="O926" s="33"/>
      <c r="P926" s="33"/>
      <c r="Q926" s="33"/>
      <c r="R926" s="33"/>
    </row>
    <row r="927">
      <c r="A927" s="33"/>
      <c r="B927" s="33"/>
      <c r="C927" s="33"/>
      <c r="D927" s="33"/>
      <c r="E927" s="33"/>
      <c r="F927" s="33"/>
      <c r="G927" s="33"/>
      <c r="H927" s="33"/>
      <c r="I927" s="33"/>
      <c r="J927" s="33"/>
      <c r="K927" s="33"/>
      <c r="L927" s="33"/>
      <c r="M927" s="33"/>
      <c r="N927" s="33"/>
      <c r="O927" s="33"/>
      <c r="P927" s="33"/>
      <c r="Q927" s="33"/>
      <c r="R927" s="33"/>
    </row>
    <row r="928">
      <c r="A928" s="33"/>
      <c r="B928" s="33"/>
      <c r="C928" s="33"/>
      <c r="D928" s="33"/>
      <c r="E928" s="33"/>
      <c r="F928" s="33"/>
      <c r="G928" s="33"/>
      <c r="H928" s="33"/>
      <c r="I928" s="33"/>
      <c r="J928" s="33"/>
      <c r="K928" s="33"/>
      <c r="L928" s="33"/>
      <c r="M928" s="33"/>
      <c r="N928" s="33"/>
      <c r="O928" s="33"/>
      <c r="P928" s="33"/>
      <c r="Q928" s="33"/>
      <c r="R928" s="33"/>
    </row>
    <row r="929">
      <c r="A929" s="33"/>
      <c r="B929" s="33"/>
      <c r="C929" s="33"/>
      <c r="D929" s="33"/>
      <c r="E929" s="33"/>
      <c r="F929" s="33"/>
      <c r="G929" s="33"/>
      <c r="H929" s="33"/>
      <c r="I929" s="33"/>
      <c r="J929" s="33"/>
      <c r="K929" s="33"/>
      <c r="L929" s="33"/>
      <c r="M929" s="33"/>
      <c r="N929" s="33"/>
      <c r="O929" s="33"/>
      <c r="P929" s="33"/>
      <c r="Q929" s="33"/>
      <c r="R929" s="33"/>
    </row>
    <row r="930">
      <c r="A930" s="33"/>
      <c r="B930" s="33"/>
      <c r="C930" s="33"/>
      <c r="D930" s="33"/>
      <c r="E930" s="33"/>
      <c r="F930" s="33"/>
      <c r="G930" s="33"/>
      <c r="H930" s="33"/>
      <c r="I930" s="33"/>
      <c r="J930" s="33"/>
      <c r="K930" s="33"/>
      <c r="L930" s="33"/>
      <c r="M930" s="33"/>
      <c r="N930" s="33"/>
      <c r="O930" s="33"/>
      <c r="P930" s="33"/>
      <c r="Q930" s="33"/>
      <c r="R930" s="33"/>
    </row>
    <row r="931">
      <c r="A931" s="33"/>
      <c r="B931" s="33"/>
      <c r="C931" s="33"/>
      <c r="D931" s="33"/>
      <c r="E931" s="33"/>
      <c r="F931" s="33"/>
      <c r="G931" s="33"/>
      <c r="H931" s="33"/>
      <c r="I931" s="33"/>
      <c r="J931" s="33"/>
      <c r="K931" s="33"/>
      <c r="L931" s="33"/>
      <c r="M931" s="33"/>
      <c r="N931" s="33"/>
      <c r="O931" s="33"/>
      <c r="P931" s="33"/>
      <c r="Q931" s="33"/>
      <c r="R931" s="33"/>
    </row>
    <row r="932">
      <c r="A932" s="33"/>
      <c r="B932" s="33"/>
      <c r="C932" s="33"/>
      <c r="D932" s="33"/>
      <c r="E932" s="33"/>
      <c r="F932" s="33"/>
      <c r="G932" s="33"/>
      <c r="H932" s="33"/>
      <c r="I932" s="33"/>
      <c r="J932" s="33"/>
      <c r="K932" s="33"/>
      <c r="L932" s="33"/>
      <c r="M932" s="33"/>
      <c r="N932" s="33"/>
      <c r="O932" s="33"/>
      <c r="P932" s="33"/>
      <c r="Q932" s="33"/>
      <c r="R932" s="33"/>
    </row>
    <row r="933">
      <c r="A933" s="33"/>
      <c r="B933" s="33"/>
      <c r="C933" s="33"/>
      <c r="D933" s="33"/>
      <c r="E933" s="33"/>
      <c r="F933" s="33"/>
      <c r="G933" s="33"/>
      <c r="H933" s="33"/>
      <c r="I933" s="33"/>
      <c r="J933" s="33"/>
      <c r="K933" s="33"/>
      <c r="L933" s="33"/>
      <c r="M933" s="33"/>
      <c r="N933" s="33"/>
      <c r="O933" s="33"/>
      <c r="P933" s="33"/>
      <c r="Q933" s="33"/>
      <c r="R933" s="33"/>
    </row>
    <row r="934">
      <c r="A934" s="33"/>
      <c r="B934" s="33"/>
      <c r="C934" s="33"/>
      <c r="D934" s="33"/>
      <c r="E934" s="33"/>
      <c r="F934" s="33"/>
      <c r="G934" s="33"/>
      <c r="H934" s="33"/>
      <c r="I934" s="33"/>
      <c r="J934" s="33"/>
      <c r="K934" s="33"/>
      <c r="L934" s="33"/>
      <c r="M934" s="33"/>
      <c r="N934" s="33"/>
      <c r="O934" s="33"/>
      <c r="P934" s="33"/>
      <c r="Q934" s="33"/>
      <c r="R934" s="33"/>
    </row>
    <row r="935">
      <c r="A935" s="33"/>
      <c r="B935" s="33"/>
      <c r="C935" s="33"/>
      <c r="D935" s="33"/>
      <c r="E935" s="33"/>
      <c r="F935" s="33"/>
      <c r="G935" s="33"/>
      <c r="H935" s="33"/>
      <c r="I935" s="33"/>
      <c r="J935" s="33"/>
      <c r="K935" s="33"/>
      <c r="L935" s="33"/>
      <c r="M935" s="33"/>
      <c r="N935" s="33"/>
      <c r="O935" s="33"/>
      <c r="P935" s="33"/>
      <c r="Q935" s="33"/>
      <c r="R935" s="33"/>
    </row>
    <row r="936">
      <c r="A936" s="33"/>
      <c r="B936" s="33"/>
      <c r="C936" s="33"/>
      <c r="D936" s="33"/>
      <c r="E936" s="33"/>
      <c r="F936" s="33"/>
      <c r="G936" s="33"/>
      <c r="H936" s="33"/>
      <c r="I936" s="33"/>
      <c r="J936" s="33"/>
      <c r="K936" s="33"/>
      <c r="L936" s="33"/>
      <c r="M936" s="33"/>
      <c r="N936" s="33"/>
      <c r="O936" s="33"/>
      <c r="P936" s="33"/>
      <c r="Q936" s="33"/>
      <c r="R936" s="33"/>
    </row>
    <row r="937">
      <c r="A937" s="33"/>
      <c r="B937" s="33"/>
      <c r="C937" s="33"/>
      <c r="D937" s="33"/>
      <c r="E937" s="33"/>
      <c r="F937" s="33"/>
      <c r="G937" s="33"/>
      <c r="H937" s="33"/>
      <c r="I937" s="33"/>
      <c r="J937" s="33"/>
      <c r="K937" s="33"/>
      <c r="L937" s="33"/>
      <c r="M937" s="33"/>
      <c r="N937" s="33"/>
      <c r="O937" s="33"/>
      <c r="P937" s="33"/>
      <c r="Q937" s="33"/>
      <c r="R937" s="33"/>
    </row>
    <row r="938">
      <c r="A938" s="33"/>
      <c r="B938" s="33"/>
      <c r="C938" s="33"/>
      <c r="D938" s="33"/>
      <c r="E938" s="33"/>
      <c r="F938" s="33"/>
      <c r="G938" s="33"/>
      <c r="H938" s="33"/>
      <c r="I938" s="33"/>
      <c r="J938" s="33"/>
      <c r="K938" s="33"/>
      <c r="L938" s="33"/>
      <c r="M938" s="33"/>
      <c r="N938" s="33"/>
      <c r="O938" s="33"/>
      <c r="P938" s="33"/>
      <c r="Q938" s="33"/>
      <c r="R938" s="33"/>
    </row>
    <row r="939">
      <c r="A939" s="33"/>
      <c r="B939" s="33"/>
      <c r="C939" s="33"/>
      <c r="D939" s="33"/>
      <c r="E939" s="33"/>
      <c r="F939" s="33"/>
      <c r="G939" s="33"/>
      <c r="H939" s="33"/>
      <c r="I939" s="33"/>
      <c r="J939" s="33"/>
      <c r="K939" s="33"/>
      <c r="L939" s="33"/>
      <c r="M939" s="33"/>
      <c r="N939" s="33"/>
      <c r="O939" s="33"/>
      <c r="P939" s="33"/>
      <c r="Q939" s="33"/>
      <c r="R939" s="33"/>
    </row>
    <row r="940">
      <c r="A940" s="33"/>
      <c r="B940" s="33"/>
      <c r="C940" s="33"/>
      <c r="D940" s="33"/>
      <c r="E940" s="33"/>
      <c r="F940" s="33"/>
      <c r="G940" s="33"/>
      <c r="H940" s="33"/>
      <c r="I940" s="33"/>
      <c r="J940" s="33"/>
      <c r="K940" s="33"/>
      <c r="L940" s="33"/>
      <c r="M940" s="33"/>
      <c r="N940" s="33"/>
      <c r="O940" s="33"/>
      <c r="P940" s="33"/>
      <c r="Q940" s="33"/>
      <c r="R940" s="33"/>
    </row>
    <row r="941">
      <c r="A941" s="33"/>
      <c r="B941" s="33"/>
      <c r="C941" s="33"/>
      <c r="D941" s="33"/>
      <c r="E941" s="33"/>
      <c r="F941" s="33"/>
      <c r="G941" s="33"/>
      <c r="H941" s="33"/>
      <c r="I941" s="33"/>
      <c r="J941" s="33"/>
      <c r="K941" s="33"/>
      <c r="L941" s="33"/>
      <c r="M941" s="33"/>
      <c r="N941" s="33"/>
      <c r="O941" s="33"/>
      <c r="P941" s="33"/>
      <c r="Q941" s="33"/>
      <c r="R941" s="33"/>
    </row>
    <row r="942">
      <c r="A942" s="33"/>
      <c r="B942" s="33"/>
      <c r="C942" s="33"/>
      <c r="D942" s="33"/>
      <c r="E942" s="33"/>
      <c r="F942" s="33"/>
      <c r="G942" s="33"/>
      <c r="H942" s="33"/>
      <c r="I942" s="33"/>
      <c r="J942" s="33"/>
      <c r="K942" s="33"/>
      <c r="L942" s="33"/>
      <c r="M942" s="33"/>
      <c r="N942" s="33"/>
      <c r="O942" s="33"/>
      <c r="P942" s="33"/>
      <c r="Q942" s="33"/>
      <c r="R942" s="33"/>
    </row>
    <row r="943">
      <c r="A943" s="33"/>
      <c r="B943" s="33"/>
      <c r="C943" s="33"/>
      <c r="D943" s="33"/>
      <c r="E943" s="33"/>
      <c r="F943" s="33"/>
      <c r="G943" s="33"/>
      <c r="H943" s="33"/>
      <c r="I943" s="33"/>
      <c r="J943" s="33"/>
      <c r="K943" s="33"/>
      <c r="L943" s="33"/>
      <c r="M943" s="33"/>
      <c r="N943" s="33"/>
      <c r="O943" s="33"/>
      <c r="P943" s="33"/>
      <c r="Q943" s="33"/>
      <c r="R943" s="33"/>
    </row>
    <row r="944">
      <c r="A944" s="33"/>
      <c r="B944" s="33"/>
      <c r="C944" s="33"/>
      <c r="D944" s="33"/>
      <c r="E944" s="33"/>
      <c r="F944" s="33"/>
      <c r="G944" s="33"/>
      <c r="H944" s="33"/>
      <c r="I944" s="33"/>
      <c r="J944" s="33"/>
      <c r="K944" s="33"/>
      <c r="L944" s="33"/>
      <c r="M944" s="33"/>
      <c r="N944" s="33"/>
      <c r="O944" s="33"/>
      <c r="P944" s="33"/>
      <c r="Q944" s="33"/>
      <c r="R944" s="33"/>
    </row>
    <row r="945">
      <c r="A945" s="33"/>
      <c r="B945" s="33"/>
      <c r="C945" s="33"/>
      <c r="D945" s="33"/>
      <c r="E945" s="33"/>
      <c r="F945" s="33"/>
      <c r="G945" s="33"/>
      <c r="H945" s="33"/>
      <c r="I945" s="33"/>
      <c r="J945" s="33"/>
      <c r="K945" s="33"/>
      <c r="L945" s="33"/>
      <c r="M945" s="33"/>
      <c r="N945" s="33"/>
      <c r="O945" s="33"/>
      <c r="P945" s="33"/>
      <c r="Q945" s="33"/>
      <c r="R945" s="33"/>
    </row>
    <row r="946">
      <c r="A946" s="33"/>
      <c r="B946" s="33"/>
      <c r="C946" s="33"/>
      <c r="D946" s="33"/>
      <c r="E946" s="33"/>
      <c r="F946" s="33"/>
      <c r="G946" s="33"/>
      <c r="H946" s="33"/>
      <c r="I946" s="33"/>
      <c r="J946" s="33"/>
      <c r="K946" s="33"/>
      <c r="L946" s="33"/>
      <c r="M946" s="33"/>
      <c r="N946" s="33"/>
      <c r="O946" s="33"/>
      <c r="P946" s="33"/>
      <c r="Q946" s="33"/>
      <c r="R946" s="33"/>
    </row>
    <row r="947">
      <c r="A947" s="33"/>
      <c r="B947" s="33"/>
      <c r="C947" s="33"/>
      <c r="D947" s="33"/>
      <c r="E947" s="33"/>
      <c r="F947" s="33"/>
      <c r="G947" s="33"/>
      <c r="H947" s="33"/>
      <c r="I947" s="33"/>
      <c r="J947" s="33"/>
      <c r="K947" s="33"/>
      <c r="L947" s="33"/>
      <c r="M947" s="33"/>
      <c r="N947" s="33"/>
      <c r="O947" s="33"/>
      <c r="P947" s="33"/>
      <c r="Q947" s="33"/>
      <c r="R947" s="33"/>
    </row>
    <row r="948">
      <c r="A948" s="33"/>
      <c r="B948" s="33"/>
      <c r="C948" s="33"/>
      <c r="D948" s="33"/>
      <c r="E948" s="33"/>
      <c r="F948" s="33"/>
      <c r="G948" s="33"/>
      <c r="H948" s="33"/>
      <c r="I948" s="33"/>
      <c r="J948" s="33"/>
      <c r="K948" s="33"/>
      <c r="L948" s="33"/>
      <c r="M948" s="33"/>
      <c r="N948" s="33"/>
      <c r="O948" s="33"/>
      <c r="P948" s="33"/>
      <c r="Q948" s="33"/>
      <c r="R948" s="33"/>
    </row>
    <row r="949">
      <c r="A949" s="33"/>
      <c r="B949" s="33"/>
      <c r="C949" s="33"/>
      <c r="D949" s="33"/>
      <c r="E949" s="33"/>
      <c r="F949" s="33"/>
      <c r="G949" s="33"/>
      <c r="H949" s="33"/>
      <c r="I949" s="33"/>
      <c r="J949" s="33"/>
      <c r="K949" s="33"/>
      <c r="L949" s="33"/>
      <c r="M949" s="33"/>
      <c r="N949" s="33"/>
      <c r="O949" s="33"/>
      <c r="P949" s="33"/>
      <c r="Q949" s="33"/>
      <c r="R949" s="33"/>
    </row>
    <row r="950">
      <c r="A950" s="33"/>
      <c r="B950" s="33"/>
      <c r="C950" s="33"/>
      <c r="D950" s="33"/>
      <c r="E950" s="33"/>
      <c r="F950" s="33"/>
      <c r="G950" s="33"/>
      <c r="H950" s="33"/>
      <c r="I950" s="33"/>
      <c r="J950" s="33"/>
      <c r="K950" s="33"/>
      <c r="L950" s="33"/>
      <c r="M950" s="33"/>
      <c r="N950" s="33"/>
      <c r="O950" s="33"/>
      <c r="P950" s="33"/>
      <c r="Q950" s="33"/>
      <c r="R950" s="33"/>
    </row>
    <row r="951">
      <c r="A951" s="33"/>
      <c r="B951" s="33"/>
      <c r="C951" s="33"/>
      <c r="D951" s="33"/>
      <c r="E951" s="33"/>
      <c r="F951" s="33"/>
      <c r="G951" s="33"/>
      <c r="H951" s="33"/>
      <c r="I951" s="33"/>
      <c r="J951" s="33"/>
      <c r="K951" s="33"/>
      <c r="L951" s="33"/>
      <c r="M951" s="33"/>
      <c r="N951" s="33"/>
      <c r="O951" s="33"/>
      <c r="P951" s="33"/>
      <c r="Q951" s="33"/>
      <c r="R951" s="33"/>
    </row>
    <row r="952">
      <c r="A952" s="33"/>
      <c r="B952" s="33"/>
      <c r="C952" s="33"/>
      <c r="D952" s="33"/>
      <c r="E952" s="33"/>
      <c r="F952" s="33"/>
      <c r="G952" s="33"/>
      <c r="H952" s="33"/>
      <c r="I952" s="33"/>
      <c r="J952" s="33"/>
      <c r="K952" s="33"/>
      <c r="L952" s="33"/>
      <c r="M952" s="33"/>
      <c r="N952" s="33"/>
      <c r="O952" s="33"/>
      <c r="P952" s="33"/>
      <c r="Q952" s="33"/>
      <c r="R952" s="33"/>
    </row>
    <row r="953">
      <c r="A953" s="33"/>
      <c r="B953" s="33"/>
      <c r="C953" s="33"/>
      <c r="D953" s="33"/>
      <c r="E953" s="33"/>
      <c r="F953" s="33"/>
      <c r="G953" s="33"/>
      <c r="H953" s="33"/>
      <c r="I953" s="33"/>
      <c r="J953" s="33"/>
      <c r="K953" s="33"/>
      <c r="L953" s="33"/>
      <c r="M953" s="33"/>
      <c r="N953" s="33"/>
      <c r="O953" s="33"/>
      <c r="P953" s="33"/>
      <c r="Q953" s="33"/>
      <c r="R953" s="33"/>
    </row>
    <row r="954">
      <c r="A954" s="33"/>
      <c r="B954" s="33"/>
      <c r="C954" s="33"/>
      <c r="D954" s="33"/>
      <c r="E954" s="33"/>
      <c r="F954" s="33"/>
      <c r="G954" s="33"/>
      <c r="H954" s="33"/>
      <c r="I954" s="33"/>
      <c r="J954" s="33"/>
      <c r="K954" s="33"/>
      <c r="L954" s="33"/>
      <c r="M954" s="33"/>
      <c r="N954" s="33"/>
      <c r="O954" s="33"/>
      <c r="P954" s="33"/>
      <c r="Q954" s="33"/>
      <c r="R954" s="33"/>
    </row>
    <row r="955">
      <c r="A955" s="33"/>
      <c r="B955" s="33"/>
      <c r="C955" s="33"/>
      <c r="D955" s="33"/>
      <c r="E955" s="33"/>
      <c r="F955" s="33"/>
      <c r="G955" s="33"/>
      <c r="H955" s="33"/>
      <c r="I955" s="33"/>
      <c r="J955" s="33"/>
      <c r="K955" s="33"/>
      <c r="L955" s="33"/>
      <c r="M955" s="33"/>
      <c r="N955" s="33"/>
      <c r="O955" s="33"/>
      <c r="P955" s="33"/>
      <c r="Q955" s="33"/>
      <c r="R955" s="33"/>
    </row>
    <row r="956">
      <c r="A956" s="33"/>
      <c r="B956" s="33"/>
      <c r="C956" s="33"/>
      <c r="D956" s="33"/>
      <c r="E956" s="33"/>
      <c r="F956" s="33"/>
      <c r="G956" s="33"/>
      <c r="H956" s="33"/>
      <c r="I956" s="33"/>
      <c r="J956" s="33"/>
      <c r="K956" s="33"/>
      <c r="L956" s="33"/>
      <c r="M956" s="33"/>
      <c r="N956" s="33"/>
      <c r="O956" s="33"/>
      <c r="P956" s="33"/>
      <c r="Q956" s="33"/>
      <c r="R956" s="33"/>
    </row>
    <row r="957">
      <c r="A957" s="33"/>
      <c r="B957" s="33"/>
      <c r="C957" s="33"/>
      <c r="D957" s="33"/>
      <c r="E957" s="33"/>
      <c r="F957" s="33"/>
      <c r="G957" s="33"/>
      <c r="H957" s="33"/>
      <c r="I957" s="33"/>
      <c r="J957" s="33"/>
      <c r="K957" s="33"/>
      <c r="L957" s="33"/>
      <c r="M957" s="33"/>
      <c r="N957" s="33"/>
      <c r="O957" s="33"/>
      <c r="P957" s="33"/>
      <c r="Q957" s="33"/>
      <c r="R957" s="33"/>
    </row>
    <row r="958">
      <c r="A958" s="33"/>
      <c r="B958" s="33"/>
      <c r="C958" s="33"/>
      <c r="D958" s="33"/>
      <c r="E958" s="33"/>
      <c r="F958" s="33"/>
      <c r="G958" s="33"/>
      <c r="H958" s="33"/>
      <c r="I958" s="33"/>
      <c r="J958" s="33"/>
      <c r="K958" s="33"/>
      <c r="L958" s="33"/>
      <c r="M958" s="33"/>
      <c r="N958" s="33"/>
      <c r="O958" s="33"/>
      <c r="P958" s="33"/>
      <c r="Q958" s="33"/>
      <c r="R958" s="33"/>
    </row>
    <row r="959">
      <c r="A959" s="33"/>
      <c r="B959" s="33"/>
      <c r="C959" s="33"/>
      <c r="D959" s="33"/>
      <c r="E959" s="33"/>
      <c r="F959" s="33"/>
      <c r="G959" s="33"/>
      <c r="H959" s="33"/>
      <c r="I959" s="33"/>
      <c r="J959" s="33"/>
      <c r="K959" s="33"/>
      <c r="L959" s="33"/>
      <c r="M959" s="33"/>
      <c r="N959" s="33"/>
      <c r="O959" s="33"/>
      <c r="P959" s="33"/>
      <c r="Q959" s="33"/>
      <c r="R959" s="33"/>
    </row>
    <row r="960">
      <c r="A960" s="33"/>
      <c r="B960" s="33"/>
      <c r="C960" s="33"/>
      <c r="D960" s="33"/>
      <c r="E960" s="33"/>
      <c r="F960" s="33"/>
      <c r="G960" s="33"/>
      <c r="H960" s="33"/>
      <c r="I960" s="33"/>
      <c r="J960" s="33"/>
      <c r="K960" s="33"/>
      <c r="L960" s="33"/>
      <c r="M960" s="33"/>
      <c r="N960" s="33"/>
      <c r="O960" s="33"/>
      <c r="P960" s="33"/>
      <c r="Q960" s="33"/>
      <c r="R960" s="33"/>
    </row>
    <row r="961">
      <c r="A961" s="33"/>
      <c r="B961" s="33"/>
      <c r="C961" s="33"/>
      <c r="D961" s="33"/>
      <c r="E961" s="33"/>
      <c r="F961" s="33"/>
      <c r="G961" s="33"/>
      <c r="H961" s="33"/>
      <c r="I961" s="33"/>
      <c r="J961" s="33"/>
      <c r="K961" s="33"/>
      <c r="L961" s="33"/>
      <c r="M961" s="33"/>
      <c r="N961" s="33"/>
      <c r="O961" s="33"/>
      <c r="P961" s="33"/>
      <c r="Q961" s="33"/>
      <c r="R961" s="33"/>
    </row>
    <row r="962">
      <c r="A962" s="33"/>
      <c r="B962" s="33"/>
      <c r="C962" s="33"/>
      <c r="D962" s="33"/>
      <c r="E962" s="33"/>
      <c r="F962" s="33"/>
      <c r="G962" s="33"/>
      <c r="H962" s="33"/>
      <c r="I962" s="33"/>
      <c r="J962" s="33"/>
      <c r="K962" s="33"/>
      <c r="L962" s="33"/>
      <c r="M962" s="33"/>
      <c r="N962" s="33"/>
      <c r="O962" s="33"/>
      <c r="P962" s="33"/>
      <c r="Q962" s="33"/>
      <c r="R962" s="33"/>
    </row>
    <row r="963">
      <c r="A963" s="33"/>
      <c r="B963" s="33"/>
      <c r="C963" s="33"/>
      <c r="D963" s="33"/>
      <c r="E963" s="33"/>
      <c r="F963" s="33"/>
      <c r="G963" s="33"/>
      <c r="H963" s="33"/>
      <c r="I963" s="33"/>
      <c r="J963" s="33"/>
      <c r="K963" s="33"/>
      <c r="L963" s="33"/>
      <c r="M963" s="33"/>
      <c r="N963" s="33"/>
      <c r="O963" s="33"/>
      <c r="P963" s="33"/>
      <c r="Q963" s="33"/>
      <c r="R963" s="33"/>
    </row>
    <row r="964">
      <c r="A964" s="33"/>
      <c r="B964" s="33"/>
      <c r="C964" s="33"/>
      <c r="D964" s="33"/>
      <c r="E964" s="33"/>
      <c r="F964" s="33"/>
      <c r="G964" s="33"/>
      <c r="H964" s="33"/>
      <c r="I964" s="33"/>
      <c r="J964" s="33"/>
      <c r="K964" s="33"/>
      <c r="L964" s="33"/>
      <c r="M964" s="33"/>
      <c r="N964" s="33"/>
      <c r="O964" s="33"/>
      <c r="P964" s="33"/>
      <c r="Q964" s="33"/>
      <c r="R964" s="33"/>
    </row>
    <row r="965">
      <c r="A965" s="33"/>
      <c r="B965" s="33"/>
      <c r="C965" s="33"/>
      <c r="D965" s="33"/>
      <c r="E965" s="33"/>
      <c r="F965" s="33"/>
      <c r="G965" s="33"/>
      <c r="H965" s="33"/>
      <c r="I965" s="33"/>
      <c r="J965" s="33"/>
      <c r="K965" s="33"/>
      <c r="L965" s="33"/>
      <c r="M965" s="33"/>
      <c r="N965" s="33"/>
      <c r="O965" s="33"/>
      <c r="P965" s="33"/>
      <c r="Q965" s="33"/>
      <c r="R965" s="33"/>
    </row>
    <row r="966">
      <c r="A966" s="33"/>
      <c r="B966" s="33"/>
      <c r="C966" s="33"/>
      <c r="D966" s="33"/>
      <c r="E966" s="33"/>
      <c r="F966" s="33"/>
      <c r="G966" s="33"/>
      <c r="H966" s="33"/>
      <c r="I966" s="33"/>
      <c r="J966" s="33"/>
      <c r="K966" s="33"/>
      <c r="L966" s="33"/>
      <c r="M966" s="33"/>
      <c r="N966" s="33"/>
      <c r="O966" s="33"/>
      <c r="P966" s="33"/>
      <c r="Q966" s="33"/>
      <c r="R966" s="33"/>
    </row>
    <row r="967">
      <c r="A967" s="33"/>
      <c r="B967" s="33"/>
      <c r="C967" s="33"/>
      <c r="D967" s="33"/>
      <c r="E967" s="33"/>
      <c r="F967" s="33"/>
      <c r="G967" s="33"/>
      <c r="H967" s="33"/>
      <c r="I967" s="33"/>
      <c r="J967" s="33"/>
      <c r="K967" s="33"/>
      <c r="L967" s="33"/>
      <c r="M967" s="33"/>
      <c r="N967" s="33"/>
      <c r="O967" s="33"/>
      <c r="P967" s="33"/>
      <c r="Q967" s="33"/>
      <c r="R967" s="33"/>
    </row>
    <row r="968">
      <c r="A968" s="33"/>
      <c r="B968" s="33"/>
      <c r="C968" s="33"/>
      <c r="D968" s="33"/>
      <c r="E968" s="33"/>
      <c r="F968" s="33"/>
      <c r="G968" s="33"/>
      <c r="H968" s="33"/>
      <c r="I968" s="33"/>
      <c r="J968" s="33"/>
      <c r="K968" s="33"/>
      <c r="L968" s="33"/>
      <c r="M968" s="33"/>
      <c r="N968" s="33"/>
      <c r="O968" s="33"/>
      <c r="P968" s="33"/>
      <c r="Q968" s="33"/>
      <c r="R968" s="33"/>
    </row>
    <row r="969">
      <c r="A969" s="33"/>
      <c r="B969" s="33"/>
      <c r="C969" s="33"/>
      <c r="D969" s="33"/>
      <c r="E969" s="33"/>
      <c r="F969" s="33"/>
      <c r="G969" s="33"/>
      <c r="H969" s="33"/>
      <c r="I969" s="33"/>
      <c r="J969" s="33"/>
      <c r="K969" s="33"/>
      <c r="L969" s="33"/>
      <c r="M969" s="33"/>
      <c r="N969" s="33"/>
      <c r="O969" s="33"/>
      <c r="P969" s="33"/>
      <c r="Q969" s="33"/>
      <c r="R969" s="33"/>
    </row>
    <row r="970">
      <c r="A970" s="33"/>
      <c r="B970" s="33"/>
      <c r="C970" s="33"/>
      <c r="D970" s="33"/>
      <c r="E970" s="33"/>
      <c r="F970" s="33"/>
      <c r="G970" s="33"/>
      <c r="H970" s="33"/>
      <c r="I970" s="33"/>
      <c r="J970" s="33"/>
      <c r="K970" s="33"/>
      <c r="L970" s="33"/>
      <c r="M970" s="33"/>
      <c r="N970" s="33"/>
      <c r="O970" s="33"/>
      <c r="P970" s="33"/>
      <c r="Q970" s="33"/>
      <c r="R970" s="33"/>
    </row>
    <row r="971">
      <c r="A971" s="33"/>
      <c r="B971" s="33"/>
      <c r="C971" s="33"/>
      <c r="D971" s="33"/>
      <c r="E971" s="33"/>
      <c r="F971" s="33"/>
      <c r="G971" s="33"/>
      <c r="H971" s="33"/>
      <c r="I971" s="33"/>
      <c r="J971" s="33"/>
      <c r="K971" s="33"/>
      <c r="L971" s="33"/>
      <c r="M971" s="33"/>
      <c r="N971" s="33"/>
      <c r="O971" s="33"/>
      <c r="P971" s="33"/>
      <c r="Q971" s="33"/>
      <c r="R971" s="33"/>
    </row>
    <row r="972">
      <c r="A972" s="33"/>
      <c r="B972" s="33"/>
      <c r="C972" s="33"/>
      <c r="D972" s="33"/>
      <c r="E972" s="33"/>
      <c r="F972" s="33"/>
      <c r="G972" s="33"/>
      <c r="H972" s="33"/>
      <c r="I972" s="33"/>
      <c r="J972" s="33"/>
      <c r="K972" s="33"/>
      <c r="L972" s="33"/>
      <c r="M972" s="33"/>
      <c r="N972" s="33"/>
      <c r="O972" s="33"/>
      <c r="P972" s="33"/>
      <c r="Q972" s="33"/>
      <c r="R972" s="33"/>
    </row>
    <row r="973">
      <c r="A973" s="33"/>
      <c r="B973" s="33"/>
      <c r="C973" s="33"/>
      <c r="D973" s="33"/>
      <c r="E973" s="33"/>
      <c r="F973" s="33"/>
      <c r="G973" s="33"/>
      <c r="H973" s="33"/>
      <c r="I973" s="33"/>
      <c r="J973" s="33"/>
      <c r="K973" s="33"/>
      <c r="L973" s="33"/>
      <c r="M973" s="33"/>
      <c r="N973" s="33"/>
      <c r="O973" s="33"/>
      <c r="P973" s="33"/>
      <c r="Q973" s="33"/>
      <c r="R973" s="33"/>
    </row>
    <row r="974">
      <c r="A974" s="33"/>
      <c r="B974" s="33"/>
      <c r="C974" s="33"/>
      <c r="D974" s="33"/>
      <c r="E974" s="33"/>
      <c r="F974" s="33"/>
      <c r="G974" s="33"/>
      <c r="H974" s="33"/>
      <c r="I974" s="33"/>
      <c r="J974" s="33"/>
      <c r="K974" s="33"/>
      <c r="L974" s="33"/>
      <c r="M974" s="33"/>
      <c r="N974" s="33"/>
      <c r="O974" s="33"/>
      <c r="P974" s="33"/>
      <c r="Q974" s="33"/>
      <c r="R974" s="33"/>
    </row>
    <row r="975">
      <c r="A975" s="33"/>
      <c r="B975" s="33"/>
      <c r="C975" s="33"/>
      <c r="D975" s="33"/>
      <c r="E975" s="33"/>
      <c r="F975" s="33"/>
      <c r="G975" s="33"/>
      <c r="H975" s="33"/>
      <c r="I975" s="33"/>
      <c r="J975" s="33"/>
      <c r="K975" s="33"/>
      <c r="L975" s="33"/>
      <c r="M975" s="33"/>
      <c r="N975" s="33"/>
      <c r="O975" s="33"/>
      <c r="P975" s="33"/>
      <c r="Q975" s="33"/>
      <c r="R975" s="33"/>
    </row>
    <row r="976">
      <c r="A976" s="33"/>
      <c r="B976" s="33"/>
      <c r="C976" s="33"/>
      <c r="D976" s="33"/>
      <c r="E976" s="33"/>
      <c r="F976" s="33"/>
      <c r="G976" s="33"/>
      <c r="H976" s="33"/>
      <c r="I976" s="33"/>
      <c r="J976" s="33"/>
      <c r="K976" s="33"/>
      <c r="L976" s="33"/>
      <c r="M976" s="33"/>
      <c r="N976" s="33"/>
      <c r="O976" s="33"/>
      <c r="P976" s="33"/>
      <c r="Q976" s="33"/>
      <c r="R976" s="33"/>
    </row>
    <row r="977">
      <c r="A977" s="33"/>
      <c r="B977" s="33"/>
      <c r="C977" s="33"/>
      <c r="D977" s="33"/>
      <c r="E977" s="33"/>
      <c r="F977" s="33"/>
      <c r="G977" s="33"/>
      <c r="H977" s="33"/>
      <c r="I977" s="33"/>
      <c r="J977" s="33"/>
      <c r="K977" s="33"/>
      <c r="L977" s="33"/>
      <c r="M977" s="33"/>
      <c r="N977" s="33"/>
      <c r="O977" s="33"/>
      <c r="P977" s="33"/>
      <c r="Q977" s="33"/>
      <c r="R977" s="33"/>
    </row>
    <row r="978">
      <c r="A978" s="33"/>
      <c r="B978" s="33"/>
      <c r="C978" s="33"/>
      <c r="D978" s="33"/>
      <c r="E978" s="33"/>
      <c r="F978" s="33"/>
      <c r="G978" s="33"/>
      <c r="H978" s="33"/>
      <c r="I978" s="33"/>
      <c r="J978" s="33"/>
      <c r="K978" s="33"/>
      <c r="L978" s="33"/>
      <c r="M978" s="33"/>
      <c r="N978" s="33"/>
      <c r="O978" s="33"/>
      <c r="P978" s="33"/>
      <c r="Q978" s="33"/>
      <c r="R978" s="33"/>
    </row>
    <row r="979">
      <c r="A979" s="33"/>
      <c r="B979" s="33"/>
      <c r="C979" s="33"/>
      <c r="D979" s="33"/>
      <c r="E979" s="33"/>
      <c r="F979" s="33"/>
      <c r="G979" s="33"/>
      <c r="H979" s="33"/>
      <c r="I979" s="33"/>
      <c r="J979" s="33"/>
      <c r="K979" s="33"/>
      <c r="L979" s="33"/>
      <c r="M979" s="33"/>
      <c r="N979" s="33"/>
      <c r="O979" s="33"/>
      <c r="P979" s="33"/>
      <c r="Q979" s="33"/>
      <c r="R979" s="33"/>
    </row>
    <row r="980">
      <c r="A980" s="33"/>
      <c r="B980" s="33"/>
      <c r="C980" s="33"/>
      <c r="D980" s="33"/>
      <c r="E980" s="33"/>
      <c r="F980" s="33"/>
      <c r="G980" s="33"/>
      <c r="H980" s="33"/>
      <c r="I980" s="33"/>
      <c r="J980" s="33"/>
      <c r="K980" s="33"/>
      <c r="L980" s="33"/>
      <c r="M980" s="33"/>
      <c r="N980" s="33"/>
      <c r="O980" s="33"/>
      <c r="P980" s="33"/>
      <c r="Q980" s="33"/>
      <c r="R980" s="33"/>
    </row>
    <row r="981">
      <c r="A981" s="33"/>
      <c r="B981" s="33"/>
      <c r="C981" s="33"/>
      <c r="D981" s="33"/>
      <c r="E981" s="33"/>
      <c r="F981" s="33"/>
      <c r="G981" s="33"/>
      <c r="H981" s="33"/>
      <c r="I981" s="33"/>
      <c r="J981" s="33"/>
      <c r="K981" s="33"/>
      <c r="L981" s="33"/>
      <c r="M981" s="33"/>
      <c r="N981" s="33"/>
      <c r="O981" s="33"/>
      <c r="P981" s="33"/>
      <c r="Q981" s="33"/>
      <c r="R981" s="33"/>
    </row>
    <row r="982">
      <c r="A982" s="33"/>
      <c r="B982" s="33"/>
      <c r="C982" s="33"/>
      <c r="D982" s="33"/>
      <c r="E982" s="33"/>
      <c r="F982" s="33"/>
      <c r="G982" s="33"/>
      <c r="H982" s="33"/>
      <c r="I982" s="33"/>
      <c r="J982" s="33"/>
      <c r="K982" s="33"/>
      <c r="L982" s="33"/>
      <c r="M982" s="33"/>
      <c r="N982" s="33"/>
      <c r="O982" s="33"/>
      <c r="P982" s="33"/>
      <c r="Q982" s="33"/>
      <c r="R982" s="33"/>
    </row>
    <row r="983">
      <c r="A983" s="33"/>
      <c r="B983" s="33"/>
      <c r="C983" s="33"/>
      <c r="D983" s="33"/>
      <c r="E983" s="33"/>
      <c r="F983" s="33"/>
      <c r="G983" s="33"/>
      <c r="H983" s="33"/>
      <c r="I983" s="33"/>
      <c r="J983" s="33"/>
      <c r="K983" s="33"/>
      <c r="L983" s="33"/>
      <c r="M983" s="33"/>
      <c r="N983" s="33"/>
      <c r="O983" s="33"/>
      <c r="P983" s="33"/>
      <c r="Q983" s="33"/>
      <c r="R983" s="33"/>
    </row>
    <row r="984">
      <c r="A984" s="33"/>
      <c r="B984" s="33"/>
      <c r="C984" s="33"/>
      <c r="D984" s="33"/>
      <c r="E984" s="33"/>
      <c r="F984" s="33"/>
      <c r="G984" s="33"/>
      <c r="H984" s="33"/>
      <c r="I984" s="33"/>
      <c r="J984" s="33"/>
      <c r="K984" s="33"/>
      <c r="L984" s="33"/>
      <c r="M984" s="33"/>
      <c r="N984" s="33"/>
      <c r="O984" s="33"/>
      <c r="P984" s="33"/>
      <c r="Q984" s="33"/>
      <c r="R984" s="33"/>
    </row>
    <row r="985">
      <c r="A985" s="33"/>
      <c r="B985" s="33"/>
      <c r="C985" s="33"/>
      <c r="D985" s="33"/>
      <c r="E985" s="33"/>
      <c r="F985" s="33"/>
      <c r="G985" s="33"/>
      <c r="H985" s="33"/>
      <c r="I985" s="33"/>
      <c r="J985" s="33"/>
      <c r="K985" s="33"/>
      <c r="L985" s="33"/>
      <c r="M985" s="33"/>
      <c r="N985" s="33"/>
      <c r="O985" s="33"/>
      <c r="P985" s="33"/>
      <c r="Q985" s="33"/>
      <c r="R985" s="33"/>
    </row>
    <row r="986">
      <c r="A986" s="33"/>
      <c r="B986" s="33"/>
      <c r="C986" s="33"/>
      <c r="D986" s="33"/>
      <c r="E986" s="33"/>
      <c r="F986" s="33"/>
      <c r="G986" s="33"/>
      <c r="H986" s="33"/>
      <c r="I986" s="33"/>
      <c r="J986" s="33"/>
      <c r="K986" s="33"/>
      <c r="L986" s="33"/>
      <c r="M986" s="33"/>
      <c r="N986" s="33"/>
      <c r="O986" s="33"/>
      <c r="P986" s="33"/>
      <c r="Q986" s="33"/>
      <c r="R986" s="33"/>
    </row>
    <row r="987">
      <c r="A987" s="33"/>
      <c r="B987" s="33"/>
      <c r="C987" s="33"/>
      <c r="D987" s="33"/>
      <c r="E987" s="33"/>
      <c r="F987" s="33"/>
      <c r="G987" s="33"/>
      <c r="H987" s="33"/>
      <c r="I987" s="33"/>
      <c r="J987" s="33"/>
      <c r="K987" s="33"/>
      <c r="L987" s="33"/>
      <c r="M987" s="33"/>
      <c r="N987" s="33"/>
      <c r="O987" s="33"/>
      <c r="P987" s="33"/>
      <c r="Q987" s="33"/>
      <c r="R987" s="33"/>
    </row>
    <row r="988">
      <c r="A988" s="33"/>
      <c r="B988" s="33"/>
      <c r="C988" s="33"/>
      <c r="D988" s="33"/>
      <c r="E988" s="33"/>
      <c r="F988" s="33"/>
      <c r="G988" s="33"/>
      <c r="H988" s="33"/>
      <c r="I988" s="33"/>
      <c r="J988" s="33"/>
      <c r="K988" s="33"/>
      <c r="L988" s="33"/>
      <c r="M988" s="33"/>
      <c r="N988" s="33"/>
      <c r="O988" s="33"/>
      <c r="P988" s="33"/>
      <c r="Q988" s="33"/>
      <c r="R988" s="33"/>
    </row>
    <row r="989">
      <c r="A989" s="33"/>
      <c r="B989" s="33"/>
      <c r="C989" s="33"/>
      <c r="D989" s="33"/>
      <c r="E989" s="33"/>
      <c r="F989" s="33"/>
      <c r="G989" s="33"/>
      <c r="H989" s="33"/>
      <c r="I989" s="33"/>
      <c r="J989" s="33"/>
      <c r="K989" s="33"/>
      <c r="L989" s="33"/>
      <c r="M989" s="33"/>
      <c r="N989" s="33"/>
      <c r="O989" s="33"/>
      <c r="P989" s="33"/>
      <c r="Q989" s="33"/>
      <c r="R989" s="33"/>
    </row>
    <row r="990">
      <c r="A990" s="33"/>
      <c r="B990" s="33"/>
      <c r="C990" s="33"/>
      <c r="D990" s="33"/>
      <c r="E990" s="33"/>
      <c r="F990" s="33"/>
      <c r="G990" s="33"/>
      <c r="H990" s="33"/>
      <c r="I990" s="33"/>
      <c r="J990" s="33"/>
      <c r="K990" s="33"/>
      <c r="L990" s="33"/>
      <c r="M990" s="33"/>
      <c r="N990" s="33"/>
      <c r="O990" s="33"/>
      <c r="P990" s="33"/>
      <c r="Q990" s="33"/>
      <c r="R990" s="33"/>
    </row>
    <row r="991">
      <c r="A991" s="33"/>
      <c r="B991" s="33"/>
      <c r="C991" s="33"/>
      <c r="D991" s="33"/>
      <c r="E991" s="33"/>
      <c r="F991" s="33"/>
      <c r="G991" s="33"/>
      <c r="H991" s="33"/>
      <c r="I991" s="33"/>
      <c r="J991" s="33"/>
      <c r="K991" s="33"/>
      <c r="L991" s="33"/>
      <c r="M991" s="33"/>
      <c r="N991" s="33"/>
      <c r="O991" s="33"/>
      <c r="P991" s="33"/>
      <c r="Q991" s="33"/>
      <c r="R991" s="33"/>
    </row>
    <row r="992">
      <c r="A992" s="33"/>
      <c r="B992" s="33"/>
      <c r="C992" s="33"/>
      <c r="D992" s="33"/>
      <c r="E992" s="33"/>
      <c r="F992" s="33"/>
      <c r="G992" s="33"/>
      <c r="H992" s="33"/>
      <c r="I992" s="33"/>
      <c r="J992" s="33"/>
      <c r="K992" s="33"/>
      <c r="L992" s="33"/>
      <c r="M992" s="33"/>
      <c r="N992" s="33"/>
      <c r="O992" s="33"/>
      <c r="P992" s="33"/>
      <c r="Q992" s="33"/>
      <c r="R992" s="33"/>
    </row>
    <row r="993">
      <c r="A993" s="33"/>
      <c r="B993" s="33"/>
      <c r="C993" s="33"/>
      <c r="D993" s="33"/>
      <c r="E993" s="33"/>
      <c r="F993" s="33"/>
      <c r="G993" s="33"/>
      <c r="H993" s="33"/>
      <c r="I993" s="33"/>
      <c r="J993" s="33"/>
      <c r="K993" s="33"/>
      <c r="L993" s="33"/>
      <c r="M993" s="33"/>
      <c r="N993" s="33"/>
      <c r="O993" s="33"/>
      <c r="P993" s="33"/>
      <c r="Q993" s="33"/>
      <c r="R993" s="33"/>
    </row>
    <row r="994">
      <c r="A994" s="33"/>
      <c r="B994" s="33"/>
      <c r="C994" s="33"/>
      <c r="D994" s="33"/>
      <c r="E994" s="33"/>
      <c r="F994" s="33"/>
      <c r="G994" s="33"/>
      <c r="H994" s="33"/>
      <c r="I994" s="33"/>
      <c r="J994" s="33"/>
      <c r="K994" s="33"/>
      <c r="L994" s="33"/>
      <c r="M994" s="33"/>
      <c r="N994" s="33"/>
      <c r="O994" s="33"/>
      <c r="P994" s="33"/>
      <c r="Q994" s="33"/>
      <c r="R994" s="33"/>
    </row>
    <row r="995">
      <c r="A995" s="33"/>
      <c r="B995" s="33"/>
      <c r="C995" s="33"/>
      <c r="D995" s="33"/>
      <c r="E995" s="33"/>
      <c r="F995" s="33"/>
      <c r="G995" s="33"/>
      <c r="H995" s="33"/>
      <c r="I995" s="33"/>
      <c r="J995" s="33"/>
      <c r="K995" s="33"/>
      <c r="L995" s="33"/>
      <c r="M995" s="33"/>
      <c r="N995" s="33"/>
      <c r="O995" s="33"/>
      <c r="P995" s="33"/>
      <c r="Q995" s="33"/>
      <c r="R995" s="33"/>
    </row>
    <row r="996">
      <c r="A996" s="33"/>
      <c r="B996" s="33"/>
      <c r="C996" s="33"/>
      <c r="D996" s="33"/>
      <c r="E996" s="33"/>
      <c r="F996" s="33"/>
      <c r="G996" s="33"/>
      <c r="H996" s="33"/>
      <c r="I996" s="33"/>
      <c r="J996" s="33"/>
      <c r="K996" s="33"/>
      <c r="L996" s="33"/>
      <c r="M996" s="33"/>
      <c r="N996" s="33"/>
      <c r="O996" s="33"/>
      <c r="P996" s="33"/>
      <c r="Q996" s="33"/>
      <c r="R996" s="33"/>
    </row>
    <row r="997">
      <c r="A997" s="33"/>
      <c r="B997" s="33"/>
      <c r="C997" s="33"/>
      <c r="D997" s="33"/>
      <c r="E997" s="33"/>
      <c r="F997" s="33"/>
      <c r="G997" s="33"/>
      <c r="H997" s="33"/>
      <c r="I997" s="33"/>
      <c r="J997" s="33"/>
      <c r="K997" s="33"/>
      <c r="L997" s="33"/>
      <c r="M997" s="33"/>
      <c r="N997" s="33"/>
      <c r="O997" s="33"/>
      <c r="P997" s="33"/>
      <c r="Q997" s="33"/>
      <c r="R997" s="33"/>
    </row>
    <row r="998">
      <c r="A998" s="33"/>
      <c r="B998" s="33"/>
      <c r="C998" s="33"/>
      <c r="D998" s="33"/>
      <c r="E998" s="33"/>
      <c r="F998" s="33"/>
      <c r="G998" s="33"/>
      <c r="H998" s="33"/>
      <c r="I998" s="33"/>
      <c r="J998" s="33"/>
      <c r="K998" s="33"/>
      <c r="L998" s="33"/>
      <c r="M998" s="33"/>
      <c r="N998" s="33"/>
      <c r="O998" s="33"/>
      <c r="P998" s="33"/>
      <c r="Q998" s="33"/>
      <c r="R998" s="33"/>
    </row>
    <row r="999">
      <c r="A999" s="33"/>
      <c r="B999" s="33"/>
      <c r="C999" s="33"/>
      <c r="D999" s="33"/>
      <c r="E999" s="33"/>
      <c r="F999" s="33"/>
      <c r="G999" s="33"/>
      <c r="H999" s="33"/>
      <c r="I999" s="33"/>
      <c r="J999" s="33"/>
      <c r="K999" s="33"/>
      <c r="L999" s="33"/>
      <c r="M999" s="33"/>
      <c r="N999" s="33"/>
      <c r="O999" s="33"/>
      <c r="P999" s="33"/>
      <c r="Q999" s="33"/>
      <c r="R999" s="33"/>
    </row>
    <row r="1000">
      <c r="A1000" s="33"/>
      <c r="B1000" s="33"/>
      <c r="C1000" s="33"/>
      <c r="D1000" s="33"/>
      <c r="E1000" s="33"/>
      <c r="F1000" s="33"/>
      <c r="G1000" s="33"/>
      <c r="H1000" s="33"/>
      <c r="I1000" s="33"/>
      <c r="J1000" s="33"/>
      <c r="K1000" s="33"/>
      <c r="L1000" s="33"/>
      <c r="M1000" s="33"/>
      <c r="N1000" s="33"/>
      <c r="O1000" s="33"/>
      <c r="P1000" s="33"/>
      <c r="Q1000" s="33"/>
      <c r="R1000" s="33"/>
    </row>
    <row r="1001">
      <c r="A1001" s="33"/>
      <c r="B1001" s="33"/>
      <c r="C1001" s="33"/>
      <c r="D1001" s="33"/>
      <c r="E1001" s="33"/>
      <c r="F1001" s="33"/>
      <c r="G1001" s="33"/>
      <c r="H1001" s="33"/>
      <c r="I1001" s="33"/>
      <c r="J1001" s="33"/>
      <c r="K1001" s="33"/>
      <c r="L1001" s="33"/>
      <c r="M1001" s="33"/>
      <c r="N1001" s="33"/>
      <c r="O1001" s="33"/>
      <c r="P1001" s="33"/>
      <c r="Q1001" s="33"/>
      <c r="R1001" s="33"/>
    </row>
    <row r="1002">
      <c r="A1002" s="33"/>
      <c r="B1002" s="33"/>
      <c r="C1002" s="33"/>
      <c r="D1002" s="33"/>
      <c r="E1002" s="33"/>
      <c r="F1002" s="33"/>
      <c r="G1002" s="33"/>
      <c r="H1002" s="33"/>
      <c r="I1002" s="33"/>
      <c r="J1002" s="33"/>
      <c r="K1002" s="33"/>
      <c r="L1002" s="33"/>
      <c r="M1002" s="33"/>
      <c r="N1002" s="33"/>
      <c r="O1002" s="33"/>
      <c r="P1002" s="33"/>
      <c r="Q1002" s="33"/>
      <c r="R1002" s="33"/>
    </row>
    <row r="1003">
      <c r="A1003" s="33"/>
      <c r="B1003" s="33"/>
      <c r="C1003" s="33"/>
      <c r="D1003" s="33"/>
      <c r="E1003" s="33"/>
      <c r="F1003" s="33"/>
      <c r="G1003" s="33"/>
      <c r="H1003" s="33"/>
      <c r="I1003" s="33"/>
      <c r="J1003" s="33"/>
      <c r="K1003" s="33"/>
      <c r="L1003" s="33"/>
      <c r="M1003" s="33"/>
      <c r="N1003" s="33"/>
      <c r="O1003" s="33"/>
      <c r="P1003" s="33"/>
      <c r="Q1003" s="33"/>
      <c r="R1003" s="33"/>
    </row>
    <row r="1004">
      <c r="A1004" s="33"/>
      <c r="B1004" s="33"/>
      <c r="C1004" s="33"/>
      <c r="D1004" s="33"/>
      <c r="E1004" s="33"/>
      <c r="F1004" s="33"/>
      <c r="G1004" s="33"/>
      <c r="H1004" s="33"/>
      <c r="I1004" s="33"/>
      <c r="J1004" s="33"/>
      <c r="K1004" s="33"/>
      <c r="L1004" s="33"/>
      <c r="M1004" s="33"/>
      <c r="N1004" s="33"/>
      <c r="O1004" s="33"/>
      <c r="P1004" s="33"/>
      <c r="Q1004" s="33"/>
      <c r="R1004" s="33"/>
    </row>
    <row r="1005">
      <c r="A1005" s="33"/>
      <c r="B1005" s="33"/>
      <c r="C1005" s="33"/>
      <c r="D1005" s="33"/>
      <c r="E1005" s="33"/>
      <c r="F1005" s="33"/>
      <c r="G1005" s="33"/>
      <c r="H1005" s="33"/>
      <c r="I1005" s="33"/>
      <c r="J1005" s="33"/>
      <c r="K1005" s="33"/>
      <c r="L1005" s="33"/>
      <c r="M1005" s="33"/>
      <c r="N1005" s="33"/>
      <c r="O1005" s="33"/>
      <c r="P1005" s="33"/>
      <c r="Q1005" s="33"/>
      <c r="R1005" s="33"/>
    </row>
  </sheetData>
  <autoFilter ref="$A$1:$R$26"/>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0"/>
    <col customWidth="1" min="3" max="3" width="14.5"/>
    <col customWidth="1" min="7" max="7" width="15.88"/>
    <col customWidth="1" min="9" max="9" width="15.13"/>
    <col customWidth="1" min="10" max="10" width="17.5"/>
    <col customWidth="1" min="11" max="12" width="13.63"/>
    <col customWidth="1" min="13" max="13" width="13.13"/>
    <col customWidth="1" min="14" max="19" width="13.5"/>
    <col customWidth="1" min="21" max="25" width="13.5"/>
    <col customWidth="1" min="26" max="26" width="18.38"/>
    <col customWidth="1" min="27" max="27" width="15.88"/>
    <col customWidth="1" min="29" max="29" width="15.13"/>
    <col customWidth="1" min="30" max="30" width="19.5"/>
  </cols>
  <sheetData>
    <row r="1" ht="43.5" customHeight="1">
      <c r="A1" s="157" t="s">
        <v>39</v>
      </c>
      <c r="B1" s="157" t="s">
        <v>206</v>
      </c>
      <c r="C1" s="157" t="s">
        <v>291</v>
      </c>
      <c r="D1" s="157" t="s">
        <v>292</v>
      </c>
      <c r="E1" s="157" t="s">
        <v>293</v>
      </c>
      <c r="F1" s="157" t="s">
        <v>209</v>
      </c>
      <c r="G1" s="157" t="s">
        <v>213</v>
      </c>
      <c r="H1" s="157" t="s">
        <v>216</v>
      </c>
      <c r="I1" s="157" t="s">
        <v>294</v>
      </c>
      <c r="J1" s="157" t="s">
        <v>295</v>
      </c>
      <c r="K1" s="157" t="s">
        <v>282</v>
      </c>
      <c r="L1" s="157" t="s">
        <v>222</v>
      </c>
      <c r="M1" s="157" t="s">
        <v>296</v>
      </c>
      <c r="N1" s="157" t="s">
        <v>271</v>
      </c>
      <c r="O1" s="157" t="s">
        <v>272</v>
      </c>
      <c r="P1" s="157" t="s">
        <v>297</v>
      </c>
      <c r="Q1" s="157" t="s">
        <v>298</v>
      </c>
      <c r="R1" s="157" t="s">
        <v>289</v>
      </c>
      <c r="S1" s="157" t="s">
        <v>299</v>
      </c>
      <c r="T1" s="157" t="s">
        <v>300</v>
      </c>
      <c r="U1" s="157" t="s">
        <v>276</v>
      </c>
      <c r="V1" s="157" t="s">
        <v>301</v>
      </c>
      <c r="W1" s="157" t="s">
        <v>302</v>
      </c>
      <c r="X1" s="157" t="s">
        <v>290</v>
      </c>
      <c r="Y1" s="157" t="s">
        <v>303</v>
      </c>
      <c r="Z1" s="157" t="s">
        <v>235</v>
      </c>
      <c r="AA1" s="157" t="s">
        <v>238</v>
      </c>
      <c r="AB1" s="157" t="s">
        <v>242</v>
      </c>
      <c r="AC1" s="157" t="s">
        <v>43</v>
      </c>
      <c r="AD1" s="157" t="s">
        <v>247</v>
      </c>
      <c r="AE1" s="157" t="s">
        <v>304</v>
      </c>
      <c r="AF1" s="157" t="s">
        <v>305</v>
      </c>
      <c r="AG1" s="157" t="s">
        <v>306</v>
      </c>
      <c r="AH1" s="157"/>
    </row>
    <row r="2">
      <c r="A2" s="29" t="s">
        <v>51</v>
      </c>
      <c r="B2" s="56">
        <v>7.0</v>
      </c>
      <c r="C2" s="56">
        <v>10.0</v>
      </c>
      <c r="D2" s="56">
        <v>14.0</v>
      </c>
      <c r="E2" s="56">
        <v>4.0</v>
      </c>
      <c r="F2" s="33">
        <f t="shared" ref="F2:F26" si="1">(C2)+(D2*0.5)+(E2*0.25)</f>
        <v>18</v>
      </c>
      <c r="G2" s="56">
        <v>5.0</v>
      </c>
      <c r="H2" s="56">
        <v>3.6</v>
      </c>
      <c r="I2" s="56">
        <v>3.0</v>
      </c>
      <c r="J2" s="56">
        <v>3.0</v>
      </c>
      <c r="K2" s="56">
        <f t="shared" ref="K2:K26" si="2">I2+(J2*0.5)</f>
        <v>4.5</v>
      </c>
      <c r="L2" s="56">
        <v>15.0</v>
      </c>
      <c r="M2" s="56">
        <v>89214.0</v>
      </c>
      <c r="N2" s="56">
        <v>4527.0</v>
      </c>
      <c r="O2" s="33">
        <f>AVERAGEIFS(DATA_QB_SEASONS!K:K,DATA_QB_SEASONS!A:A,A2)*100</f>
        <v>117.841604</v>
      </c>
      <c r="P2" s="33">
        <v>266.3</v>
      </c>
      <c r="Q2" s="33">
        <v>279.2</v>
      </c>
      <c r="R2" s="33">
        <f t="shared" ref="R2:R26" si="3">Q2/P2</f>
        <v>1.048441607</v>
      </c>
      <c r="S2" s="33">
        <v>649.0</v>
      </c>
      <c r="T2" s="56">
        <v>33.0</v>
      </c>
      <c r="U2" s="56">
        <f>AVERAGEIFS(DATA_QB_SEASONS!L:L,DATA_QB_SEASONS!A:A,A2)*100</f>
        <v>131.1531833</v>
      </c>
      <c r="V2" s="56">
        <v>1.94</v>
      </c>
      <c r="W2" s="56">
        <v>1.83</v>
      </c>
      <c r="X2" s="56">
        <f t="shared" ref="X2:X26" si="4">W2/V2</f>
        <v>0.9432989691</v>
      </c>
      <c r="Y2" s="56">
        <v>116.0</v>
      </c>
      <c r="Z2" s="56">
        <v>3.35</v>
      </c>
      <c r="AA2" s="33">
        <v>115.33333333333333</v>
      </c>
      <c r="AB2" s="56">
        <v>128.4</v>
      </c>
      <c r="AC2" s="56">
        <v>5.0</v>
      </c>
      <c r="AD2" s="33">
        <v>0.9093484419263457</v>
      </c>
      <c r="AE2" s="33">
        <v>335.0</v>
      </c>
      <c r="AF2" s="158">
        <v>12050.0</v>
      </c>
      <c r="AG2" s="33">
        <v>326.0</v>
      </c>
      <c r="AH2" s="33"/>
    </row>
    <row r="3">
      <c r="A3" s="29" t="s">
        <v>56</v>
      </c>
      <c r="B3" s="56">
        <v>4.0</v>
      </c>
      <c r="C3" s="56">
        <v>4.0</v>
      </c>
      <c r="D3" s="56">
        <v>7.0</v>
      </c>
      <c r="E3" s="56">
        <v>1.0</v>
      </c>
      <c r="F3" s="33">
        <f t="shared" si="1"/>
        <v>7.75</v>
      </c>
      <c r="G3" s="56">
        <v>3.0</v>
      </c>
      <c r="H3" s="56">
        <v>1.63</v>
      </c>
      <c r="I3" s="56">
        <v>3.0</v>
      </c>
      <c r="J3" s="56">
        <v>2.0</v>
      </c>
      <c r="K3" s="56">
        <f t="shared" si="2"/>
        <v>4</v>
      </c>
      <c r="L3" s="56">
        <v>8.0</v>
      </c>
      <c r="M3" s="56">
        <v>40551.0</v>
      </c>
      <c r="N3" s="56">
        <v>3590.0</v>
      </c>
      <c r="O3" s="33">
        <f>AVERAGEIFS(DATA_QB_SEASONS!K:K,DATA_QB_SEASONS!A:A,A3)*100</f>
        <v>100.583523</v>
      </c>
      <c r="P3" s="33">
        <v>211.2</v>
      </c>
      <c r="Q3" s="33">
        <v>251.0</v>
      </c>
      <c r="R3" s="33">
        <f t="shared" si="3"/>
        <v>1.18844697</v>
      </c>
      <c r="S3" s="33">
        <v>273.0</v>
      </c>
      <c r="T3" s="56">
        <v>24.0</v>
      </c>
      <c r="U3" s="56">
        <f>AVERAGEIFS(DATA_QB_SEASONS!L:L,DATA_QB_SEASONS!A:A,A3)*100</f>
        <v>103.738596</v>
      </c>
      <c r="V3" s="56">
        <v>1.42</v>
      </c>
      <c r="W3" s="56">
        <v>1.96</v>
      </c>
      <c r="X3" s="56">
        <f t="shared" si="4"/>
        <v>1.38028169</v>
      </c>
      <c r="Y3" s="56">
        <v>120.0</v>
      </c>
      <c r="Z3" s="56">
        <v>8.73</v>
      </c>
      <c r="AA3" s="33">
        <v>114.66666666666666</v>
      </c>
      <c r="AB3" s="56">
        <v>123.8</v>
      </c>
      <c r="AC3" s="56">
        <v>3.0</v>
      </c>
      <c r="AD3" s="33">
        <v>1.0606060606060606</v>
      </c>
      <c r="AE3" s="56">
        <v>192.0</v>
      </c>
      <c r="AF3" s="158">
        <v>5391.0</v>
      </c>
      <c r="AG3" s="33">
        <v>166.0</v>
      </c>
      <c r="AH3" s="33"/>
    </row>
    <row r="4">
      <c r="A4" s="29" t="s">
        <v>52</v>
      </c>
      <c r="B4" s="56">
        <v>2.0</v>
      </c>
      <c r="C4" s="56">
        <v>4.0</v>
      </c>
      <c r="D4" s="56">
        <v>5.0</v>
      </c>
      <c r="E4" s="56">
        <v>3.0</v>
      </c>
      <c r="F4" s="33">
        <f t="shared" si="1"/>
        <v>7.25</v>
      </c>
      <c r="G4" s="56">
        <v>1.0</v>
      </c>
      <c r="H4" s="56">
        <v>4.58</v>
      </c>
      <c r="I4" s="56">
        <v>7.0</v>
      </c>
      <c r="J4" s="56">
        <v>3.0</v>
      </c>
      <c r="K4" s="56">
        <f t="shared" si="2"/>
        <v>8.5</v>
      </c>
      <c r="L4" s="56">
        <v>14.0</v>
      </c>
      <c r="M4" s="56">
        <v>71940.0</v>
      </c>
      <c r="N4" s="56">
        <v>4598.0</v>
      </c>
      <c r="O4" s="33">
        <f>AVERAGEIFS(DATA_QB_SEASONS!K:K,DATA_QB_SEASONS!A:A,A4)*100</f>
        <v>122.7629481</v>
      </c>
      <c r="P4" s="33">
        <v>270.5</v>
      </c>
      <c r="Q4" s="33">
        <v>271.8</v>
      </c>
      <c r="R4" s="33">
        <f t="shared" si="3"/>
        <v>1.004805915</v>
      </c>
      <c r="S4" s="33">
        <v>539.0</v>
      </c>
      <c r="T4" s="56">
        <v>34.0</v>
      </c>
      <c r="U4" s="56">
        <f>AVERAGEIFS(DATA_QB_SEASONS!L:L,DATA_QB_SEASONS!A:A,A4)*100</f>
        <v>142.6331441</v>
      </c>
      <c r="V4" s="56">
        <v>2.03</v>
      </c>
      <c r="W4" s="56">
        <v>1.48</v>
      </c>
      <c r="X4" s="56">
        <f t="shared" si="4"/>
        <v>0.7290640394</v>
      </c>
      <c r="Y4" s="56">
        <v>120.0</v>
      </c>
      <c r="Z4" s="56">
        <v>2.51</v>
      </c>
      <c r="AA4" s="33">
        <v>111.0</v>
      </c>
      <c r="AB4" s="56">
        <v>132.2</v>
      </c>
      <c r="AC4" s="56">
        <v>8.0</v>
      </c>
      <c r="AD4" s="33">
        <v>0.8772663877266388</v>
      </c>
      <c r="AE4" s="33">
        <v>266.0</v>
      </c>
      <c r="AF4" s="158">
        <v>9380.0</v>
      </c>
      <c r="AG4" s="33">
        <v>271.0</v>
      </c>
      <c r="AH4" s="33"/>
    </row>
    <row r="5">
      <c r="A5" s="29" t="s">
        <v>58</v>
      </c>
      <c r="B5" s="56">
        <v>1.0</v>
      </c>
      <c r="C5" s="56">
        <v>1.0</v>
      </c>
      <c r="D5" s="56">
        <v>3.0</v>
      </c>
      <c r="E5" s="56">
        <v>4.0</v>
      </c>
      <c r="F5" s="33">
        <f t="shared" si="1"/>
        <v>3.5</v>
      </c>
      <c r="G5" s="56">
        <v>1.0</v>
      </c>
      <c r="H5" s="56">
        <v>0.45</v>
      </c>
      <c r="I5" s="56">
        <v>1.0</v>
      </c>
      <c r="J5" s="56">
        <v>4.0</v>
      </c>
      <c r="K5" s="56">
        <f t="shared" si="2"/>
        <v>3</v>
      </c>
      <c r="L5" s="56">
        <v>13.0</v>
      </c>
      <c r="M5" s="56">
        <v>80358.0</v>
      </c>
      <c r="N5" s="56">
        <v>4760.0</v>
      </c>
      <c r="O5" s="33">
        <f>AVERAGEIFS(DATA_QB_SEASONS!K:K,DATA_QB_SEASONS!A:A,A5)*100</f>
        <v>117.5442686</v>
      </c>
      <c r="P5" s="33">
        <v>280.0</v>
      </c>
      <c r="Q5" s="33">
        <v>298.1</v>
      </c>
      <c r="R5" s="33">
        <f t="shared" si="3"/>
        <v>1.064642857</v>
      </c>
      <c r="S5" s="33">
        <v>571.0</v>
      </c>
      <c r="T5" s="56">
        <v>34.0</v>
      </c>
      <c r="U5" s="56">
        <f>AVERAGEIFS(DATA_QB_SEASONS!L:L,DATA_QB_SEASONS!A:A,A5)*100</f>
        <v>128.3063063</v>
      </c>
      <c r="V5" s="56">
        <v>1.99</v>
      </c>
      <c r="W5" s="56">
        <v>2.06</v>
      </c>
      <c r="X5" s="56">
        <f t="shared" si="4"/>
        <v>1.035175879</v>
      </c>
      <c r="Y5" s="56">
        <v>116.0</v>
      </c>
      <c r="Z5" s="56">
        <v>2.62</v>
      </c>
      <c r="AA5" s="33">
        <v>110.66666666666666</v>
      </c>
      <c r="AB5" s="56">
        <v>122.4</v>
      </c>
      <c r="AC5" s="56">
        <v>7.0</v>
      </c>
      <c r="AD5" s="33">
        <v>0.9816901408450704</v>
      </c>
      <c r="AE5" s="33">
        <v>287.0</v>
      </c>
      <c r="AF5" s="158">
        <v>10551.0</v>
      </c>
      <c r="AG5" s="33">
        <v>277.0</v>
      </c>
      <c r="AH5" s="33"/>
    </row>
    <row r="6">
      <c r="A6" s="29" t="s">
        <v>66</v>
      </c>
      <c r="B6" s="56">
        <v>5.0</v>
      </c>
      <c r="C6" s="56">
        <v>3.0</v>
      </c>
      <c r="D6" s="56">
        <v>1.0</v>
      </c>
      <c r="E6" s="56">
        <v>0.0</v>
      </c>
      <c r="F6" s="33">
        <f t="shared" si="1"/>
        <v>3.5</v>
      </c>
      <c r="G6" s="56">
        <v>2.0</v>
      </c>
      <c r="H6" s="56">
        <v>0.42</v>
      </c>
      <c r="I6" s="56">
        <v>1.0</v>
      </c>
      <c r="J6" s="56">
        <v>3.0</v>
      </c>
      <c r="K6" s="56">
        <f t="shared" si="2"/>
        <v>2.5</v>
      </c>
      <c r="L6" s="56">
        <v>4.0</v>
      </c>
      <c r="M6" s="56">
        <v>24718.0</v>
      </c>
      <c r="N6" s="56">
        <v>2144.0</v>
      </c>
      <c r="O6" s="33">
        <f>AVERAGEIFS(DATA_QB_SEASONS!K:K,DATA_QB_SEASONS!A:A,A6)*100</f>
        <v>80.79066961</v>
      </c>
      <c r="P6" s="33">
        <v>126.1</v>
      </c>
      <c r="Q6" s="56">
        <v>175.3</v>
      </c>
      <c r="R6" s="33">
        <f t="shared" si="3"/>
        <v>1.390166534</v>
      </c>
      <c r="S6" s="56">
        <v>152.0</v>
      </c>
      <c r="T6" s="56">
        <v>13.0</v>
      </c>
      <c r="U6" s="56">
        <f>AVERAGEIFS(DATA_QB_SEASONS!L:L,DATA_QB_SEASONS!A:A,A6)*100</f>
        <v>60.02360418</v>
      </c>
      <c r="V6" s="56">
        <v>0.78</v>
      </c>
      <c r="W6" s="56">
        <v>1.5</v>
      </c>
      <c r="X6" s="56">
        <f t="shared" si="4"/>
        <v>1.923076923</v>
      </c>
      <c r="Y6" s="56">
        <v>111.0</v>
      </c>
      <c r="Z6" s="56">
        <v>6.67</v>
      </c>
      <c r="AA6" s="33">
        <v>102.41666666666666</v>
      </c>
      <c r="AB6" s="56">
        <v>118.6</v>
      </c>
      <c r="AC6" s="56">
        <v>3.0</v>
      </c>
      <c r="AD6" s="33">
        <v>1.2688927943760984</v>
      </c>
      <c r="AE6" s="56">
        <v>196.0</v>
      </c>
      <c r="AF6" s="158">
        <v>3149.0</v>
      </c>
      <c r="AG6" s="56">
        <v>115.0</v>
      </c>
      <c r="AH6" s="56"/>
    </row>
    <row r="7">
      <c r="A7" s="29" t="s">
        <v>54</v>
      </c>
      <c r="B7" s="56">
        <v>1.0</v>
      </c>
      <c r="C7" s="56">
        <v>1.0</v>
      </c>
      <c r="D7" s="56">
        <v>6.0</v>
      </c>
      <c r="E7" s="56">
        <v>4.0</v>
      </c>
      <c r="F7" s="33">
        <f t="shared" si="1"/>
        <v>5</v>
      </c>
      <c r="G7" s="56">
        <v>1.0</v>
      </c>
      <c r="H7" s="56">
        <v>3.28</v>
      </c>
      <c r="I7" s="56">
        <v>4.0</v>
      </c>
      <c r="J7" s="56">
        <v>1.0</v>
      </c>
      <c r="K7" s="56">
        <f t="shared" si="2"/>
        <v>4.5</v>
      </c>
      <c r="L7" s="56">
        <v>10.0</v>
      </c>
      <c r="M7" s="56">
        <v>66274.0</v>
      </c>
      <c r="N7" s="56">
        <v>4268.0</v>
      </c>
      <c r="O7" s="33">
        <f>AVERAGEIFS(DATA_QB_SEASONS!K:K,DATA_QB_SEASONS!A:A,A7)*100</f>
        <v>108.3923651</v>
      </c>
      <c r="P7" s="33">
        <v>251.0</v>
      </c>
      <c r="Q7" s="33">
        <v>262.6</v>
      </c>
      <c r="R7" s="33">
        <f t="shared" si="3"/>
        <v>1.046215139</v>
      </c>
      <c r="S7" s="33">
        <v>527.0</v>
      </c>
      <c r="T7" s="56">
        <v>34.0</v>
      </c>
      <c r="U7" s="56">
        <f>AVERAGEIFS(DATA_QB_SEASONS!L:L,DATA_QB_SEASONS!A:A,A7)*100</f>
        <v>130.1337516</v>
      </c>
      <c r="V7" s="56">
        <v>2.0</v>
      </c>
      <c r="W7" s="56">
        <v>1.96</v>
      </c>
      <c r="X7" s="56">
        <f t="shared" si="4"/>
        <v>0.98</v>
      </c>
      <c r="Y7" s="56">
        <v>115.0</v>
      </c>
      <c r="Z7" s="56">
        <v>13.8</v>
      </c>
      <c r="AA7" s="33">
        <v>111.66666666666666</v>
      </c>
      <c r="AB7" s="56">
        <v>129.2</v>
      </c>
      <c r="AC7" s="56">
        <v>5.0</v>
      </c>
      <c r="AD7" s="33">
        <v>0.9513212795549374</v>
      </c>
      <c r="AE7" s="33">
        <v>264.0</v>
      </c>
      <c r="AF7" s="158">
        <v>8743.0</v>
      </c>
      <c r="AG7" s="33">
        <v>255.0</v>
      </c>
      <c r="AH7" s="33"/>
    </row>
    <row r="8">
      <c r="A8" s="29" t="s">
        <v>62</v>
      </c>
      <c r="B8" s="56">
        <v>3.0</v>
      </c>
      <c r="C8" s="56">
        <v>1.0</v>
      </c>
      <c r="D8" s="56">
        <v>2.0</v>
      </c>
      <c r="E8" s="56">
        <v>0.0</v>
      </c>
      <c r="F8" s="33">
        <f t="shared" si="1"/>
        <v>2</v>
      </c>
      <c r="G8" s="56">
        <v>0.0</v>
      </c>
      <c r="H8" s="56">
        <v>2.79</v>
      </c>
      <c r="I8" s="56">
        <v>5.0</v>
      </c>
      <c r="J8" s="56">
        <v>3.0</v>
      </c>
      <c r="K8" s="56">
        <f t="shared" si="2"/>
        <v>6.5</v>
      </c>
      <c r="L8" s="56">
        <v>10.0</v>
      </c>
      <c r="M8" s="56">
        <v>40239.0</v>
      </c>
      <c r="N8" s="56">
        <v>3242.0</v>
      </c>
      <c r="O8" s="33">
        <f>AVERAGEIFS(DATA_QB_SEASONS!K:K,DATA_QB_SEASONS!A:A,A8)*100</f>
        <v>116.012365</v>
      </c>
      <c r="P8" s="33">
        <v>190.7</v>
      </c>
      <c r="Q8" s="56">
        <v>184.8</v>
      </c>
      <c r="R8" s="33">
        <f t="shared" si="3"/>
        <v>0.9690613529</v>
      </c>
      <c r="S8" s="33">
        <v>290.0</v>
      </c>
      <c r="T8" s="56">
        <v>23.0</v>
      </c>
      <c r="U8" s="56">
        <f>AVERAGEIFS(DATA_QB_SEASONS!L:L,DATA_QB_SEASONS!A:A,A8)*100</f>
        <v>108.9827079</v>
      </c>
      <c r="V8" s="56">
        <v>1.37</v>
      </c>
      <c r="W8" s="56">
        <v>0.78</v>
      </c>
      <c r="X8" s="56">
        <f t="shared" si="4"/>
        <v>0.5693430657</v>
      </c>
      <c r="Y8" s="56">
        <v>107.0</v>
      </c>
      <c r="Z8" s="56">
        <v>8.42</v>
      </c>
      <c r="AA8" s="33">
        <v>106.1</v>
      </c>
      <c r="AB8" s="56">
        <v>121.0</v>
      </c>
      <c r="AC8" s="56">
        <v>4.0</v>
      </c>
      <c r="AD8" s="33">
        <v>0.7454212454212454</v>
      </c>
      <c r="AE8" s="33">
        <v>211.0</v>
      </c>
      <c r="AF8" s="158">
        <v>5186.0</v>
      </c>
      <c r="AG8" s="33">
        <v>145.0</v>
      </c>
      <c r="AH8" s="33"/>
    </row>
    <row r="9">
      <c r="A9" s="29" t="s">
        <v>55</v>
      </c>
      <c r="B9" s="56">
        <v>3.0</v>
      </c>
      <c r="C9" s="56">
        <v>5.0</v>
      </c>
      <c r="D9" s="56">
        <v>7.0</v>
      </c>
      <c r="E9" s="56">
        <v>2.0</v>
      </c>
      <c r="F9" s="33">
        <f t="shared" si="1"/>
        <v>9</v>
      </c>
      <c r="G9" s="131">
        <v>3.0</v>
      </c>
      <c r="H9" s="56">
        <v>1.93</v>
      </c>
      <c r="I9" s="56">
        <v>2.0</v>
      </c>
      <c r="J9" s="56">
        <v>1.0</v>
      </c>
      <c r="K9" s="56">
        <f t="shared" si="2"/>
        <v>2.5</v>
      </c>
      <c r="L9" s="56">
        <v>6.0</v>
      </c>
      <c r="M9" s="56">
        <v>35939.0</v>
      </c>
      <c r="N9" s="56">
        <v>4849.0</v>
      </c>
      <c r="O9" s="33">
        <f>AVERAGEIFS(DATA_QB_SEASONS!K:K,DATA_QB_SEASONS!A:A,A9)*100</f>
        <v>118.7846067</v>
      </c>
      <c r="P9" s="33">
        <v>285.2</v>
      </c>
      <c r="Q9" s="33">
        <v>276.9</v>
      </c>
      <c r="R9" s="33">
        <f t="shared" si="3"/>
        <v>0.9708976157</v>
      </c>
      <c r="S9" s="33">
        <v>267.0</v>
      </c>
      <c r="T9" s="56">
        <v>36.0</v>
      </c>
      <c r="U9" s="56">
        <f>AVERAGEIFS(DATA_QB_SEASONS!L:L,DATA_QB_SEASONS!A:A,A9)*100</f>
        <v>131.603873</v>
      </c>
      <c r="V9" s="56">
        <v>2.12</v>
      </c>
      <c r="W9" s="56">
        <v>2.19</v>
      </c>
      <c r="X9" s="56">
        <f t="shared" si="4"/>
        <v>1.033018868</v>
      </c>
      <c r="Y9" s="56">
        <v>117.0</v>
      </c>
      <c r="Z9" s="56">
        <v>21.2</v>
      </c>
      <c r="AA9" s="33">
        <v>110.33333333333333</v>
      </c>
      <c r="AB9" s="56">
        <v>126.2</v>
      </c>
      <c r="AC9" s="56">
        <v>4.0</v>
      </c>
      <c r="AD9" s="33">
        <v>1.016282225237449</v>
      </c>
      <c r="AE9" s="56">
        <v>126.0</v>
      </c>
      <c r="AF9" s="158">
        <v>4673.0</v>
      </c>
      <c r="AG9" s="33">
        <v>137.0</v>
      </c>
      <c r="AH9" s="33"/>
    </row>
    <row r="10">
      <c r="A10" s="29" t="s">
        <v>59</v>
      </c>
      <c r="B10" s="56">
        <v>0.0</v>
      </c>
      <c r="C10" s="56">
        <v>1.0</v>
      </c>
      <c r="D10" s="56">
        <v>3.0</v>
      </c>
      <c r="E10" s="56">
        <v>4.0</v>
      </c>
      <c r="F10" s="33">
        <f t="shared" si="1"/>
        <v>3.5</v>
      </c>
      <c r="G10" s="56">
        <v>0.0</v>
      </c>
      <c r="H10" s="56">
        <v>0.77</v>
      </c>
      <c r="I10" s="56">
        <v>3.0</v>
      </c>
      <c r="J10" s="56">
        <v>3.0</v>
      </c>
      <c r="K10" s="56">
        <f t="shared" si="2"/>
        <v>4.5</v>
      </c>
      <c r="L10" s="56">
        <v>9.0</v>
      </c>
      <c r="M10" s="56">
        <v>61361.0</v>
      </c>
      <c r="N10" s="56">
        <v>4310.0</v>
      </c>
      <c r="O10" s="33">
        <f>AVERAGEIFS(DATA_QB_SEASONS!K:K,DATA_QB_SEASONS!A:A,A10)*100</f>
        <v>115.3377664</v>
      </c>
      <c r="P10" s="33">
        <v>253.6</v>
      </c>
      <c r="Q10" s="33">
        <v>250.6</v>
      </c>
      <c r="R10" s="33">
        <f t="shared" si="3"/>
        <v>0.988170347</v>
      </c>
      <c r="S10" s="33">
        <v>420.0</v>
      </c>
      <c r="T10" s="56">
        <v>30.0</v>
      </c>
      <c r="U10" s="56">
        <f>AVERAGEIFS(DATA_QB_SEASONS!L:L,DATA_QB_SEASONS!A:A,A10)*100</f>
        <v>123.5059763</v>
      </c>
      <c r="V10" s="56">
        <v>1.74</v>
      </c>
      <c r="W10" s="56">
        <v>1.78</v>
      </c>
      <c r="X10" s="56">
        <f t="shared" si="4"/>
        <v>1.022988506</v>
      </c>
      <c r="Y10" s="56">
        <v>119.0</v>
      </c>
      <c r="Z10" s="56">
        <v>0.36</v>
      </c>
      <c r="AA10" s="33">
        <v>114.33333333333331</v>
      </c>
      <c r="AB10" s="56">
        <v>130.2</v>
      </c>
      <c r="AC10" s="56">
        <v>6.0</v>
      </c>
      <c r="AD10" s="33">
        <v>0.8458015267175573</v>
      </c>
      <c r="AE10" s="33">
        <v>242.0</v>
      </c>
      <c r="AF10" s="158">
        <v>8358.0</v>
      </c>
      <c r="AG10" s="33">
        <v>216.0</v>
      </c>
      <c r="AH10" s="33"/>
    </row>
    <row r="11">
      <c r="A11" s="29" t="s">
        <v>68</v>
      </c>
      <c r="B11" s="56">
        <v>2.0</v>
      </c>
      <c r="C11" s="56">
        <v>5.0</v>
      </c>
      <c r="D11" s="56">
        <v>6.0</v>
      </c>
      <c r="E11" s="56">
        <v>1.0</v>
      </c>
      <c r="F11" s="33">
        <f t="shared" si="1"/>
        <v>8.25</v>
      </c>
      <c r="G11" s="56">
        <v>1.0</v>
      </c>
      <c r="H11" s="56">
        <v>0.95</v>
      </c>
      <c r="I11" s="56">
        <v>0.0</v>
      </c>
      <c r="J11" s="56">
        <v>3.0</v>
      </c>
      <c r="K11" s="56">
        <f t="shared" si="2"/>
        <v>1.5</v>
      </c>
      <c r="L11" s="56">
        <v>9.0</v>
      </c>
      <c r="M11" s="56">
        <v>51475.0</v>
      </c>
      <c r="N11" s="56">
        <v>3740.0</v>
      </c>
      <c r="O11" s="33">
        <f>AVERAGEIFS(DATA_QB_SEASONS!K:K,DATA_QB_SEASONS!A:A,A11)*100</f>
        <v>98.81177066</v>
      </c>
      <c r="P11" s="33">
        <v>220.0</v>
      </c>
      <c r="Q11" s="33">
        <v>225.6</v>
      </c>
      <c r="R11" s="33">
        <f t="shared" si="3"/>
        <v>1.025454545</v>
      </c>
      <c r="S11" s="33">
        <v>300.0</v>
      </c>
      <c r="T11" s="56">
        <v>22.0</v>
      </c>
      <c r="U11" s="56">
        <f>AVERAGEIFS(DATA_QB_SEASONS!L:L,DATA_QB_SEASONS!A:A,A11)*100</f>
        <v>90.63945514</v>
      </c>
      <c r="V11" s="56">
        <v>1.28</v>
      </c>
      <c r="W11" s="56">
        <v>1.23</v>
      </c>
      <c r="X11" s="56">
        <f t="shared" si="4"/>
        <v>0.9609375</v>
      </c>
      <c r="Y11" s="56">
        <v>106.0</v>
      </c>
      <c r="Z11" s="56">
        <v>14.6</v>
      </c>
      <c r="AA11" s="33">
        <v>105.66666666666666</v>
      </c>
      <c r="AB11" s="56">
        <v>115.2</v>
      </c>
      <c r="AC11" s="56">
        <v>0.0</v>
      </c>
      <c r="AD11" s="33">
        <v>1.0982142857142858</v>
      </c>
      <c r="AE11" s="33">
        <v>234.0</v>
      </c>
      <c r="AF11" s="158">
        <v>7250.0</v>
      </c>
      <c r="AG11" s="33">
        <v>206.0</v>
      </c>
      <c r="AH11" s="33"/>
    </row>
    <row r="12">
      <c r="A12" s="29" t="s">
        <v>65</v>
      </c>
      <c r="B12" s="56">
        <v>4.0</v>
      </c>
      <c r="C12" s="56">
        <v>4.0</v>
      </c>
      <c r="D12" s="56">
        <v>6.0</v>
      </c>
      <c r="E12" s="56">
        <v>0.0</v>
      </c>
      <c r="F12" s="33">
        <f t="shared" si="1"/>
        <v>7</v>
      </c>
      <c r="G12" s="56">
        <v>2.0</v>
      </c>
      <c r="H12" s="56">
        <v>0.49</v>
      </c>
      <c r="I12" s="56">
        <v>1.0</v>
      </c>
      <c r="J12" s="56">
        <v>0.0</v>
      </c>
      <c r="K12" s="56">
        <f t="shared" si="2"/>
        <v>1</v>
      </c>
      <c r="L12" s="56">
        <v>3.0</v>
      </c>
      <c r="M12" s="56">
        <v>27989.0</v>
      </c>
      <c r="N12" s="56">
        <v>2832.0</v>
      </c>
      <c r="O12" s="33">
        <f>AVERAGEIFS(DATA_QB_SEASONS!K:K,DATA_QB_SEASONS!A:A,A12)*100</f>
        <v>93.67722727</v>
      </c>
      <c r="P12" s="33">
        <v>166.6</v>
      </c>
      <c r="Q12" s="56">
        <v>201.7</v>
      </c>
      <c r="R12" s="33">
        <f t="shared" si="3"/>
        <v>1.210684274</v>
      </c>
      <c r="S12" s="33">
        <v>212.0</v>
      </c>
      <c r="T12" s="56">
        <v>21.0</v>
      </c>
      <c r="U12" s="56">
        <f>AVERAGEIFS(DATA_QB_SEASONS!L:L,DATA_QB_SEASONS!A:A,A12)*100</f>
        <v>102.6866014</v>
      </c>
      <c r="V12" s="56">
        <v>1.26</v>
      </c>
      <c r="W12" s="56">
        <v>1.58</v>
      </c>
      <c r="X12" s="56">
        <f t="shared" si="4"/>
        <v>1.253968254</v>
      </c>
      <c r="Y12" s="56">
        <v>107.0</v>
      </c>
      <c r="Z12" s="56">
        <v>13.4</v>
      </c>
      <c r="AA12" s="33">
        <v>98.33333333333333</v>
      </c>
      <c r="AB12" s="56">
        <v>119.4</v>
      </c>
      <c r="AC12" s="56">
        <v>3.0</v>
      </c>
      <c r="AD12" s="33">
        <v>1.3438155136268346</v>
      </c>
      <c r="AE12" s="56">
        <v>168.0</v>
      </c>
      <c r="AF12" s="158">
        <v>3901.0</v>
      </c>
      <c r="AG12" s="33">
        <v>140.0</v>
      </c>
      <c r="AH12" s="33"/>
    </row>
    <row r="13">
      <c r="A13" s="29" t="s">
        <v>57</v>
      </c>
      <c r="B13" s="56">
        <v>1.0</v>
      </c>
      <c r="C13" s="56">
        <v>3.0</v>
      </c>
      <c r="D13" s="56">
        <v>7.0</v>
      </c>
      <c r="E13" s="56">
        <v>2.0</v>
      </c>
      <c r="F13" s="33">
        <f t="shared" si="1"/>
        <v>7</v>
      </c>
      <c r="G13" s="56">
        <v>1.0</v>
      </c>
      <c r="H13" s="56">
        <v>1.78</v>
      </c>
      <c r="I13" s="56">
        <v>3.0</v>
      </c>
      <c r="J13" s="56">
        <v>3.0</v>
      </c>
      <c r="K13" s="56">
        <f t="shared" si="2"/>
        <v>4.5</v>
      </c>
      <c r="L13" s="56">
        <v>7.0</v>
      </c>
      <c r="M13" s="56">
        <v>33124.0</v>
      </c>
      <c r="N13" s="56">
        <v>3332.0</v>
      </c>
      <c r="O13" s="33">
        <f>AVERAGEIFS(DATA_QB_SEASONS!K:K,DATA_QB_SEASONS!A:A,A13)*100</f>
        <v>98.82603408</v>
      </c>
      <c r="P13" s="33">
        <v>196.0</v>
      </c>
      <c r="Q13" s="159">
        <v>222.71428571428572</v>
      </c>
      <c r="R13" s="33">
        <f t="shared" si="3"/>
        <v>1.136297376</v>
      </c>
      <c r="S13" s="33">
        <v>232.0</v>
      </c>
      <c r="T13" s="56">
        <v>23.0</v>
      </c>
      <c r="U13" s="56">
        <f>AVERAGEIFS(DATA_QB_SEASONS!L:L,DATA_QB_SEASONS!A:A,A13)*100</f>
        <v>111.7965772</v>
      </c>
      <c r="V13" s="56">
        <v>1.37</v>
      </c>
      <c r="W13" s="160">
        <v>1.3571428571428572</v>
      </c>
      <c r="X13" s="56">
        <f t="shared" si="4"/>
        <v>0.9906152242</v>
      </c>
      <c r="Y13" s="56">
        <v>122.0</v>
      </c>
      <c r="Z13" s="56">
        <v>25.1</v>
      </c>
      <c r="AA13" s="33">
        <v>106.66666666666666</v>
      </c>
      <c r="AB13" s="56">
        <v>134.6</v>
      </c>
      <c r="AC13" s="56">
        <v>6.0</v>
      </c>
      <c r="AD13" s="33">
        <v>0.8846715328467153</v>
      </c>
      <c r="AE13" s="56">
        <v>169.0</v>
      </c>
      <c r="AF13" s="158">
        <v>4149.0</v>
      </c>
      <c r="AG13" s="33">
        <v>168.0</v>
      </c>
      <c r="AH13" s="33"/>
    </row>
    <row r="14">
      <c r="A14" s="29" t="s">
        <v>64</v>
      </c>
      <c r="B14" s="56">
        <v>2.0</v>
      </c>
      <c r="C14" s="56">
        <v>5.0</v>
      </c>
      <c r="D14" s="56">
        <v>6.0</v>
      </c>
      <c r="E14" s="56">
        <v>0.0</v>
      </c>
      <c r="F14" s="33">
        <f t="shared" si="1"/>
        <v>8</v>
      </c>
      <c r="G14" s="56">
        <v>1.0</v>
      </c>
      <c r="H14" s="56">
        <v>0.24</v>
      </c>
      <c r="I14" s="56">
        <v>0.0</v>
      </c>
      <c r="J14" s="56">
        <v>1.0</v>
      </c>
      <c r="K14" s="56">
        <f t="shared" si="2"/>
        <v>0.5</v>
      </c>
      <c r="L14" s="56">
        <v>6.0</v>
      </c>
      <c r="M14" s="56">
        <v>22700.0</v>
      </c>
      <c r="N14" s="56">
        <v>2946.0</v>
      </c>
      <c r="O14" s="33">
        <f>AVERAGEIFS(DATA_QB_SEASONS!K:K,DATA_QB_SEASONS!A:A,A14)*100</f>
        <v>119.3187147</v>
      </c>
      <c r="P14" s="33">
        <v>173.3</v>
      </c>
      <c r="Q14" s="56">
        <v>139.6</v>
      </c>
      <c r="R14" s="33">
        <f t="shared" si="3"/>
        <v>0.8055395268</v>
      </c>
      <c r="S14" s="56">
        <v>153.0</v>
      </c>
      <c r="T14" s="56">
        <v>20.0</v>
      </c>
      <c r="U14" s="56">
        <f>AVERAGEIFS(DATA_QB_SEASONS!L:L,DATA_QB_SEASONS!A:A,A14)*100</f>
        <v>118.3762823</v>
      </c>
      <c r="V14" s="56">
        <v>1.17</v>
      </c>
      <c r="W14" s="56">
        <v>1.2</v>
      </c>
      <c r="X14" s="56">
        <f t="shared" si="4"/>
        <v>1.025641026</v>
      </c>
      <c r="Y14" s="56">
        <v>118.0</v>
      </c>
      <c r="Z14" s="56">
        <v>17.3</v>
      </c>
      <c r="AA14" s="33">
        <v>106.66666666666666</v>
      </c>
      <c r="AB14" s="56">
        <v>124.0</v>
      </c>
      <c r="AC14" s="56">
        <v>4.0</v>
      </c>
      <c r="AD14" s="33">
        <v>0.7517482517482518</v>
      </c>
      <c r="AE14" s="56">
        <v>131.0</v>
      </c>
      <c r="AF14" s="158">
        <v>2958.0</v>
      </c>
      <c r="AG14" s="56">
        <v>127.0</v>
      </c>
      <c r="AH14" s="56"/>
    </row>
    <row r="15">
      <c r="A15" s="29" t="s">
        <v>70</v>
      </c>
      <c r="B15" s="56">
        <v>0.0</v>
      </c>
      <c r="C15" s="56">
        <v>3.0</v>
      </c>
      <c r="D15" s="56">
        <v>3.0</v>
      </c>
      <c r="E15" s="56">
        <v>0.0</v>
      </c>
      <c r="F15" s="33">
        <f t="shared" si="1"/>
        <v>4.5</v>
      </c>
      <c r="G15" s="56">
        <v>0.0</v>
      </c>
      <c r="H15" s="56">
        <v>0.04</v>
      </c>
      <c r="I15" s="56">
        <v>1.0</v>
      </c>
      <c r="J15" s="56">
        <v>1.0</v>
      </c>
      <c r="K15" s="56">
        <f t="shared" si="2"/>
        <v>1.5</v>
      </c>
      <c r="L15" s="56">
        <v>9.0</v>
      </c>
      <c r="M15" s="56">
        <v>47003.0</v>
      </c>
      <c r="N15" s="56">
        <v>3248.0</v>
      </c>
      <c r="O15" s="33">
        <f>AVERAGEIFS(DATA_QB_SEASONS!K:K,DATA_QB_SEASONS!A:A,A15)*100</f>
        <v>111.4896424</v>
      </c>
      <c r="P15" s="33">
        <v>191.1</v>
      </c>
      <c r="Q15" s="56">
        <v>163.9</v>
      </c>
      <c r="R15" s="33">
        <f t="shared" si="3"/>
        <v>0.8576661434</v>
      </c>
      <c r="S15" s="33">
        <v>342.0</v>
      </c>
      <c r="T15" s="56">
        <v>24.0</v>
      </c>
      <c r="U15" s="56">
        <f>AVERAGEIFS(DATA_QB_SEASONS!L:L,DATA_QB_SEASONS!A:A,A15)*100</f>
        <v>106.4078633</v>
      </c>
      <c r="V15" s="56">
        <v>1.39</v>
      </c>
      <c r="W15" s="56">
        <v>1.0</v>
      </c>
      <c r="X15" s="56">
        <f t="shared" si="4"/>
        <v>0.7194244604</v>
      </c>
      <c r="Y15" s="56">
        <v>112.0</v>
      </c>
      <c r="Z15" s="56">
        <v>14.9</v>
      </c>
      <c r="AA15" s="33">
        <v>108.99999999999999</v>
      </c>
      <c r="AB15" s="56">
        <v>120.8</v>
      </c>
      <c r="AC15" s="56">
        <v>2.0</v>
      </c>
      <c r="AD15" s="33">
        <v>0.6794625719769674</v>
      </c>
      <c r="AE15" s="33">
        <v>246.0</v>
      </c>
      <c r="AF15" s="158">
        <v>6467.0</v>
      </c>
      <c r="AG15" s="33">
        <v>233.0</v>
      </c>
      <c r="AH15" s="33"/>
    </row>
    <row r="16">
      <c r="A16" s="29" t="s">
        <v>53</v>
      </c>
      <c r="B16" s="56">
        <v>7.0</v>
      </c>
      <c r="C16" s="56">
        <v>2.0</v>
      </c>
      <c r="D16" s="56">
        <v>0.0</v>
      </c>
      <c r="E16" s="56">
        <v>0.0</v>
      </c>
      <c r="F16" s="33">
        <f t="shared" si="1"/>
        <v>2</v>
      </c>
      <c r="G16" s="56">
        <v>0.0</v>
      </c>
      <c r="H16" s="56">
        <v>2.11</v>
      </c>
      <c r="I16" s="56">
        <v>4.0</v>
      </c>
      <c r="J16" s="56">
        <v>2.0</v>
      </c>
      <c r="K16" s="56">
        <f t="shared" si="2"/>
        <v>5</v>
      </c>
      <c r="L16" s="56">
        <v>5.0</v>
      </c>
      <c r="M16" s="56">
        <v>23584.0</v>
      </c>
      <c r="N16" s="56">
        <v>3182.0</v>
      </c>
      <c r="O16" s="33">
        <f>AVERAGEIFS(DATA_QB_SEASONS!K:K,DATA_QB_SEASONS!A:A,A16)*100</f>
        <v>118.6277765</v>
      </c>
      <c r="P16" s="33">
        <v>187.2</v>
      </c>
      <c r="Q16" s="56">
        <v>175.1</v>
      </c>
      <c r="R16" s="33">
        <f t="shared" si="3"/>
        <v>0.9353632479</v>
      </c>
      <c r="S16" s="33">
        <v>174.0</v>
      </c>
      <c r="T16" s="56">
        <v>23.0</v>
      </c>
      <c r="U16" s="56">
        <f>AVERAGEIFS(DATA_QB_SEASONS!L:L,DATA_QB_SEASONS!A:A,A16)*100</f>
        <v>103.5192624</v>
      </c>
      <c r="V16" s="56">
        <v>1.38</v>
      </c>
      <c r="W16" s="56">
        <v>1.17</v>
      </c>
      <c r="X16" s="56">
        <f t="shared" si="4"/>
        <v>0.847826087</v>
      </c>
      <c r="Y16" s="56">
        <v>128.0</v>
      </c>
      <c r="Z16" s="56">
        <v>7.0</v>
      </c>
      <c r="AA16" s="33">
        <v>115.33333333333331</v>
      </c>
      <c r="AB16" s="56">
        <v>133.0</v>
      </c>
      <c r="AC16" s="96">
        <v>8.0</v>
      </c>
      <c r="AD16" s="33">
        <v>0.6745932415519399</v>
      </c>
      <c r="AE16" s="56">
        <v>126.0</v>
      </c>
      <c r="AF16" s="158">
        <v>2626.0</v>
      </c>
      <c r="AG16" s="93" t="s">
        <v>307</v>
      </c>
      <c r="AH16" s="33"/>
    </row>
    <row r="17">
      <c r="A17" s="29" t="s">
        <v>61</v>
      </c>
      <c r="B17" s="56">
        <v>1.0</v>
      </c>
      <c r="C17" s="56">
        <v>2.0</v>
      </c>
      <c r="D17" s="56">
        <v>5.0</v>
      </c>
      <c r="E17" s="56">
        <v>5.0</v>
      </c>
      <c r="F17" s="33">
        <f t="shared" si="1"/>
        <v>5.75</v>
      </c>
      <c r="G17" s="56">
        <v>0.0</v>
      </c>
      <c r="H17" s="56">
        <v>2.17</v>
      </c>
      <c r="I17" s="56">
        <v>3.0</v>
      </c>
      <c r="J17" s="56">
        <v>3.0</v>
      </c>
      <c r="K17" s="56">
        <f t="shared" si="2"/>
        <v>4.5</v>
      </c>
      <c r="L17" s="56">
        <v>11.0</v>
      </c>
      <c r="M17" s="56">
        <v>71838.0</v>
      </c>
      <c r="N17" s="56">
        <v>4044.0</v>
      </c>
      <c r="O17" s="33">
        <f>AVERAGEIFS(DATA_QB_SEASONS!K:K,DATA_QB_SEASONS!A:A,A17)*100</f>
        <v>113.4629288</v>
      </c>
      <c r="P17" s="33">
        <v>237.9</v>
      </c>
      <c r="Q17" s="33">
        <v>244.0</v>
      </c>
      <c r="R17" s="33">
        <f t="shared" si="3"/>
        <v>1.025641026</v>
      </c>
      <c r="S17" s="33">
        <v>508.0</v>
      </c>
      <c r="T17" s="56">
        <v>29.0</v>
      </c>
      <c r="U17" s="56">
        <f>AVERAGEIFS(DATA_QB_SEASONS!L:L,DATA_QB_SEASONS!A:A,A17)*100</f>
        <v>127.0761452</v>
      </c>
      <c r="V17" s="56">
        <v>1.68</v>
      </c>
      <c r="W17" s="56">
        <v>1.83</v>
      </c>
      <c r="X17" s="56">
        <f t="shared" si="4"/>
        <v>1.089285714</v>
      </c>
      <c r="Y17" s="56">
        <v>108.0</v>
      </c>
      <c r="Z17" s="56">
        <v>6.11</v>
      </c>
      <c r="AA17" s="33">
        <v>102.33333333333333</v>
      </c>
      <c r="AB17" s="56">
        <v>118.4</v>
      </c>
      <c r="AC17" s="56">
        <v>5.0</v>
      </c>
      <c r="AD17" s="33">
        <v>1.0505902192242835</v>
      </c>
      <c r="AE17" s="33">
        <v>302.0</v>
      </c>
      <c r="AF17" s="158">
        <v>10169.0</v>
      </c>
      <c r="AG17" s="33">
        <v>259.0</v>
      </c>
      <c r="AH17" s="33"/>
    </row>
    <row r="18">
      <c r="A18" s="29" t="s">
        <v>75</v>
      </c>
      <c r="B18" s="56">
        <v>0.0</v>
      </c>
      <c r="C18" s="56">
        <v>0.0</v>
      </c>
      <c r="D18" s="56">
        <v>0.0</v>
      </c>
      <c r="E18" s="56">
        <v>0.0</v>
      </c>
      <c r="F18" s="33">
        <f t="shared" si="1"/>
        <v>0</v>
      </c>
      <c r="G18" s="56">
        <v>0.0</v>
      </c>
      <c r="H18" s="56">
        <v>1.37</v>
      </c>
      <c r="I18" s="56">
        <v>3.0</v>
      </c>
      <c r="J18" s="56">
        <v>0.0</v>
      </c>
      <c r="K18" s="56">
        <f t="shared" si="2"/>
        <v>3</v>
      </c>
      <c r="L18" s="56">
        <v>7.0</v>
      </c>
      <c r="M18" s="56">
        <v>33070.0</v>
      </c>
      <c r="N18" s="56">
        <v>2756.0</v>
      </c>
      <c r="O18" s="33">
        <f>AVERAGEIFS(DATA_QB_SEASONS!K:K,DATA_QB_SEASONS!A:A,A18)*100</f>
        <v>97.42095397</v>
      </c>
      <c r="P18" s="56">
        <v>162.1</v>
      </c>
      <c r="Q18" s="56">
        <v>174.8</v>
      </c>
      <c r="R18" s="33">
        <f t="shared" si="3"/>
        <v>1.0783467</v>
      </c>
      <c r="S18" s="56">
        <v>242.0</v>
      </c>
      <c r="T18" s="56">
        <v>20.0</v>
      </c>
      <c r="U18" s="56">
        <f>AVERAGEIFS(DATA_QB_SEASONS!L:L,DATA_QB_SEASONS!A:A,A18)*100</f>
        <v>84.91765234</v>
      </c>
      <c r="V18" s="56">
        <v>1.19</v>
      </c>
      <c r="W18" s="56">
        <v>0.8</v>
      </c>
      <c r="X18" s="56">
        <f t="shared" si="4"/>
        <v>0.6722689076</v>
      </c>
      <c r="Y18" s="56">
        <v>110.0</v>
      </c>
      <c r="Z18" s="56">
        <v>6.1</v>
      </c>
      <c r="AA18" s="33">
        <v>95.0</v>
      </c>
      <c r="AB18" s="56">
        <v>112.8</v>
      </c>
      <c r="AC18" s="56">
        <v>6.0</v>
      </c>
      <c r="AD18" s="33">
        <v>0.3382594417077176</v>
      </c>
      <c r="AE18" s="56">
        <v>204.0</v>
      </c>
      <c r="AF18" s="161">
        <v>4395.0</v>
      </c>
      <c r="AG18" s="56">
        <v>47.0</v>
      </c>
      <c r="AH18" s="56"/>
    </row>
    <row r="19">
      <c r="A19" s="29" t="s">
        <v>71</v>
      </c>
      <c r="B19" s="56">
        <v>2.0</v>
      </c>
      <c r="C19" s="56">
        <v>3.0</v>
      </c>
      <c r="D19" s="56">
        <v>5.0</v>
      </c>
      <c r="E19" s="56">
        <v>3.0</v>
      </c>
      <c r="F19" s="33">
        <f t="shared" si="1"/>
        <v>6.25</v>
      </c>
      <c r="G19" s="56">
        <v>0.0</v>
      </c>
      <c r="H19" s="56">
        <v>0.0</v>
      </c>
      <c r="I19" s="56">
        <v>0.0</v>
      </c>
      <c r="J19" s="56">
        <v>0.0</v>
      </c>
      <c r="K19" s="56">
        <f t="shared" si="2"/>
        <v>0</v>
      </c>
      <c r="L19" s="56">
        <v>6.0</v>
      </c>
      <c r="M19" s="56">
        <v>64088.0</v>
      </c>
      <c r="N19" s="56">
        <v>4375.0</v>
      </c>
      <c r="O19" s="33">
        <f>AVERAGEIFS(DATA_QB_SEASONS!K:K,DATA_QB_SEASONS!A:A,A19)*100</f>
        <v>103.1332733</v>
      </c>
      <c r="P19" s="33">
        <v>257.4</v>
      </c>
      <c r="Q19" s="33">
        <v>259.7</v>
      </c>
      <c r="R19" s="33">
        <f t="shared" si="3"/>
        <v>1.008935509</v>
      </c>
      <c r="S19" s="33">
        <v>418.0</v>
      </c>
      <c r="T19" s="56">
        <v>29.0</v>
      </c>
      <c r="U19" s="56">
        <f>AVERAGEIFS(DATA_QB_SEASONS!L:L,DATA_QB_SEASONS!A:A,A19)*100</f>
        <v>103.1406889</v>
      </c>
      <c r="V19" s="56">
        <v>1.68</v>
      </c>
      <c r="W19" s="56">
        <v>1.57</v>
      </c>
      <c r="X19" s="56">
        <f t="shared" si="4"/>
        <v>0.9345238095</v>
      </c>
      <c r="Y19" s="56">
        <v>109.0</v>
      </c>
      <c r="Z19" s="56">
        <v>5.51</v>
      </c>
      <c r="AA19" s="33">
        <v>102.0</v>
      </c>
      <c r="AB19" s="56">
        <v>114.6</v>
      </c>
      <c r="AC19" s="56">
        <v>2.0</v>
      </c>
      <c r="AD19" s="33">
        <v>0.91350531107739</v>
      </c>
      <c r="AE19" s="33">
        <v>249.0</v>
      </c>
      <c r="AF19" s="158">
        <v>8443.0</v>
      </c>
      <c r="AG19" s="33">
        <v>208.0</v>
      </c>
      <c r="AH19" s="33"/>
    </row>
    <row r="20">
      <c r="A20" s="29" t="s">
        <v>63</v>
      </c>
      <c r="B20" s="56">
        <v>0.0</v>
      </c>
      <c r="C20" s="56">
        <v>0.0</v>
      </c>
      <c r="D20" s="56">
        <v>2.0</v>
      </c>
      <c r="E20" s="56">
        <v>1.0</v>
      </c>
      <c r="F20" s="33">
        <f t="shared" si="1"/>
        <v>1.25</v>
      </c>
      <c r="G20" s="56">
        <v>0.0</v>
      </c>
      <c r="H20" s="56">
        <v>0.76</v>
      </c>
      <c r="I20" s="56">
        <v>2.0</v>
      </c>
      <c r="J20" s="56">
        <v>2.0</v>
      </c>
      <c r="K20" s="56">
        <f t="shared" si="2"/>
        <v>3</v>
      </c>
      <c r="L20" s="56">
        <v>6.0</v>
      </c>
      <c r="M20" s="56">
        <v>43040.0</v>
      </c>
      <c r="N20" s="56">
        <v>4042.0</v>
      </c>
      <c r="O20" s="33">
        <f>AVERAGEIFS(DATA_QB_SEASONS!K:K,DATA_QB_SEASONS!A:A,A20)*100</f>
        <v>108.9645002</v>
      </c>
      <c r="P20" s="33">
        <v>237.8</v>
      </c>
      <c r="Q20" s="33">
        <v>303.6</v>
      </c>
      <c r="R20" s="33">
        <f t="shared" si="3"/>
        <v>1.276703112</v>
      </c>
      <c r="S20" s="33">
        <v>254.0</v>
      </c>
      <c r="T20" s="56">
        <v>24.0</v>
      </c>
      <c r="U20" s="56">
        <f>AVERAGEIFS(DATA_QB_SEASONS!L:L,DATA_QB_SEASONS!A:A,A20)*100</f>
        <v>95.51455577</v>
      </c>
      <c r="V20" s="56">
        <v>1.4</v>
      </c>
      <c r="W20" s="56">
        <v>1.71</v>
      </c>
      <c r="X20" s="56">
        <f t="shared" si="4"/>
        <v>1.221428571</v>
      </c>
      <c r="Y20" s="56">
        <v>117.0</v>
      </c>
      <c r="Z20" s="56">
        <v>2.63</v>
      </c>
      <c r="AA20" s="33">
        <v>106.99999999999999</v>
      </c>
      <c r="AB20" s="56">
        <v>128.8</v>
      </c>
      <c r="AC20" s="56">
        <v>7.0</v>
      </c>
      <c r="AD20" s="33">
        <v>0.8779661016949152</v>
      </c>
      <c r="AE20" s="56">
        <v>181.0</v>
      </c>
      <c r="AF20" s="158">
        <v>5604.0</v>
      </c>
      <c r="AG20" s="33">
        <v>163.0</v>
      </c>
      <c r="AH20" s="33"/>
    </row>
    <row r="21">
      <c r="A21" s="29" t="s">
        <v>69</v>
      </c>
      <c r="B21" s="56">
        <v>0.0</v>
      </c>
      <c r="C21" s="56">
        <v>0.0</v>
      </c>
      <c r="D21" s="56">
        <v>1.0</v>
      </c>
      <c r="E21" s="56">
        <v>2.0</v>
      </c>
      <c r="F21" s="33">
        <f t="shared" si="1"/>
        <v>1</v>
      </c>
      <c r="G21" s="56">
        <v>0.0</v>
      </c>
      <c r="H21" s="56">
        <v>2.71</v>
      </c>
      <c r="I21" s="56">
        <v>3.0</v>
      </c>
      <c r="J21" s="56">
        <v>0.0</v>
      </c>
      <c r="K21" s="56">
        <f t="shared" si="2"/>
        <v>3</v>
      </c>
      <c r="L21" s="56">
        <v>4.0</v>
      </c>
      <c r="M21" s="56">
        <v>22608.0</v>
      </c>
      <c r="N21" s="56">
        <v>3313.0</v>
      </c>
      <c r="O21" s="33">
        <f>AVERAGEIFS(DATA_QB_SEASONS!K:K,DATA_QB_SEASONS!A:A,A21)*100</f>
        <v>81.83701796</v>
      </c>
      <c r="P21" s="33">
        <v>194.9</v>
      </c>
      <c r="Q21" s="33">
        <v>219.1</v>
      </c>
      <c r="R21" s="33">
        <f t="shared" si="3"/>
        <v>1.124166239</v>
      </c>
      <c r="S21" s="33">
        <v>187.0</v>
      </c>
      <c r="T21" s="56">
        <v>27.0</v>
      </c>
      <c r="U21" s="56">
        <f>AVERAGEIFS(DATA_QB_SEASONS!L:L,DATA_QB_SEASONS!A:A,A21)*100</f>
        <v>102.915261</v>
      </c>
      <c r="V21" s="56">
        <v>1.61</v>
      </c>
      <c r="W21" s="56">
        <v>1.25</v>
      </c>
      <c r="X21" s="56">
        <f t="shared" si="4"/>
        <v>0.7763975155</v>
      </c>
      <c r="Y21" s="56">
        <v>116.0</v>
      </c>
      <c r="Z21" s="56">
        <v>56.2</v>
      </c>
      <c r="AA21" s="33">
        <v>103.0</v>
      </c>
      <c r="AB21" s="56">
        <v>116.2</v>
      </c>
      <c r="AC21" s="56">
        <v>1.0</v>
      </c>
      <c r="AD21" s="33">
        <v>0.743448275862069</v>
      </c>
      <c r="AE21" s="56">
        <v>116.0</v>
      </c>
      <c r="AF21" s="158">
        <v>2888.0</v>
      </c>
      <c r="AG21" s="56">
        <v>127.0</v>
      </c>
      <c r="AH21" s="56"/>
    </row>
    <row r="22">
      <c r="A22" s="29" t="s">
        <v>67</v>
      </c>
      <c r="B22" s="56">
        <v>1.0</v>
      </c>
      <c r="C22" s="56">
        <v>3.0</v>
      </c>
      <c r="D22" s="56">
        <v>3.0</v>
      </c>
      <c r="E22" s="56">
        <v>2.0</v>
      </c>
      <c r="F22" s="33">
        <f t="shared" si="1"/>
        <v>5</v>
      </c>
      <c r="G22" s="56">
        <v>1.0</v>
      </c>
      <c r="H22" s="56">
        <v>1.11</v>
      </c>
      <c r="I22" s="56">
        <v>2.0</v>
      </c>
      <c r="J22" s="56">
        <v>0.0</v>
      </c>
      <c r="K22" s="56">
        <f t="shared" si="2"/>
        <v>2</v>
      </c>
      <c r="L22" s="56">
        <v>4.0</v>
      </c>
      <c r="M22" s="56">
        <v>32344.0</v>
      </c>
      <c r="N22" s="56">
        <v>4434.0</v>
      </c>
      <c r="O22" s="33">
        <f>AVERAGEIFS(DATA_QB_SEASONS!K:K,DATA_QB_SEASONS!A:A,A22)*100</f>
        <v>108.1696243</v>
      </c>
      <c r="P22" s="33">
        <v>260.8</v>
      </c>
      <c r="Q22" s="33">
        <v>304.0</v>
      </c>
      <c r="R22" s="33">
        <f t="shared" si="3"/>
        <v>1.165644172</v>
      </c>
      <c r="S22" s="56">
        <v>208.0</v>
      </c>
      <c r="T22" s="56">
        <v>29.0</v>
      </c>
      <c r="U22" s="56">
        <f>AVERAGEIFS(DATA_QB_SEASONS!L:L,DATA_QB_SEASONS!A:A,A22)*100</f>
        <v>116.9132081</v>
      </c>
      <c r="V22" s="56">
        <v>1.68</v>
      </c>
      <c r="W22" s="56">
        <v>2.38</v>
      </c>
      <c r="X22" s="56">
        <f t="shared" si="4"/>
        <v>1.416666667</v>
      </c>
      <c r="Y22" s="56">
        <v>116.0</v>
      </c>
      <c r="Z22" s="56">
        <v>2.31</v>
      </c>
      <c r="AA22" s="33">
        <v>100.33333333333333</v>
      </c>
      <c r="AB22" s="56">
        <v>112.2</v>
      </c>
      <c r="AC22" s="56">
        <v>3.0</v>
      </c>
      <c r="AD22" s="33">
        <v>1.1847988077496274</v>
      </c>
      <c r="AE22" s="56">
        <v>124.0</v>
      </c>
      <c r="AF22" s="158">
        <v>4070.0</v>
      </c>
      <c r="AG22" s="56">
        <v>113.0</v>
      </c>
      <c r="AH22" s="56"/>
    </row>
    <row r="23">
      <c r="A23" s="29" t="s">
        <v>60</v>
      </c>
      <c r="B23" s="56">
        <v>2.0</v>
      </c>
      <c r="C23" s="56">
        <v>1.0</v>
      </c>
      <c r="D23" s="56">
        <v>0.0</v>
      </c>
      <c r="E23" s="56">
        <v>0.0</v>
      </c>
      <c r="F23" s="33">
        <f t="shared" si="1"/>
        <v>1</v>
      </c>
      <c r="G23" s="56">
        <v>0.0</v>
      </c>
      <c r="H23" s="56">
        <v>0.0</v>
      </c>
      <c r="I23" s="56">
        <v>4.0</v>
      </c>
      <c r="J23" s="56">
        <v>4.0</v>
      </c>
      <c r="K23" s="56">
        <f t="shared" si="2"/>
        <v>6</v>
      </c>
      <c r="L23" s="56">
        <v>6.0</v>
      </c>
      <c r="M23" s="56">
        <v>21886.0</v>
      </c>
      <c r="N23" s="56">
        <v>2228.0</v>
      </c>
      <c r="O23" s="33">
        <f>AVERAGEIFS(DATA_QB_SEASONS!K:K,DATA_QB_SEASONS!A:A,A23)*100</f>
        <v>101.503857</v>
      </c>
      <c r="P23" s="33">
        <v>131.1</v>
      </c>
      <c r="Q23" s="56">
        <v>138.5</v>
      </c>
      <c r="R23" s="33">
        <f t="shared" si="3"/>
        <v>1.056445461</v>
      </c>
      <c r="S23" s="56">
        <v>187.0</v>
      </c>
      <c r="T23" s="56">
        <v>19.0</v>
      </c>
      <c r="U23" s="56">
        <f>AVERAGEIFS(DATA_QB_SEASONS!L:L,DATA_QB_SEASONS!A:A,A23)*100</f>
        <v>102.0960296</v>
      </c>
      <c r="V23" s="56">
        <v>1.12</v>
      </c>
      <c r="W23" s="56">
        <v>1.17</v>
      </c>
      <c r="X23" s="56">
        <f t="shared" si="4"/>
        <v>1.044642857</v>
      </c>
      <c r="Y23" s="56">
        <v>119.0</v>
      </c>
      <c r="Z23" s="56">
        <v>1.95</v>
      </c>
      <c r="AA23" s="33">
        <v>115.66666666666666</v>
      </c>
      <c r="AB23" s="56">
        <v>126.9</v>
      </c>
      <c r="AC23" s="96">
        <v>9.0</v>
      </c>
      <c r="AD23" s="33">
        <v>1.087114337568058</v>
      </c>
      <c r="AE23" s="56">
        <v>167.0</v>
      </c>
      <c r="AF23" s="158">
        <v>2995.0</v>
      </c>
      <c r="AG23" s="93" t="s">
        <v>307</v>
      </c>
      <c r="AH23" s="56"/>
    </row>
    <row r="24">
      <c r="A24" s="29" t="s">
        <v>72</v>
      </c>
      <c r="B24" s="56">
        <v>0.0</v>
      </c>
      <c r="C24" s="56">
        <v>0.0</v>
      </c>
      <c r="D24" s="56">
        <v>0.0</v>
      </c>
      <c r="E24" s="56">
        <v>3.0</v>
      </c>
      <c r="F24" s="33">
        <f t="shared" si="1"/>
        <v>0.75</v>
      </c>
      <c r="G24" s="56">
        <v>0.0</v>
      </c>
      <c r="H24" s="56">
        <v>0.24</v>
      </c>
      <c r="I24" s="56">
        <v>0.0</v>
      </c>
      <c r="J24" s="56">
        <v>1.0</v>
      </c>
      <c r="K24" s="56">
        <f t="shared" si="2"/>
        <v>0.5</v>
      </c>
      <c r="L24" s="56">
        <v>9.0</v>
      </c>
      <c r="M24" s="56">
        <v>49325.0</v>
      </c>
      <c r="N24" s="56">
        <v>4031.0</v>
      </c>
      <c r="O24" s="33">
        <f>AVERAGEIFS(DATA_QB_SEASONS!K:K,DATA_QB_SEASONS!A:A,A24)*100</f>
        <v>108.5103393</v>
      </c>
      <c r="P24" s="33">
        <v>237.1</v>
      </c>
      <c r="Q24" s="33">
        <v>287.0</v>
      </c>
      <c r="R24" s="33">
        <f t="shared" si="3"/>
        <v>1.210459722</v>
      </c>
      <c r="S24" s="56">
        <v>291.0</v>
      </c>
      <c r="T24" s="56">
        <v>24.0</v>
      </c>
      <c r="U24" s="56">
        <f>AVERAGEIFS(DATA_QB_SEASONS!L:L,DATA_QB_SEASONS!A:A,A24)*100</f>
        <v>102.6454943</v>
      </c>
      <c r="V24" s="56">
        <v>1.4</v>
      </c>
      <c r="W24" s="56">
        <v>1.7</v>
      </c>
      <c r="X24" s="56">
        <f t="shared" si="4"/>
        <v>1.214285714</v>
      </c>
      <c r="Y24" s="56">
        <v>106.0</v>
      </c>
      <c r="Z24" s="56">
        <v>8.35</v>
      </c>
      <c r="AA24" s="33">
        <v>102.66666666666666</v>
      </c>
      <c r="AB24" s="56">
        <v>119.0</v>
      </c>
      <c r="AC24" s="56">
        <v>2.0</v>
      </c>
      <c r="AD24" s="33">
        <v>0.9946996466431095</v>
      </c>
      <c r="AE24" s="56">
        <v>208.0</v>
      </c>
      <c r="AF24" s="158">
        <v>6823.0</v>
      </c>
      <c r="AG24" s="56">
        <v>163.0</v>
      </c>
      <c r="AH24" s="56"/>
    </row>
    <row r="25">
      <c r="A25" s="29" t="s">
        <v>73</v>
      </c>
      <c r="B25" s="56">
        <v>0.0</v>
      </c>
      <c r="C25" s="56">
        <v>4.0</v>
      </c>
      <c r="D25" s="56">
        <v>4.0</v>
      </c>
      <c r="E25" s="56">
        <v>1.0</v>
      </c>
      <c r="F25" s="33">
        <f t="shared" si="1"/>
        <v>6.25</v>
      </c>
      <c r="G25" s="56">
        <v>0.0</v>
      </c>
      <c r="H25" s="56">
        <v>0.28</v>
      </c>
      <c r="I25" s="56">
        <v>1.0</v>
      </c>
      <c r="J25" s="56">
        <v>1.0</v>
      </c>
      <c r="K25" s="56">
        <f t="shared" si="2"/>
        <v>1.5</v>
      </c>
      <c r="L25" s="56">
        <v>5.0</v>
      </c>
      <c r="M25" s="56">
        <v>35467.0</v>
      </c>
      <c r="N25" s="56">
        <v>3768.0</v>
      </c>
      <c r="O25" s="33">
        <f>AVERAGEIFS(DATA_QB_SEASONS!K:K,DATA_QB_SEASONS!A:A,A25)*100</f>
        <v>99.55670831</v>
      </c>
      <c r="P25" s="33">
        <v>221.7</v>
      </c>
      <c r="Q25" s="33">
        <v>227.2</v>
      </c>
      <c r="R25" s="33">
        <f t="shared" si="3"/>
        <v>1.0248083</v>
      </c>
      <c r="S25" s="56">
        <v>237.0</v>
      </c>
      <c r="T25" s="56">
        <v>25.0</v>
      </c>
      <c r="U25" s="56">
        <f>AVERAGEIFS(DATA_QB_SEASONS!L:L,DATA_QB_SEASONS!A:A,A25)*100</f>
        <v>107.2717307</v>
      </c>
      <c r="V25" s="56">
        <v>1.48</v>
      </c>
      <c r="W25" s="56">
        <v>1.24</v>
      </c>
      <c r="X25" s="56">
        <f t="shared" si="4"/>
        <v>0.8378378378</v>
      </c>
      <c r="Y25" s="56">
        <v>109.0</v>
      </c>
      <c r="Z25" s="56">
        <v>6.56</v>
      </c>
      <c r="AA25" s="33">
        <v>100.0</v>
      </c>
      <c r="AB25" s="56">
        <v>117.2</v>
      </c>
      <c r="AC25" s="56">
        <v>2.0</v>
      </c>
      <c r="AD25" s="33">
        <v>0.8549488054607508</v>
      </c>
      <c r="AE25" s="56">
        <v>160.0</v>
      </c>
      <c r="AF25" s="158">
        <v>4779.0</v>
      </c>
      <c r="AG25" s="56">
        <v>132.0</v>
      </c>
      <c r="AH25" s="56"/>
    </row>
    <row r="26">
      <c r="A26" s="29" t="s">
        <v>74</v>
      </c>
      <c r="B26" s="56">
        <v>1.0</v>
      </c>
      <c r="C26" s="56">
        <v>1.0</v>
      </c>
      <c r="D26" s="56">
        <v>5.0</v>
      </c>
      <c r="E26" s="56">
        <v>0.0</v>
      </c>
      <c r="F26" s="33">
        <f t="shared" si="1"/>
        <v>3.5</v>
      </c>
      <c r="G26" s="56">
        <v>0.0</v>
      </c>
      <c r="H26" s="56">
        <v>0.66</v>
      </c>
      <c r="I26" s="56">
        <v>1.0</v>
      </c>
      <c r="J26" s="56">
        <v>1.0</v>
      </c>
      <c r="K26" s="56">
        <f t="shared" si="2"/>
        <v>1.5</v>
      </c>
      <c r="L26" s="56">
        <v>4.0</v>
      </c>
      <c r="M26" s="56">
        <v>27938.0</v>
      </c>
      <c r="N26" s="56">
        <v>2581.0</v>
      </c>
      <c r="O26" s="33">
        <f>AVERAGEIFS(DATA_QB_SEASONS!K:K,DATA_QB_SEASONS!A:A,A26)*100</f>
        <v>99.52292938</v>
      </c>
      <c r="P26" s="33">
        <v>151.8</v>
      </c>
      <c r="Q26" s="33">
        <v>203.2</v>
      </c>
      <c r="R26" s="33">
        <f t="shared" si="3"/>
        <v>1.338603426</v>
      </c>
      <c r="S26" s="56">
        <v>194.0</v>
      </c>
      <c r="T26" s="56">
        <v>18.0</v>
      </c>
      <c r="U26" s="56">
        <f>AVERAGEIFS(DATA_QB_SEASONS!L:L,DATA_QB_SEASONS!A:A,A26)*100</f>
        <v>103.7846626</v>
      </c>
      <c r="V26" s="56">
        <v>1.05</v>
      </c>
      <c r="W26" s="56">
        <v>1.46</v>
      </c>
      <c r="X26" s="56">
        <f t="shared" si="4"/>
        <v>1.39047619</v>
      </c>
      <c r="Y26" s="56">
        <v>102.0</v>
      </c>
      <c r="Z26" s="56">
        <v>0.51</v>
      </c>
      <c r="AA26" s="33">
        <v>92.66666666666666</v>
      </c>
      <c r="AB26" s="56">
        <v>119.8</v>
      </c>
      <c r="AC26" s="56">
        <v>2.0</v>
      </c>
      <c r="AD26" s="33">
        <v>1.2130801687763713</v>
      </c>
      <c r="AE26" s="56">
        <v>184.0</v>
      </c>
      <c r="AF26" s="158">
        <v>3793.0</v>
      </c>
      <c r="AG26" s="56">
        <v>118.0</v>
      </c>
      <c r="AH26" s="56"/>
    </row>
    <row r="27">
      <c r="A27" s="29"/>
      <c r="B27" s="56"/>
      <c r="C27" s="56"/>
      <c r="D27" s="56"/>
      <c r="E27" s="56"/>
      <c r="F27" s="33"/>
      <c r="G27" s="56"/>
      <c r="H27" s="56"/>
      <c r="I27" s="56"/>
      <c r="J27" s="56"/>
      <c r="K27" s="56"/>
      <c r="L27" s="56"/>
      <c r="M27" s="56"/>
      <c r="N27" s="56"/>
      <c r="O27" s="56"/>
      <c r="P27" s="56"/>
      <c r="Q27" s="56"/>
      <c r="R27" s="56"/>
      <c r="S27" s="56"/>
      <c r="T27" s="56"/>
      <c r="U27" s="33"/>
      <c r="V27" s="33"/>
      <c r="W27" s="33"/>
      <c r="X27" s="33"/>
      <c r="Y27" s="33"/>
      <c r="Z27" s="33"/>
      <c r="AA27" s="56"/>
      <c r="AB27" s="56"/>
      <c r="AC27" s="56"/>
      <c r="AD27" s="56"/>
      <c r="AE27" s="56"/>
      <c r="AF27" s="56"/>
      <c r="AG27" s="56"/>
      <c r="AH27" s="56"/>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row>
    <row r="29">
      <c r="A29" s="131" t="s">
        <v>308</v>
      </c>
      <c r="B29" s="33">
        <f t="shared" ref="B29:AD29" si="5">MAX(B2:B26)</f>
        <v>7</v>
      </c>
      <c r="C29" s="33">
        <f t="shared" si="5"/>
        <v>10</v>
      </c>
      <c r="D29" s="33">
        <f t="shared" si="5"/>
        <v>14</v>
      </c>
      <c r="E29" s="33">
        <f t="shared" si="5"/>
        <v>5</v>
      </c>
      <c r="F29" s="33">
        <f t="shared" si="5"/>
        <v>18</v>
      </c>
      <c r="G29" s="33">
        <f t="shared" si="5"/>
        <v>5</v>
      </c>
      <c r="H29" s="33">
        <f t="shared" si="5"/>
        <v>4.58</v>
      </c>
      <c r="I29" s="33">
        <f t="shared" si="5"/>
        <v>7</v>
      </c>
      <c r="J29" s="33">
        <f t="shared" si="5"/>
        <v>4</v>
      </c>
      <c r="K29" s="33">
        <f t="shared" si="5"/>
        <v>8.5</v>
      </c>
      <c r="L29" s="33">
        <f t="shared" si="5"/>
        <v>15</v>
      </c>
      <c r="M29" s="33">
        <f t="shared" si="5"/>
        <v>89214</v>
      </c>
      <c r="N29" s="33">
        <f t="shared" si="5"/>
        <v>4849</v>
      </c>
      <c r="O29" s="33">
        <f t="shared" si="5"/>
        <v>122.7629481</v>
      </c>
      <c r="P29" s="33">
        <f t="shared" si="5"/>
        <v>285.2</v>
      </c>
      <c r="Q29" s="33">
        <f t="shared" si="5"/>
        <v>304</v>
      </c>
      <c r="R29" s="33">
        <f t="shared" si="5"/>
        <v>1.390166534</v>
      </c>
      <c r="S29" s="33">
        <f t="shared" si="5"/>
        <v>649</v>
      </c>
      <c r="T29" s="33">
        <f t="shared" si="5"/>
        <v>36</v>
      </c>
      <c r="U29" s="33">
        <f t="shared" si="5"/>
        <v>142.6331441</v>
      </c>
      <c r="V29" s="33">
        <f t="shared" si="5"/>
        <v>2.12</v>
      </c>
      <c r="W29" s="33">
        <f t="shared" si="5"/>
        <v>2.38</v>
      </c>
      <c r="X29" s="33">
        <f t="shared" si="5"/>
        <v>1.923076923</v>
      </c>
      <c r="Y29" s="33">
        <f t="shared" si="5"/>
        <v>128</v>
      </c>
      <c r="Z29" s="33">
        <f t="shared" si="5"/>
        <v>56.2</v>
      </c>
      <c r="AA29" s="33">
        <f t="shared" si="5"/>
        <v>115.6666667</v>
      </c>
      <c r="AB29" s="33">
        <f t="shared" si="5"/>
        <v>134.6</v>
      </c>
      <c r="AC29" s="33">
        <f t="shared" si="5"/>
        <v>9</v>
      </c>
      <c r="AD29" s="33">
        <f t="shared" si="5"/>
        <v>1.343815514</v>
      </c>
      <c r="AE29" s="33"/>
      <c r="AF29" s="33"/>
      <c r="AG29" s="33">
        <f>MAX(AG2:AG26)</f>
        <v>326</v>
      </c>
      <c r="AH29" s="33"/>
    </row>
    <row r="30">
      <c r="A30" s="131" t="s">
        <v>309</v>
      </c>
      <c r="B30" s="33">
        <f t="shared" ref="B30:AD30" si="6">MIN(B2:B26)</f>
        <v>0</v>
      </c>
      <c r="C30" s="33">
        <f t="shared" si="6"/>
        <v>0</v>
      </c>
      <c r="D30" s="33">
        <f t="shared" si="6"/>
        <v>0</v>
      </c>
      <c r="E30" s="33">
        <f t="shared" si="6"/>
        <v>0</v>
      </c>
      <c r="F30" s="33">
        <f t="shared" si="6"/>
        <v>0</v>
      </c>
      <c r="G30" s="33">
        <f t="shared" si="6"/>
        <v>0</v>
      </c>
      <c r="H30" s="33">
        <f t="shared" si="6"/>
        <v>0</v>
      </c>
      <c r="I30" s="33">
        <f t="shared" si="6"/>
        <v>0</v>
      </c>
      <c r="J30" s="33">
        <f t="shared" si="6"/>
        <v>0</v>
      </c>
      <c r="K30" s="33">
        <f t="shared" si="6"/>
        <v>0</v>
      </c>
      <c r="L30" s="33">
        <f t="shared" si="6"/>
        <v>3</v>
      </c>
      <c r="M30" s="33">
        <f t="shared" si="6"/>
        <v>21886</v>
      </c>
      <c r="N30" s="33">
        <f t="shared" si="6"/>
        <v>2144</v>
      </c>
      <c r="O30" s="33">
        <f t="shared" si="6"/>
        <v>80.79066961</v>
      </c>
      <c r="P30" s="33">
        <f t="shared" si="6"/>
        <v>126.1</v>
      </c>
      <c r="Q30" s="33">
        <f t="shared" si="6"/>
        <v>138.5</v>
      </c>
      <c r="R30" s="33">
        <f t="shared" si="6"/>
        <v>0.8055395268</v>
      </c>
      <c r="S30" s="33">
        <f t="shared" si="6"/>
        <v>152</v>
      </c>
      <c r="T30" s="33">
        <f t="shared" si="6"/>
        <v>13</v>
      </c>
      <c r="U30" s="33">
        <f t="shared" si="6"/>
        <v>60.02360418</v>
      </c>
      <c r="V30" s="33">
        <f t="shared" si="6"/>
        <v>0.78</v>
      </c>
      <c r="W30" s="33">
        <f t="shared" si="6"/>
        <v>0.78</v>
      </c>
      <c r="X30" s="33">
        <f t="shared" si="6"/>
        <v>0.5693430657</v>
      </c>
      <c r="Y30" s="33">
        <f t="shared" si="6"/>
        <v>102</v>
      </c>
      <c r="Z30" s="33">
        <f t="shared" si="6"/>
        <v>0.36</v>
      </c>
      <c r="AA30" s="33">
        <f t="shared" si="6"/>
        <v>92.66666667</v>
      </c>
      <c r="AB30" s="33">
        <f t="shared" si="6"/>
        <v>112.2</v>
      </c>
      <c r="AC30" s="33">
        <f t="shared" si="6"/>
        <v>0</v>
      </c>
      <c r="AD30" s="33">
        <f t="shared" si="6"/>
        <v>0.3382594417</v>
      </c>
      <c r="AE30" s="33"/>
      <c r="AF30" s="33"/>
      <c r="AG30" s="33">
        <f>MIN(AG2:AG26)</f>
        <v>47</v>
      </c>
      <c r="AH30" s="33"/>
    </row>
    <row r="31">
      <c r="A31" s="131" t="s">
        <v>310</v>
      </c>
      <c r="B31" s="33">
        <f t="shared" ref="B31:AD31" si="7">B29-B30</f>
        <v>7</v>
      </c>
      <c r="C31" s="33">
        <f t="shared" si="7"/>
        <v>10</v>
      </c>
      <c r="D31" s="33">
        <f t="shared" si="7"/>
        <v>14</v>
      </c>
      <c r="E31" s="33">
        <f t="shared" si="7"/>
        <v>5</v>
      </c>
      <c r="F31" s="33">
        <f t="shared" si="7"/>
        <v>18</v>
      </c>
      <c r="G31" s="33">
        <f t="shared" si="7"/>
        <v>5</v>
      </c>
      <c r="H31" s="33">
        <f t="shared" si="7"/>
        <v>4.58</v>
      </c>
      <c r="I31" s="33">
        <f t="shared" si="7"/>
        <v>7</v>
      </c>
      <c r="J31" s="33">
        <f t="shared" si="7"/>
        <v>4</v>
      </c>
      <c r="K31" s="33">
        <f t="shared" si="7"/>
        <v>8.5</v>
      </c>
      <c r="L31" s="33">
        <f t="shared" si="7"/>
        <v>12</v>
      </c>
      <c r="M31" s="33">
        <f t="shared" si="7"/>
        <v>67328</v>
      </c>
      <c r="N31" s="33">
        <f t="shared" si="7"/>
        <v>2705</v>
      </c>
      <c r="O31" s="33">
        <f t="shared" si="7"/>
        <v>41.97227851</v>
      </c>
      <c r="P31" s="33">
        <f t="shared" si="7"/>
        <v>159.1</v>
      </c>
      <c r="Q31" s="33">
        <f t="shared" si="7"/>
        <v>165.5</v>
      </c>
      <c r="R31" s="33">
        <f t="shared" si="7"/>
        <v>0.5846270077</v>
      </c>
      <c r="S31" s="33">
        <f t="shared" si="7"/>
        <v>497</v>
      </c>
      <c r="T31" s="33">
        <f t="shared" si="7"/>
        <v>23</v>
      </c>
      <c r="U31" s="33">
        <f t="shared" si="7"/>
        <v>82.60953995</v>
      </c>
      <c r="V31" s="33">
        <f t="shared" si="7"/>
        <v>1.34</v>
      </c>
      <c r="W31" s="33">
        <f t="shared" si="7"/>
        <v>1.6</v>
      </c>
      <c r="X31" s="33">
        <f t="shared" si="7"/>
        <v>1.353733857</v>
      </c>
      <c r="Y31" s="33">
        <f t="shared" si="7"/>
        <v>26</v>
      </c>
      <c r="Z31" s="33">
        <f t="shared" si="7"/>
        <v>55.84</v>
      </c>
      <c r="AA31" s="33">
        <f t="shared" si="7"/>
        <v>23</v>
      </c>
      <c r="AB31" s="33">
        <f t="shared" si="7"/>
        <v>22.4</v>
      </c>
      <c r="AC31" s="33">
        <f t="shared" si="7"/>
        <v>9</v>
      </c>
      <c r="AD31" s="33">
        <f t="shared" si="7"/>
        <v>1.005556072</v>
      </c>
      <c r="AE31" s="33"/>
      <c r="AF31" s="33"/>
      <c r="AG31" s="33">
        <f>AG29-AG30</f>
        <v>279</v>
      </c>
      <c r="AH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row>
    <row r="34">
      <c r="A34" s="33"/>
      <c r="B34" s="33"/>
      <c r="C34" s="33"/>
      <c r="D34" s="33"/>
      <c r="E34" s="33"/>
      <c r="F34" s="33"/>
      <c r="G34" s="33"/>
      <c r="H34" s="33"/>
      <c r="I34" s="33"/>
      <c r="J34" s="33"/>
      <c r="K34" s="33"/>
      <c r="L34" s="33"/>
      <c r="M34" s="33"/>
      <c r="N34" s="33"/>
      <c r="O34" s="33"/>
      <c r="P34" s="33"/>
      <c r="Q34" s="33"/>
      <c r="R34" s="33"/>
      <c r="S34" s="33"/>
      <c r="T34" s="33"/>
      <c r="U34" s="56"/>
      <c r="V34" s="33"/>
      <c r="W34" s="33"/>
      <c r="X34" s="33"/>
      <c r="Y34" s="33"/>
      <c r="Z34" s="33"/>
      <c r="AA34" s="33"/>
      <c r="AB34" s="33"/>
      <c r="AC34" s="33"/>
      <c r="AD34" s="33"/>
      <c r="AE34" s="33"/>
      <c r="AF34" s="33"/>
      <c r="AG34" s="33"/>
      <c r="AH34" s="33"/>
    </row>
    <row r="35">
      <c r="A35" s="33"/>
      <c r="B35" s="33"/>
      <c r="C35" s="33"/>
      <c r="D35" s="33"/>
      <c r="E35" s="33"/>
      <c r="F35" s="33"/>
      <c r="G35" s="33"/>
      <c r="H35" s="33"/>
      <c r="I35" s="33"/>
      <c r="J35" s="33"/>
      <c r="K35" s="33"/>
      <c r="L35" s="33"/>
      <c r="M35" s="33"/>
      <c r="N35" s="33"/>
      <c r="O35" s="33"/>
      <c r="P35" s="33"/>
      <c r="Q35" s="33"/>
      <c r="R35" s="33"/>
      <c r="S35" s="33"/>
      <c r="T35" s="33"/>
      <c r="U35" s="56"/>
      <c r="V35" s="33"/>
      <c r="W35" s="33"/>
      <c r="X35" s="33"/>
      <c r="Y35" s="33"/>
      <c r="Z35" s="33"/>
      <c r="AA35" s="33"/>
      <c r="AB35" s="33"/>
      <c r="AC35" s="33"/>
      <c r="AD35" s="33"/>
      <c r="AE35" s="33"/>
      <c r="AF35" s="33"/>
      <c r="AG35" s="33"/>
      <c r="AH35" s="33"/>
    </row>
    <row r="36">
      <c r="A36" s="33"/>
      <c r="B36" s="33"/>
      <c r="C36" s="33"/>
      <c r="D36" s="33"/>
      <c r="E36" s="33"/>
      <c r="F36" s="33"/>
      <c r="G36" s="33"/>
      <c r="H36" s="33"/>
      <c r="I36" s="33"/>
      <c r="J36" s="33"/>
      <c r="K36" s="33"/>
      <c r="L36" s="33"/>
      <c r="M36" s="29"/>
      <c r="N36" s="33"/>
      <c r="O36" s="33"/>
      <c r="P36" s="33"/>
      <c r="Q36" s="33"/>
      <c r="R36" s="33"/>
      <c r="S36" s="33"/>
      <c r="T36" s="33"/>
      <c r="U36" s="56"/>
      <c r="V36" s="33"/>
      <c r="W36" s="33"/>
      <c r="X36" s="33"/>
      <c r="Y36" s="33"/>
      <c r="Z36" s="33"/>
      <c r="AA36" s="33"/>
      <c r="AB36" s="33"/>
      <c r="AC36" s="33"/>
      <c r="AD36" s="33"/>
      <c r="AE36" s="33"/>
      <c r="AF36" s="33"/>
      <c r="AG36" s="33"/>
      <c r="AH36" s="33"/>
    </row>
    <row r="37">
      <c r="A37" s="33"/>
      <c r="B37" s="33"/>
      <c r="C37" s="33"/>
      <c r="D37" s="33"/>
      <c r="E37" s="33"/>
      <c r="F37" s="33"/>
      <c r="G37" s="33"/>
      <c r="H37" s="33"/>
      <c r="I37" s="33"/>
      <c r="J37" s="33"/>
      <c r="K37" s="33"/>
      <c r="L37" s="33"/>
      <c r="M37" s="29"/>
      <c r="N37" s="33"/>
      <c r="O37" s="33"/>
      <c r="P37" s="33"/>
      <c r="Q37" s="33"/>
      <c r="R37" s="33"/>
      <c r="S37" s="33"/>
      <c r="T37" s="33"/>
      <c r="U37" s="33"/>
      <c r="V37" s="33"/>
      <c r="W37" s="33"/>
      <c r="X37" s="33"/>
      <c r="Y37" s="33"/>
      <c r="Z37" s="33"/>
      <c r="AA37" s="33"/>
      <c r="AB37" s="33"/>
      <c r="AC37" s="33"/>
      <c r="AD37" s="33"/>
      <c r="AE37" s="33"/>
      <c r="AF37" s="33"/>
      <c r="AG37" s="33"/>
      <c r="AH37" s="33"/>
    </row>
    <row r="38">
      <c r="A38" s="33"/>
      <c r="B38" s="33"/>
      <c r="C38" s="33"/>
      <c r="D38" s="33"/>
      <c r="E38" s="33"/>
      <c r="F38" s="33"/>
      <c r="G38" s="33"/>
      <c r="H38" s="33"/>
      <c r="I38" s="33"/>
      <c r="J38" s="33"/>
      <c r="K38" s="33"/>
      <c r="L38" s="33"/>
      <c r="M38" s="29"/>
      <c r="N38" s="33"/>
      <c r="O38" s="33"/>
      <c r="P38" s="33"/>
      <c r="Q38" s="33"/>
      <c r="R38" s="33"/>
      <c r="S38" s="33"/>
      <c r="T38" s="33"/>
      <c r="U38" s="33"/>
      <c r="V38" s="33"/>
      <c r="W38" s="33"/>
      <c r="X38" s="33"/>
      <c r="Y38" s="33"/>
      <c r="Z38" s="33"/>
      <c r="AA38" s="33"/>
      <c r="AB38" s="33"/>
      <c r="AC38" s="33"/>
      <c r="AD38" s="33"/>
      <c r="AE38" s="33"/>
      <c r="AF38" s="33"/>
      <c r="AG38" s="33"/>
      <c r="AH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row>
    <row r="40">
      <c r="A40" s="33"/>
      <c r="B40" s="33"/>
      <c r="C40" s="33"/>
      <c r="D40" s="33"/>
      <c r="E40" s="33"/>
      <c r="F40" s="33"/>
      <c r="G40" s="33"/>
      <c r="H40" s="33"/>
      <c r="I40" s="33"/>
      <c r="J40" s="33"/>
      <c r="K40" s="33"/>
      <c r="L40" s="33"/>
      <c r="M40" s="29"/>
      <c r="N40" s="33"/>
      <c r="O40" s="33"/>
      <c r="P40" s="33"/>
      <c r="Q40" s="33"/>
      <c r="R40" s="33"/>
      <c r="S40" s="33"/>
      <c r="T40" s="33"/>
      <c r="U40" s="33"/>
      <c r="V40" s="33"/>
      <c r="W40" s="33"/>
      <c r="X40" s="33"/>
      <c r="Y40" s="33"/>
      <c r="Z40" s="33"/>
      <c r="AA40" s="33"/>
      <c r="AB40" s="33"/>
      <c r="AC40" s="33"/>
      <c r="AD40" s="33"/>
      <c r="AE40" s="33"/>
      <c r="AF40" s="33"/>
      <c r="AG40" s="33"/>
      <c r="AH40" s="33"/>
    </row>
    <row r="41">
      <c r="A41" s="33"/>
      <c r="B41" s="33"/>
      <c r="C41" s="33"/>
      <c r="D41" s="33"/>
      <c r="E41" s="33"/>
      <c r="F41" s="33"/>
      <c r="G41" s="33"/>
      <c r="H41" s="33"/>
      <c r="I41" s="33"/>
      <c r="J41" s="33"/>
      <c r="K41" s="33"/>
      <c r="L41" s="33"/>
      <c r="M41" s="29"/>
      <c r="N41" s="33"/>
      <c r="O41" s="33"/>
      <c r="P41" s="33"/>
      <c r="Q41" s="33"/>
      <c r="R41" s="33"/>
      <c r="S41" s="33"/>
      <c r="T41" s="33"/>
      <c r="U41" s="33"/>
      <c r="V41" s="33"/>
      <c r="W41" s="33"/>
      <c r="X41" s="33"/>
      <c r="Y41" s="33"/>
      <c r="Z41" s="33"/>
      <c r="AA41" s="33"/>
      <c r="AB41" s="33"/>
      <c r="AC41" s="33"/>
      <c r="AD41" s="33"/>
      <c r="AE41" s="33"/>
      <c r="AF41" s="33"/>
      <c r="AG41" s="33"/>
      <c r="AH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row>
    <row r="100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c r="AD1001" s="33"/>
      <c r="AE1001" s="33"/>
      <c r="AF1001" s="33"/>
      <c r="AG1001" s="33"/>
      <c r="AH1001" s="33"/>
    </row>
    <row r="1002">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c r="AB1002" s="33"/>
      <c r="AC1002" s="33"/>
      <c r="AD1002" s="33"/>
      <c r="AE1002" s="33"/>
      <c r="AF1002" s="33"/>
      <c r="AG1002" s="33"/>
      <c r="AH1002" s="33"/>
    </row>
    <row r="1003">
      <c r="A1003" s="33"/>
      <c r="B1003" s="33"/>
      <c r="C1003" s="33"/>
      <c r="D1003" s="33"/>
      <c r="E1003" s="33"/>
      <c r="F1003" s="33"/>
      <c r="G1003" s="33"/>
      <c r="H1003" s="33"/>
      <c r="I1003" s="33"/>
      <c r="J1003" s="33"/>
      <c r="K1003" s="33"/>
      <c r="L1003" s="33"/>
      <c r="M1003" s="33"/>
      <c r="N1003" s="33"/>
      <c r="O1003" s="33"/>
      <c r="P1003" s="33"/>
      <c r="Q1003" s="33"/>
      <c r="R1003" s="33"/>
      <c r="S1003" s="33"/>
      <c r="T1003" s="33"/>
      <c r="U1003" s="33"/>
      <c r="V1003" s="33"/>
      <c r="W1003" s="33"/>
      <c r="X1003" s="33"/>
      <c r="Y1003" s="33"/>
      <c r="Z1003" s="33"/>
      <c r="AA1003" s="33"/>
      <c r="AB1003" s="33"/>
      <c r="AC1003" s="33"/>
      <c r="AD1003" s="33"/>
      <c r="AE1003" s="33"/>
      <c r="AF1003" s="33"/>
      <c r="AG1003" s="33"/>
      <c r="AH1003" s="33"/>
    </row>
    <row r="1004">
      <c r="A1004" s="33"/>
      <c r="B1004" s="33"/>
      <c r="C1004" s="33"/>
      <c r="D1004" s="33"/>
      <c r="E1004" s="33"/>
      <c r="F1004" s="33"/>
      <c r="G1004" s="33"/>
      <c r="H1004" s="33"/>
      <c r="I1004" s="33"/>
      <c r="J1004" s="33"/>
      <c r="K1004" s="33"/>
      <c r="L1004" s="33"/>
      <c r="M1004" s="33"/>
      <c r="N1004" s="33"/>
      <c r="O1004" s="33"/>
      <c r="P1004" s="33"/>
      <c r="Q1004" s="33"/>
      <c r="R1004" s="33"/>
      <c r="S1004" s="33"/>
      <c r="T1004" s="33"/>
      <c r="U1004" s="33"/>
      <c r="V1004" s="33"/>
      <c r="W1004" s="33"/>
      <c r="X1004" s="33"/>
      <c r="Y1004" s="33"/>
      <c r="Z1004" s="33"/>
      <c r="AA1004" s="33"/>
      <c r="AB1004" s="33"/>
      <c r="AC1004" s="33"/>
      <c r="AD1004" s="33"/>
      <c r="AE1004" s="33"/>
      <c r="AF1004" s="33"/>
      <c r="AG1004" s="33"/>
      <c r="AH1004" s="33"/>
    </row>
    <row r="1005">
      <c r="A1005" s="33"/>
      <c r="B1005" s="33"/>
      <c r="C1005" s="33"/>
      <c r="D1005" s="33"/>
      <c r="E1005" s="33"/>
      <c r="F1005" s="33"/>
      <c r="G1005" s="33"/>
      <c r="H1005" s="33"/>
      <c r="I1005" s="33"/>
      <c r="J1005" s="33"/>
      <c r="K1005" s="33"/>
      <c r="L1005" s="33"/>
      <c r="M1005" s="33"/>
      <c r="N1005" s="33"/>
      <c r="O1005" s="33"/>
      <c r="P1005" s="33"/>
      <c r="Q1005" s="33"/>
      <c r="R1005" s="33"/>
      <c r="S1005" s="33"/>
      <c r="T1005" s="33"/>
      <c r="U1005" s="33"/>
      <c r="V1005" s="33"/>
      <c r="W1005" s="33"/>
      <c r="X1005" s="33"/>
      <c r="Y1005" s="33"/>
      <c r="Z1005" s="33"/>
      <c r="AA1005" s="33"/>
      <c r="AB1005" s="33"/>
      <c r="AC1005" s="33"/>
      <c r="AD1005" s="33"/>
      <c r="AE1005" s="33"/>
      <c r="AF1005" s="33"/>
      <c r="AG1005" s="33"/>
      <c r="AH1005" s="3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0"/>
    <col customWidth="1" min="4" max="4" width="15.88"/>
    <col hidden="1" min="5" max="5" width="12.63"/>
    <col customWidth="1" min="7" max="8" width="13.63"/>
    <col customWidth="1" min="9" max="9" width="13.13"/>
    <col customWidth="1" min="10" max="10" width="13.5"/>
    <col customWidth="1" hidden="1" min="11" max="11" width="13.5"/>
    <col customWidth="1" min="12" max="14" width="13.5"/>
    <col customWidth="1" hidden="1" min="16" max="16" width="13.5"/>
    <col customWidth="1" min="17" max="18" width="13.5"/>
    <col customWidth="1" hidden="1" min="19" max="19" width="13.5"/>
    <col customWidth="1" hidden="1" min="20" max="20" width="17.88"/>
    <col customWidth="1" min="21" max="21" width="17.88"/>
    <col customWidth="1" min="22" max="22" width="18.38"/>
    <col customWidth="1" min="23" max="23" width="15.88"/>
    <col hidden="1" min="24" max="24" width="12.63"/>
    <col customWidth="1" min="25" max="25" width="12.63"/>
    <col customWidth="1" min="26" max="26" width="15.13"/>
    <col customWidth="1" min="27" max="27" width="15.75"/>
  </cols>
  <sheetData>
    <row r="1" ht="43.5" customHeight="1">
      <c r="A1" s="157" t="s">
        <v>90</v>
      </c>
      <c r="B1" s="157" t="s">
        <v>281</v>
      </c>
      <c r="C1" s="157" t="s">
        <v>209</v>
      </c>
      <c r="D1" s="157" t="s">
        <v>213</v>
      </c>
      <c r="E1" s="157" t="s">
        <v>311</v>
      </c>
      <c r="F1" s="157" t="s">
        <v>216</v>
      </c>
      <c r="G1" s="157" t="s">
        <v>282</v>
      </c>
      <c r="H1" s="157" t="s">
        <v>222</v>
      </c>
      <c r="I1" s="157" t="s">
        <v>312</v>
      </c>
      <c r="J1" s="157" t="s">
        <v>271</v>
      </c>
      <c r="K1" s="157" t="s">
        <v>313</v>
      </c>
      <c r="L1" s="157" t="s">
        <v>272</v>
      </c>
      <c r="M1" s="157" t="s">
        <v>289</v>
      </c>
      <c r="N1" s="157" t="s">
        <v>314</v>
      </c>
      <c r="O1" s="157" t="s">
        <v>275</v>
      </c>
      <c r="P1" s="157" t="s">
        <v>315</v>
      </c>
      <c r="Q1" s="157" t="s">
        <v>276</v>
      </c>
      <c r="R1" s="157" t="s">
        <v>290</v>
      </c>
      <c r="S1" s="157" t="s">
        <v>316</v>
      </c>
      <c r="T1" s="157" t="s">
        <v>317</v>
      </c>
      <c r="U1" s="157" t="s">
        <v>232</v>
      </c>
      <c r="V1" s="157" t="s">
        <v>235</v>
      </c>
      <c r="W1" s="157" t="s">
        <v>238</v>
      </c>
      <c r="X1" s="157" t="s">
        <v>318</v>
      </c>
      <c r="Y1" s="157" t="s">
        <v>242</v>
      </c>
      <c r="Z1" s="157" t="s">
        <v>43</v>
      </c>
      <c r="AA1" s="162" t="s">
        <v>247</v>
      </c>
      <c r="AB1" s="163"/>
      <c r="AC1" s="157"/>
    </row>
    <row r="2">
      <c r="A2" s="29" t="s">
        <v>51</v>
      </c>
      <c r="B2" s="56">
        <f>100*(RAW_DATA!B2-RAW_DATA!$B$30)/RAW_DATA!$B$31</f>
        <v>100</v>
      </c>
      <c r="C2" s="33">
        <f>100*(RAW_DATA!F2-RAW_DATA!$F$30)/RAW_DATA!$F$31</f>
        <v>100</v>
      </c>
      <c r="D2" s="56">
        <f>100*(RAW_DATA!G2-RAW_DATA!$G$30)/RAW_DATA!$G$31</f>
        <v>100</v>
      </c>
      <c r="E2" s="56">
        <f>(RAW_DATA!H2-AVERAGE(RAW_DATA!$H$2:$H$26))/_xlfn.STDEV.P(RAW_DATA!$H$2:$H$26)</f>
        <v>1.811368751</v>
      </c>
      <c r="F2" s="56">
        <f t="shared" ref="F2:F26" si="1">100*(E2-$E$30)/$E$31</f>
        <v>78.60262009</v>
      </c>
      <c r="G2" s="56">
        <f>100*(RAW_DATA!K2-RAW_DATA!$K$30)/RAW_DATA!$K$31</f>
        <v>52.94117647</v>
      </c>
      <c r="H2" s="56">
        <f>100*(RAW_DATA!L2-RAW_DATA!$L$30)/RAW_DATA!$L$31</f>
        <v>100</v>
      </c>
      <c r="I2" s="56">
        <f>100*(RAW_DATA!M2-RAW_DATA!$M$30)/RAW_DATA!$M$31</f>
        <v>100</v>
      </c>
      <c r="J2" s="56">
        <f>100*(RAW_DATA!N2-RAW_DATA!$N$30)/RAW_DATA!$N$31</f>
        <v>88.0961183</v>
      </c>
      <c r="K2" s="33">
        <f>(RAW_DATA!O2-AVERAGE(RAW_DATA!$O$2:$O$26))/_xlfn.STDEV.P(RAW_DATA!$O$2:$O$26)</f>
        <v>1.034707644</v>
      </c>
      <c r="L2" s="33">
        <f t="shared" ref="L2:L26" si="2">100*(K2-$K$30)/$K$31</f>
        <v>88.27477504</v>
      </c>
      <c r="M2" s="33">
        <f>100*(RAW_DATA!R2-RAW_DATA!$R$30)/RAW_DATA!$R$31</f>
        <v>41.54821402</v>
      </c>
      <c r="N2" s="33">
        <f>100*(RAW_DATA!S2-RAW_DATA!$S$30)/RAW_DATA!$S$31</f>
        <v>100</v>
      </c>
      <c r="O2" s="56">
        <f>100*(RAW_DATA!T2-RAW_DATA!$T$30)/RAW_DATA!$T$31</f>
        <v>86.95652174</v>
      </c>
      <c r="P2" s="56">
        <f>(RAW_DATA!U2-AVERAGE(RAW_DATA!$U$2:$U$26))/_xlfn.STDEV.P(RAW_DATA!$U$2:$U$26)</f>
        <v>1.250680661</v>
      </c>
      <c r="Q2" s="56">
        <f t="shared" ref="Q2:Q26" si="3">100*(P2-$P$30)/$P$31</f>
        <v>86.10334733</v>
      </c>
      <c r="R2" s="56">
        <f>100*(RAW_DATA!X2-RAW_DATA!$X$30)/RAW_DATA!$X$31</f>
        <v>27.62403417</v>
      </c>
      <c r="S2" s="56">
        <f>RAW_DATA!Y2-100</f>
        <v>16</v>
      </c>
      <c r="T2" s="56">
        <f t="shared" ref="T2:T26" si="4">(S2-AVERAGE($S$2:$S$26))/_xlfn.STDEV.P($S$2:$S$26)</f>
        <v>0.3565774343</v>
      </c>
      <c r="U2" s="56">
        <f t="shared" ref="U2:U26" si="5">100*(T2-$T$30)/$T$31</f>
        <v>53.84615385</v>
      </c>
      <c r="V2" s="56">
        <f>100*(RAW_DATA!Z2-RAW_DATA!$Z$30)/RAW_DATA!$Z$31</f>
        <v>5.354584527</v>
      </c>
      <c r="W2" s="33">
        <f>100*(RAW_DATA!AA2-MIN(RAW_DATA!$AA$2:RAW_DATA!$AA$26))/(MAX(RAW_DATA!$AA$2:RAW_DATA!$AA$26)-MIN(RAW_DATA!$AA$2:RAW_DATA!$AA$26))</f>
        <v>98.55072464</v>
      </c>
      <c r="X2" s="33">
        <f>(RAW_DATA!AB2-AVERAGE(RAW_DATA!$AB$2:RAW_DATA!$AB$26))/_xlfn.STDEV.P(RAW_DATA!$AB$2:RAW_DATA!$AB$26)</f>
        <v>0.9103623934</v>
      </c>
      <c r="Y2" s="33">
        <f t="shared" ref="Y2:Y26" si="6">100*(X2-$X$30)/$X$31</f>
        <v>72.32142857</v>
      </c>
      <c r="Z2" s="56">
        <f>100*(RAW_DATA!AC2-RAW_DATA!$AC$30)/RAW_DATA!$AC$31</f>
        <v>55.55555556</v>
      </c>
      <c r="AA2" s="33">
        <f>100*(RAW_DATA!AD2-RAW_DATA!$AD$30)/RAW_DATA!$AD$31</f>
        <v>56.79335207</v>
      </c>
      <c r="AB2" s="33"/>
      <c r="AC2" s="33"/>
    </row>
    <row r="3">
      <c r="A3" s="29" t="s">
        <v>56</v>
      </c>
      <c r="B3" s="56">
        <f>100*(RAW_DATA!B3-RAW_DATA!$B$30)/RAW_DATA!$B$31</f>
        <v>57.14285714</v>
      </c>
      <c r="C3" s="33">
        <f>100*(RAW_DATA!F3-RAW_DATA!$F$30)/RAW_DATA!$F$31</f>
        <v>43.05555556</v>
      </c>
      <c r="D3" s="56">
        <f>100*(RAW_DATA!G3-RAW_DATA!$G$30)/RAW_DATA!$G$31</f>
        <v>60</v>
      </c>
      <c r="E3" s="56">
        <f>(RAW_DATA!H3-AVERAGE(RAW_DATA!$H$2:$H$26))/_xlfn.STDEV.P(RAW_DATA!$H$2:$H$26)</f>
        <v>0.208027432</v>
      </c>
      <c r="F3" s="56">
        <f t="shared" si="1"/>
        <v>35.58951965</v>
      </c>
      <c r="G3" s="56">
        <f>100*(RAW_DATA!K3-RAW_DATA!$K$30)/RAW_DATA!$K$31</f>
        <v>47.05882353</v>
      </c>
      <c r="H3" s="56">
        <f>100*(RAW_DATA!L3-RAW_DATA!$L$30)/RAW_DATA!$L$31</f>
        <v>41.66666667</v>
      </c>
      <c r="I3" s="56">
        <f>100*(RAW_DATA!M3-RAW_DATA!$M$30)/RAW_DATA!$M$31</f>
        <v>27.72249287</v>
      </c>
      <c r="J3" s="56">
        <f>100*(RAW_DATA!N3-RAW_DATA!$N$30)/RAW_DATA!$N$31</f>
        <v>53.45656192</v>
      </c>
      <c r="K3" s="33">
        <f>(RAW_DATA!O3-AVERAGE(RAW_DATA!$O$2:$O$26))/_xlfn.STDEV.P(RAW_DATA!$O$2:$O$26)</f>
        <v>-0.5308411596</v>
      </c>
      <c r="L3" s="33">
        <f t="shared" si="2"/>
        <v>47.1569667</v>
      </c>
      <c r="M3" s="33">
        <f>100*(RAW_DATA!R3-RAW_DATA!$R$30)/RAW_DATA!$R$31</f>
        <v>65.49602359</v>
      </c>
      <c r="N3" s="33">
        <f>100*(RAW_DATA!S3-RAW_DATA!$S$30)/RAW_DATA!$S$31</f>
        <v>24.34607646</v>
      </c>
      <c r="O3" s="56">
        <f>100*(RAW_DATA!T3-RAW_DATA!$T$30)/RAW_DATA!$T$31</f>
        <v>47.82608696</v>
      </c>
      <c r="P3" s="56">
        <f>(RAW_DATA!U3-AVERAGE(RAW_DATA!$U$2:$U$26))/_xlfn.STDEV.P(RAW_DATA!$U$2:$U$26)</f>
        <v>-0.3394819816</v>
      </c>
      <c r="Q3" s="56">
        <f t="shared" si="3"/>
        <v>52.91760718</v>
      </c>
      <c r="R3" s="56">
        <f>100*(RAW_DATA!X3-RAW_DATA!$X$30)/RAW_DATA!$X$31</f>
        <v>59.90384447</v>
      </c>
      <c r="S3" s="56">
        <f>RAW_DATA!Y3-100</f>
        <v>20</v>
      </c>
      <c r="T3" s="56">
        <f t="shared" si="4"/>
        <v>1.016906016</v>
      </c>
      <c r="U3" s="56">
        <f t="shared" si="5"/>
        <v>69.23076923</v>
      </c>
      <c r="V3" s="56">
        <f>100*(RAW_DATA!Z3-RAW_DATA!$Z$30)/RAW_DATA!$Z$31</f>
        <v>14.98925501</v>
      </c>
      <c r="W3" s="33">
        <f>100*(RAW_DATA!AA3-MIN(RAW_DATA!$AA$2:RAW_DATA!$AA$26))/(MAX(RAW_DATA!$AA$2:RAW_DATA!$AA$26)-MIN(RAW_DATA!$AA$2:RAW_DATA!$AA$26))</f>
        <v>95.65217391</v>
      </c>
      <c r="X3" s="33">
        <f>(RAW_DATA!AB3-AVERAGE(RAW_DATA!$AB$2:RAW_DATA!$AB$26))/_xlfn.STDEV.P(RAW_DATA!$AB$2:RAW_DATA!$AB$26)</f>
        <v>0.1888484359</v>
      </c>
      <c r="Y3" s="33">
        <f t="shared" si="6"/>
        <v>51.78571429</v>
      </c>
      <c r="Z3" s="56">
        <f>100*(RAW_DATA!AC3-RAW_DATA!$AC$30)/RAW_DATA!$AC$31</f>
        <v>33.33333333</v>
      </c>
      <c r="AA3" s="33">
        <f>100*(RAW_DATA!AD3-RAW_DATA!$AD$30)/RAW_DATA!$AD$31</f>
        <v>71.83553847</v>
      </c>
      <c r="AB3" s="33"/>
      <c r="AC3" s="33"/>
    </row>
    <row r="4">
      <c r="A4" s="29" t="s">
        <v>52</v>
      </c>
      <c r="B4" s="56">
        <f>100*(RAW_DATA!B4-RAW_DATA!$B$30)/RAW_DATA!$B$31</f>
        <v>28.57142857</v>
      </c>
      <c r="C4" s="33">
        <f>100*(RAW_DATA!F4-RAW_DATA!$F$30)/RAW_DATA!$F$31</f>
        <v>40.27777778</v>
      </c>
      <c r="D4" s="56">
        <f>100*(RAW_DATA!G4-RAW_DATA!$G$30)/RAW_DATA!$G$31</f>
        <v>20</v>
      </c>
      <c r="E4" s="56">
        <f>(RAW_DATA!H4-AVERAGE(RAW_DATA!$H$2:$H$26))/_xlfn.STDEV.P(RAW_DATA!$H$2:$H$26)</f>
        <v>2.608970016</v>
      </c>
      <c r="F4" s="56">
        <f t="shared" si="1"/>
        <v>100</v>
      </c>
      <c r="G4" s="56">
        <f>100*(RAW_DATA!K4-RAW_DATA!$K$30)/RAW_DATA!$K$31</f>
        <v>100</v>
      </c>
      <c r="H4" s="56">
        <f>100*(RAW_DATA!L4-RAW_DATA!$L$30)/RAW_DATA!$L$31</f>
        <v>91.66666667</v>
      </c>
      <c r="I4" s="56">
        <f>100*(RAW_DATA!M4-RAW_DATA!$M$30)/RAW_DATA!$M$31</f>
        <v>74.34351236</v>
      </c>
      <c r="J4" s="56">
        <f>100*(RAW_DATA!N4-RAW_DATA!$N$30)/RAW_DATA!$N$31</f>
        <v>90.72088725</v>
      </c>
      <c r="K4" s="33">
        <f>(RAW_DATA!O4-AVERAGE(RAW_DATA!$O$2:$O$26))/_xlfn.STDEV.P(RAW_DATA!$O$2:$O$26)</f>
        <v>1.481142234</v>
      </c>
      <c r="L4" s="33">
        <f t="shared" si="2"/>
        <v>100</v>
      </c>
      <c r="M4" s="33">
        <f>100*(RAW_DATA!R4-RAW_DATA!$R$30)/RAW_DATA!$R$31</f>
        <v>34.08436243</v>
      </c>
      <c r="N4" s="33">
        <f>100*(RAW_DATA!S4-RAW_DATA!$S$30)/RAW_DATA!$S$31</f>
        <v>77.86720322</v>
      </c>
      <c r="O4" s="56">
        <f>100*(RAW_DATA!T4-RAW_DATA!$T$30)/RAW_DATA!$T$31</f>
        <v>91.30434783</v>
      </c>
      <c r="P4" s="56">
        <f>(RAW_DATA!U4-AVERAGE(RAW_DATA!$U$2:$U$26))/_xlfn.STDEV.P(RAW_DATA!$U$2:$U$26)</f>
        <v>1.916567208</v>
      </c>
      <c r="Q4" s="56">
        <f t="shared" si="3"/>
        <v>100</v>
      </c>
      <c r="R4" s="56">
        <f>100*(RAW_DATA!X4-RAW_DATA!$X$30)/RAW_DATA!$X$31</f>
        <v>11.79855057</v>
      </c>
      <c r="S4" s="56">
        <f>RAW_DATA!Y4-100</f>
        <v>20</v>
      </c>
      <c r="T4" s="56">
        <f t="shared" si="4"/>
        <v>1.016906016</v>
      </c>
      <c r="U4" s="56">
        <f t="shared" si="5"/>
        <v>69.23076923</v>
      </c>
      <c r="V4" s="56">
        <f>100*(RAW_DATA!Z4-RAW_DATA!$Z$30)/RAW_DATA!$Z$31</f>
        <v>3.850286533</v>
      </c>
      <c r="W4" s="33">
        <f>100*(RAW_DATA!AA4-MIN(RAW_DATA!$AA$2:RAW_DATA!$AA$26))/(MAX(RAW_DATA!$AA$2:RAW_DATA!$AA$26)-MIN(RAW_DATA!$AA$2:RAW_DATA!$AA$26))</f>
        <v>79.71014493</v>
      </c>
      <c r="X4" s="33">
        <f>(RAW_DATA!AB4-AVERAGE(RAW_DATA!$AB$2:RAW_DATA!$AB$26))/_xlfn.STDEV.P(RAW_DATA!$AB$2:RAW_DATA!$AB$26)</f>
        <v>1.506395663</v>
      </c>
      <c r="Y4" s="33">
        <f t="shared" si="6"/>
        <v>89.28571429</v>
      </c>
      <c r="Z4" s="56">
        <f>100*(RAW_DATA!AC4-RAW_DATA!$AC$30)/RAW_DATA!$AC$31</f>
        <v>88.88888889</v>
      </c>
      <c r="AA4" s="33">
        <f>100*(RAW_DATA!AD4-RAW_DATA!$AD$30)/RAW_DATA!$AD$31</f>
        <v>53.60287318</v>
      </c>
      <c r="AB4" s="33"/>
      <c r="AC4" s="33"/>
    </row>
    <row r="5">
      <c r="A5" s="29" t="s">
        <v>58</v>
      </c>
      <c r="B5" s="56">
        <f>100*(RAW_DATA!B5-RAW_DATA!$B$30)/RAW_DATA!$B$31</f>
        <v>14.28571429</v>
      </c>
      <c r="C5" s="33">
        <f>100*(RAW_DATA!F5-RAW_DATA!$F$30)/RAW_DATA!$F$31</f>
        <v>19.44444444</v>
      </c>
      <c r="D5" s="56">
        <f>100*(RAW_DATA!G5-RAW_DATA!$G$30)/RAW_DATA!$G$31</f>
        <v>20</v>
      </c>
      <c r="E5" s="56">
        <f>(RAW_DATA!H5-AVERAGE(RAW_DATA!$H$2:$H$26))/_xlfn.STDEV.P(RAW_DATA!$H$2:$H$26)</f>
        <v>-0.7523496016</v>
      </c>
      <c r="F5" s="56">
        <f t="shared" si="1"/>
        <v>9.825327511</v>
      </c>
      <c r="G5" s="56">
        <f>100*(RAW_DATA!K5-RAW_DATA!$K$30)/RAW_DATA!$K$31</f>
        <v>35.29411765</v>
      </c>
      <c r="H5" s="56">
        <f>100*(RAW_DATA!L5-RAW_DATA!$L$30)/RAW_DATA!$L$31</f>
        <v>83.33333333</v>
      </c>
      <c r="I5" s="56">
        <f>100*(RAW_DATA!M5-RAW_DATA!$M$30)/RAW_DATA!$M$31</f>
        <v>86.84648289</v>
      </c>
      <c r="J5" s="56">
        <f>100*(RAW_DATA!N5-RAW_DATA!$N$30)/RAW_DATA!$N$31</f>
        <v>96.70979667</v>
      </c>
      <c r="K5" s="33">
        <f>(RAW_DATA!O5-AVERAGE(RAW_DATA!$O$2:$O$26))/_xlfn.STDEV.P(RAW_DATA!$O$2:$O$26)</f>
        <v>1.007735172</v>
      </c>
      <c r="L5" s="33">
        <f t="shared" si="2"/>
        <v>87.566366</v>
      </c>
      <c r="M5" s="33">
        <f>100*(RAW_DATA!R5-RAW_DATA!$R$30)/RAW_DATA!$R$31</f>
        <v>44.31942536</v>
      </c>
      <c r="N5" s="33">
        <f>100*(RAW_DATA!S5-RAW_DATA!$S$30)/RAW_DATA!$S$31</f>
        <v>84.30583501</v>
      </c>
      <c r="O5" s="56">
        <f>100*(RAW_DATA!T5-RAW_DATA!$T$30)/RAW_DATA!$T$31</f>
        <v>91.30434783</v>
      </c>
      <c r="P5" s="56">
        <f>(RAW_DATA!U5-AVERAGE(RAW_DATA!$U$2:$U$26))/_xlfn.STDEV.P(RAW_DATA!$U$2:$U$26)</f>
        <v>1.085549691</v>
      </c>
      <c r="Q5" s="56">
        <f t="shared" si="3"/>
        <v>82.65716308</v>
      </c>
      <c r="R5" s="56">
        <f>100*(RAW_DATA!X5-RAW_DATA!$X$30)/RAW_DATA!$X$31</f>
        <v>34.41095982</v>
      </c>
      <c r="S5" s="56">
        <f>RAW_DATA!Y5-100</f>
        <v>16</v>
      </c>
      <c r="T5" s="56">
        <f t="shared" si="4"/>
        <v>0.3565774343</v>
      </c>
      <c r="U5" s="56">
        <f t="shared" si="5"/>
        <v>53.84615385</v>
      </c>
      <c r="V5" s="56">
        <f>100*(RAW_DATA!Z5-RAW_DATA!$Z$30)/RAW_DATA!$Z$31</f>
        <v>4.047277937</v>
      </c>
      <c r="W5" s="33">
        <f>100*(RAW_DATA!AA5-MIN(RAW_DATA!$AA$2:RAW_DATA!$AA$26))/(MAX(RAW_DATA!$AA$2:RAW_DATA!$AA$26)-MIN(RAW_DATA!$AA$2:RAW_DATA!$AA$26))</f>
        <v>78.26086957</v>
      </c>
      <c r="X5" s="33">
        <f>(RAW_DATA!AB5-AVERAGE(RAW_DATA!$AB$2:RAW_DATA!$AB$26))/_xlfn.STDEV.P(RAW_DATA!$AB$2:RAW_DATA!$AB$26)</f>
        <v>-0.03074276863</v>
      </c>
      <c r="Y5" s="33">
        <f t="shared" si="6"/>
        <v>45.53571429</v>
      </c>
      <c r="Z5" s="56">
        <f>100*(RAW_DATA!AC5-RAW_DATA!$AC$30)/RAW_DATA!$AC$31</f>
        <v>77.77777778</v>
      </c>
      <c r="AA5" s="33">
        <f>100*(RAW_DATA!AD5-RAW_DATA!$AD$30)/RAW_DATA!$AD$31</f>
        <v>63.98755048</v>
      </c>
      <c r="AB5" s="33"/>
      <c r="AC5" s="33"/>
    </row>
    <row r="6">
      <c r="A6" s="29" t="s">
        <v>66</v>
      </c>
      <c r="B6" s="56">
        <f>100*(RAW_DATA!B6-RAW_DATA!$B$30)/RAW_DATA!$B$31</f>
        <v>71.42857143</v>
      </c>
      <c r="C6" s="33">
        <f>100*(RAW_DATA!F6-RAW_DATA!$F$30)/RAW_DATA!$F$31</f>
        <v>19.44444444</v>
      </c>
      <c r="D6" s="56">
        <f>100*(RAW_DATA!G6-RAW_DATA!$G$30)/RAW_DATA!$G$31</f>
        <v>40</v>
      </c>
      <c r="E6" s="56">
        <f>(RAW_DATA!H6-AVERAGE(RAW_DATA!$H$2:$H$26))/_xlfn.STDEV.P(RAW_DATA!$H$2:$H$26)</f>
        <v>-0.7767659669</v>
      </c>
      <c r="F6" s="56">
        <f t="shared" si="1"/>
        <v>9.170305677</v>
      </c>
      <c r="G6" s="56">
        <f>100*(RAW_DATA!K6-RAW_DATA!$K$30)/RAW_DATA!$K$31</f>
        <v>29.41176471</v>
      </c>
      <c r="H6" s="56">
        <f>100*(RAW_DATA!L6-RAW_DATA!$L$30)/RAW_DATA!$L$31</f>
        <v>8.333333333</v>
      </c>
      <c r="I6" s="56">
        <f>100*(RAW_DATA!M6-RAW_DATA!$M$30)/RAW_DATA!$M$31</f>
        <v>4.206273764</v>
      </c>
      <c r="J6" s="56">
        <f>100*(RAW_DATA!N6-RAW_DATA!$N$30)/RAW_DATA!$N$31</f>
        <v>0</v>
      </c>
      <c r="K6" s="33">
        <f>(RAW_DATA!O6-AVERAGE(RAW_DATA!$O$2:$O$26))/_xlfn.STDEV.P(RAW_DATA!$O$2:$O$26)</f>
        <v>-2.326329192</v>
      </c>
      <c r="L6" s="33">
        <f t="shared" si="2"/>
        <v>0</v>
      </c>
      <c r="M6" s="33">
        <f>100*(RAW_DATA!R6-RAW_DATA!$R$30)/RAW_DATA!$R$31</f>
        <v>100</v>
      </c>
      <c r="N6" s="33">
        <f>100*(RAW_DATA!S6-RAW_DATA!$S$30)/RAW_DATA!$S$31</f>
        <v>0</v>
      </c>
      <c r="O6" s="56">
        <f>100*(RAW_DATA!T6-RAW_DATA!$T$30)/RAW_DATA!$T$31</f>
        <v>0</v>
      </c>
      <c r="P6" s="56">
        <f>(RAW_DATA!U6-AVERAGE(RAW_DATA!$U$2:$U$26))/_xlfn.STDEV.P(RAW_DATA!$U$2:$U$26)</f>
        <v>-2.875137407</v>
      </c>
      <c r="Q6" s="56">
        <f t="shared" si="3"/>
        <v>0</v>
      </c>
      <c r="R6" s="56">
        <f>100*(RAW_DATA!X6-RAW_DATA!$X$30)/RAW_DATA!$X$31</f>
        <v>100</v>
      </c>
      <c r="S6" s="56">
        <f>RAW_DATA!Y6-100</f>
        <v>11</v>
      </c>
      <c r="T6" s="56">
        <f t="shared" si="4"/>
        <v>-0.4688332932</v>
      </c>
      <c r="U6" s="56">
        <f t="shared" si="5"/>
        <v>34.61538462</v>
      </c>
      <c r="V6" s="56">
        <f>100*(RAW_DATA!Z6-RAW_DATA!$Z$30)/RAW_DATA!$Z$31</f>
        <v>11.30014327</v>
      </c>
      <c r="W6" s="33">
        <f>100*(RAW_DATA!AA6-MIN(RAW_DATA!$AA$2:RAW_DATA!$AA$26))/(MAX(RAW_DATA!$AA$2:RAW_DATA!$AA$26)-MIN(RAW_DATA!$AA$2:RAW_DATA!$AA$26))</f>
        <v>42.39130435</v>
      </c>
      <c r="X6" s="33">
        <f>(RAW_DATA!AB6-AVERAGE(RAW_DATA!$AB$2:RAW_DATA!$AB$26))/_xlfn.STDEV.P(RAW_DATA!$AB$2:RAW_DATA!$AB$26)</f>
        <v>-0.6267760379</v>
      </c>
      <c r="Y6" s="33">
        <f t="shared" si="6"/>
        <v>28.57142857</v>
      </c>
      <c r="Z6" s="56">
        <f>100*(RAW_DATA!AC6-RAW_DATA!$AC$30)/RAW_DATA!$AC$31</f>
        <v>33.33333333</v>
      </c>
      <c r="AA6" s="33">
        <f>100*(RAW_DATA!AD6-RAW_DATA!$AD$30)/RAW_DATA!$AD$31</f>
        <v>92.54912567</v>
      </c>
      <c r="AB6" s="33"/>
      <c r="AC6" s="33"/>
    </row>
    <row r="7">
      <c r="A7" s="29" t="s">
        <v>54</v>
      </c>
      <c r="B7" s="56">
        <f>100*(RAW_DATA!B7-RAW_DATA!$B$30)/RAW_DATA!$B$31</f>
        <v>14.28571429</v>
      </c>
      <c r="C7" s="33">
        <f>100*(RAW_DATA!F7-RAW_DATA!$F$30)/RAW_DATA!$F$31</f>
        <v>27.77777778</v>
      </c>
      <c r="D7" s="56">
        <f>100*(RAW_DATA!G7-RAW_DATA!$G$30)/RAW_DATA!$G$31</f>
        <v>20</v>
      </c>
      <c r="E7" s="56">
        <f>(RAW_DATA!H7-AVERAGE(RAW_DATA!$H$2:$H$26))/_xlfn.STDEV.P(RAW_DATA!$H$2:$H$26)</f>
        <v>1.550927521</v>
      </c>
      <c r="F7" s="56">
        <f t="shared" si="1"/>
        <v>71.61572052</v>
      </c>
      <c r="G7" s="56">
        <f>100*(RAW_DATA!K7-RAW_DATA!$K$30)/RAW_DATA!$K$31</f>
        <v>52.94117647</v>
      </c>
      <c r="H7" s="56">
        <f>100*(RAW_DATA!L7-RAW_DATA!$L$30)/RAW_DATA!$L$31</f>
        <v>58.33333333</v>
      </c>
      <c r="I7" s="56">
        <f>100*(RAW_DATA!M7-RAW_DATA!$M$30)/RAW_DATA!$M$31</f>
        <v>65.9279943</v>
      </c>
      <c r="J7" s="56">
        <f>100*(RAW_DATA!N7-RAW_DATA!$N$30)/RAW_DATA!$N$31</f>
        <v>78.52125693</v>
      </c>
      <c r="K7" s="33">
        <f>(RAW_DATA!O7-AVERAGE(RAW_DATA!$O$2:$O$26))/_xlfn.STDEV.P(RAW_DATA!$O$2:$O$26)</f>
        <v>0.1775297978</v>
      </c>
      <c r="L7" s="33">
        <f t="shared" si="2"/>
        <v>65.76172766</v>
      </c>
      <c r="M7" s="33">
        <f>100*(RAW_DATA!R7-RAW_DATA!$R$30)/RAW_DATA!$R$31</f>
        <v>41.16737842</v>
      </c>
      <c r="N7" s="33">
        <f>100*(RAW_DATA!S7-RAW_DATA!$S$30)/RAW_DATA!$S$31</f>
        <v>75.4527163</v>
      </c>
      <c r="O7" s="56">
        <f>100*(RAW_DATA!T7-RAW_DATA!$T$30)/RAW_DATA!$T$31</f>
        <v>91.30434783</v>
      </c>
      <c r="P7" s="56">
        <f>(RAW_DATA!U7-AVERAGE(RAW_DATA!$U$2:$U$26))/_xlfn.STDEV.P(RAW_DATA!$U$2:$U$26)</f>
        <v>1.191549285</v>
      </c>
      <c r="Q7" s="56">
        <f t="shared" si="3"/>
        <v>84.86931101</v>
      </c>
      <c r="R7" s="56">
        <f>100*(RAW_DATA!X7-RAW_DATA!$X$30)/RAW_DATA!$X$31</f>
        <v>30.33513065</v>
      </c>
      <c r="S7" s="56">
        <f>RAW_DATA!Y7-100</f>
        <v>15</v>
      </c>
      <c r="T7" s="56">
        <f t="shared" si="4"/>
        <v>0.1914952888</v>
      </c>
      <c r="U7" s="56">
        <f t="shared" si="5"/>
        <v>50</v>
      </c>
      <c r="V7" s="56">
        <f>100*(RAW_DATA!Z7-RAW_DATA!$Z$30)/RAW_DATA!$Z$31</f>
        <v>24.06876791</v>
      </c>
      <c r="W7" s="33">
        <f>100*(RAW_DATA!AA7-MIN(RAW_DATA!$AA$2:RAW_DATA!$AA$26))/(MAX(RAW_DATA!$AA$2:RAW_DATA!$AA$26)-MIN(RAW_DATA!$AA$2:RAW_DATA!$AA$26))</f>
        <v>82.60869565</v>
      </c>
      <c r="X7" s="33">
        <f>(RAW_DATA!AB7-AVERAGE(RAW_DATA!$AB$2:RAW_DATA!$AB$26))/_xlfn.STDEV.P(RAW_DATA!$AB$2:RAW_DATA!$AB$26)</f>
        <v>1.035843082</v>
      </c>
      <c r="Y7" s="33">
        <f t="shared" si="6"/>
        <v>75.89285714</v>
      </c>
      <c r="Z7" s="56">
        <f>100*(RAW_DATA!AC7-RAW_DATA!$AC$30)/RAW_DATA!$AC$31</f>
        <v>55.55555556</v>
      </c>
      <c r="AA7" s="33">
        <f>100*(RAW_DATA!AD7-RAW_DATA!$AD$30)/RAW_DATA!$AD$31</f>
        <v>60.96744428</v>
      </c>
      <c r="AB7" s="33"/>
      <c r="AC7" s="33"/>
    </row>
    <row r="8">
      <c r="A8" s="29" t="s">
        <v>62</v>
      </c>
      <c r="B8" s="56">
        <f>100*(RAW_DATA!B8-RAW_DATA!$B$30)/RAW_DATA!$B$31</f>
        <v>42.85714286</v>
      </c>
      <c r="C8" s="33">
        <f>100*(RAW_DATA!F8-RAW_DATA!$F$30)/RAW_DATA!$F$31</f>
        <v>11.11111111</v>
      </c>
      <c r="D8" s="56">
        <f>100*(RAW_DATA!G8-RAW_DATA!$G$30)/RAW_DATA!$G$31</f>
        <v>0</v>
      </c>
      <c r="E8" s="56">
        <f>(RAW_DATA!H8-AVERAGE(RAW_DATA!$H$2:$H$26))/_xlfn.STDEV.P(RAW_DATA!$H$2:$H$26)</f>
        <v>1.152126889</v>
      </c>
      <c r="F8" s="56">
        <f t="shared" si="1"/>
        <v>60.91703057</v>
      </c>
      <c r="G8" s="56">
        <f>100*(RAW_DATA!K8-RAW_DATA!$K$30)/RAW_DATA!$K$31</f>
        <v>76.47058824</v>
      </c>
      <c r="H8" s="56">
        <f>100*(RAW_DATA!L8-RAW_DATA!$L$30)/RAW_DATA!$L$31</f>
        <v>58.33333333</v>
      </c>
      <c r="I8" s="56">
        <f>100*(RAW_DATA!M8-RAW_DATA!$M$30)/RAW_DATA!$M$31</f>
        <v>27.25908983</v>
      </c>
      <c r="J8" s="56">
        <f>100*(RAW_DATA!N8-RAW_DATA!$N$30)/RAW_DATA!$N$31</f>
        <v>40.59149723</v>
      </c>
      <c r="K8" s="33">
        <f>(RAW_DATA!O8-AVERAGE(RAW_DATA!$O$2:$O$26))/_xlfn.STDEV.P(RAW_DATA!$O$2:$O$26)</f>
        <v>0.8687701355</v>
      </c>
      <c r="L8" s="33">
        <f t="shared" si="2"/>
        <v>83.91656746</v>
      </c>
      <c r="M8" s="33">
        <f>100*(RAW_DATA!R8-RAW_DATA!$R$30)/RAW_DATA!$R$31</f>
        <v>27.97028258</v>
      </c>
      <c r="N8" s="33">
        <f>100*(RAW_DATA!S8-RAW_DATA!$S$30)/RAW_DATA!$S$31</f>
        <v>27.7665996</v>
      </c>
      <c r="O8" s="56">
        <f>100*(RAW_DATA!T8-RAW_DATA!$T$30)/RAW_DATA!$T$31</f>
        <v>43.47826087</v>
      </c>
      <c r="P8" s="56">
        <f>(RAW_DATA!U8-AVERAGE(RAW_DATA!$U$2:$U$26))/_xlfn.STDEV.P(RAW_DATA!$U$2:$U$26)</f>
        <v>-0.03530119202</v>
      </c>
      <c r="Q8" s="56">
        <f t="shared" si="3"/>
        <v>59.26567773</v>
      </c>
      <c r="R8" s="56">
        <f>100*(RAW_DATA!X8-RAW_DATA!$X$30)/RAW_DATA!$X$31</f>
        <v>0</v>
      </c>
      <c r="S8" s="56">
        <f>RAW_DATA!Y8-100</f>
        <v>7</v>
      </c>
      <c r="T8" s="56">
        <f t="shared" si="4"/>
        <v>-1.129161875</v>
      </c>
      <c r="U8" s="56">
        <f t="shared" si="5"/>
        <v>19.23076923</v>
      </c>
      <c r="V8" s="56">
        <f>100*(RAW_DATA!Z8-RAW_DATA!$Z$30)/RAW_DATA!$Z$31</f>
        <v>14.43409742</v>
      </c>
      <c r="W8" s="33">
        <f>100*(RAW_DATA!AA8-MIN(RAW_DATA!$AA$2:RAW_DATA!$AA$26))/(MAX(RAW_DATA!$AA$2:RAW_DATA!$AA$26)-MIN(RAW_DATA!$AA$2:RAW_DATA!$AA$26))</f>
        <v>58.4057971</v>
      </c>
      <c r="X8" s="33">
        <f>(RAW_DATA!AB8-AVERAGE(RAW_DATA!$AB$2:RAW_DATA!$AB$26))/_xlfn.STDEV.P(RAW_DATA!$AB$2:RAW_DATA!$AB$26)</f>
        <v>-0.2503339731</v>
      </c>
      <c r="Y8" s="33">
        <f t="shared" si="6"/>
        <v>39.28571429</v>
      </c>
      <c r="Z8" s="56">
        <f>100*(RAW_DATA!AC8-RAW_DATA!$AC$30)/RAW_DATA!$AC$31</f>
        <v>44.44444444</v>
      </c>
      <c r="AA8" s="33">
        <f>100*(RAW_DATA!AD8-RAW_DATA!$AD$30)/RAW_DATA!$AD$31</f>
        <v>40.49120831</v>
      </c>
      <c r="AB8" s="33"/>
      <c r="AC8" s="33"/>
    </row>
    <row r="9">
      <c r="A9" s="29" t="s">
        <v>55</v>
      </c>
      <c r="B9" s="56">
        <f>100*(RAW_DATA!B9-RAW_DATA!$B$30)/RAW_DATA!$B$31</f>
        <v>42.85714286</v>
      </c>
      <c r="C9" s="33">
        <f>100*(RAW_DATA!F9-RAW_DATA!$F$30)/RAW_DATA!$F$31</f>
        <v>50</v>
      </c>
      <c r="D9" s="56">
        <f>100*(RAW_DATA!G9-RAW_DATA!$G$30)/RAW_DATA!$G$31</f>
        <v>60</v>
      </c>
      <c r="E9" s="56">
        <f>(RAW_DATA!H9-AVERAGE(RAW_DATA!$H$2:$H$26))/_xlfn.STDEV.P(RAW_DATA!$H$2:$H$26)</f>
        <v>0.4521910847</v>
      </c>
      <c r="F9" s="56">
        <f t="shared" si="1"/>
        <v>42.13973799</v>
      </c>
      <c r="G9" s="56">
        <f>100*(RAW_DATA!K9-RAW_DATA!$K$30)/RAW_DATA!$K$31</f>
        <v>29.41176471</v>
      </c>
      <c r="H9" s="56">
        <f>100*(RAW_DATA!L9-RAW_DATA!$L$30)/RAW_DATA!$L$31</f>
        <v>25</v>
      </c>
      <c r="I9" s="56">
        <f>100*(RAW_DATA!M9-RAW_DATA!$M$30)/RAW_DATA!$M$31</f>
        <v>20.87244534</v>
      </c>
      <c r="J9" s="56">
        <f>100*(RAW_DATA!N9-RAW_DATA!$N$30)/RAW_DATA!$N$31</f>
        <v>100</v>
      </c>
      <c r="K9" s="33">
        <f>(RAW_DATA!O9-AVERAGE(RAW_DATA!$O$2:$O$26))/_xlfn.STDEV.P(RAW_DATA!$O$2:$O$26)</f>
        <v>1.120251149</v>
      </c>
      <c r="L9" s="33">
        <f t="shared" si="2"/>
        <v>90.52150248</v>
      </c>
      <c r="M9" s="33">
        <f>100*(RAW_DATA!R9-RAW_DATA!$R$30)/RAW_DATA!$R$31</f>
        <v>28.28437392</v>
      </c>
      <c r="N9" s="33">
        <f>100*(RAW_DATA!S9-RAW_DATA!$S$30)/RAW_DATA!$S$31</f>
        <v>23.138833</v>
      </c>
      <c r="O9" s="56">
        <f>100*(RAW_DATA!T9-RAW_DATA!$T$30)/RAW_DATA!$T$31</f>
        <v>100</v>
      </c>
      <c r="P9" s="56">
        <f>(RAW_DATA!U9-AVERAGE(RAW_DATA!$U$2:$U$26))/_xlfn.STDEV.P(RAW_DATA!$U$2:$U$26)</f>
        <v>1.27682258</v>
      </c>
      <c r="Q9" s="56">
        <f t="shared" si="3"/>
        <v>86.64891351</v>
      </c>
      <c r="R9" s="56">
        <f>100*(RAW_DATA!X9-RAW_DATA!$X$30)/RAW_DATA!$X$31</f>
        <v>34.25162189</v>
      </c>
      <c r="S9" s="56">
        <f>RAW_DATA!Y9-100</f>
        <v>17</v>
      </c>
      <c r="T9" s="56">
        <f t="shared" si="4"/>
        <v>0.5216595798</v>
      </c>
      <c r="U9" s="56">
        <f t="shared" si="5"/>
        <v>57.69230769</v>
      </c>
      <c r="V9" s="56">
        <f>100*(RAW_DATA!Z9-RAW_DATA!$Z$30)/RAW_DATA!$Z$31</f>
        <v>37.32091691</v>
      </c>
      <c r="W9" s="33">
        <f>100*(RAW_DATA!AA9-MIN(RAW_DATA!$AA$2:RAW_DATA!$AA$26))/(MAX(RAW_DATA!$AA$2:RAW_DATA!$AA$26)-MIN(RAW_DATA!$AA$2:RAW_DATA!$AA$26))</f>
        <v>76.8115942</v>
      </c>
      <c r="X9" s="33">
        <f>(RAW_DATA!AB9-AVERAGE(RAW_DATA!$AB$2:RAW_DATA!$AB$26))/_xlfn.STDEV.P(RAW_DATA!$AB$2:RAW_DATA!$AB$26)</f>
        <v>0.5652905007</v>
      </c>
      <c r="Y9" s="33">
        <f t="shared" si="6"/>
        <v>62.5</v>
      </c>
      <c r="Z9" s="56">
        <f>100*(RAW_DATA!AC9-RAW_DATA!$AC$30)/RAW_DATA!$AC$31</f>
        <v>44.44444444</v>
      </c>
      <c r="AA9" s="33">
        <f>100*(RAW_DATA!AD9-RAW_DATA!$AD$30)/RAW_DATA!$AD$31</f>
        <v>67.42764551</v>
      </c>
      <c r="AB9" s="33"/>
      <c r="AC9" s="33"/>
    </row>
    <row r="10">
      <c r="A10" s="29" t="s">
        <v>59</v>
      </c>
      <c r="B10" s="56">
        <f>100*(RAW_DATA!B10-RAW_DATA!$B$30)/RAW_DATA!$B$31</f>
        <v>0</v>
      </c>
      <c r="C10" s="33">
        <f>100*(RAW_DATA!F10-RAW_DATA!$F$30)/RAW_DATA!$F$31</f>
        <v>19.44444444</v>
      </c>
      <c r="D10" s="56">
        <f>100*(RAW_DATA!G10-RAW_DATA!$G$30)/RAW_DATA!$G$31</f>
        <v>0</v>
      </c>
      <c r="E10" s="56">
        <f>(RAW_DATA!H10-AVERAGE(RAW_DATA!$H$2:$H$26))/_xlfn.STDEV.P(RAW_DATA!$H$2:$H$26)</f>
        <v>-0.4919083721</v>
      </c>
      <c r="F10" s="56">
        <f t="shared" si="1"/>
        <v>16.81222707</v>
      </c>
      <c r="G10" s="56">
        <f>100*(RAW_DATA!K10-RAW_DATA!$K$30)/RAW_DATA!$K$31</f>
        <v>52.94117647</v>
      </c>
      <c r="H10" s="56">
        <f>100*(RAW_DATA!L10-RAW_DATA!$L$30)/RAW_DATA!$L$31</f>
        <v>50</v>
      </c>
      <c r="I10" s="56">
        <f>100*(RAW_DATA!M10-RAW_DATA!$M$30)/RAW_DATA!$M$31</f>
        <v>58.63088165</v>
      </c>
      <c r="J10" s="56">
        <f>100*(RAW_DATA!N10-RAW_DATA!$N$30)/RAW_DATA!$N$31</f>
        <v>80.07393715</v>
      </c>
      <c r="K10" s="33">
        <f>(RAW_DATA!O10-AVERAGE(RAW_DATA!$O$2:$O$26))/_xlfn.STDEV.P(RAW_DATA!$O$2:$O$26)</f>
        <v>0.8075746297</v>
      </c>
      <c r="L10" s="33">
        <f t="shared" si="2"/>
        <v>82.30931952</v>
      </c>
      <c r="M10" s="33">
        <f>100*(RAW_DATA!R10-RAW_DATA!$R$30)/RAW_DATA!$R$31</f>
        <v>31.23886132</v>
      </c>
      <c r="N10" s="33">
        <f>100*(RAW_DATA!S10-RAW_DATA!$S$30)/RAW_DATA!$S$31</f>
        <v>53.92354125</v>
      </c>
      <c r="O10" s="56">
        <f>100*(RAW_DATA!T10-RAW_DATA!$T$30)/RAW_DATA!$T$31</f>
        <v>73.91304348</v>
      </c>
      <c r="P10" s="56">
        <f>(RAW_DATA!U10-AVERAGE(RAW_DATA!$U$2:$U$26))/_xlfn.STDEV.P(RAW_DATA!$U$2:$U$26)</f>
        <v>0.8071101328</v>
      </c>
      <c r="Q10" s="56">
        <f t="shared" si="3"/>
        <v>76.84629658</v>
      </c>
      <c r="R10" s="56">
        <f>100*(RAW_DATA!X10-RAW_DATA!$X$30)/RAW_DATA!$X$31</f>
        <v>33.51068141</v>
      </c>
      <c r="S10" s="56">
        <f>RAW_DATA!Y10-100</f>
        <v>19</v>
      </c>
      <c r="T10" s="56">
        <f t="shared" si="4"/>
        <v>0.8518238708</v>
      </c>
      <c r="U10" s="56">
        <f t="shared" si="5"/>
        <v>65.38461538</v>
      </c>
      <c r="V10" s="56">
        <f>100*(RAW_DATA!Z10-RAW_DATA!$Z$30)/RAW_DATA!$Z$31</f>
        <v>0</v>
      </c>
      <c r="W10" s="33">
        <f>100*(RAW_DATA!AA10-MIN(RAW_DATA!$AA$2:RAW_DATA!$AA$26))/(MAX(RAW_DATA!$AA$2:RAW_DATA!$AA$26)-MIN(RAW_DATA!$AA$2:RAW_DATA!$AA$26))</f>
        <v>94.20289855</v>
      </c>
      <c r="X10" s="33">
        <f>(RAW_DATA!AB10-AVERAGE(RAW_DATA!$AB$2:RAW_DATA!$AB$26))/_xlfn.STDEV.P(RAW_DATA!$AB$2:RAW_DATA!$AB$26)</f>
        <v>1.192693942</v>
      </c>
      <c r="Y10" s="33">
        <f t="shared" si="6"/>
        <v>80.35714286</v>
      </c>
      <c r="Z10" s="56">
        <f>100*(RAW_DATA!AC10-RAW_DATA!$AC$30)/RAW_DATA!$AC$31</f>
        <v>66.66666667</v>
      </c>
      <c r="AA10" s="33">
        <f>100*(RAW_DATA!AD10-RAW_DATA!$AD$30)/RAW_DATA!$AD$31</f>
        <v>50.47377259</v>
      </c>
      <c r="AB10" s="33"/>
      <c r="AC10" s="33"/>
    </row>
    <row r="11">
      <c r="A11" s="29" t="s">
        <v>68</v>
      </c>
      <c r="B11" s="56">
        <f>100*(RAW_DATA!B11-RAW_DATA!$B$30)/RAW_DATA!$B$31</f>
        <v>28.57142857</v>
      </c>
      <c r="C11" s="33">
        <f>100*(RAW_DATA!F11-RAW_DATA!$F$30)/RAW_DATA!$F$31</f>
        <v>45.83333333</v>
      </c>
      <c r="D11" s="56">
        <f>100*(RAW_DATA!G11-RAW_DATA!$G$30)/RAW_DATA!$G$31</f>
        <v>20</v>
      </c>
      <c r="E11" s="56">
        <f>(RAW_DATA!H11-AVERAGE(RAW_DATA!$H$2:$H$26))/_xlfn.STDEV.P(RAW_DATA!$H$2:$H$26)</f>
        <v>-0.3454101806</v>
      </c>
      <c r="F11" s="56">
        <f t="shared" si="1"/>
        <v>20.74235808</v>
      </c>
      <c r="G11" s="56">
        <f>100*(RAW_DATA!K11-RAW_DATA!$K$30)/RAW_DATA!$K$31</f>
        <v>17.64705882</v>
      </c>
      <c r="H11" s="56">
        <f>100*(RAW_DATA!L11-RAW_DATA!$L$30)/RAW_DATA!$L$31</f>
        <v>50</v>
      </c>
      <c r="I11" s="56">
        <f>100*(RAW_DATA!M11-RAW_DATA!$M$30)/RAW_DATA!$M$31</f>
        <v>43.9475404</v>
      </c>
      <c r="J11" s="56">
        <f>100*(RAW_DATA!N11-RAW_DATA!$N$30)/RAW_DATA!$N$31</f>
        <v>59.00184843</v>
      </c>
      <c r="K11" s="33">
        <f>(RAW_DATA!O11-AVERAGE(RAW_DATA!$O$2:$O$26))/_xlfn.STDEV.P(RAW_DATA!$O$2:$O$26)</f>
        <v>-0.6915638247</v>
      </c>
      <c r="L11" s="33">
        <f t="shared" si="2"/>
        <v>42.93572254</v>
      </c>
      <c r="M11" s="33">
        <f>100*(RAW_DATA!R11-RAW_DATA!$R$30)/RAW_DATA!$R$31</f>
        <v>37.61629479</v>
      </c>
      <c r="N11" s="33">
        <f>100*(RAW_DATA!S11-RAW_DATA!$S$30)/RAW_DATA!$S$31</f>
        <v>29.77867203</v>
      </c>
      <c r="O11" s="56">
        <f>100*(RAW_DATA!T11-RAW_DATA!$T$30)/RAW_DATA!$T$31</f>
        <v>39.13043478</v>
      </c>
      <c r="P11" s="56">
        <f>(RAW_DATA!U11-AVERAGE(RAW_DATA!$U$2:$U$26))/_xlfn.STDEV.P(RAW_DATA!$U$2:$U$26)</f>
        <v>-1.099287857</v>
      </c>
      <c r="Q11" s="56">
        <f t="shared" si="3"/>
        <v>37.06091449</v>
      </c>
      <c r="R11" s="56">
        <f>100*(RAW_DATA!X11-RAW_DATA!$X$30)/RAW_DATA!$X$31</f>
        <v>28.92698828</v>
      </c>
      <c r="S11" s="56">
        <f>RAW_DATA!Y11-100</f>
        <v>6</v>
      </c>
      <c r="T11" s="56">
        <f t="shared" si="4"/>
        <v>-1.294244021</v>
      </c>
      <c r="U11" s="56">
        <f t="shared" si="5"/>
        <v>15.38461538</v>
      </c>
      <c r="V11" s="56">
        <f>100*(RAW_DATA!Z11-RAW_DATA!$Z$30)/RAW_DATA!$Z$31</f>
        <v>25.50143266</v>
      </c>
      <c r="W11" s="33">
        <f>100*(RAW_DATA!AA11-MIN(RAW_DATA!$AA$2:RAW_DATA!$AA$26))/(MAX(RAW_DATA!$AA$2:RAW_DATA!$AA$26)-MIN(RAW_DATA!$AA$2:RAW_DATA!$AA$26))</f>
        <v>56.52173913</v>
      </c>
      <c r="X11" s="33">
        <f>(RAW_DATA!AB11-AVERAGE(RAW_DATA!$AB$2:RAW_DATA!$AB$26))/_xlfn.STDEV.P(RAW_DATA!$AB$2:RAW_DATA!$AB$26)</f>
        <v>-1.160068963</v>
      </c>
      <c r="Y11" s="33">
        <f t="shared" si="6"/>
        <v>13.39285714</v>
      </c>
      <c r="Z11" s="56">
        <f>100*(RAW_DATA!AC11-RAW_DATA!$AC$30)/RAW_DATA!$AC$31</f>
        <v>0</v>
      </c>
      <c r="AA11" s="33">
        <f>100*(RAW_DATA!AD11-RAW_DATA!$AD$30)/RAW_DATA!$AD$31</f>
        <v>75.57558104</v>
      </c>
      <c r="AB11" s="33"/>
      <c r="AC11" s="33"/>
    </row>
    <row r="12">
      <c r="A12" s="29" t="s">
        <v>65</v>
      </c>
      <c r="B12" s="56">
        <f>100*(RAW_DATA!B12-RAW_DATA!$B$30)/RAW_DATA!$B$31</f>
        <v>57.14285714</v>
      </c>
      <c r="C12" s="33">
        <f>100*(RAW_DATA!F12-RAW_DATA!$F$30)/RAW_DATA!$F$31</f>
        <v>38.88888889</v>
      </c>
      <c r="D12" s="56">
        <f>100*(RAW_DATA!G12-RAW_DATA!$G$30)/RAW_DATA!$G$31</f>
        <v>40</v>
      </c>
      <c r="E12" s="56">
        <f>(RAW_DATA!H12-AVERAGE(RAW_DATA!$H$2:$H$26))/_xlfn.STDEV.P(RAW_DATA!$H$2:$H$26)</f>
        <v>-0.7197944479</v>
      </c>
      <c r="F12" s="56">
        <f t="shared" si="1"/>
        <v>10.69868996</v>
      </c>
      <c r="G12" s="56">
        <f>100*(RAW_DATA!K12-RAW_DATA!$K$30)/RAW_DATA!$K$31</f>
        <v>11.76470588</v>
      </c>
      <c r="H12" s="56">
        <f>100*(RAW_DATA!L12-RAW_DATA!$L$30)/RAW_DATA!$L$31</f>
        <v>0</v>
      </c>
      <c r="I12" s="56">
        <f>100*(RAW_DATA!M12-RAW_DATA!$M$30)/RAW_DATA!$M$31</f>
        <v>9.064579373</v>
      </c>
      <c r="J12" s="56">
        <f>100*(RAW_DATA!N12-RAW_DATA!$N$30)/RAW_DATA!$N$31</f>
        <v>25.43438078</v>
      </c>
      <c r="K12" s="33">
        <f>(RAW_DATA!O12-AVERAGE(RAW_DATA!$O$2:$O$26))/_xlfn.STDEV.P(RAW_DATA!$O$2:$O$26)</f>
        <v>-1.157338568</v>
      </c>
      <c r="L12" s="33">
        <f t="shared" si="2"/>
        <v>30.7025449</v>
      </c>
      <c r="M12" s="33">
        <f>100*(RAW_DATA!R12-RAW_DATA!$R$30)/RAW_DATA!$R$31</f>
        <v>69.29969734</v>
      </c>
      <c r="N12" s="33">
        <f>100*(RAW_DATA!S12-RAW_DATA!$S$30)/RAW_DATA!$S$31</f>
        <v>12.07243461</v>
      </c>
      <c r="O12" s="56">
        <f>100*(RAW_DATA!T12-RAW_DATA!$T$30)/RAW_DATA!$T$31</f>
        <v>34.7826087</v>
      </c>
      <c r="P12" s="56">
        <f>(RAW_DATA!U12-AVERAGE(RAW_DATA!$U$2:$U$26))/_xlfn.STDEV.P(RAW_DATA!$U$2:$U$26)</f>
        <v>-0.400502141</v>
      </c>
      <c r="Q12" s="56">
        <f t="shared" si="3"/>
        <v>51.64415307</v>
      </c>
      <c r="R12" s="56">
        <f>100*(RAW_DATA!X12-RAW_DATA!$X$30)/RAW_DATA!$X$31</f>
        <v>50.5731008</v>
      </c>
      <c r="S12" s="56">
        <f>RAW_DATA!Y12-100</f>
        <v>7</v>
      </c>
      <c r="T12" s="56">
        <f t="shared" si="4"/>
        <v>-1.129161875</v>
      </c>
      <c r="U12" s="56">
        <f t="shared" si="5"/>
        <v>19.23076923</v>
      </c>
      <c r="V12" s="56">
        <f>100*(RAW_DATA!Z12-RAW_DATA!$Z$30)/RAW_DATA!$Z$31</f>
        <v>23.35243553</v>
      </c>
      <c r="W12" s="33">
        <f>100*(RAW_DATA!AA12-MIN(RAW_DATA!$AA$2:RAW_DATA!$AA$26))/(MAX(RAW_DATA!$AA$2:RAW_DATA!$AA$26)-MIN(RAW_DATA!$AA$2:RAW_DATA!$AA$26))</f>
        <v>24.63768116</v>
      </c>
      <c r="X12" s="33">
        <f>(RAW_DATA!AB12-AVERAGE(RAW_DATA!$AB$2:RAW_DATA!$AB$26))/_xlfn.STDEV.P(RAW_DATA!$AB$2:RAW_DATA!$AB$26)</f>
        <v>-0.5012953497</v>
      </c>
      <c r="Y12" s="33">
        <f t="shared" si="6"/>
        <v>32.14285714</v>
      </c>
      <c r="Z12" s="56">
        <f>100*(RAW_DATA!AC12-RAW_DATA!$AC$30)/RAW_DATA!$AC$31</f>
        <v>33.33333333</v>
      </c>
      <c r="AA12" s="33">
        <f>100*(RAW_DATA!AD12-RAW_DATA!$AD$30)/RAW_DATA!$AD$31</f>
        <v>100</v>
      </c>
      <c r="AB12" s="33"/>
      <c r="AC12" s="33"/>
    </row>
    <row r="13">
      <c r="A13" s="29" t="s">
        <v>57</v>
      </c>
      <c r="B13" s="56">
        <f>100*(RAW_DATA!B13-RAW_DATA!$B$30)/RAW_DATA!$B$31</f>
        <v>14.28571429</v>
      </c>
      <c r="C13" s="33">
        <f>100*(RAW_DATA!F13-RAW_DATA!$F$30)/RAW_DATA!$F$31</f>
        <v>38.88888889</v>
      </c>
      <c r="D13" s="56">
        <f>100*(RAW_DATA!G13-RAW_DATA!$G$30)/RAW_DATA!$G$31</f>
        <v>20</v>
      </c>
      <c r="E13" s="56">
        <f>(RAW_DATA!H13-AVERAGE(RAW_DATA!$H$2:$H$26))/_xlfn.STDEV.P(RAW_DATA!$H$2:$H$26)</f>
        <v>0.3301092583</v>
      </c>
      <c r="F13" s="56">
        <f t="shared" si="1"/>
        <v>38.86462882</v>
      </c>
      <c r="G13" s="56">
        <f>100*(RAW_DATA!K13-RAW_DATA!$K$30)/RAW_DATA!$K$31</f>
        <v>52.94117647</v>
      </c>
      <c r="H13" s="56">
        <f>100*(RAW_DATA!L13-RAW_DATA!$L$30)/RAW_DATA!$L$31</f>
        <v>33.33333333</v>
      </c>
      <c r="I13" s="56">
        <f>100*(RAW_DATA!M13-RAW_DATA!$M$30)/RAW_DATA!$M$31</f>
        <v>16.6914211</v>
      </c>
      <c r="J13" s="56">
        <f>100*(RAW_DATA!N13-RAW_DATA!$N$30)/RAW_DATA!$N$31</f>
        <v>43.91866913</v>
      </c>
      <c r="K13" s="33">
        <f>(RAW_DATA!O13-AVERAGE(RAW_DATA!$O$2:$O$26))/_xlfn.STDEV.P(RAW_DATA!$O$2:$O$26)</f>
        <v>-0.6902699331</v>
      </c>
      <c r="L13" s="33">
        <f t="shared" si="2"/>
        <v>42.9697055</v>
      </c>
      <c r="M13" s="33">
        <f>100*(RAW_DATA!R13-RAW_DATA!$R$30)/RAW_DATA!$R$31</f>
        <v>56.57587572</v>
      </c>
      <c r="N13" s="33">
        <f>100*(RAW_DATA!S13-RAW_DATA!$S$30)/RAW_DATA!$S$31</f>
        <v>16.09657948</v>
      </c>
      <c r="O13" s="56">
        <f>100*(RAW_DATA!T13-RAW_DATA!$T$30)/RAW_DATA!$T$31</f>
        <v>43.47826087</v>
      </c>
      <c r="P13" s="56">
        <f>(RAW_DATA!U13-AVERAGE(RAW_DATA!$U$2:$U$26))/_xlfn.STDEV.P(RAW_DATA!$U$2:$U$26)</f>
        <v>0.1279151909</v>
      </c>
      <c r="Q13" s="56">
        <f t="shared" si="3"/>
        <v>62.6719057</v>
      </c>
      <c r="R13" s="56">
        <f>100*(RAW_DATA!X13-RAW_DATA!$X$30)/RAW_DATA!$X$31</f>
        <v>31.11927475</v>
      </c>
      <c r="S13" s="56">
        <f>RAW_DATA!Y13-100</f>
        <v>22</v>
      </c>
      <c r="T13" s="56">
        <f t="shared" si="4"/>
        <v>1.347070307</v>
      </c>
      <c r="U13" s="56">
        <f t="shared" si="5"/>
        <v>76.92307692</v>
      </c>
      <c r="V13" s="56">
        <f>100*(RAW_DATA!Z13-RAW_DATA!$Z$30)/RAW_DATA!$Z$31</f>
        <v>44.30515759</v>
      </c>
      <c r="W13" s="33">
        <f>100*(RAW_DATA!AA13-MIN(RAW_DATA!$AA$2:RAW_DATA!$AA$26))/(MAX(RAW_DATA!$AA$2:RAW_DATA!$AA$26)-MIN(RAW_DATA!$AA$2:RAW_DATA!$AA$26))</f>
        <v>60.86956522</v>
      </c>
      <c r="X13" s="33">
        <f>(RAW_DATA!AB13-AVERAGE(RAW_DATA!$AB$2:RAW_DATA!$AB$26))/_xlfn.STDEV.P(RAW_DATA!$AB$2:RAW_DATA!$AB$26)</f>
        <v>1.882837728</v>
      </c>
      <c r="Y13" s="33">
        <f t="shared" si="6"/>
        <v>100</v>
      </c>
      <c r="Z13" s="56">
        <f>100*(RAW_DATA!AC13-RAW_DATA!$AC$30)/RAW_DATA!$AC$31</f>
        <v>66.66666667</v>
      </c>
      <c r="AA13" s="33">
        <f>100*(RAW_DATA!AD13-RAW_DATA!$AD$30)/RAW_DATA!$AD$31</f>
        <v>54.33929608</v>
      </c>
      <c r="AB13" s="33"/>
      <c r="AC13" s="33"/>
    </row>
    <row r="14">
      <c r="A14" s="29" t="s">
        <v>64</v>
      </c>
      <c r="B14" s="56">
        <f>100*(RAW_DATA!B14-RAW_DATA!$B$30)/RAW_DATA!$B$31</f>
        <v>28.57142857</v>
      </c>
      <c r="C14" s="33">
        <f>100*(RAW_DATA!F14-RAW_DATA!$F$30)/RAW_DATA!$F$31</f>
        <v>44.44444444</v>
      </c>
      <c r="D14" s="56">
        <f>100*(RAW_DATA!G14-RAW_DATA!$G$30)/RAW_DATA!$G$31</f>
        <v>20</v>
      </c>
      <c r="E14" s="56">
        <f>(RAW_DATA!H14-AVERAGE(RAW_DATA!$H$2:$H$26))/_xlfn.STDEV.P(RAW_DATA!$H$2:$H$26)</f>
        <v>-0.9232641584</v>
      </c>
      <c r="F14" s="56">
        <f t="shared" si="1"/>
        <v>5.240174672</v>
      </c>
      <c r="G14" s="56">
        <f>100*(RAW_DATA!K14-RAW_DATA!$K$30)/RAW_DATA!$K$31</f>
        <v>5.882352941</v>
      </c>
      <c r="H14" s="56">
        <f>100*(RAW_DATA!L14-RAW_DATA!$L$30)/RAW_DATA!$L$31</f>
        <v>25</v>
      </c>
      <c r="I14" s="56">
        <f>100*(RAW_DATA!M14-RAW_DATA!$M$30)/RAW_DATA!$M$31</f>
        <v>1.209006654</v>
      </c>
      <c r="J14" s="56">
        <f>100*(RAW_DATA!N14-RAW_DATA!$N$30)/RAW_DATA!$N$31</f>
        <v>29.64879852</v>
      </c>
      <c r="K14" s="33">
        <f>(RAW_DATA!O14-AVERAGE(RAW_DATA!$O$2:$O$26))/_xlfn.STDEV.P(RAW_DATA!$O$2:$O$26)</f>
        <v>1.168702194</v>
      </c>
      <c r="L14" s="33">
        <f t="shared" si="2"/>
        <v>91.79402797</v>
      </c>
      <c r="M14" s="33">
        <f>100*(RAW_DATA!R14-RAW_DATA!$R$30)/RAW_DATA!$R$31</f>
        <v>0</v>
      </c>
      <c r="N14" s="33">
        <f>100*(RAW_DATA!S14-RAW_DATA!$S$30)/RAW_DATA!$S$31</f>
        <v>0.2012072435</v>
      </c>
      <c r="O14" s="56">
        <f>100*(RAW_DATA!T14-RAW_DATA!$T$30)/RAW_DATA!$T$31</f>
        <v>30.43478261</v>
      </c>
      <c r="P14" s="56">
        <f>(RAW_DATA!U14-AVERAGE(RAW_DATA!$U$2:$U$26))/_xlfn.STDEV.P(RAW_DATA!$U$2:$U$26)</f>
        <v>0.5095660694</v>
      </c>
      <c r="Q14" s="56">
        <f t="shared" si="3"/>
        <v>70.63673052</v>
      </c>
      <c r="R14" s="56">
        <f>100*(RAW_DATA!X14-RAW_DATA!$X$30)/RAW_DATA!$X$31</f>
        <v>33.70662242</v>
      </c>
      <c r="S14" s="56">
        <f>RAW_DATA!Y14-100</f>
        <v>18</v>
      </c>
      <c r="T14" s="56">
        <f t="shared" si="4"/>
        <v>0.6867417253</v>
      </c>
      <c r="U14" s="56">
        <f t="shared" si="5"/>
        <v>61.53846154</v>
      </c>
      <c r="V14" s="56">
        <f>100*(RAW_DATA!Z14-RAW_DATA!$Z$30)/RAW_DATA!$Z$31</f>
        <v>30.33667622</v>
      </c>
      <c r="W14" s="33">
        <f>100*(RAW_DATA!AA14-MIN(RAW_DATA!$AA$2:RAW_DATA!$AA$26))/(MAX(RAW_DATA!$AA$2:RAW_DATA!$AA$26)-MIN(RAW_DATA!$AA$2:RAW_DATA!$AA$26))</f>
        <v>60.86956522</v>
      </c>
      <c r="X14" s="33">
        <f>(RAW_DATA!AB14-AVERAGE(RAW_DATA!$AB$2:RAW_DATA!$AB$26))/_xlfn.STDEV.P(RAW_DATA!$AB$2:RAW_DATA!$AB$26)</f>
        <v>0.2202186079</v>
      </c>
      <c r="Y14" s="33">
        <f t="shared" si="6"/>
        <v>52.67857143</v>
      </c>
      <c r="Z14" s="56">
        <f>100*(RAW_DATA!AC14-RAW_DATA!$AC$30)/RAW_DATA!$AC$31</f>
        <v>44.44444444</v>
      </c>
      <c r="AA14" s="33">
        <f>100*(RAW_DATA!AD14-RAW_DATA!$AD$30)/RAW_DATA!$AD$31</f>
        <v>41.12041303</v>
      </c>
      <c r="AB14" s="33"/>
      <c r="AC14" s="33"/>
    </row>
    <row r="15">
      <c r="A15" s="29" t="s">
        <v>70</v>
      </c>
      <c r="B15" s="56">
        <f>100*(RAW_DATA!B15-RAW_DATA!$B$30)/RAW_DATA!$B$31</f>
        <v>0</v>
      </c>
      <c r="C15" s="33">
        <f>100*(RAW_DATA!F15-RAW_DATA!$F$30)/RAW_DATA!$F$31</f>
        <v>25</v>
      </c>
      <c r="D15" s="56">
        <f>100*(RAW_DATA!G15-RAW_DATA!$G$30)/RAW_DATA!$G$31</f>
        <v>0</v>
      </c>
      <c r="E15" s="56">
        <f>(RAW_DATA!H15-AVERAGE(RAW_DATA!$H$2:$H$26))/_xlfn.STDEV.P(RAW_DATA!$H$2:$H$26)</f>
        <v>-1.086039927</v>
      </c>
      <c r="F15" s="56">
        <f t="shared" si="1"/>
        <v>0.8733624454</v>
      </c>
      <c r="G15" s="56">
        <f>100*(RAW_DATA!K15-RAW_DATA!$K$30)/RAW_DATA!$K$31</f>
        <v>17.64705882</v>
      </c>
      <c r="H15" s="56">
        <f>100*(RAW_DATA!L15-RAW_DATA!$L$30)/RAW_DATA!$L$31</f>
        <v>50</v>
      </c>
      <c r="I15" s="56">
        <f>100*(RAW_DATA!M15-RAW_DATA!$M$30)/RAW_DATA!$M$31</f>
        <v>37.30543013</v>
      </c>
      <c r="J15" s="56">
        <f>100*(RAW_DATA!N15-RAW_DATA!$N$30)/RAW_DATA!$N$31</f>
        <v>40.81330869</v>
      </c>
      <c r="K15" s="33">
        <f>(RAW_DATA!O15-AVERAGE(RAW_DATA!$O$2:$O$26))/_xlfn.STDEV.P(RAW_DATA!$O$2:$O$26)</f>
        <v>0.4584960713</v>
      </c>
      <c r="L15" s="33">
        <f t="shared" si="2"/>
        <v>73.14106796</v>
      </c>
      <c r="M15" s="33">
        <f>100*(RAW_DATA!R15-RAW_DATA!$R$30)/RAW_DATA!$R$31</f>
        <v>8.916217668</v>
      </c>
      <c r="N15" s="33">
        <f>100*(RAW_DATA!S15-RAW_DATA!$S$30)/RAW_DATA!$S$31</f>
        <v>38.22937626</v>
      </c>
      <c r="O15" s="56">
        <f>100*(RAW_DATA!T15-RAW_DATA!$T$30)/RAW_DATA!$T$31</f>
        <v>47.82608696</v>
      </c>
      <c r="P15" s="56">
        <f>(RAW_DATA!U15-AVERAGE(RAW_DATA!$U$2:$U$26))/_xlfn.STDEV.P(RAW_DATA!$U$2:$U$26)</f>
        <v>-0.1846531257</v>
      </c>
      <c r="Q15" s="56">
        <f t="shared" si="3"/>
        <v>56.14879249</v>
      </c>
      <c r="R15" s="56">
        <f>100*(RAW_DATA!X15-RAW_DATA!$X$30)/RAW_DATA!$X$31</f>
        <v>11.08647715</v>
      </c>
      <c r="S15" s="56">
        <f>RAW_DATA!Y15-100</f>
        <v>12</v>
      </c>
      <c r="T15" s="56">
        <f t="shared" si="4"/>
        <v>-0.3037511477</v>
      </c>
      <c r="U15" s="56">
        <f t="shared" si="5"/>
        <v>38.46153846</v>
      </c>
      <c r="V15" s="56">
        <f>100*(RAW_DATA!Z15-RAW_DATA!$Z$30)/RAW_DATA!$Z$31</f>
        <v>26.03868195</v>
      </c>
      <c r="W15" s="33">
        <f>100*(RAW_DATA!AA15-MIN(RAW_DATA!$AA$2:RAW_DATA!$AA$26))/(MAX(RAW_DATA!$AA$2:RAW_DATA!$AA$26)-MIN(RAW_DATA!$AA$2:RAW_DATA!$AA$26))</f>
        <v>71.01449275</v>
      </c>
      <c r="X15" s="33">
        <f>(RAW_DATA!AB15-AVERAGE(RAW_DATA!$AB$2:RAW_DATA!$AB$26))/_xlfn.STDEV.P(RAW_DATA!$AB$2:RAW_DATA!$AB$26)</f>
        <v>-0.2817041452</v>
      </c>
      <c r="Y15" s="33">
        <f t="shared" si="6"/>
        <v>38.39285714</v>
      </c>
      <c r="Z15" s="56">
        <f>100*(RAW_DATA!AC15-RAW_DATA!$AC$30)/RAW_DATA!$AC$31</f>
        <v>22.22222222</v>
      </c>
      <c r="AA15" s="33">
        <f>100*(RAW_DATA!AD15-RAW_DATA!$AD$30)/RAW_DATA!$AD$31</f>
        <v>33.93178559</v>
      </c>
      <c r="AB15" s="33"/>
      <c r="AC15" s="33"/>
    </row>
    <row r="16">
      <c r="A16" s="29" t="s">
        <v>53</v>
      </c>
      <c r="B16" s="56">
        <f>100*(RAW_DATA!B16-RAW_DATA!$B$30)/RAW_DATA!$B$31</f>
        <v>100</v>
      </c>
      <c r="C16" s="33">
        <f>100*(RAW_DATA!F16-RAW_DATA!$F$30)/RAW_DATA!$F$31</f>
        <v>11.11111111</v>
      </c>
      <c r="D16" s="56">
        <f>100*(RAW_DATA!G16-RAW_DATA!$G$30)/RAW_DATA!$G$31</f>
        <v>0</v>
      </c>
      <c r="E16" s="56">
        <f>(RAW_DATA!H16-AVERAGE(RAW_DATA!$H$2:$H$26))/_xlfn.STDEV.P(RAW_DATA!$H$2:$H$26)</f>
        <v>0.5986892762</v>
      </c>
      <c r="F16" s="56">
        <f t="shared" si="1"/>
        <v>46.069869</v>
      </c>
      <c r="G16" s="56">
        <f>100*(RAW_DATA!K16-RAW_DATA!$K$30)/RAW_DATA!$K$31</f>
        <v>58.82352941</v>
      </c>
      <c r="H16" s="56">
        <f>100*(RAW_DATA!L16-RAW_DATA!$L$30)/RAW_DATA!$L$31</f>
        <v>16.66666667</v>
      </c>
      <c r="I16" s="56">
        <f>100*(RAW_DATA!M16-RAW_DATA!$M$30)/RAW_DATA!$M$31</f>
        <v>2.521981939</v>
      </c>
      <c r="J16" s="56">
        <f>100*(RAW_DATA!N16-RAW_DATA!$N$30)/RAW_DATA!$N$31</f>
        <v>38.37338262</v>
      </c>
      <c r="K16" s="33">
        <f>(RAW_DATA!O16-AVERAGE(RAW_DATA!$O$2:$O$26))/_xlfn.STDEV.P(RAW_DATA!$O$2:$O$26)</f>
        <v>1.106024459</v>
      </c>
      <c r="L16" s="33">
        <f t="shared" si="2"/>
        <v>90.14785055</v>
      </c>
      <c r="M16" s="33">
        <f>100*(RAW_DATA!R16-RAW_DATA!$R$30)/RAW_DATA!$R$31</f>
        <v>22.20624763</v>
      </c>
      <c r="N16" s="33">
        <f>100*(RAW_DATA!S16-RAW_DATA!$S$30)/RAW_DATA!$S$31</f>
        <v>4.426559356</v>
      </c>
      <c r="O16" s="56">
        <f>100*(RAW_DATA!T16-RAW_DATA!$T$30)/RAW_DATA!$T$31</f>
        <v>43.47826087</v>
      </c>
      <c r="P16" s="56">
        <f>(RAW_DATA!U16-AVERAGE(RAW_DATA!$U$2:$U$26))/_xlfn.STDEV.P(RAW_DATA!$U$2:$U$26)</f>
        <v>-0.3522042657</v>
      </c>
      <c r="Q16" s="56">
        <f t="shared" si="3"/>
        <v>52.65210074</v>
      </c>
      <c r="R16" s="56">
        <f>100*(RAW_DATA!X16-RAW_DATA!$X$30)/RAW_DATA!$X$31</f>
        <v>20.57147494</v>
      </c>
      <c r="S16" s="56">
        <f>RAW_DATA!Y16-100</f>
        <v>28</v>
      </c>
      <c r="T16" s="56">
        <f t="shared" si="4"/>
        <v>2.33756318</v>
      </c>
      <c r="U16" s="56">
        <f t="shared" si="5"/>
        <v>100</v>
      </c>
      <c r="V16" s="56">
        <f>100*(RAW_DATA!Z16-RAW_DATA!$Z$30)/RAW_DATA!$Z$31</f>
        <v>11.89111748</v>
      </c>
      <c r="W16" s="33">
        <f>100*(RAW_DATA!AA16-MIN(RAW_DATA!$AA$2:RAW_DATA!$AA$26))/(MAX(RAW_DATA!$AA$2:RAW_DATA!$AA$26)-MIN(RAW_DATA!$AA$2:RAW_DATA!$AA$26))</f>
        <v>98.55072464</v>
      </c>
      <c r="X16" s="33">
        <f>(RAW_DATA!AB16-AVERAGE(RAW_DATA!$AB$2:RAW_DATA!$AB$26))/_xlfn.STDEV.P(RAW_DATA!$AB$2:RAW_DATA!$AB$26)</f>
        <v>1.631876351</v>
      </c>
      <c r="Y16" s="33">
        <f t="shared" si="6"/>
        <v>92.85714286</v>
      </c>
      <c r="Z16" s="56">
        <f>100*(RAW_DATA!AC16-RAW_DATA!$AC$30)/RAW_DATA!$AC$31</f>
        <v>88.88888889</v>
      </c>
      <c r="AA16" s="33">
        <f>100*(RAW_DATA!AD16-RAW_DATA!$AD$30)/RAW_DATA!$AD$31</f>
        <v>33.44754303</v>
      </c>
      <c r="AB16" s="33"/>
      <c r="AC16" s="33"/>
    </row>
    <row r="17">
      <c r="A17" s="29" t="s">
        <v>61</v>
      </c>
      <c r="B17" s="56">
        <f>100*(RAW_DATA!B17-RAW_DATA!$B$30)/RAW_DATA!$B$31</f>
        <v>14.28571429</v>
      </c>
      <c r="C17" s="33">
        <f>100*(RAW_DATA!F17-RAW_DATA!$F$30)/RAW_DATA!$F$31</f>
        <v>31.94444444</v>
      </c>
      <c r="D17" s="56">
        <f>100*(RAW_DATA!G17-RAW_DATA!$G$30)/RAW_DATA!$G$31</f>
        <v>0</v>
      </c>
      <c r="E17" s="56">
        <f>(RAW_DATA!H17-AVERAGE(RAW_DATA!$H$2:$H$26))/_xlfn.STDEV.P(RAW_DATA!$H$2:$H$26)</f>
        <v>0.6475220068</v>
      </c>
      <c r="F17" s="56">
        <f t="shared" si="1"/>
        <v>47.37991266</v>
      </c>
      <c r="G17" s="56">
        <f>100*(RAW_DATA!K17-RAW_DATA!$K$30)/RAW_DATA!$K$31</f>
        <v>52.94117647</v>
      </c>
      <c r="H17" s="56">
        <f>100*(RAW_DATA!L17-RAW_DATA!$L$30)/RAW_DATA!$L$31</f>
        <v>66.66666667</v>
      </c>
      <c r="I17" s="56">
        <f>100*(RAW_DATA!M17-RAW_DATA!$M$30)/RAW_DATA!$M$31</f>
        <v>74.19201521</v>
      </c>
      <c r="J17" s="56">
        <f>100*(RAW_DATA!N17-RAW_DATA!$N$30)/RAW_DATA!$N$31</f>
        <v>70.24029575</v>
      </c>
      <c r="K17" s="33">
        <f>(RAW_DATA!O17-AVERAGE(RAW_DATA!$O$2:$O$26))/_xlfn.STDEV.P(RAW_DATA!$O$2:$O$26)</f>
        <v>0.637500686</v>
      </c>
      <c r="L17" s="33">
        <f t="shared" si="2"/>
        <v>77.84247198</v>
      </c>
      <c r="M17" s="33">
        <f>100*(RAW_DATA!R17-RAW_DATA!$R$30)/RAW_DATA!$R$31</f>
        <v>37.64819208</v>
      </c>
      <c r="N17" s="33">
        <f>100*(RAW_DATA!S17-RAW_DATA!$S$30)/RAW_DATA!$S$31</f>
        <v>71.62977867</v>
      </c>
      <c r="O17" s="56">
        <f>100*(RAW_DATA!T17-RAW_DATA!$T$30)/RAW_DATA!$T$31</f>
        <v>69.56521739</v>
      </c>
      <c r="P17" s="56">
        <f>(RAW_DATA!U17-AVERAGE(RAW_DATA!$U$2:$U$26))/_xlfn.STDEV.P(RAW_DATA!$U$2:$U$26)</f>
        <v>1.014195112</v>
      </c>
      <c r="Q17" s="56">
        <f t="shared" si="3"/>
        <v>81.16803583</v>
      </c>
      <c r="R17" s="56">
        <f>100*(RAW_DATA!X17-RAW_DATA!$X$30)/RAW_DATA!$X$31</f>
        <v>38.40804053</v>
      </c>
      <c r="S17" s="56">
        <f>RAW_DATA!Y17-100</f>
        <v>8</v>
      </c>
      <c r="T17" s="56">
        <f t="shared" si="4"/>
        <v>-0.9640797297</v>
      </c>
      <c r="U17" s="56">
        <f t="shared" si="5"/>
        <v>23.07692308</v>
      </c>
      <c r="V17" s="56">
        <f>100*(RAW_DATA!Z17-RAW_DATA!$Z$30)/RAW_DATA!$Z$31</f>
        <v>10.29727794</v>
      </c>
      <c r="W17" s="33">
        <f>100*(RAW_DATA!AA17-MIN(RAW_DATA!$AA$2:RAW_DATA!$AA$26))/(MAX(RAW_DATA!$AA$2:RAW_DATA!$AA$26)-MIN(RAW_DATA!$AA$2:RAW_DATA!$AA$26))</f>
        <v>42.02898551</v>
      </c>
      <c r="X17" s="33">
        <f>(RAW_DATA!AB17-AVERAGE(RAW_DATA!$AB$2:RAW_DATA!$AB$26))/_xlfn.STDEV.P(RAW_DATA!$AB$2:RAW_DATA!$AB$26)</f>
        <v>-0.65814621</v>
      </c>
      <c r="Y17" s="33">
        <f t="shared" si="6"/>
        <v>27.67857143</v>
      </c>
      <c r="Z17" s="56">
        <f>100*(RAW_DATA!AC17-RAW_DATA!$AC$30)/RAW_DATA!$AC$31</f>
        <v>55.55555556</v>
      </c>
      <c r="AA17" s="33">
        <f>100*(RAW_DATA!AD17-RAW_DATA!$AD$30)/RAW_DATA!$AD$31</f>
        <v>70.83948846</v>
      </c>
      <c r="AB17" s="33"/>
      <c r="AC17" s="33"/>
    </row>
    <row r="18">
      <c r="A18" s="29" t="s">
        <v>75</v>
      </c>
      <c r="B18" s="56">
        <f>100*(RAW_DATA!B18-RAW_DATA!$B$30)/RAW_DATA!$B$31</f>
        <v>0</v>
      </c>
      <c r="C18" s="33">
        <f>100*(RAW_DATA!F18-RAW_DATA!$F$30)/RAW_DATA!$F$31</f>
        <v>0</v>
      </c>
      <c r="D18" s="56">
        <f>100*(RAW_DATA!G18-RAW_DATA!$G$30)/RAW_DATA!$G$31</f>
        <v>0</v>
      </c>
      <c r="E18" s="56">
        <f>(RAW_DATA!H18-AVERAGE(RAW_DATA!$H$2:$H$26))/_xlfn.STDEV.P(RAW_DATA!$H$2:$H$26)</f>
        <v>-0.003581066905</v>
      </c>
      <c r="F18" s="56">
        <f t="shared" si="1"/>
        <v>29.91266376</v>
      </c>
      <c r="G18" s="56">
        <f>100*(RAW_DATA!K18-RAW_DATA!$K$30)/RAW_DATA!$K$31</f>
        <v>35.29411765</v>
      </c>
      <c r="H18" s="56">
        <f>100*(RAW_DATA!L18-RAW_DATA!$L$30)/RAW_DATA!$L$31</f>
        <v>33.33333333</v>
      </c>
      <c r="I18" s="56">
        <f>100*(RAW_DATA!M18-RAW_DATA!$M$30)/RAW_DATA!$M$31</f>
        <v>16.61121673</v>
      </c>
      <c r="J18" s="56">
        <f>100*(RAW_DATA!N18-RAW_DATA!$N$30)/RAW_DATA!$N$31</f>
        <v>22.62476895</v>
      </c>
      <c r="K18" s="33">
        <f>(RAW_DATA!O18-AVERAGE(RAW_DATA!$O$2:$O$26))/_xlfn.STDEV.P(RAW_DATA!$O$2:$O$26)</f>
        <v>-0.8177303083</v>
      </c>
      <c r="L18" s="33">
        <f t="shared" si="2"/>
        <v>39.62206711</v>
      </c>
      <c r="M18" s="33">
        <f>100*(RAW_DATA!R18-RAW_DATA!$R$30)/RAW_DATA!$R$31</f>
        <v>46.66345707</v>
      </c>
      <c r="N18" s="33">
        <f>100*(RAW_DATA!S18-RAW_DATA!$S$30)/RAW_DATA!$S$31</f>
        <v>18.10865191</v>
      </c>
      <c r="O18" s="56">
        <f>100*(RAW_DATA!T18-RAW_DATA!$T$30)/RAW_DATA!$T$31</f>
        <v>30.43478261</v>
      </c>
      <c r="P18" s="56">
        <f>(RAW_DATA!U18-AVERAGE(RAW_DATA!$U$2:$U$26))/_xlfn.STDEV.P(RAW_DATA!$U$2:$U$26)</f>
        <v>-1.431176751</v>
      </c>
      <c r="Q18" s="56">
        <f t="shared" si="3"/>
        <v>30.13459242</v>
      </c>
      <c r="R18" s="56">
        <f>100*(RAW_DATA!X18-RAW_DATA!$X$30)/RAW_DATA!$X$31</f>
        <v>7.603107606</v>
      </c>
      <c r="S18" s="56">
        <f>RAW_DATA!Y18-100</f>
        <v>10</v>
      </c>
      <c r="T18" s="56">
        <f t="shared" si="4"/>
        <v>-0.6339154387</v>
      </c>
      <c r="U18" s="56">
        <f t="shared" si="5"/>
        <v>30.76923077</v>
      </c>
      <c r="V18" s="56">
        <f>100*(RAW_DATA!Z18-RAW_DATA!$Z$30)/RAW_DATA!$Z$31</f>
        <v>10.27936963</v>
      </c>
      <c r="W18" s="33">
        <f>100*(RAW_DATA!AA18-MIN(RAW_DATA!$AA$2:RAW_DATA!$AA$26))/(MAX(RAW_DATA!$AA$2:RAW_DATA!$AA$26)-MIN(RAW_DATA!$AA$2:RAW_DATA!$AA$26))</f>
        <v>10.14492754</v>
      </c>
      <c r="X18" s="33">
        <f>(RAW_DATA!AB18-AVERAGE(RAW_DATA!$AB$2:RAW_DATA!$AB$26))/_xlfn.STDEV.P(RAW_DATA!$AB$2:RAW_DATA!$AB$26)</f>
        <v>-1.536511028</v>
      </c>
      <c r="Y18" s="33">
        <f t="shared" si="6"/>
        <v>2.678571429</v>
      </c>
      <c r="Z18" s="56">
        <f>100*(RAW_DATA!AC18-RAW_DATA!$AC$30)/RAW_DATA!$AC$31</f>
        <v>66.66666667</v>
      </c>
      <c r="AA18" s="33">
        <f>100*(RAW_DATA!AD18-RAW_DATA!$AD$30)/RAW_DATA!$AD$31</f>
        <v>0</v>
      </c>
      <c r="AB18" s="33"/>
      <c r="AC18" s="33"/>
    </row>
    <row r="19">
      <c r="A19" s="29" t="s">
        <v>71</v>
      </c>
      <c r="B19" s="56">
        <f>100*(RAW_DATA!B19-RAW_DATA!$B$30)/RAW_DATA!$B$31</f>
        <v>28.57142857</v>
      </c>
      <c r="C19" s="33">
        <f>100*(RAW_DATA!F19-RAW_DATA!$F$30)/RAW_DATA!$F$31</f>
        <v>34.72222222</v>
      </c>
      <c r="D19" s="56">
        <f>100*(RAW_DATA!G19-RAW_DATA!$G$30)/RAW_DATA!$G$31</f>
        <v>0</v>
      </c>
      <c r="E19" s="56">
        <f>(RAW_DATA!H19-AVERAGE(RAW_DATA!$H$2:$H$26))/_xlfn.STDEV.P(RAW_DATA!$H$2:$H$26)</f>
        <v>-1.118595081</v>
      </c>
      <c r="F19" s="56">
        <f t="shared" si="1"/>
        <v>0</v>
      </c>
      <c r="G19" s="56">
        <f>100*(RAW_DATA!K19-RAW_DATA!$K$30)/RAW_DATA!$K$31</f>
        <v>0</v>
      </c>
      <c r="H19" s="56">
        <f>100*(RAW_DATA!L19-RAW_DATA!$L$30)/RAW_DATA!$L$31</f>
        <v>25</v>
      </c>
      <c r="I19" s="56">
        <f>100*(RAW_DATA!M19-RAW_DATA!$M$30)/RAW_DATA!$M$31</f>
        <v>62.68120247</v>
      </c>
      <c r="J19" s="56">
        <f>100*(RAW_DATA!N19-RAW_DATA!$N$30)/RAW_DATA!$N$31</f>
        <v>82.47689464</v>
      </c>
      <c r="K19" s="33">
        <f>(RAW_DATA!O19-AVERAGE(RAW_DATA!$O$2:$O$26))/_xlfn.STDEV.P(RAW_DATA!$O$2:$O$26)</f>
        <v>-0.2995432241</v>
      </c>
      <c r="L19" s="33">
        <f t="shared" si="2"/>
        <v>53.23181033</v>
      </c>
      <c r="M19" s="33">
        <f>100*(RAW_DATA!R19-RAW_DATA!$R$30)/RAW_DATA!$R$31</f>
        <v>34.7907263</v>
      </c>
      <c r="N19" s="33">
        <f>100*(RAW_DATA!S19-RAW_DATA!$S$30)/RAW_DATA!$S$31</f>
        <v>53.52112676</v>
      </c>
      <c r="O19" s="56">
        <f>100*(RAW_DATA!T19-RAW_DATA!$T$30)/RAW_DATA!$T$31</f>
        <v>69.56521739</v>
      </c>
      <c r="P19" s="56">
        <f>(RAW_DATA!U19-AVERAGE(RAW_DATA!$U$2:$U$26))/_xlfn.STDEV.P(RAW_DATA!$U$2:$U$26)</f>
        <v>-0.3741631368</v>
      </c>
      <c r="Q19" s="56">
        <f t="shared" si="3"/>
        <v>52.19383228</v>
      </c>
      <c r="R19" s="56">
        <f>100*(RAW_DATA!X19-RAW_DATA!$X$30)/RAW_DATA!$X$31</f>
        <v>26.97581521</v>
      </c>
      <c r="S19" s="56">
        <f>RAW_DATA!Y19-100</f>
        <v>9</v>
      </c>
      <c r="T19" s="56">
        <f t="shared" si="4"/>
        <v>-0.7989975842</v>
      </c>
      <c r="U19" s="56">
        <f t="shared" si="5"/>
        <v>26.92307692</v>
      </c>
      <c r="V19" s="56">
        <f>100*(RAW_DATA!Z19-RAW_DATA!$Z$30)/RAW_DATA!$Z$31</f>
        <v>9.22277937</v>
      </c>
      <c r="W19" s="33">
        <f>100*(RAW_DATA!AA19-MIN(RAW_DATA!$AA$2:RAW_DATA!$AA$26))/(MAX(RAW_DATA!$AA$2:RAW_DATA!$AA$26)-MIN(RAW_DATA!$AA$2:RAW_DATA!$AA$26))</f>
        <v>40.57971014</v>
      </c>
      <c r="X19" s="33">
        <f>(RAW_DATA!AB19-AVERAGE(RAW_DATA!$AB$2:RAW_DATA!$AB$26))/_xlfn.STDEV.P(RAW_DATA!$AB$2:RAW_DATA!$AB$26)</f>
        <v>-1.254179479</v>
      </c>
      <c r="Y19" s="33">
        <f t="shared" si="6"/>
        <v>10.71428571</v>
      </c>
      <c r="Z19" s="56">
        <f>100*(RAW_DATA!AC19-RAW_DATA!$AC$30)/RAW_DATA!$AC$31</f>
        <v>22.22222222</v>
      </c>
      <c r="AA19" s="33">
        <f>100*(RAW_DATA!AD19-RAW_DATA!$AD$30)/RAW_DATA!$AD$31</f>
        <v>57.20674216</v>
      </c>
      <c r="AB19" s="33"/>
      <c r="AC19" s="33"/>
    </row>
    <row r="20">
      <c r="A20" s="29" t="s">
        <v>63</v>
      </c>
      <c r="B20" s="56">
        <f>100*(RAW_DATA!B20-RAW_DATA!$B$30)/RAW_DATA!$B$31</f>
        <v>0</v>
      </c>
      <c r="C20" s="33">
        <f>100*(RAW_DATA!F20-RAW_DATA!$F$30)/RAW_DATA!$F$31</f>
        <v>6.944444444</v>
      </c>
      <c r="D20" s="56">
        <f>100*(RAW_DATA!G20-RAW_DATA!$G$30)/RAW_DATA!$G$31</f>
        <v>0</v>
      </c>
      <c r="E20" s="56">
        <f>(RAW_DATA!H20-AVERAGE(RAW_DATA!$H$2:$H$26))/_xlfn.STDEV.P(RAW_DATA!$H$2:$H$26)</f>
        <v>-0.5000471606</v>
      </c>
      <c r="F20" s="56">
        <f t="shared" si="1"/>
        <v>16.59388646</v>
      </c>
      <c r="G20" s="56">
        <f>100*(RAW_DATA!K20-RAW_DATA!$K$30)/RAW_DATA!$K$31</f>
        <v>35.29411765</v>
      </c>
      <c r="H20" s="56">
        <f>100*(RAW_DATA!L20-RAW_DATA!$L$30)/RAW_DATA!$L$31</f>
        <v>25</v>
      </c>
      <c r="I20" s="56">
        <f>100*(RAW_DATA!M20-RAW_DATA!$M$30)/RAW_DATA!$M$31</f>
        <v>31.41932034</v>
      </c>
      <c r="J20" s="56">
        <f>100*(RAW_DATA!N20-RAW_DATA!$N$30)/RAW_DATA!$N$31</f>
        <v>70.1663586</v>
      </c>
      <c r="K20" s="33">
        <f>(RAW_DATA!O20-AVERAGE(RAW_DATA!$O$2:$O$26))/_xlfn.STDEV.P(RAW_DATA!$O$2:$O$26)</f>
        <v>0.2294304402</v>
      </c>
      <c r="L20" s="33">
        <f t="shared" si="2"/>
        <v>67.12485391</v>
      </c>
      <c r="M20" s="33">
        <f>100*(RAW_DATA!R20-RAW_DATA!$R$30)/RAW_DATA!$R$31</f>
        <v>80.59216883</v>
      </c>
      <c r="N20" s="33">
        <f>100*(RAW_DATA!S20-RAW_DATA!$S$30)/RAW_DATA!$S$31</f>
        <v>20.52313883</v>
      </c>
      <c r="O20" s="56">
        <f>100*(RAW_DATA!T20-RAW_DATA!$T$30)/RAW_DATA!$T$31</f>
        <v>47.82608696</v>
      </c>
      <c r="P20" s="56">
        <f>(RAW_DATA!U20-AVERAGE(RAW_DATA!$U$2:$U$26))/_xlfn.STDEV.P(RAW_DATA!$U$2:$U$26)</f>
        <v>-0.8165112886</v>
      </c>
      <c r="Q20" s="56">
        <f t="shared" si="3"/>
        <v>42.96229179</v>
      </c>
      <c r="R20" s="56">
        <f>100*(RAW_DATA!X20-RAW_DATA!$X$30)/RAW_DATA!$X$31</f>
        <v>48.16940214</v>
      </c>
      <c r="S20" s="56">
        <f>RAW_DATA!Y20-100</f>
        <v>17</v>
      </c>
      <c r="T20" s="56">
        <f t="shared" si="4"/>
        <v>0.5216595798</v>
      </c>
      <c r="U20" s="56">
        <f t="shared" si="5"/>
        <v>57.69230769</v>
      </c>
      <c r="V20" s="56">
        <f>100*(RAW_DATA!Z20-RAW_DATA!$Z$30)/RAW_DATA!$Z$31</f>
        <v>4.065186246</v>
      </c>
      <c r="W20" s="33">
        <f>100*(RAW_DATA!AA20-MIN(RAW_DATA!$AA$2:RAW_DATA!$AA$26))/(MAX(RAW_DATA!$AA$2:RAW_DATA!$AA$26)-MIN(RAW_DATA!$AA$2:RAW_DATA!$AA$26))</f>
        <v>62.31884058</v>
      </c>
      <c r="X20" s="33">
        <f>(RAW_DATA!AB20-AVERAGE(RAW_DATA!$AB$2:RAW_DATA!$AB$26))/_xlfn.STDEV.P(RAW_DATA!$AB$2:RAW_DATA!$AB$26)</f>
        <v>0.9731027376</v>
      </c>
      <c r="Y20" s="33">
        <f t="shared" si="6"/>
        <v>74.10714286</v>
      </c>
      <c r="Z20" s="56">
        <f>100*(RAW_DATA!AC20-RAW_DATA!$AC$30)/RAW_DATA!$AC$31</f>
        <v>77.77777778</v>
      </c>
      <c r="AA20" s="33">
        <f>100*(RAW_DATA!AD20-RAW_DATA!$AD$30)/RAW_DATA!$AD$31</f>
        <v>53.67245796</v>
      </c>
      <c r="AB20" s="33"/>
      <c r="AC20" s="33"/>
    </row>
    <row r="21">
      <c r="A21" s="29" t="s">
        <v>69</v>
      </c>
      <c r="B21" s="56">
        <f>100*(RAW_DATA!B21-RAW_DATA!$B$30)/RAW_DATA!$B$31</f>
        <v>0</v>
      </c>
      <c r="C21" s="33">
        <f>100*(RAW_DATA!F21-RAW_DATA!$F$30)/RAW_DATA!$F$31</f>
        <v>5.555555556</v>
      </c>
      <c r="D21" s="56">
        <f>100*(RAW_DATA!G21-RAW_DATA!$G$30)/RAW_DATA!$G$31</f>
        <v>0</v>
      </c>
      <c r="E21" s="56">
        <f>(RAW_DATA!H21-AVERAGE(RAW_DATA!$H$2:$H$26))/_xlfn.STDEV.P(RAW_DATA!$H$2:$H$26)</f>
        <v>1.087016581</v>
      </c>
      <c r="F21" s="56">
        <f t="shared" si="1"/>
        <v>59.17030568</v>
      </c>
      <c r="G21" s="56">
        <f>100*(RAW_DATA!K21-RAW_DATA!$K$30)/RAW_DATA!$K$31</f>
        <v>35.29411765</v>
      </c>
      <c r="H21" s="56">
        <f>100*(RAW_DATA!L21-RAW_DATA!$L$30)/RAW_DATA!$L$31</f>
        <v>8.333333333</v>
      </c>
      <c r="I21" s="56">
        <f>100*(RAW_DATA!M21-RAW_DATA!$M$30)/RAW_DATA!$M$31</f>
        <v>1.072362167</v>
      </c>
      <c r="J21" s="56">
        <f>100*(RAW_DATA!N21-RAW_DATA!$N$30)/RAW_DATA!$N$31</f>
        <v>43.21626617</v>
      </c>
      <c r="K21" s="33">
        <f>(RAW_DATA!O21-AVERAGE(RAW_DATA!$O$2:$O$26))/_xlfn.STDEV.P(RAW_DATA!$O$2:$O$26)</f>
        <v>-2.231410794</v>
      </c>
      <c r="L21" s="33">
        <f t="shared" si="2"/>
        <v>2.492951028</v>
      </c>
      <c r="M21" s="33">
        <f>100*(RAW_DATA!R21-RAW_DATA!$R$30)/RAW_DATA!$R$31</f>
        <v>54.50085406</v>
      </c>
      <c r="N21" s="33">
        <f>100*(RAW_DATA!S21-RAW_DATA!$S$30)/RAW_DATA!$S$31</f>
        <v>7.042253521</v>
      </c>
      <c r="O21" s="56">
        <f>100*(RAW_DATA!T21-RAW_DATA!$T$30)/RAW_DATA!$T$31</f>
        <v>60.86956522</v>
      </c>
      <c r="P21" s="56">
        <f>(RAW_DATA!U21-AVERAGE(RAW_DATA!$U$2:$U$26))/_xlfn.STDEV.P(RAW_DATA!$U$2:$U$26)</f>
        <v>-0.3872389149</v>
      </c>
      <c r="Q21" s="56">
        <f t="shared" si="3"/>
        <v>51.92094864</v>
      </c>
      <c r="R21" s="56">
        <f>100*(RAW_DATA!X21-RAW_DATA!$X$30)/RAW_DATA!$X$31</f>
        <v>15.29506326</v>
      </c>
      <c r="S21" s="56">
        <f>RAW_DATA!Y21-100</f>
        <v>16</v>
      </c>
      <c r="T21" s="56">
        <f t="shared" si="4"/>
        <v>0.3565774343</v>
      </c>
      <c r="U21" s="56">
        <f t="shared" si="5"/>
        <v>53.84615385</v>
      </c>
      <c r="V21" s="56">
        <f>100*(RAW_DATA!Z21-RAW_DATA!$Z$30)/RAW_DATA!$Z$31</f>
        <v>100</v>
      </c>
      <c r="W21" s="33">
        <f>100*(RAW_DATA!AA21-MIN(RAW_DATA!$AA$2:RAW_DATA!$AA$26))/(MAX(RAW_DATA!$AA$2:RAW_DATA!$AA$26)-MIN(RAW_DATA!$AA$2:RAW_DATA!$AA$26))</f>
        <v>44.92753623</v>
      </c>
      <c r="X21" s="33">
        <f>(RAW_DATA!AB21-AVERAGE(RAW_DATA!$AB$2:RAW_DATA!$AB$26))/_xlfn.STDEV.P(RAW_DATA!$AB$2:RAW_DATA!$AB$26)</f>
        <v>-1.003218103</v>
      </c>
      <c r="Y21" s="33">
        <f t="shared" si="6"/>
        <v>17.85714286</v>
      </c>
      <c r="Z21" s="56">
        <f>100*(RAW_DATA!AC21-RAW_DATA!$AC$30)/RAW_DATA!$AC$31</f>
        <v>11.11111111</v>
      </c>
      <c r="AA21" s="33">
        <f>100*(RAW_DATA!AD21-RAW_DATA!$AD$30)/RAW_DATA!$AD$31</f>
        <v>40.29500149</v>
      </c>
      <c r="AB21" s="33"/>
      <c r="AC21" s="33"/>
    </row>
    <row r="22">
      <c r="A22" s="29" t="s">
        <v>67</v>
      </c>
      <c r="B22" s="56">
        <f>100*(RAW_DATA!B22-RAW_DATA!$B$30)/RAW_DATA!$B$31</f>
        <v>14.28571429</v>
      </c>
      <c r="C22" s="33">
        <f>100*(RAW_DATA!F22-RAW_DATA!$F$30)/RAW_DATA!$F$31</f>
        <v>27.77777778</v>
      </c>
      <c r="D22" s="56">
        <f>100*(RAW_DATA!G22-RAW_DATA!$G$30)/RAW_DATA!$G$31</f>
        <v>20</v>
      </c>
      <c r="E22" s="56">
        <f>(RAW_DATA!H22-AVERAGE(RAW_DATA!$H$2:$H$26))/_xlfn.STDEV.P(RAW_DATA!$H$2:$H$26)</f>
        <v>-0.2151895658</v>
      </c>
      <c r="F22" s="56">
        <f t="shared" si="1"/>
        <v>24.23580786</v>
      </c>
      <c r="G22" s="56">
        <f>100*(RAW_DATA!K22-RAW_DATA!$K$30)/RAW_DATA!$K$31</f>
        <v>23.52941176</v>
      </c>
      <c r="H22" s="56">
        <f>100*(RAW_DATA!L22-RAW_DATA!$L$30)/RAW_DATA!$L$31</f>
        <v>8.333333333</v>
      </c>
      <c r="I22" s="56">
        <f>100*(RAW_DATA!M22-RAW_DATA!$M$30)/RAW_DATA!$M$31</f>
        <v>15.5329135</v>
      </c>
      <c r="J22" s="56">
        <f>100*(RAW_DATA!N22-RAW_DATA!$N$30)/RAW_DATA!$N$31</f>
        <v>84.65804067</v>
      </c>
      <c r="K22" s="33">
        <f>(RAW_DATA!O22-AVERAGE(RAW_DATA!$O$2:$O$26))/_xlfn.STDEV.P(RAW_DATA!$O$2:$O$26)</f>
        <v>0.1573241021</v>
      </c>
      <c r="L22" s="33">
        <f t="shared" si="2"/>
        <v>65.23104224</v>
      </c>
      <c r="M22" s="33">
        <f>100*(RAW_DATA!R22-RAW_DATA!$R$30)/RAW_DATA!$R$31</f>
        <v>61.59562255</v>
      </c>
      <c r="N22" s="33">
        <f>100*(RAW_DATA!S22-RAW_DATA!$S$30)/RAW_DATA!$S$31</f>
        <v>11.26760563</v>
      </c>
      <c r="O22" s="56">
        <f>100*(RAW_DATA!T22-RAW_DATA!$T$30)/RAW_DATA!$T$31</f>
        <v>69.56521739</v>
      </c>
      <c r="P22" s="56">
        <f>(RAW_DATA!U22-AVERAGE(RAW_DATA!$U$2:$U$26))/_xlfn.STDEV.P(RAW_DATA!$U$2:$U$26)</f>
        <v>0.4247015458</v>
      </c>
      <c r="Q22" s="56">
        <f t="shared" si="3"/>
        <v>68.86565884</v>
      </c>
      <c r="R22" s="56">
        <f>100*(RAW_DATA!X22-RAW_DATA!$X$30)/RAW_DATA!$X$31</f>
        <v>62.59159408</v>
      </c>
      <c r="S22" s="56">
        <f>RAW_DATA!Y22-100</f>
        <v>16</v>
      </c>
      <c r="T22" s="56">
        <f t="shared" si="4"/>
        <v>0.3565774343</v>
      </c>
      <c r="U22" s="56">
        <f t="shared" si="5"/>
        <v>53.84615385</v>
      </c>
      <c r="V22" s="56">
        <f>100*(RAW_DATA!Z22-RAW_DATA!$Z$30)/RAW_DATA!$Z$31</f>
        <v>3.492120344</v>
      </c>
      <c r="W22" s="33">
        <f>100*(RAW_DATA!AA22-MIN(RAW_DATA!$AA$2:RAW_DATA!$AA$26))/(MAX(RAW_DATA!$AA$2:RAW_DATA!$AA$26)-MIN(RAW_DATA!$AA$2:RAW_DATA!$AA$26))</f>
        <v>33.33333333</v>
      </c>
      <c r="X22" s="33">
        <f>(RAW_DATA!AB22-AVERAGE(RAW_DATA!$AB$2:RAW_DATA!$AB$26))/_xlfn.STDEV.P(RAW_DATA!$AB$2:RAW_DATA!$AB$26)</f>
        <v>-1.630621544</v>
      </c>
      <c r="Y22" s="33">
        <f t="shared" si="6"/>
        <v>0</v>
      </c>
      <c r="Z22" s="56">
        <f>100*(RAW_DATA!AC22-RAW_DATA!$AC$30)/RAW_DATA!$AC$31</f>
        <v>33.33333333</v>
      </c>
      <c r="AA22" s="33">
        <f>100*(RAW_DATA!AD22-RAW_DATA!$AD$30)/RAW_DATA!$AD$31</f>
        <v>84.18619207</v>
      </c>
      <c r="AB22" s="33"/>
      <c r="AC22" s="33"/>
    </row>
    <row r="23">
      <c r="A23" s="29" t="s">
        <v>60</v>
      </c>
      <c r="B23" s="56">
        <f>100*(RAW_DATA!B23-RAW_DATA!$B$30)/RAW_DATA!$B$31</f>
        <v>28.57142857</v>
      </c>
      <c r="C23" s="33">
        <f>100*(RAW_DATA!F23-RAW_DATA!$F$30)/RAW_DATA!$F$31</f>
        <v>5.555555556</v>
      </c>
      <c r="D23" s="56">
        <f>100*(RAW_DATA!G23-RAW_DATA!$G$30)/RAW_DATA!$G$31</f>
        <v>0</v>
      </c>
      <c r="E23" s="56">
        <f>(RAW_DATA!H23-AVERAGE(RAW_DATA!$H$2:$H$26))/_xlfn.STDEV.P(RAW_DATA!$H$2:$H$26)</f>
        <v>-1.118595081</v>
      </c>
      <c r="F23" s="56">
        <f t="shared" si="1"/>
        <v>0</v>
      </c>
      <c r="G23" s="56">
        <f>100*(RAW_DATA!K23-RAW_DATA!$K$30)/RAW_DATA!$K$31</f>
        <v>70.58823529</v>
      </c>
      <c r="H23" s="56">
        <f>100*(RAW_DATA!L23-RAW_DATA!$L$30)/RAW_DATA!$L$31</f>
        <v>25</v>
      </c>
      <c r="I23" s="56">
        <f>100*(RAW_DATA!M23-RAW_DATA!$M$30)/RAW_DATA!$M$31</f>
        <v>0</v>
      </c>
      <c r="J23" s="56">
        <f>100*(RAW_DATA!N23-RAW_DATA!$N$30)/RAW_DATA!$N$31</f>
        <v>3.105360444</v>
      </c>
      <c r="K23" s="33">
        <f>(RAW_DATA!O23-AVERAGE(RAW_DATA!$O$2:$O$26))/_xlfn.STDEV.P(RAW_DATA!$O$2:$O$26)</f>
        <v>-0.4473540237</v>
      </c>
      <c r="L23" s="33">
        <f t="shared" si="2"/>
        <v>49.34968535</v>
      </c>
      <c r="M23" s="33">
        <f>100*(RAW_DATA!R23-RAW_DATA!$R$30)/RAW_DATA!$R$31</f>
        <v>42.91726714</v>
      </c>
      <c r="N23" s="33">
        <f>100*(RAW_DATA!S23-RAW_DATA!$S$30)/RAW_DATA!$S$31</f>
        <v>7.042253521</v>
      </c>
      <c r="O23" s="56">
        <f>100*(RAW_DATA!T23-RAW_DATA!$T$30)/RAW_DATA!$T$31</f>
        <v>26.08695652</v>
      </c>
      <c r="P23" s="56">
        <f>(RAW_DATA!U23-AVERAGE(RAW_DATA!$U$2:$U$26))/_xlfn.STDEV.P(RAW_DATA!$U$2:$U$26)</f>
        <v>-0.4347578192</v>
      </c>
      <c r="Q23" s="56">
        <f t="shared" si="3"/>
        <v>50.92925762</v>
      </c>
      <c r="R23" s="56">
        <f>100*(RAW_DATA!X23-RAW_DATA!$X$30)/RAW_DATA!$X$31</f>
        <v>35.11028323</v>
      </c>
      <c r="S23" s="56">
        <f>RAW_DATA!Y23-100</f>
        <v>19</v>
      </c>
      <c r="T23" s="56">
        <f t="shared" si="4"/>
        <v>0.8518238708</v>
      </c>
      <c r="U23" s="56">
        <f t="shared" si="5"/>
        <v>65.38461538</v>
      </c>
      <c r="V23" s="56">
        <f>100*(RAW_DATA!Z23-RAW_DATA!$Z$30)/RAW_DATA!$Z$31</f>
        <v>2.847421203</v>
      </c>
      <c r="W23" s="33">
        <f>100*(RAW_DATA!AA23-MIN(RAW_DATA!$AA$2:RAW_DATA!$AA$26))/(MAX(RAW_DATA!$AA$2:RAW_DATA!$AA$26)-MIN(RAW_DATA!$AA$2:RAW_DATA!$AA$26))</f>
        <v>100</v>
      </c>
      <c r="X23" s="33">
        <f>(RAW_DATA!AB23-AVERAGE(RAW_DATA!$AB$2:RAW_DATA!$AB$26))/_xlfn.STDEV.P(RAW_DATA!$AB$2:RAW_DATA!$AB$26)</f>
        <v>0.6750861029</v>
      </c>
      <c r="Y23" s="33">
        <f t="shared" si="6"/>
        <v>65.625</v>
      </c>
      <c r="Z23" s="56">
        <f>100*(RAW_DATA!AC23-RAW_DATA!$AC$30)/RAW_DATA!$AC$31</f>
        <v>100</v>
      </c>
      <c r="AA23" s="33">
        <f>100*(RAW_DATA!AD23-RAW_DATA!$AD$30)/RAW_DATA!$AD$31</f>
        <v>74.47171936</v>
      </c>
      <c r="AB23" s="33"/>
      <c r="AC23" s="33"/>
    </row>
    <row r="24">
      <c r="A24" s="29" t="s">
        <v>72</v>
      </c>
      <c r="B24" s="56">
        <f>100*(RAW_DATA!B24-RAW_DATA!$B$30)/RAW_DATA!$B$31</f>
        <v>0</v>
      </c>
      <c r="C24" s="33">
        <f>100*(RAW_DATA!F24-RAW_DATA!$F$30)/RAW_DATA!$F$31</f>
        <v>4.166666667</v>
      </c>
      <c r="D24" s="56">
        <f>100*(RAW_DATA!G24-RAW_DATA!$G$30)/RAW_DATA!$G$31</f>
        <v>0</v>
      </c>
      <c r="E24" s="56">
        <f>(RAW_DATA!H24-AVERAGE(RAW_DATA!$H$2:$H$26))/_xlfn.STDEV.P(RAW_DATA!$H$2:$H$26)</f>
        <v>-0.9232641584</v>
      </c>
      <c r="F24" s="56">
        <f t="shared" si="1"/>
        <v>5.240174672</v>
      </c>
      <c r="G24" s="56">
        <f>100*(RAW_DATA!K24-RAW_DATA!$K$30)/RAW_DATA!$K$31</f>
        <v>5.882352941</v>
      </c>
      <c r="H24" s="56">
        <f>100*(RAW_DATA!L24-RAW_DATA!$L$30)/RAW_DATA!$L$31</f>
        <v>50</v>
      </c>
      <c r="I24" s="56">
        <f>100*(RAW_DATA!M24-RAW_DATA!$M$30)/RAW_DATA!$M$31</f>
        <v>40.75421816</v>
      </c>
      <c r="J24" s="56">
        <f>100*(RAW_DATA!N24-RAW_DATA!$N$30)/RAW_DATA!$N$31</f>
        <v>69.75970425</v>
      </c>
      <c r="K24" s="33">
        <f>(RAW_DATA!O24-AVERAGE(RAW_DATA!$O$2:$O$26))/_xlfn.STDEV.P(RAW_DATA!$O$2:$O$26)</f>
        <v>0.1882317008</v>
      </c>
      <c r="L24" s="33">
        <f t="shared" si="2"/>
        <v>66.04280404</v>
      </c>
      <c r="M24" s="33">
        <f>100*(RAW_DATA!R24-RAW_DATA!$R$30)/RAW_DATA!$R$31</f>
        <v>69.26128788</v>
      </c>
      <c r="N24" s="33">
        <f>100*(RAW_DATA!S24-RAW_DATA!$S$30)/RAW_DATA!$S$31</f>
        <v>27.96780684</v>
      </c>
      <c r="O24" s="56">
        <f>100*(RAW_DATA!T24-RAW_DATA!$T$30)/RAW_DATA!$T$31</f>
        <v>47.82608696</v>
      </c>
      <c r="P24" s="56">
        <f>(RAW_DATA!U24-AVERAGE(RAW_DATA!$U$2:$U$26))/_xlfn.STDEV.P(RAW_DATA!$U$2:$U$26)</f>
        <v>-0.4028865313</v>
      </c>
      <c r="Q24" s="56">
        <f t="shared" si="3"/>
        <v>51.59439227</v>
      </c>
      <c r="R24" s="56">
        <f>100*(RAW_DATA!X24-RAW_DATA!$X$30)/RAW_DATA!$X$31</f>
        <v>47.64176098</v>
      </c>
      <c r="S24" s="56">
        <f>RAW_DATA!Y24-100</f>
        <v>6</v>
      </c>
      <c r="T24" s="56">
        <f t="shared" si="4"/>
        <v>-1.294244021</v>
      </c>
      <c r="U24" s="56">
        <f t="shared" si="5"/>
        <v>15.38461538</v>
      </c>
      <c r="V24" s="56">
        <f>100*(RAW_DATA!Z24-RAW_DATA!$Z$30)/RAW_DATA!$Z$31</f>
        <v>14.30873926</v>
      </c>
      <c r="W24" s="33">
        <f>100*(RAW_DATA!AA24-MIN(RAW_DATA!$AA$2:RAW_DATA!$AA$26))/(MAX(RAW_DATA!$AA$2:RAW_DATA!$AA$26)-MIN(RAW_DATA!$AA$2:RAW_DATA!$AA$26))</f>
        <v>43.47826087</v>
      </c>
      <c r="X24" s="33">
        <f>(RAW_DATA!AB24-AVERAGE(RAW_DATA!$AB$2:RAW_DATA!$AB$26))/_xlfn.STDEV.P(RAW_DATA!$AB$2:RAW_DATA!$AB$26)</f>
        <v>-0.5640356938</v>
      </c>
      <c r="Y24" s="33">
        <f t="shared" si="6"/>
        <v>30.35714286</v>
      </c>
      <c r="Z24" s="56">
        <f>100*(RAW_DATA!AC24-RAW_DATA!$AC$30)/RAW_DATA!$AC$31</f>
        <v>22.22222222</v>
      </c>
      <c r="AA24" s="33">
        <f>100*(RAW_DATA!AD24-RAW_DATA!$AD$30)/RAW_DATA!$AD$31</f>
        <v>65.28131282</v>
      </c>
      <c r="AB24" s="33"/>
      <c r="AC24" s="33"/>
    </row>
    <row r="25">
      <c r="A25" s="29" t="s">
        <v>73</v>
      </c>
      <c r="B25" s="56">
        <f>100*(RAW_DATA!B25-RAW_DATA!$B$30)/RAW_DATA!$B$31</f>
        <v>0</v>
      </c>
      <c r="C25" s="33">
        <f>100*(RAW_DATA!F25-RAW_DATA!$F$30)/RAW_DATA!$F$31</f>
        <v>34.72222222</v>
      </c>
      <c r="D25" s="56">
        <f>100*(RAW_DATA!G25-RAW_DATA!$G$30)/RAW_DATA!$G$31</f>
        <v>0</v>
      </c>
      <c r="E25" s="56">
        <f>(RAW_DATA!H25-AVERAGE(RAW_DATA!$H$2:$H$26))/_xlfn.STDEV.P(RAW_DATA!$H$2:$H$26)</f>
        <v>-0.8907090048</v>
      </c>
      <c r="F25" s="56">
        <f t="shared" si="1"/>
        <v>6.113537118</v>
      </c>
      <c r="G25" s="56">
        <f>100*(RAW_DATA!K25-RAW_DATA!$K$30)/RAW_DATA!$K$31</f>
        <v>17.64705882</v>
      </c>
      <c r="H25" s="56">
        <f>100*(RAW_DATA!L25-RAW_DATA!$L$30)/RAW_DATA!$L$31</f>
        <v>16.66666667</v>
      </c>
      <c r="I25" s="56">
        <f>100*(RAW_DATA!M25-RAW_DATA!$M$30)/RAW_DATA!$M$31</f>
        <v>20.17139971</v>
      </c>
      <c r="J25" s="56">
        <f>100*(RAW_DATA!N25-RAW_DATA!$N$30)/RAW_DATA!$N$31</f>
        <v>60.03696858</v>
      </c>
      <c r="K25" s="33">
        <f>(RAW_DATA!O25-AVERAGE(RAW_DATA!$O$2:$O$26))/_xlfn.STDEV.P(RAW_DATA!$O$2:$O$26)</f>
        <v>-0.6239875833</v>
      </c>
      <c r="L25" s="33">
        <f t="shared" si="2"/>
        <v>44.71055507</v>
      </c>
      <c r="M25" s="33">
        <f>100*(RAW_DATA!R25-RAW_DATA!$R$30)/RAW_DATA!$R$31</f>
        <v>37.50575492</v>
      </c>
      <c r="N25" s="33">
        <f>100*(RAW_DATA!S25-RAW_DATA!$S$30)/RAW_DATA!$S$31</f>
        <v>17.10261569</v>
      </c>
      <c r="O25" s="56">
        <f>100*(RAW_DATA!T25-RAW_DATA!$T$30)/RAW_DATA!$T$31</f>
        <v>52.17391304</v>
      </c>
      <c r="P25" s="56">
        <f>(RAW_DATA!U25-AVERAGE(RAW_DATA!$U$2:$U$26))/_xlfn.STDEV.P(RAW_DATA!$U$2:$U$26)</f>
        <v>-0.1345451428</v>
      </c>
      <c r="Q25" s="56">
        <f t="shared" si="3"/>
        <v>57.19451603</v>
      </c>
      <c r="R25" s="56">
        <f>100*(RAW_DATA!X25-RAW_DATA!$X$30)/RAW_DATA!$X$31</f>
        <v>19.83364534</v>
      </c>
      <c r="S25" s="56">
        <f>RAW_DATA!Y25-100</f>
        <v>9</v>
      </c>
      <c r="T25" s="56">
        <f t="shared" si="4"/>
        <v>-0.7989975842</v>
      </c>
      <c r="U25" s="56">
        <f t="shared" si="5"/>
        <v>26.92307692</v>
      </c>
      <c r="V25" s="56">
        <f>100*(RAW_DATA!Z25-RAW_DATA!$Z$30)/RAW_DATA!$Z$31</f>
        <v>11.10315186</v>
      </c>
      <c r="W25" s="33">
        <f>100*(RAW_DATA!AA25-MIN(RAW_DATA!$AA$2:RAW_DATA!$AA$26))/(MAX(RAW_DATA!$AA$2:RAW_DATA!$AA$26)-MIN(RAW_DATA!$AA$2:RAW_DATA!$AA$26))</f>
        <v>31.88405797</v>
      </c>
      <c r="X25" s="33">
        <f>(RAW_DATA!AB25-AVERAGE(RAW_DATA!$AB$2:RAW_DATA!$AB$26))/_xlfn.STDEV.P(RAW_DATA!$AB$2:RAW_DATA!$AB$26)</f>
        <v>-0.8463672424</v>
      </c>
      <c r="Y25" s="33">
        <f t="shared" si="6"/>
        <v>22.32142857</v>
      </c>
      <c r="Z25" s="56">
        <f>100*(RAW_DATA!AC25-RAW_DATA!$AC$30)/RAW_DATA!$AC$31</f>
        <v>22.22222222</v>
      </c>
      <c r="AA25" s="33">
        <f>100*(RAW_DATA!AD25-RAW_DATA!$AD$30)/RAW_DATA!$AD$31</f>
        <v>51.38344625</v>
      </c>
      <c r="AB25" s="33"/>
      <c r="AC25" s="33"/>
    </row>
    <row r="26">
      <c r="A26" s="29" t="s">
        <v>74</v>
      </c>
      <c r="B26" s="56">
        <f>100*(RAW_DATA!B26-RAW_DATA!$B$30)/RAW_DATA!$B$31</f>
        <v>14.28571429</v>
      </c>
      <c r="C26" s="33">
        <f>100*(RAW_DATA!F26-RAW_DATA!$F$30)/RAW_DATA!$F$31</f>
        <v>19.44444444</v>
      </c>
      <c r="D26" s="56">
        <f>100*(RAW_DATA!G26-RAW_DATA!$G$30)/RAW_DATA!$G$31</f>
        <v>0</v>
      </c>
      <c r="E26" s="56">
        <f>(RAW_DATA!H26-AVERAGE(RAW_DATA!$H$2:$H$26))/_xlfn.STDEV.P(RAW_DATA!$H$2:$H$26)</f>
        <v>-0.5814350448</v>
      </c>
      <c r="F26" s="56">
        <f t="shared" si="1"/>
        <v>14.41048035</v>
      </c>
      <c r="G26" s="56">
        <f>100*(RAW_DATA!K26-RAW_DATA!$K$30)/RAW_DATA!$K$31</f>
        <v>17.64705882</v>
      </c>
      <c r="H26" s="56">
        <f>100*(RAW_DATA!L26-RAW_DATA!$L$30)/RAW_DATA!$L$31</f>
        <v>8.333333333</v>
      </c>
      <c r="I26" s="56">
        <f>100*(RAW_DATA!M26-RAW_DATA!$M$30)/RAW_DATA!$M$31</f>
        <v>8.988830798</v>
      </c>
      <c r="J26" s="56">
        <f>100*(RAW_DATA!N26-RAW_DATA!$N$30)/RAW_DATA!$N$31</f>
        <v>16.15526802</v>
      </c>
      <c r="K26" s="33">
        <f>(RAW_DATA!O26-AVERAGE(RAW_DATA!$O$2:$O$26))/_xlfn.STDEV.P(RAW_DATA!$O$2:$O$26)</f>
        <v>-0.6270518041</v>
      </c>
      <c r="L26" s="33">
        <f t="shared" si="2"/>
        <v>44.63007592</v>
      </c>
      <c r="M26" s="33">
        <f>100*(RAW_DATA!R26-RAW_DATA!$R$30)/RAW_DATA!$R$31</f>
        <v>91.18016988</v>
      </c>
      <c r="N26" s="33">
        <f>100*(RAW_DATA!S26-RAW_DATA!$S$30)/RAW_DATA!$S$31</f>
        <v>8.450704225</v>
      </c>
      <c r="O26" s="56">
        <f>100*(RAW_DATA!T26-RAW_DATA!$T$30)/RAW_DATA!$T$31</f>
        <v>21.73913043</v>
      </c>
      <c r="P26" s="56">
        <f>(RAW_DATA!U26-AVERAGE(RAW_DATA!$U$2:$U$26))/_xlfn.STDEV.P(RAW_DATA!$U$2:$U$26)</f>
        <v>-0.3368099223</v>
      </c>
      <c r="Q26" s="56">
        <f t="shared" si="3"/>
        <v>52.97337145</v>
      </c>
      <c r="R26" s="56">
        <f>100*(RAW_DATA!X26-RAW_DATA!$X$30)/RAW_DATA!$X$31</f>
        <v>60.6569098</v>
      </c>
      <c r="S26" s="56">
        <f>RAW_DATA!Y26-100</f>
        <v>2</v>
      </c>
      <c r="T26" s="56">
        <f t="shared" si="4"/>
        <v>-1.954572603</v>
      </c>
      <c r="U26" s="56">
        <f t="shared" si="5"/>
        <v>0</v>
      </c>
      <c r="V26" s="56">
        <f>100*(RAW_DATA!Z26-RAW_DATA!$Z$30)/RAW_DATA!$Z$31</f>
        <v>0.2686246418</v>
      </c>
      <c r="W26" s="33">
        <f>100*(RAW_DATA!AA26-MIN(RAW_DATA!$AA$2:RAW_DATA!$AA$26))/(MAX(RAW_DATA!$AA$2:RAW_DATA!$AA$26)-MIN(RAW_DATA!$AA$2:RAW_DATA!$AA$26))</f>
        <v>0</v>
      </c>
      <c r="X26" s="33">
        <f>(RAW_DATA!AB26-AVERAGE(RAW_DATA!$AB$2:RAW_DATA!$AB$26))/_xlfn.STDEV.P(RAW_DATA!$AB$2:RAW_DATA!$AB$26)</f>
        <v>-0.4385550055</v>
      </c>
      <c r="Y26" s="33">
        <f t="shared" si="6"/>
        <v>33.92857143</v>
      </c>
      <c r="Z26" s="56">
        <f>100*(RAW_DATA!AC26-RAW_DATA!$AC$30)/RAW_DATA!$AC$31</f>
        <v>22.22222222</v>
      </c>
      <c r="AA26" s="33">
        <f>100*(RAW_DATA!AD26-RAW_DATA!$AD$30)/RAW_DATA!$AD$31</f>
        <v>86.99870166</v>
      </c>
      <c r="AB26" s="33"/>
      <c r="AC26" s="33"/>
    </row>
    <row r="27">
      <c r="A27" s="29"/>
      <c r="B27" s="56"/>
      <c r="C27" s="33"/>
      <c r="D27" s="56"/>
      <c r="E27" s="56"/>
      <c r="F27" s="56"/>
      <c r="G27" s="33"/>
      <c r="H27" s="56"/>
      <c r="I27" s="56"/>
      <c r="J27" s="56"/>
      <c r="K27" s="56"/>
      <c r="L27" s="56"/>
      <c r="M27" s="56"/>
      <c r="N27" s="56"/>
      <c r="O27" s="56"/>
      <c r="P27" s="33"/>
      <c r="Q27" s="33"/>
      <c r="R27" s="33"/>
      <c r="S27" s="33"/>
      <c r="T27" s="56"/>
      <c r="U27" s="56"/>
      <c r="V27" s="33"/>
      <c r="W27" s="56"/>
      <c r="X27" s="56"/>
      <c r="Y27" s="56"/>
      <c r="Z27" s="56"/>
      <c r="AA27" s="56"/>
      <c r="AB27" s="33"/>
      <c r="AC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row>
    <row r="29">
      <c r="A29" s="56" t="s">
        <v>308</v>
      </c>
      <c r="B29" s="33">
        <f t="shared" ref="B29:AA29" si="7">MAX(B2:B26)</f>
        <v>100</v>
      </c>
      <c r="C29" s="33">
        <f t="shared" si="7"/>
        <v>100</v>
      </c>
      <c r="D29" s="33">
        <f t="shared" si="7"/>
        <v>100</v>
      </c>
      <c r="E29" s="33">
        <f t="shared" si="7"/>
        <v>2.608970016</v>
      </c>
      <c r="F29" s="33">
        <f t="shared" si="7"/>
        <v>100</v>
      </c>
      <c r="G29" s="33">
        <f t="shared" si="7"/>
        <v>100</v>
      </c>
      <c r="H29" s="33">
        <f t="shared" si="7"/>
        <v>100</v>
      </c>
      <c r="I29" s="33">
        <f t="shared" si="7"/>
        <v>100</v>
      </c>
      <c r="J29" s="33">
        <f t="shared" si="7"/>
        <v>100</v>
      </c>
      <c r="K29" s="33">
        <f t="shared" si="7"/>
        <v>1.481142234</v>
      </c>
      <c r="L29" s="33">
        <f t="shared" si="7"/>
        <v>100</v>
      </c>
      <c r="M29" s="33">
        <f t="shared" si="7"/>
        <v>100</v>
      </c>
      <c r="N29" s="33">
        <f t="shared" si="7"/>
        <v>100</v>
      </c>
      <c r="O29" s="33">
        <f t="shared" si="7"/>
        <v>100</v>
      </c>
      <c r="P29" s="33">
        <f t="shared" si="7"/>
        <v>1.916567208</v>
      </c>
      <c r="Q29" s="33">
        <f t="shared" si="7"/>
        <v>100</v>
      </c>
      <c r="R29" s="33">
        <f t="shared" si="7"/>
        <v>100</v>
      </c>
      <c r="S29" s="33">
        <f t="shared" si="7"/>
        <v>28</v>
      </c>
      <c r="T29" s="33">
        <f t="shared" si="7"/>
        <v>2.33756318</v>
      </c>
      <c r="U29" s="33">
        <f t="shared" si="7"/>
        <v>100</v>
      </c>
      <c r="V29" s="33">
        <f t="shared" si="7"/>
        <v>100</v>
      </c>
      <c r="W29" s="33">
        <f t="shared" si="7"/>
        <v>100</v>
      </c>
      <c r="X29" s="33">
        <f t="shared" si="7"/>
        <v>1.882837728</v>
      </c>
      <c r="Y29" s="33">
        <f t="shared" si="7"/>
        <v>100</v>
      </c>
      <c r="Z29" s="33">
        <f t="shared" si="7"/>
        <v>100</v>
      </c>
      <c r="AA29" s="33">
        <f t="shared" si="7"/>
        <v>100</v>
      </c>
      <c r="AB29" s="33"/>
      <c r="AC29" s="33"/>
    </row>
    <row r="30">
      <c r="A30" s="56" t="s">
        <v>309</v>
      </c>
      <c r="B30" s="33">
        <f t="shared" ref="B30:AA30" si="8">MIN(B2:B26)</f>
        <v>0</v>
      </c>
      <c r="C30" s="33">
        <f t="shared" si="8"/>
        <v>0</v>
      </c>
      <c r="D30" s="33">
        <f t="shared" si="8"/>
        <v>0</v>
      </c>
      <c r="E30" s="33">
        <f t="shared" si="8"/>
        <v>-1.118595081</v>
      </c>
      <c r="F30" s="33">
        <f t="shared" si="8"/>
        <v>0</v>
      </c>
      <c r="G30" s="33">
        <f t="shared" si="8"/>
        <v>0</v>
      </c>
      <c r="H30" s="33">
        <f t="shared" si="8"/>
        <v>0</v>
      </c>
      <c r="I30" s="33">
        <f t="shared" si="8"/>
        <v>0</v>
      </c>
      <c r="J30" s="33">
        <f t="shared" si="8"/>
        <v>0</v>
      </c>
      <c r="K30" s="33">
        <f t="shared" si="8"/>
        <v>-2.326329192</v>
      </c>
      <c r="L30" s="33">
        <f t="shared" si="8"/>
        <v>0</v>
      </c>
      <c r="M30" s="33">
        <f t="shared" si="8"/>
        <v>0</v>
      </c>
      <c r="N30" s="33">
        <f t="shared" si="8"/>
        <v>0</v>
      </c>
      <c r="O30" s="33">
        <f t="shared" si="8"/>
        <v>0</v>
      </c>
      <c r="P30" s="33">
        <f t="shared" si="8"/>
        <v>-2.875137407</v>
      </c>
      <c r="Q30" s="33">
        <f t="shared" si="8"/>
        <v>0</v>
      </c>
      <c r="R30" s="33">
        <f t="shared" si="8"/>
        <v>0</v>
      </c>
      <c r="S30" s="33">
        <f t="shared" si="8"/>
        <v>2</v>
      </c>
      <c r="T30" s="33">
        <f t="shared" si="8"/>
        <v>-1.954572603</v>
      </c>
      <c r="U30" s="33">
        <f t="shared" si="8"/>
        <v>0</v>
      </c>
      <c r="V30" s="33">
        <f t="shared" si="8"/>
        <v>0</v>
      </c>
      <c r="W30" s="33">
        <f t="shared" si="8"/>
        <v>0</v>
      </c>
      <c r="X30" s="33">
        <f t="shared" si="8"/>
        <v>-1.630621544</v>
      </c>
      <c r="Y30" s="33">
        <f t="shared" si="8"/>
        <v>0</v>
      </c>
      <c r="Z30" s="33">
        <f t="shared" si="8"/>
        <v>0</v>
      </c>
      <c r="AA30" s="33">
        <f t="shared" si="8"/>
        <v>0</v>
      </c>
      <c r="AB30" s="33"/>
      <c r="AC30" s="33"/>
    </row>
    <row r="31">
      <c r="A31" s="56" t="s">
        <v>310</v>
      </c>
      <c r="B31" s="33">
        <f t="shared" ref="B31:AA31" si="9">B29-B30</f>
        <v>100</v>
      </c>
      <c r="C31" s="33">
        <f t="shared" si="9"/>
        <v>100</v>
      </c>
      <c r="D31" s="33">
        <f t="shared" si="9"/>
        <v>100</v>
      </c>
      <c r="E31" s="33">
        <f t="shared" si="9"/>
        <v>3.727565097</v>
      </c>
      <c r="F31" s="33">
        <f t="shared" si="9"/>
        <v>100</v>
      </c>
      <c r="G31" s="33">
        <f t="shared" si="9"/>
        <v>100</v>
      </c>
      <c r="H31" s="33">
        <f t="shared" si="9"/>
        <v>100</v>
      </c>
      <c r="I31" s="33">
        <f t="shared" si="9"/>
        <v>100</v>
      </c>
      <c r="J31" s="33">
        <f t="shared" si="9"/>
        <v>100</v>
      </c>
      <c r="K31" s="33">
        <f t="shared" si="9"/>
        <v>3.807471426</v>
      </c>
      <c r="L31" s="33">
        <f t="shared" si="9"/>
        <v>100</v>
      </c>
      <c r="M31" s="33">
        <f t="shared" si="9"/>
        <v>100</v>
      </c>
      <c r="N31" s="33">
        <f t="shared" si="9"/>
        <v>100</v>
      </c>
      <c r="O31" s="33">
        <f t="shared" si="9"/>
        <v>100</v>
      </c>
      <c r="P31" s="33">
        <f t="shared" si="9"/>
        <v>4.791704614</v>
      </c>
      <c r="Q31" s="33">
        <f t="shared" si="9"/>
        <v>100</v>
      </c>
      <c r="R31" s="33">
        <f t="shared" si="9"/>
        <v>100</v>
      </c>
      <c r="S31" s="33">
        <f t="shared" si="9"/>
        <v>26</v>
      </c>
      <c r="T31" s="33">
        <f t="shared" si="9"/>
        <v>4.292135783</v>
      </c>
      <c r="U31" s="33">
        <f t="shared" si="9"/>
        <v>100</v>
      </c>
      <c r="V31" s="33">
        <f t="shared" si="9"/>
        <v>100</v>
      </c>
      <c r="W31" s="33">
        <f t="shared" si="9"/>
        <v>100</v>
      </c>
      <c r="X31" s="33">
        <f t="shared" si="9"/>
        <v>3.513459272</v>
      </c>
      <c r="Y31" s="33">
        <f t="shared" si="9"/>
        <v>100</v>
      </c>
      <c r="Z31" s="33">
        <f t="shared" si="9"/>
        <v>100</v>
      </c>
      <c r="AA31" s="33">
        <f t="shared" si="9"/>
        <v>100</v>
      </c>
      <c r="AB31" s="33"/>
      <c r="AC31" s="33"/>
    </row>
    <row r="32">
      <c r="A32" s="56" t="s">
        <v>319</v>
      </c>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row>
    <row r="33">
      <c r="A33" s="33"/>
      <c r="B33" s="33"/>
      <c r="C33" s="33"/>
      <c r="D33" s="33"/>
      <c r="E33" s="33"/>
      <c r="F33" s="33"/>
      <c r="G33" s="33"/>
      <c r="H33" s="33"/>
      <c r="I33" s="33"/>
      <c r="J33" s="33"/>
      <c r="K33" s="33"/>
      <c r="L33" s="33"/>
      <c r="M33" s="33"/>
      <c r="N33" s="33"/>
      <c r="O33" s="33"/>
      <c r="P33" s="33"/>
      <c r="Q33" s="33"/>
      <c r="R33" s="33"/>
      <c r="S33" s="164"/>
      <c r="T33" s="165" t="s">
        <v>320</v>
      </c>
      <c r="U33" s="56"/>
      <c r="V33" s="33"/>
      <c r="W33" s="33"/>
      <c r="X33" s="33"/>
      <c r="Y33" s="33"/>
      <c r="Z33" s="33"/>
      <c r="AA33" s="33"/>
      <c r="AB33" s="33"/>
      <c r="AC33" s="33"/>
    </row>
    <row r="34">
      <c r="A34" s="33"/>
      <c r="B34" s="33"/>
      <c r="C34" s="33"/>
      <c r="D34" s="33"/>
      <c r="E34" s="33"/>
      <c r="F34" s="33"/>
      <c r="G34" s="33"/>
      <c r="H34" s="33"/>
      <c r="I34" s="33"/>
      <c r="J34" s="33"/>
      <c r="K34" s="33"/>
      <c r="L34" s="33"/>
      <c r="M34" s="33"/>
      <c r="N34" s="33"/>
      <c r="O34" s="33"/>
      <c r="P34" s="56"/>
      <c r="Q34" s="56"/>
      <c r="R34" s="56"/>
      <c r="S34" s="166" t="s">
        <v>321</v>
      </c>
      <c r="T34" s="56">
        <v>129.0</v>
      </c>
      <c r="U34" s="33"/>
      <c r="V34" s="33"/>
      <c r="W34" s="33"/>
      <c r="X34" s="33"/>
      <c r="Y34" s="33"/>
      <c r="Z34" s="33"/>
      <c r="AA34" s="33"/>
      <c r="AB34" s="33"/>
      <c r="AC34" s="33"/>
    </row>
    <row r="35">
      <c r="A35" s="33"/>
      <c r="B35" s="33"/>
      <c r="C35" s="33"/>
      <c r="D35" s="33"/>
      <c r="E35" s="33"/>
      <c r="F35" s="33"/>
      <c r="G35" s="33"/>
      <c r="H35" s="33"/>
      <c r="I35" s="33"/>
      <c r="J35" s="33"/>
      <c r="K35" s="33"/>
      <c r="L35" s="33"/>
      <c r="M35" s="33"/>
      <c r="N35" s="33"/>
      <c r="O35" s="33"/>
      <c r="P35" s="56"/>
      <c r="Q35" s="56"/>
      <c r="R35" s="56"/>
      <c r="S35" s="166" t="s">
        <v>322</v>
      </c>
      <c r="T35" s="56">
        <v>118.0</v>
      </c>
      <c r="U35" s="33"/>
      <c r="V35" s="33"/>
      <c r="W35" s="33"/>
      <c r="X35" s="33"/>
      <c r="Y35" s="33"/>
      <c r="Z35" s="33"/>
      <c r="AA35" s="33"/>
      <c r="AB35" s="33"/>
      <c r="AC35" s="33"/>
    </row>
    <row r="36">
      <c r="A36" s="33"/>
      <c r="B36" s="33"/>
      <c r="C36" s="33"/>
      <c r="D36" s="33"/>
      <c r="E36" s="33"/>
      <c r="F36" s="33"/>
      <c r="G36" s="33"/>
      <c r="H36" s="33"/>
      <c r="I36" s="29"/>
      <c r="J36" s="33"/>
      <c r="K36" s="33"/>
      <c r="L36" s="33"/>
      <c r="M36" s="33"/>
      <c r="N36" s="33"/>
      <c r="O36" s="33"/>
      <c r="P36" s="56"/>
      <c r="Q36" s="56"/>
      <c r="R36" s="56"/>
      <c r="S36" s="167" t="s">
        <v>323</v>
      </c>
      <c r="T36" s="106">
        <v>109.0</v>
      </c>
      <c r="U36" s="56"/>
      <c r="V36" s="33"/>
      <c r="W36" s="33"/>
      <c r="X36" s="33"/>
      <c r="Y36" s="33"/>
      <c r="Z36" s="33"/>
      <c r="AA36" s="33"/>
      <c r="AB36" s="33"/>
      <c r="AC36" s="33"/>
    </row>
    <row r="37">
      <c r="A37" s="33"/>
      <c r="B37" s="33"/>
      <c r="C37" s="33"/>
      <c r="D37" s="33"/>
      <c r="E37" s="33"/>
      <c r="F37" s="33"/>
      <c r="G37" s="33"/>
      <c r="H37" s="33"/>
      <c r="I37" s="29"/>
      <c r="J37" s="33"/>
      <c r="K37" s="33"/>
      <c r="L37" s="33"/>
      <c r="M37" s="33"/>
      <c r="N37" s="33"/>
      <c r="O37" s="33"/>
      <c r="P37" s="33"/>
      <c r="Q37" s="33"/>
      <c r="R37" s="33"/>
      <c r="S37" s="33"/>
      <c r="T37" s="33"/>
      <c r="U37" s="33"/>
      <c r="V37" s="33"/>
      <c r="W37" s="33"/>
      <c r="X37" s="33"/>
      <c r="Y37" s="33"/>
      <c r="Z37" s="33"/>
      <c r="AA37" s="33"/>
      <c r="AB37" s="33"/>
      <c r="AC37" s="33"/>
    </row>
    <row r="38">
      <c r="A38" s="33"/>
      <c r="B38" s="33"/>
      <c r="C38" s="33"/>
      <c r="D38" s="33"/>
      <c r="E38" s="33"/>
      <c r="F38" s="33"/>
      <c r="G38" s="33"/>
      <c r="H38" s="33"/>
      <c r="I38" s="29"/>
      <c r="J38" s="33"/>
      <c r="K38" s="33"/>
      <c r="L38" s="33"/>
      <c r="M38" s="33"/>
      <c r="N38" s="33"/>
      <c r="O38" s="33"/>
      <c r="P38" s="33"/>
      <c r="Q38" s="33"/>
      <c r="R38" s="33"/>
      <c r="S38" s="33"/>
      <c r="T38" s="33"/>
      <c r="U38" s="33"/>
      <c r="V38" s="33"/>
      <c r="W38" s="33"/>
      <c r="X38" s="33"/>
      <c r="Y38" s="33"/>
      <c r="Z38" s="33"/>
      <c r="AA38" s="33"/>
      <c r="AB38" s="33"/>
      <c r="AC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row>
    <row r="40">
      <c r="A40" s="33"/>
      <c r="B40" s="33"/>
      <c r="C40" s="33"/>
      <c r="D40" s="33"/>
      <c r="E40" s="33"/>
      <c r="F40" s="33"/>
      <c r="G40" s="33"/>
      <c r="H40" s="33"/>
      <c r="I40" s="29"/>
      <c r="J40" s="33"/>
      <c r="K40" s="33"/>
      <c r="L40" s="33"/>
      <c r="M40" s="33"/>
      <c r="N40" s="33"/>
      <c r="O40" s="33"/>
      <c r="P40" s="33"/>
      <c r="Q40" s="33"/>
      <c r="R40" s="33"/>
      <c r="S40" s="33"/>
      <c r="T40" s="33"/>
      <c r="U40" s="33"/>
      <c r="V40" s="33"/>
      <c r="W40" s="33"/>
      <c r="X40" s="33"/>
      <c r="Y40" s="33"/>
      <c r="Z40" s="33"/>
      <c r="AA40" s="33"/>
      <c r="AB40" s="33"/>
      <c r="AC40" s="33"/>
    </row>
    <row r="41">
      <c r="A41" s="33"/>
      <c r="B41" s="33"/>
      <c r="C41" s="33"/>
      <c r="D41" s="33"/>
      <c r="E41" s="33"/>
      <c r="F41" s="33"/>
      <c r="G41" s="33"/>
      <c r="H41" s="33"/>
      <c r="I41" s="29"/>
      <c r="J41" s="33"/>
      <c r="K41" s="33"/>
      <c r="L41" s="33"/>
      <c r="M41" s="33"/>
      <c r="N41" s="33"/>
      <c r="O41" s="33"/>
      <c r="P41" s="33"/>
      <c r="Q41" s="33"/>
      <c r="R41" s="33"/>
      <c r="S41" s="33"/>
      <c r="T41" s="33"/>
      <c r="U41" s="33"/>
      <c r="V41" s="33"/>
      <c r="W41" s="33"/>
      <c r="X41" s="33"/>
      <c r="Y41" s="33"/>
      <c r="Z41" s="33"/>
      <c r="AA41" s="33"/>
      <c r="AB41" s="33"/>
      <c r="AC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row>
    <row r="100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row>
    <row r="1002">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c r="AB1002" s="33"/>
      <c r="AC1002" s="33"/>
    </row>
    <row r="1003">
      <c r="A1003" s="33"/>
      <c r="B1003" s="33"/>
      <c r="C1003" s="33"/>
      <c r="D1003" s="33"/>
      <c r="E1003" s="33"/>
      <c r="F1003" s="33"/>
      <c r="G1003" s="33"/>
      <c r="H1003" s="33"/>
      <c r="I1003" s="33"/>
      <c r="J1003" s="33"/>
      <c r="K1003" s="33"/>
      <c r="L1003" s="33"/>
      <c r="M1003" s="33"/>
      <c r="N1003" s="33"/>
      <c r="O1003" s="33"/>
      <c r="P1003" s="33"/>
      <c r="Q1003" s="33"/>
      <c r="R1003" s="33"/>
      <c r="S1003" s="33"/>
      <c r="T1003" s="33"/>
      <c r="U1003" s="33"/>
      <c r="V1003" s="33"/>
      <c r="W1003" s="33"/>
      <c r="X1003" s="33"/>
      <c r="Y1003" s="33"/>
      <c r="Z1003" s="33"/>
      <c r="AA1003" s="33"/>
      <c r="AB1003" s="33"/>
      <c r="AC1003" s="33"/>
    </row>
    <row r="1004">
      <c r="A1004" s="33"/>
      <c r="B1004" s="33"/>
      <c r="C1004" s="33"/>
      <c r="D1004" s="33"/>
      <c r="E1004" s="33"/>
      <c r="F1004" s="33"/>
      <c r="G1004" s="33"/>
      <c r="H1004" s="33"/>
      <c r="I1004" s="33"/>
      <c r="J1004" s="33"/>
      <c r="K1004" s="33"/>
      <c r="L1004" s="33"/>
      <c r="M1004" s="33"/>
      <c r="N1004" s="33"/>
      <c r="O1004" s="33"/>
      <c r="P1004" s="33"/>
      <c r="Q1004" s="33"/>
      <c r="R1004" s="33"/>
      <c r="S1004" s="33"/>
      <c r="T1004" s="33"/>
      <c r="U1004" s="33"/>
      <c r="V1004" s="33"/>
      <c r="W1004" s="33"/>
      <c r="X1004" s="33"/>
      <c r="Y1004" s="33"/>
      <c r="Z1004" s="33"/>
      <c r="AA1004" s="33"/>
      <c r="AB1004" s="33"/>
      <c r="AC1004" s="33"/>
    </row>
    <row r="1005">
      <c r="A1005" s="33"/>
      <c r="B1005" s="33"/>
      <c r="C1005" s="33"/>
      <c r="D1005" s="33"/>
      <c r="E1005" s="33"/>
      <c r="F1005" s="33"/>
      <c r="G1005" s="33"/>
      <c r="H1005" s="33"/>
      <c r="I1005" s="33"/>
      <c r="J1005" s="33"/>
      <c r="K1005" s="33"/>
      <c r="L1005" s="33"/>
      <c r="M1005" s="33"/>
      <c r="N1005" s="33"/>
      <c r="O1005" s="33"/>
      <c r="P1005" s="33"/>
      <c r="Q1005" s="33"/>
      <c r="R1005" s="33"/>
      <c r="S1005" s="33"/>
      <c r="T1005" s="33"/>
      <c r="U1005" s="33"/>
      <c r="V1005" s="33"/>
      <c r="W1005" s="33"/>
      <c r="X1005" s="33"/>
      <c r="Y1005" s="33"/>
      <c r="Z1005" s="33"/>
      <c r="AA1005" s="33"/>
      <c r="AB1005" s="33"/>
      <c r="AC1005" s="3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8.25"/>
    <col customWidth="1" min="6" max="6" width="18.5"/>
    <col customWidth="1" min="9" max="9" width="13.13"/>
    <col customWidth="1" min="24" max="24" width="13.25"/>
  </cols>
  <sheetData>
    <row r="1" ht="22.5" customHeight="1">
      <c r="A1" s="168" t="s">
        <v>324</v>
      </c>
      <c r="B1" s="168" t="s">
        <v>325</v>
      </c>
      <c r="C1" s="168" t="s">
        <v>326</v>
      </c>
      <c r="D1" s="168" t="s">
        <v>327</v>
      </c>
      <c r="E1" s="168" t="s">
        <v>328</v>
      </c>
      <c r="F1" s="168" t="s">
        <v>329</v>
      </c>
      <c r="G1" s="168" t="s">
        <v>330</v>
      </c>
      <c r="H1" s="168" t="s">
        <v>331</v>
      </c>
      <c r="I1" s="168" t="s">
        <v>332</v>
      </c>
      <c r="J1" s="168" t="s">
        <v>333</v>
      </c>
      <c r="K1" s="168" t="s">
        <v>334</v>
      </c>
      <c r="L1" s="168" t="s">
        <v>335</v>
      </c>
      <c r="M1" s="168" t="s">
        <v>336</v>
      </c>
      <c r="N1" s="168" t="s">
        <v>337</v>
      </c>
      <c r="O1" s="168" t="s">
        <v>338</v>
      </c>
      <c r="P1" s="168" t="s">
        <v>339</v>
      </c>
      <c r="Q1" s="168" t="s">
        <v>340</v>
      </c>
      <c r="R1" s="168" t="s">
        <v>341</v>
      </c>
      <c r="S1" s="168" t="s">
        <v>342</v>
      </c>
      <c r="T1" s="168" t="s">
        <v>343</v>
      </c>
      <c r="U1" s="168" t="s">
        <v>344</v>
      </c>
      <c r="V1" s="168" t="s">
        <v>345</v>
      </c>
      <c r="W1" s="168" t="s">
        <v>346</v>
      </c>
      <c r="X1" s="168" t="s">
        <v>347</v>
      </c>
      <c r="Y1" s="33"/>
      <c r="Z1" s="33"/>
      <c r="AA1" s="33"/>
      <c r="AB1" s="33"/>
      <c r="AC1" s="33"/>
      <c r="AD1" s="33"/>
      <c r="AE1" s="33"/>
      <c r="AF1" s="33"/>
      <c r="AG1" s="33"/>
      <c r="AH1" s="33"/>
      <c r="AI1" s="33"/>
      <c r="AJ1" s="33"/>
      <c r="AK1" s="33"/>
      <c r="AL1" s="33"/>
    </row>
    <row r="2" ht="22.5" customHeight="1">
      <c r="A2" s="169">
        <v>2025.0</v>
      </c>
      <c r="B2" s="169">
        <v>32.0</v>
      </c>
      <c r="C2" s="169">
        <v>3564.9</v>
      </c>
      <c r="D2" s="169">
        <v>25.3</v>
      </c>
      <c r="E2" s="169">
        <v>209.7</v>
      </c>
      <c r="F2" s="169">
        <v>1.5</v>
      </c>
      <c r="G2" s="169">
        <v>350.5</v>
      </c>
      <c r="H2" s="169">
        <v>545.0</v>
      </c>
      <c r="I2" s="169">
        <v>64.3</v>
      </c>
      <c r="J2" s="169">
        <v>3564.9</v>
      </c>
      <c r="K2" s="169">
        <v>25.3</v>
      </c>
      <c r="L2" s="169">
        <v>4.7</v>
      </c>
      <c r="M2" s="169">
        <v>11.9</v>
      </c>
      <c r="N2" s="169">
        <v>2.2</v>
      </c>
      <c r="O2" s="169">
        <v>7.0</v>
      </c>
      <c r="P2" s="169">
        <v>7.0</v>
      </c>
      <c r="Q2" s="169">
        <v>10.9</v>
      </c>
      <c r="R2" s="169">
        <v>209.7</v>
      </c>
      <c r="S2" s="169">
        <v>91.4</v>
      </c>
      <c r="T2" s="169">
        <v>40.2</v>
      </c>
      <c r="U2" s="169">
        <v>260.5</v>
      </c>
      <c r="V2" s="169">
        <v>6.9</v>
      </c>
      <c r="W2" s="169">
        <v>6.09</v>
      </c>
      <c r="X2" s="169">
        <v>6.0</v>
      </c>
      <c r="Y2" s="33"/>
      <c r="Z2" s="33"/>
      <c r="AA2" s="33"/>
      <c r="AB2" s="33"/>
      <c r="AC2" s="33"/>
      <c r="AD2" s="33"/>
      <c r="AE2" s="33"/>
      <c r="AF2" s="33"/>
      <c r="AG2" s="33"/>
      <c r="AH2" s="33"/>
      <c r="AI2" s="33"/>
      <c r="AJ2" s="33"/>
      <c r="AK2" s="33"/>
      <c r="AL2" s="33"/>
    </row>
    <row r="3" ht="22.5" customHeight="1">
      <c r="A3" s="169">
        <v>2024.0</v>
      </c>
      <c r="B3" s="169">
        <v>32.0</v>
      </c>
      <c r="C3" s="169">
        <v>3699.5</v>
      </c>
      <c r="D3" s="169">
        <v>25.3</v>
      </c>
      <c r="E3" s="169">
        <v>217.6</v>
      </c>
      <c r="F3" s="169">
        <v>1.5</v>
      </c>
      <c r="G3" s="169">
        <v>363.4</v>
      </c>
      <c r="H3" s="169">
        <v>556.6</v>
      </c>
      <c r="I3" s="169">
        <v>65.3</v>
      </c>
      <c r="J3" s="169">
        <v>3699.5</v>
      </c>
      <c r="K3" s="169">
        <v>25.3</v>
      </c>
      <c r="L3" s="169">
        <v>4.5</v>
      </c>
      <c r="M3" s="169">
        <v>12.1</v>
      </c>
      <c r="N3" s="169">
        <v>2.2</v>
      </c>
      <c r="O3" s="169">
        <v>7.1</v>
      </c>
      <c r="P3" s="169">
        <v>7.1</v>
      </c>
      <c r="Q3" s="169">
        <v>10.9</v>
      </c>
      <c r="R3" s="169">
        <v>217.6</v>
      </c>
      <c r="S3" s="169">
        <v>92.3</v>
      </c>
      <c r="T3" s="169">
        <v>41.1</v>
      </c>
      <c r="U3" s="169">
        <v>270.0</v>
      </c>
      <c r="V3" s="169">
        <v>6.9</v>
      </c>
      <c r="W3" s="169">
        <v>6.19</v>
      </c>
      <c r="X3" s="169">
        <v>6.1</v>
      </c>
      <c r="Y3" s="33"/>
      <c r="Z3" s="33"/>
      <c r="AA3" s="33"/>
      <c r="AB3" s="33"/>
      <c r="AC3" s="33"/>
      <c r="AD3" s="33"/>
      <c r="AE3" s="33"/>
      <c r="AF3" s="33"/>
      <c r="AG3" s="33"/>
      <c r="AH3" s="33"/>
      <c r="AI3" s="33"/>
      <c r="AJ3" s="33"/>
      <c r="AK3" s="33"/>
      <c r="AL3" s="33"/>
    </row>
    <row r="4" ht="22.5" customHeight="1">
      <c r="A4" s="169">
        <v>2023.0</v>
      </c>
      <c r="B4" s="169">
        <v>32.0</v>
      </c>
      <c r="C4" s="169">
        <v>3721.7</v>
      </c>
      <c r="D4" s="169">
        <v>23.6</v>
      </c>
      <c r="E4" s="169">
        <v>218.9</v>
      </c>
      <c r="F4" s="169">
        <v>1.4</v>
      </c>
      <c r="G4" s="169">
        <v>369.0</v>
      </c>
      <c r="H4" s="169">
        <v>572.3</v>
      </c>
      <c r="I4" s="169">
        <v>64.5</v>
      </c>
      <c r="J4" s="169">
        <v>3721.7</v>
      </c>
      <c r="K4" s="169">
        <v>23.6</v>
      </c>
      <c r="L4" s="169">
        <v>4.1</v>
      </c>
      <c r="M4" s="169">
        <v>13.4</v>
      </c>
      <c r="N4" s="169">
        <v>2.3</v>
      </c>
      <c r="O4" s="169">
        <v>7.0</v>
      </c>
      <c r="P4" s="169">
        <v>6.8</v>
      </c>
      <c r="Q4" s="169">
        <v>10.9</v>
      </c>
      <c r="R4" s="169">
        <v>218.9</v>
      </c>
      <c r="S4" s="169">
        <v>89.0</v>
      </c>
      <c r="T4" s="169">
        <v>44.1</v>
      </c>
      <c r="U4" s="169">
        <v>296.0</v>
      </c>
      <c r="V4" s="169">
        <v>7.1</v>
      </c>
      <c r="W4" s="169">
        <v>6.04</v>
      </c>
      <c r="X4" s="169">
        <v>5.8</v>
      </c>
      <c r="Y4" s="33"/>
      <c r="Z4" s="33"/>
      <c r="AA4" s="33"/>
      <c r="AB4" s="33"/>
      <c r="AC4" s="33"/>
      <c r="AD4" s="33"/>
      <c r="AE4" s="33"/>
      <c r="AF4" s="33"/>
      <c r="AG4" s="33"/>
      <c r="AH4" s="33"/>
      <c r="AI4" s="33"/>
      <c r="AJ4" s="33"/>
      <c r="AK4" s="33"/>
      <c r="AL4" s="33"/>
    </row>
    <row r="5" ht="22.5" customHeight="1">
      <c r="A5" s="169">
        <v>2022.0</v>
      </c>
      <c r="B5" s="169">
        <v>32.0</v>
      </c>
      <c r="C5" s="169">
        <v>3701.2</v>
      </c>
      <c r="D5" s="169">
        <v>23.4</v>
      </c>
      <c r="E5" s="169">
        <v>218.5</v>
      </c>
      <c r="F5" s="169">
        <v>1.4</v>
      </c>
      <c r="G5" s="169">
        <v>362.7</v>
      </c>
      <c r="H5" s="169">
        <v>564.7</v>
      </c>
      <c r="I5" s="169">
        <v>64.2</v>
      </c>
      <c r="J5" s="169">
        <v>3701.2</v>
      </c>
      <c r="K5" s="169">
        <v>23.4</v>
      </c>
      <c r="L5" s="169">
        <v>4.2</v>
      </c>
      <c r="M5" s="169">
        <v>13.1</v>
      </c>
      <c r="N5" s="169">
        <v>2.3</v>
      </c>
      <c r="O5" s="169">
        <v>7.0</v>
      </c>
      <c r="P5" s="169">
        <v>6.8</v>
      </c>
      <c r="Q5" s="169">
        <v>10.9</v>
      </c>
      <c r="R5" s="169">
        <v>218.5</v>
      </c>
      <c r="S5" s="169">
        <v>89.1</v>
      </c>
      <c r="T5" s="169">
        <v>40.5</v>
      </c>
      <c r="U5" s="169">
        <v>268.7</v>
      </c>
      <c r="V5" s="169">
        <v>6.7</v>
      </c>
      <c r="W5" s="169">
        <v>6.12</v>
      </c>
      <c r="X5" s="169">
        <v>5.9</v>
      </c>
      <c r="Y5" s="33"/>
      <c r="Z5" s="33"/>
      <c r="AA5" s="33"/>
      <c r="AB5" s="33"/>
      <c r="AC5" s="33"/>
      <c r="AD5" s="33"/>
      <c r="AE5" s="33"/>
      <c r="AF5" s="33"/>
      <c r="AG5" s="33"/>
      <c r="AH5" s="33"/>
      <c r="AI5" s="33"/>
      <c r="AJ5" s="33"/>
      <c r="AK5" s="33"/>
      <c r="AL5" s="33"/>
    </row>
    <row r="6" ht="22.5" customHeight="1">
      <c r="A6" s="169">
        <v>2021.0</v>
      </c>
      <c r="B6" s="169">
        <v>32.0</v>
      </c>
      <c r="C6" s="169">
        <v>3881.3</v>
      </c>
      <c r="D6" s="169">
        <v>26.3</v>
      </c>
      <c r="E6" s="169">
        <v>228.3</v>
      </c>
      <c r="F6" s="169">
        <v>1.5</v>
      </c>
      <c r="G6" s="169">
        <v>378.8</v>
      </c>
      <c r="H6" s="169">
        <v>584.8</v>
      </c>
      <c r="I6" s="169">
        <v>64.8</v>
      </c>
      <c r="J6" s="169">
        <v>3881.3</v>
      </c>
      <c r="K6" s="169">
        <v>26.3</v>
      </c>
      <c r="L6" s="169">
        <v>4.5</v>
      </c>
      <c r="M6" s="169">
        <v>13.8</v>
      </c>
      <c r="N6" s="169">
        <v>2.4</v>
      </c>
      <c r="O6" s="169">
        <v>7.1</v>
      </c>
      <c r="P6" s="169">
        <v>6.9</v>
      </c>
      <c r="Q6" s="169">
        <v>11.0</v>
      </c>
      <c r="R6" s="169">
        <v>228.3</v>
      </c>
      <c r="S6" s="169">
        <v>90.8</v>
      </c>
      <c r="T6" s="169">
        <v>38.9</v>
      </c>
      <c r="U6" s="169">
        <v>268.7</v>
      </c>
      <c r="V6" s="169">
        <v>6.2</v>
      </c>
      <c r="W6" s="169">
        <v>6.22</v>
      </c>
      <c r="X6" s="169">
        <v>6.1</v>
      </c>
      <c r="Y6" s="33"/>
      <c r="Z6" s="33"/>
      <c r="AA6" s="33"/>
      <c r="AB6" s="33"/>
      <c r="AC6" s="33"/>
      <c r="AD6" s="33"/>
      <c r="AE6" s="33"/>
      <c r="AF6" s="33"/>
      <c r="AG6" s="33"/>
      <c r="AH6" s="33"/>
      <c r="AI6" s="33"/>
      <c r="AJ6" s="33"/>
      <c r="AK6" s="33"/>
      <c r="AL6" s="33"/>
    </row>
    <row r="7" ht="22.5" customHeight="1">
      <c r="A7" s="169">
        <v>2020.0</v>
      </c>
      <c r="B7" s="169">
        <v>32.0</v>
      </c>
      <c r="C7" s="169">
        <v>3842.4</v>
      </c>
      <c r="D7" s="169">
        <v>27.2</v>
      </c>
      <c r="E7" s="169">
        <v>240.2</v>
      </c>
      <c r="F7" s="169">
        <v>1.7</v>
      </c>
      <c r="G7" s="169">
        <v>367.4</v>
      </c>
      <c r="H7" s="169">
        <v>563.1</v>
      </c>
      <c r="I7" s="169">
        <v>65.2</v>
      </c>
      <c r="J7" s="169">
        <v>3842.4</v>
      </c>
      <c r="K7" s="169">
        <v>27.2</v>
      </c>
      <c r="L7" s="169">
        <v>4.8</v>
      </c>
      <c r="M7" s="169">
        <v>12.3</v>
      </c>
      <c r="N7" s="169">
        <v>2.2</v>
      </c>
      <c r="O7" s="169">
        <v>7.2</v>
      </c>
      <c r="P7" s="169">
        <v>7.2</v>
      </c>
      <c r="Q7" s="169">
        <v>11.1</v>
      </c>
      <c r="R7" s="169">
        <v>240.2</v>
      </c>
      <c r="S7" s="169">
        <v>93.6</v>
      </c>
      <c r="T7" s="169">
        <v>35.5</v>
      </c>
      <c r="U7" s="169">
        <v>235.7</v>
      </c>
      <c r="V7" s="169">
        <v>5.9</v>
      </c>
      <c r="W7" s="169">
        <v>6.42</v>
      </c>
      <c r="X7" s="169">
        <v>6.4</v>
      </c>
      <c r="Y7" s="33"/>
      <c r="Z7" s="33"/>
      <c r="AA7" s="33"/>
      <c r="AB7" s="33"/>
      <c r="AC7" s="33"/>
      <c r="AD7" s="33"/>
      <c r="AE7" s="33"/>
      <c r="AF7" s="33"/>
      <c r="AG7" s="33"/>
      <c r="AH7" s="33"/>
      <c r="AI7" s="33"/>
      <c r="AJ7" s="33"/>
      <c r="AK7" s="33"/>
      <c r="AL7" s="33"/>
    </row>
    <row r="8" ht="22.5" customHeight="1">
      <c r="A8" s="169">
        <v>2019.0</v>
      </c>
      <c r="B8" s="169">
        <v>32.0</v>
      </c>
      <c r="C8" s="169">
        <v>3759.4</v>
      </c>
      <c r="D8" s="169">
        <v>24.9</v>
      </c>
      <c r="E8" s="169">
        <v>235.0</v>
      </c>
      <c r="F8" s="169">
        <v>1.6</v>
      </c>
      <c r="G8" s="169">
        <v>354.1</v>
      </c>
      <c r="H8" s="169">
        <v>557.9</v>
      </c>
      <c r="I8" s="169">
        <v>63.5</v>
      </c>
      <c r="J8" s="169">
        <v>3759.4</v>
      </c>
      <c r="K8" s="169">
        <v>24.9</v>
      </c>
      <c r="L8" s="169">
        <v>4.5</v>
      </c>
      <c r="M8" s="169">
        <v>12.8</v>
      </c>
      <c r="N8" s="169">
        <v>2.3</v>
      </c>
      <c r="O8" s="169">
        <v>7.2</v>
      </c>
      <c r="P8" s="169">
        <v>7.1</v>
      </c>
      <c r="Q8" s="169">
        <v>11.4</v>
      </c>
      <c r="R8" s="169">
        <v>235.0</v>
      </c>
      <c r="S8" s="169">
        <v>90.4</v>
      </c>
      <c r="T8" s="169">
        <v>39.9</v>
      </c>
      <c r="U8" s="169">
        <v>269.1</v>
      </c>
      <c r="V8" s="169">
        <v>6.7</v>
      </c>
      <c r="W8" s="169">
        <v>6.29</v>
      </c>
      <c r="X8" s="169">
        <v>6.2</v>
      </c>
      <c r="Y8" s="33"/>
      <c r="Z8" s="33"/>
      <c r="AA8" s="33"/>
      <c r="AB8" s="33"/>
      <c r="AC8" s="33"/>
      <c r="AD8" s="33"/>
      <c r="AE8" s="33"/>
      <c r="AF8" s="33"/>
      <c r="AG8" s="33"/>
      <c r="AH8" s="33"/>
      <c r="AI8" s="33"/>
      <c r="AJ8" s="33"/>
      <c r="AK8" s="33"/>
      <c r="AL8" s="33"/>
    </row>
    <row r="9" ht="22.5" customHeight="1">
      <c r="A9" s="169">
        <v>2018.0</v>
      </c>
      <c r="B9" s="169">
        <v>32.0</v>
      </c>
      <c r="C9" s="169">
        <v>3804.3</v>
      </c>
      <c r="D9" s="169">
        <v>26.5</v>
      </c>
      <c r="E9" s="169">
        <v>237.8</v>
      </c>
      <c r="F9" s="169">
        <v>1.7</v>
      </c>
      <c r="G9" s="169">
        <v>358.2</v>
      </c>
      <c r="H9" s="169">
        <v>552.2</v>
      </c>
      <c r="I9" s="169">
        <v>64.9</v>
      </c>
      <c r="J9" s="169">
        <v>3804.3</v>
      </c>
      <c r="K9" s="169">
        <v>26.5</v>
      </c>
      <c r="L9" s="169">
        <v>4.8</v>
      </c>
      <c r="M9" s="169">
        <v>13.1</v>
      </c>
      <c r="N9" s="169">
        <v>2.4</v>
      </c>
      <c r="O9" s="169">
        <v>7.4</v>
      </c>
      <c r="P9" s="169">
        <v>7.3</v>
      </c>
      <c r="Q9" s="169">
        <v>11.4</v>
      </c>
      <c r="R9" s="169">
        <v>237.8</v>
      </c>
      <c r="S9" s="169">
        <v>92.9</v>
      </c>
      <c r="T9" s="169">
        <v>40.0</v>
      </c>
      <c r="U9" s="169">
        <v>266.6</v>
      </c>
      <c r="V9" s="169">
        <v>6.8</v>
      </c>
      <c r="W9" s="169">
        <v>6.42</v>
      </c>
      <c r="X9" s="169">
        <v>6.3</v>
      </c>
      <c r="Y9" s="33"/>
      <c r="Z9" s="33"/>
      <c r="AA9" s="33"/>
      <c r="AB9" s="33"/>
      <c r="AC9" s="33"/>
      <c r="AD9" s="33"/>
      <c r="AE9" s="33"/>
      <c r="AF9" s="33"/>
      <c r="AG9" s="33"/>
      <c r="AH9" s="33"/>
      <c r="AI9" s="33"/>
      <c r="AJ9" s="33"/>
      <c r="AK9" s="33"/>
      <c r="AL9" s="33"/>
    </row>
    <row r="10" ht="22.5" customHeight="1">
      <c r="A10" s="169">
        <v>2017.0</v>
      </c>
      <c r="B10" s="169">
        <v>32.0</v>
      </c>
      <c r="C10" s="169">
        <v>3589.7</v>
      </c>
      <c r="D10" s="169">
        <v>23.2</v>
      </c>
      <c r="E10" s="169">
        <v>224.4</v>
      </c>
      <c r="F10" s="169">
        <v>1.4</v>
      </c>
      <c r="G10" s="169">
        <v>339.3</v>
      </c>
      <c r="H10" s="169">
        <v>546.5</v>
      </c>
      <c r="I10" s="169">
        <v>62.1</v>
      </c>
      <c r="J10" s="169">
        <v>3589.7</v>
      </c>
      <c r="K10" s="169">
        <v>23.2</v>
      </c>
      <c r="L10" s="169">
        <v>4.2</v>
      </c>
      <c r="M10" s="169">
        <v>13.4</v>
      </c>
      <c r="N10" s="169">
        <v>2.5</v>
      </c>
      <c r="O10" s="169">
        <v>7.0</v>
      </c>
      <c r="P10" s="169">
        <v>6.8</v>
      </c>
      <c r="Q10" s="169">
        <v>11.3</v>
      </c>
      <c r="R10" s="169">
        <v>224.4</v>
      </c>
      <c r="S10" s="169">
        <v>86.9</v>
      </c>
      <c r="T10" s="169">
        <v>37.3</v>
      </c>
      <c r="U10" s="169">
        <v>244.1</v>
      </c>
      <c r="V10" s="169">
        <v>6.4</v>
      </c>
      <c r="W10" s="169">
        <v>6.15</v>
      </c>
      <c r="X10" s="169">
        <v>5.9</v>
      </c>
      <c r="Y10" s="33"/>
      <c r="Z10" s="33"/>
      <c r="AA10" s="33"/>
      <c r="AB10" s="33"/>
      <c r="AC10" s="33"/>
      <c r="AD10" s="33"/>
      <c r="AE10" s="33"/>
      <c r="AF10" s="33"/>
      <c r="AG10" s="33"/>
      <c r="AH10" s="33"/>
      <c r="AI10" s="33"/>
      <c r="AJ10" s="33"/>
      <c r="AK10" s="33"/>
      <c r="AL10" s="33"/>
    </row>
    <row r="11" ht="22.5" customHeight="1">
      <c r="A11" s="169">
        <v>2016.0</v>
      </c>
      <c r="B11" s="169">
        <v>32.0</v>
      </c>
      <c r="C11" s="169">
        <v>3863.7</v>
      </c>
      <c r="D11" s="169">
        <v>24.6</v>
      </c>
      <c r="E11" s="169">
        <v>241.5</v>
      </c>
      <c r="F11" s="169">
        <v>1.5</v>
      </c>
      <c r="G11" s="169">
        <v>360.2</v>
      </c>
      <c r="H11" s="169">
        <v>571.7</v>
      </c>
      <c r="I11" s="169">
        <v>63.0</v>
      </c>
      <c r="J11" s="169">
        <v>3863.7</v>
      </c>
      <c r="K11" s="169">
        <v>24.6</v>
      </c>
      <c r="L11" s="169">
        <v>4.3</v>
      </c>
      <c r="M11" s="169">
        <v>13.0</v>
      </c>
      <c r="N11" s="169">
        <v>2.3</v>
      </c>
      <c r="O11" s="169">
        <v>7.2</v>
      </c>
      <c r="P11" s="169">
        <v>7.0</v>
      </c>
      <c r="Q11" s="169">
        <v>11.4</v>
      </c>
      <c r="R11" s="169">
        <v>241.5</v>
      </c>
      <c r="S11" s="169">
        <v>89.3</v>
      </c>
      <c r="T11" s="169">
        <v>34.9</v>
      </c>
      <c r="U11" s="169">
        <v>225.8</v>
      </c>
      <c r="V11" s="169">
        <v>5.8</v>
      </c>
      <c r="W11" s="169">
        <v>6.37</v>
      </c>
      <c r="X11" s="169">
        <v>6.2</v>
      </c>
      <c r="Y11" s="33"/>
      <c r="Z11" s="33"/>
      <c r="AA11" s="33"/>
      <c r="AB11" s="33"/>
      <c r="AC11" s="33"/>
      <c r="AD11" s="33"/>
      <c r="AE11" s="33"/>
      <c r="AF11" s="33"/>
      <c r="AG11" s="33"/>
      <c r="AH11" s="33"/>
      <c r="AI11" s="33"/>
      <c r="AJ11" s="33"/>
      <c r="AK11" s="33"/>
      <c r="AL11" s="33"/>
    </row>
    <row r="12" ht="22.5" customHeight="1">
      <c r="A12" s="169">
        <v>2015.0</v>
      </c>
      <c r="B12" s="169">
        <v>32.0</v>
      </c>
      <c r="C12" s="169">
        <v>3901.1</v>
      </c>
      <c r="D12" s="169">
        <v>26.3</v>
      </c>
      <c r="E12" s="169">
        <v>243.8</v>
      </c>
      <c r="F12" s="169">
        <v>1.6</v>
      </c>
      <c r="G12" s="169">
        <v>360.2</v>
      </c>
      <c r="H12" s="169">
        <v>571.8</v>
      </c>
      <c r="I12" s="169">
        <v>63.0</v>
      </c>
      <c r="J12" s="169">
        <v>3901.1</v>
      </c>
      <c r="K12" s="169">
        <v>26.3</v>
      </c>
      <c r="L12" s="169">
        <v>4.6</v>
      </c>
      <c r="M12" s="169">
        <v>13.6</v>
      </c>
      <c r="N12" s="169">
        <v>2.4</v>
      </c>
      <c r="O12" s="169">
        <v>7.3</v>
      </c>
      <c r="P12" s="169">
        <v>7.1</v>
      </c>
      <c r="Q12" s="169">
        <v>11.5</v>
      </c>
      <c r="R12" s="169">
        <v>243.8</v>
      </c>
      <c r="S12" s="169">
        <v>90.2</v>
      </c>
      <c r="T12" s="169">
        <v>37.1</v>
      </c>
      <c r="U12" s="169">
        <v>245.4</v>
      </c>
      <c r="V12" s="169">
        <v>6.1</v>
      </c>
      <c r="W12" s="169">
        <v>6.41</v>
      </c>
      <c r="X12" s="169">
        <v>6.3</v>
      </c>
      <c r="Y12" s="33"/>
      <c r="Z12" s="33"/>
      <c r="AA12" s="33"/>
      <c r="AB12" s="33"/>
      <c r="AC12" s="33"/>
      <c r="AD12" s="33"/>
      <c r="AE12" s="33"/>
      <c r="AF12" s="33"/>
      <c r="AG12" s="33"/>
      <c r="AH12" s="33"/>
      <c r="AI12" s="33"/>
      <c r="AJ12" s="33"/>
      <c r="AK12" s="33"/>
      <c r="AL12" s="33"/>
    </row>
    <row r="13" ht="22.5" customHeight="1">
      <c r="A13" s="169">
        <v>2014.0</v>
      </c>
      <c r="B13" s="169">
        <v>32.0</v>
      </c>
      <c r="C13" s="169">
        <v>3789.0</v>
      </c>
      <c r="D13" s="169">
        <v>25.2</v>
      </c>
      <c r="E13" s="169">
        <v>236.8</v>
      </c>
      <c r="F13" s="169">
        <v>1.6</v>
      </c>
      <c r="G13" s="169">
        <v>350.0</v>
      </c>
      <c r="H13" s="169">
        <v>558.7</v>
      </c>
      <c r="I13" s="169">
        <v>62.6</v>
      </c>
      <c r="J13" s="169">
        <v>3789.0</v>
      </c>
      <c r="K13" s="169">
        <v>25.2</v>
      </c>
      <c r="L13" s="169">
        <v>4.5</v>
      </c>
      <c r="M13" s="169">
        <v>14.1</v>
      </c>
      <c r="N13" s="169">
        <v>2.5</v>
      </c>
      <c r="O13" s="169">
        <v>7.2</v>
      </c>
      <c r="P13" s="169">
        <v>7.0</v>
      </c>
      <c r="Q13" s="169">
        <v>11.5</v>
      </c>
      <c r="R13" s="169">
        <v>236.8</v>
      </c>
      <c r="S13" s="169">
        <v>88.9</v>
      </c>
      <c r="T13" s="169">
        <v>37.9</v>
      </c>
      <c r="U13" s="169">
        <v>239.1</v>
      </c>
      <c r="V13" s="169">
        <v>6.3</v>
      </c>
      <c r="W13" s="169">
        <v>6.35</v>
      </c>
      <c r="X13" s="169">
        <v>6.1</v>
      </c>
      <c r="Y13" s="33"/>
      <c r="Z13" s="33"/>
      <c r="AA13" s="33"/>
      <c r="AB13" s="33"/>
      <c r="AC13" s="33"/>
      <c r="AD13" s="33"/>
      <c r="AE13" s="33"/>
      <c r="AF13" s="33"/>
      <c r="AG13" s="33"/>
      <c r="AH13" s="33"/>
      <c r="AI13" s="33"/>
      <c r="AJ13" s="33"/>
      <c r="AK13" s="33"/>
      <c r="AL13" s="33"/>
    </row>
    <row r="14" ht="22.5" customHeight="1">
      <c r="A14" s="169">
        <v>2013.0</v>
      </c>
      <c r="B14" s="169">
        <v>32.0</v>
      </c>
      <c r="C14" s="169">
        <v>3769.6</v>
      </c>
      <c r="D14" s="169">
        <v>25.1</v>
      </c>
      <c r="E14" s="169">
        <v>235.6</v>
      </c>
      <c r="F14" s="169">
        <v>1.6</v>
      </c>
      <c r="G14" s="169">
        <v>346.9</v>
      </c>
      <c r="H14" s="169">
        <v>566.8</v>
      </c>
      <c r="I14" s="169">
        <v>61.2</v>
      </c>
      <c r="J14" s="169">
        <v>3769.6</v>
      </c>
      <c r="K14" s="169">
        <v>25.1</v>
      </c>
      <c r="L14" s="169">
        <v>4.4</v>
      </c>
      <c r="M14" s="169">
        <v>15.7</v>
      </c>
      <c r="N14" s="169">
        <v>2.8</v>
      </c>
      <c r="O14" s="169">
        <v>7.1</v>
      </c>
      <c r="P14" s="169">
        <v>6.8</v>
      </c>
      <c r="Q14" s="169">
        <v>11.6</v>
      </c>
      <c r="R14" s="169">
        <v>235.6</v>
      </c>
      <c r="S14" s="169">
        <v>86.0</v>
      </c>
      <c r="T14" s="169">
        <v>40.5</v>
      </c>
      <c r="U14" s="169">
        <v>267.2</v>
      </c>
      <c r="V14" s="169">
        <v>6.7</v>
      </c>
      <c r="W14" s="169">
        <v>6.21</v>
      </c>
      <c r="X14" s="169">
        <v>5.9</v>
      </c>
      <c r="Y14" s="33"/>
      <c r="Z14" s="33"/>
      <c r="AA14" s="33"/>
      <c r="AB14" s="33"/>
      <c r="AC14" s="33"/>
      <c r="AD14" s="33"/>
      <c r="AE14" s="33"/>
      <c r="AF14" s="33"/>
      <c r="AG14" s="33"/>
      <c r="AH14" s="33"/>
      <c r="AI14" s="33"/>
      <c r="AJ14" s="33"/>
      <c r="AK14" s="33"/>
      <c r="AL14" s="33"/>
    </row>
    <row r="15" ht="22.5" customHeight="1">
      <c r="A15" s="169">
        <v>2012.0</v>
      </c>
      <c r="B15" s="169">
        <v>32.0</v>
      </c>
      <c r="C15" s="169">
        <v>3700.6</v>
      </c>
      <c r="D15" s="169">
        <v>23.7</v>
      </c>
      <c r="E15" s="169">
        <v>231.3</v>
      </c>
      <c r="F15" s="169">
        <v>1.5</v>
      </c>
      <c r="G15" s="169">
        <v>338.5</v>
      </c>
      <c r="H15" s="169">
        <v>555.9</v>
      </c>
      <c r="I15" s="169">
        <v>60.9</v>
      </c>
      <c r="J15" s="169">
        <v>3700.6</v>
      </c>
      <c r="K15" s="169">
        <v>23.7</v>
      </c>
      <c r="L15" s="169">
        <v>4.3</v>
      </c>
      <c r="M15" s="169">
        <v>14.6</v>
      </c>
      <c r="N15" s="169">
        <v>2.6</v>
      </c>
      <c r="O15" s="169">
        <v>7.1</v>
      </c>
      <c r="P15" s="169">
        <v>6.7</v>
      </c>
      <c r="Q15" s="169">
        <v>11.6</v>
      </c>
      <c r="R15" s="169">
        <v>231.3</v>
      </c>
      <c r="S15" s="169">
        <v>85.6</v>
      </c>
      <c r="T15" s="169">
        <v>36.5</v>
      </c>
      <c r="U15" s="169">
        <v>235.4</v>
      </c>
      <c r="V15" s="169">
        <v>6.2</v>
      </c>
      <c r="W15" s="169">
        <v>6.25</v>
      </c>
      <c r="X15" s="169">
        <v>5.9</v>
      </c>
      <c r="Y15" s="33"/>
      <c r="Z15" s="33"/>
      <c r="AA15" s="33"/>
      <c r="AB15" s="33"/>
      <c r="AC15" s="33"/>
      <c r="AD15" s="33"/>
      <c r="AE15" s="33"/>
      <c r="AF15" s="33"/>
      <c r="AG15" s="33"/>
      <c r="AH15" s="33"/>
      <c r="AI15" s="33"/>
      <c r="AJ15" s="33"/>
      <c r="AK15" s="33"/>
      <c r="AL15" s="33"/>
    </row>
    <row r="16" ht="22.5" customHeight="1">
      <c r="A16" s="169">
        <v>2011.0</v>
      </c>
      <c r="B16" s="169">
        <v>32.0</v>
      </c>
      <c r="C16" s="169">
        <v>3675.0</v>
      </c>
      <c r="D16" s="169">
        <v>23.3</v>
      </c>
      <c r="E16" s="169">
        <v>229.7</v>
      </c>
      <c r="F16" s="169">
        <v>1.5</v>
      </c>
      <c r="G16" s="169">
        <v>327.0</v>
      </c>
      <c r="H16" s="169">
        <v>544.1</v>
      </c>
      <c r="I16" s="169">
        <v>60.1</v>
      </c>
      <c r="J16" s="169">
        <v>3675.0</v>
      </c>
      <c r="K16" s="169">
        <v>23.3</v>
      </c>
      <c r="L16" s="169">
        <v>4.3</v>
      </c>
      <c r="M16" s="169">
        <v>15.8</v>
      </c>
      <c r="N16" s="169">
        <v>2.9</v>
      </c>
      <c r="O16" s="169">
        <v>7.2</v>
      </c>
      <c r="P16" s="169">
        <v>6.7</v>
      </c>
      <c r="Q16" s="169">
        <v>12.0</v>
      </c>
      <c r="R16" s="169">
        <v>229.7</v>
      </c>
      <c r="S16" s="169">
        <v>84.3</v>
      </c>
      <c r="T16" s="169">
        <v>37.1</v>
      </c>
      <c r="U16" s="169">
        <v>241.5</v>
      </c>
      <c r="V16" s="169">
        <v>6.4</v>
      </c>
      <c r="W16" s="169">
        <v>6.32</v>
      </c>
      <c r="X16" s="169">
        <v>5.9</v>
      </c>
      <c r="Y16" s="33"/>
      <c r="Z16" s="33"/>
      <c r="AA16" s="33"/>
      <c r="AB16" s="33"/>
      <c r="AC16" s="33"/>
      <c r="AD16" s="33"/>
      <c r="AE16" s="33"/>
      <c r="AF16" s="33"/>
      <c r="AG16" s="33"/>
      <c r="AH16" s="33"/>
      <c r="AI16" s="33"/>
      <c r="AJ16" s="33"/>
      <c r="AK16" s="33"/>
      <c r="AL16" s="33"/>
    </row>
    <row r="17" ht="22.5" customHeight="1">
      <c r="A17" s="169">
        <v>2010.0</v>
      </c>
      <c r="B17" s="169">
        <v>32.0</v>
      </c>
      <c r="C17" s="169">
        <v>3544.8</v>
      </c>
      <c r="D17" s="169">
        <v>23.5</v>
      </c>
      <c r="E17" s="169">
        <v>221.5</v>
      </c>
      <c r="F17" s="169">
        <v>1.5</v>
      </c>
      <c r="G17" s="169">
        <v>327.8</v>
      </c>
      <c r="H17" s="169">
        <v>539.7</v>
      </c>
      <c r="I17" s="169">
        <v>60.8</v>
      </c>
      <c r="J17" s="169">
        <v>3544.8</v>
      </c>
      <c r="K17" s="169">
        <v>23.5</v>
      </c>
      <c r="L17" s="169">
        <v>4.3</v>
      </c>
      <c r="M17" s="169">
        <v>16.0</v>
      </c>
      <c r="N17" s="169">
        <v>3.0</v>
      </c>
      <c r="O17" s="169">
        <v>7.0</v>
      </c>
      <c r="P17" s="169">
        <v>6.5</v>
      </c>
      <c r="Q17" s="169">
        <v>11.5</v>
      </c>
      <c r="R17" s="169">
        <v>221.5</v>
      </c>
      <c r="S17" s="169">
        <v>84.1</v>
      </c>
      <c r="T17" s="169">
        <v>35.3</v>
      </c>
      <c r="U17" s="169">
        <v>234.8</v>
      </c>
      <c r="V17" s="169">
        <v>6.1</v>
      </c>
      <c r="W17" s="169">
        <v>6.17</v>
      </c>
      <c r="X17" s="169">
        <v>5.7</v>
      </c>
      <c r="Y17" s="33"/>
      <c r="Z17" s="33"/>
      <c r="AA17" s="33"/>
      <c r="AB17" s="33"/>
      <c r="AC17" s="33"/>
      <c r="AD17" s="33"/>
      <c r="AE17" s="33"/>
      <c r="AF17" s="33"/>
      <c r="AG17" s="33"/>
      <c r="AH17" s="33"/>
      <c r="AI17" s="33"/>
      <c r="AJ17" s="33"/>
      <c r="AK17" s="33"/>
      <c r="AL17" s="33"/>
    </row>
    <row r="18" ht="22.5" customHeight="1">
      <c r="A18" s="169">
        <v>2009.0</v>
      </c>
      <c r="B18" s="169">
        <v>32.0</v>
      </c>
      <c r="C18" s="169">
        <v>3495.3</v>
      </c>
      <c r="D18" s="169">
        <v>22.2</v>
      </c>
      <c r="E18" s="169">
        <v>218.5</v>
      </c>
      <c r="F18" s="169">
        <v>1.4</v>
      </c>
      <c r="G18" s="169">
        <v>324.1</v>
      </c>
      <c r="H18" s="169">
        <v>532.3</v>
      </c>
      <c r="I18" s="169">
        <v>60.9</v>
      </c>
      <c r="J18" s="169">
        <v>3495.3</v>
      </c>
      <c r="K18" s="169">
        <v>22.2</v>
      </c>
      <c r="L18" s="169">
        <v>4.2</v>
      </c>
      <c r="M18" s="169">
        <v>16.4</v>
      </c>
      <c r="N18" s="169">
        <v>3.1</v>
      </c>
      <c r="O18" s="169">
        <v>7.0</v>
      </c>
      <c r="P18" s="169">
        <v>6.4</v>
      </c>
      <c r="Q18" s="169">
        <v>11.5</v>
      </c>
      <c r="R18" s="169">
        <v>218.5</v>
      </c>
      <c r="S18" s="169">
        <v>83.0</v>
      </c>
      <c r="T18" s="169">
        <v>34.4</v>
      </c>
      <c r="U18" s="169">
        <v>220.8</v>
      </c>
      <c r="V18" s="169">
        <v>6.1</v>
      </c>
      <c r="W18" s="169">
        <v>6.17</v>
      </c>
      <c r="X18" s="169">
        <v>5.6</v>
      </c>
      <c r="Y18" s="33"/>
      <c r="Z18" s="33"/>
      <c r="AA18" s="33"/>
      <c r="AB18" s="33"/>
      <c r="AC18" s="33"/>
      <c r="AD18" s="33"/>
      <c r="AE18" s="33"/>
      <c r="AF18" s="33"/>
      <c r="AG18" s="33"/>
      <c r="AH18" s="33"/>
      <c r="AI18" s="33"/>
      <c r="AJ18" s="33"/>
      <c r="AK18" s="33"/>
      <c r="AL18" s="33"/>
    </row>
    <row r="19" ht="22.5" customHeight="1">
      <c r="A19" s="169">
        <v>2008.0</v>
      </c>
      <c r="B19" s="169">
        <v>32.0</v>
      </c>
      <c r="C19" s="169">
        <v>3380.5</v>
      </c>
      <c r="D19" s="169">
        <v>20.2</v>
      </c>
      <c r="E19" s="169">
        <v>211.3</v>
      </c>
      <c r="F19" s="169">
        <v>1.3</v>
      </c>
      <c r="G19" s="169">
        <v>315.0</v>
      </c>
      <c r="H19" s="169">
        <v>516.4</v>
      </c>
      <c r="I19" s="169">
        <v>61.0</v>
      </c>
      <c r="J19" s="169">
        <v>3380.5</v>
      </c>
      <c r="K19" s="169">
        <v>20.2</v>
      </c>
      <c r="L19" s="169">
        <v>3.9</v>
      </c>
      <c r="M19" s="169">
        <v>14.5</v>
      </c>
      <c r="N19" s="169">
        <v>2.8</v>
      </c>
      <c r="O19" s="169">
        <v>6.9</v>
      </c>
      <c r="P19" s="169">
        <v>6.5</v>
      </c>
      <c r="Q19" s="169">
        <v>11.4</v>
      </c>
      <c r="R19" s="169">
        <v>211.3</v>
      </c>
      <c r="S19" s="169">
        <v>83.2</v>
      </c>
      <c r="T19" s="169">
        <v>32.4</v>
      </c>
      <c r="U19" s="169">
        <v>205.9</v>
      </c>
      <c r="V19" s="169">
        <v>5.9</v>
      </c>
      <c r="W19" s="169">
        <v>6.16</v>
      </c>
      <c r="X19" s="169">
        <v>5.7</v>
      </c>
      <c r="Y19" s="33"/>
      <c r="Z19" s="33"/>
      <c r="AA19" s="33"/>
      <c r="AB19" s="33"/>
      <c r="AC19" s="33"/>
      <c r="AD19" s="33"/>
      <c r="AE19" s="33"/>
      <c r="AF19" s="33"/>
      <c r="AG19" s="33"/>
      <c r="AH19" s="33"/>
      <c r="AI19" s="33"/>
      <c r="AJ19" s="33"/>
      <c r="AK19" s="33"/>
      <c r="AL19" s="33"/>
    </row>
    <row r="20" ht="22.5" customHeight="1">
      <c r="A20" s="169">
        <v>2007.0</v>
      </c>
      <c r="B20" s="169">
        <v>32.0</v>
      </c>
      <c r="C20" s="169">
        <v>3428.8</v>
      </c>
      <c r="D20" s="169">
        <v>22.5</v>
      </c>
      <c r="E20" s="169">
        <v>214.3</v>
      </c>
      <c r="F20" s="169">
        <v>1.4</v>
      </c>
      <c r="G20" s="169">
        <v>325.8</v>
      </c>
      <c r="H20" s="169">
        <v>532.7</v>
      </c>
      <c r="I20" s="169">
        <v>61.2</v>
      </c>
      <c r="J20" s="169">
        <v>3428.8</v>
      </c>
      <c r="K20" s="169">
        <v>22.5</v>
      </c>
      <c r="L20" s="169">
        <v>4.2</v>
      </c>
      <c r="M20" s="169">
        <v>16.7</v>
      </c>
      <c r="N20" s="169">
        <v>3.1</v>
      </c>
      <c r="O20" s="169">
        <v>6.9</v>
      </c>
      <c r="P20" s="169">
        <v>6.3</v>
      </c>
      <c r="Q20" s="169">
        <v>11.2</v>
      </c>
      <c r="R20" s="169">
        <v>214.3</v>
      </c>
      <c r="S20" s="169">
        <v>82.6</v>
      </c>
      <c r="T20" s="169">
        <v>34.4</v>
      </c>
      <c r="U20" s="169">
        <v>223.4</v>
      </c>
      <c r="V20" s="169">
        <v>6.1</v>
      </c>
      <c r="W20" s="169">
        <v>6.05</v>
      </c>
      <c r="X20" s="169">
        <v>5.5</v>
      </c>
      <c r="Y20" s="33"/>
      <c r="Z20" s="33"/>
      <c r="AA20" s="33"/>
      <c r="AB20" s="33"/>
      <c r="AC20" s="33"/>
      <c r="AD20" s="33"/>
      <c r="AE20" s="33"/>
      <c r="AF20" s="33"/>
      <c r="AG20" s="33"/>
      <c r="AH20" s="33"/>
      <c r="AI20" s="33"/>
      <c r="AJ20" s="33"/>
      <c r="AK20" s="33"/>
      <c r="AL20" s="33"/>
    </row>
    <row r="21" ht="22.5" customHeight="1">
      <c r="A21" s="169">
        <v>2006.0</v>
      </c>
      <c r="B21" s="169">
        <v>32.0</v>
      </c>
      <c r="C21" s="169">
        <v>3277.0</v>
      </c>
      <c r="D21" s="169">
        <v>20.3</v>
      </c>
      <c r="E21" s="169">
        <v>204.8</v>
      </c>
      <c r="F21" s="169">
        <v>1.3</v>
      </c>
      <c r="G21" s="169">
        <v>306.1</v>
      </c>
      <c r="H21" s="169">
        <v>512.2</v>
      </c>
      <c r="I21" s="169">
        <v>59.8</v>
      </c>
      <c r="J21" s="169">
        <v>3277.0</v>
      </c>
      <c r="K21" s="169">
        <v>20.3</v>
      </c>
      <c r="L21" s="169">
        <v>4.0</v>
      </c>
      <c r="M21" s="169">
        <v>16.3</v>
      </c>
      <c r="N21" s="169">
        <v>3.2</v>
      </c>
      <c r="O21" s="169">
        <v>6.9</v>
      </c>
      <c r="P21" s="169">
        <v>6.2</v>
      </c>
      <c r="Q21" s="169">
        <v>11.5</v>
      </c>
      <c r="R21" s="169">
        <v>204.8</v>
      </c>
      <c r="S21" s="169">
        <v>80.4</v>
      </c>
      <c r="T21" s="169">
        <v>36.3</v>
      </c>
      <c r="U21" s="169">
        <v>231.7</v>
      </c>
      <c r="V21" s="169">
        <v>6.6</v>
      </c>
      <c r="W21" s="169">
        <v>5.97</v>
      </c>
      <c r="X21" s="169">
        <v>5.4</v>
      </c>
      <c r="Y21" s="33"/>
      <c r="Z21" s="33"/>
      <c r="AA21" s="33"/>
      <c r="AB21" s="33"/>
      <c r="AC21" s="33"/>
      <c r="AD21" s="33"/>
      <c r="AE21" s="33"/>
      <c r="AF21" s="33"/>
      <c r="AG21" s="33"/>
      <c r="AH21" s="33"/>
      <c r="AI21" s="33"/>
      <c r="AJ21" s="33"/>
      <c r="AK21" s="33"/>
      <c r="AL21" s="33"/>
    </row>
    <row r="22" ht="22.5" customHeight="1">
      <c r="A22" s="169">
        <v>2005.0</v>
      </c>
      <c r="B22" s="169">
        <v>32.0</v>
      </c>
      <c r="C22" s="169">
        <v>3255.3</v>
      </c>
      <c r="D22" s="169">
        <v>20.1</v>
      </c>
      <c r="E22" s="169">
        <v>203.5</v>
      </c>
      <c r="F22" s="169">
        <v>1.3</v>
      </c>
      <c r="G22" s="169">
        <v>305.9</v>
      </c>
      <c r="H22" s="169">
        <v>514.5</v>
      </c>
      <c r="I22" s="169">
        <v>59.5</v>
      </c>
      <c r="J22" s="169">
        <v>3255.3</v>
      </c>
      <c r="K22" s="169">
        <v>20.1</v>
      </c>
      <c r="L22" s="169">
        <v>3.9</v>
      </c>
      <c r="M22" s="169">
        <v>15.8</v>
      </c>
      <c r="N22" s="169">
        <v>3.1</v>
      </c>
      <c r="O22" s="169">
        <v>6.8</v>
      </c>
      <c r="P22" s="169">
        <v>6.2</v>
      </c>
      <c r="Q22" s="169">
        <v>11.4</v>
      </c>
      <c r="R22" s="169">
        <v>203.5</v>
      </c>
      <c r="S22" s="169">
        <v>80.1</v>
      </c>
      <c r="T22" s="169">
        <v>36.9</v>
      </c>
      <c r="U22" s="169">
        <v>236.0</v>
      </c>
      <c r="V22" s="169">
        <v>6.7</v>
      </c>
      <c r="W22" s="169">
        <v>5.9</v>
      </c>
      <c r="X22" s="169">
        <v>5.3</v>
      </c>
      <c r="Y22" s="33"/>
      <c r="Z22" s="33"/>
      <c r="AA22" s="33"/>
      <c r="AB22" s="33"/>
      <c r="AC22" s="33"/>
      <c r="AD22" s="33"/>
      <c r="AE22" s="33"/>
      <c r="AF22" s="33"/>
      <c r="AG22" s="33"/>
      <c r="AH22" s="33"/>
      <c r="AI22" s="33"/>
      <c r="AJ22" s="33"/>
      <c r="AK22" s="33"/>
      <c r="AL22" s="33"/>
    </row>
    <row r="23" ht="22.5" customHeight="1">
      <c r="A23" s="169">
        <v>2004.0</v>
      </c>
      <c r="B23" s="169">
        <v>32.0</v>
      </c>
      <c r="C23" s="169">
        <v>3368.7</v>
      </c>
      <c r="D23" s="169">
        <v>22.9</v>
      </c>
      <c r="E23" s="169">
        <v>210.5</v>
      </c>
      <c r="F23" s="169">
        <v>1.4</v>
      </c>
      <c r="G23" s="169">
        <v>305.4</v>
      </c>
      <c r="H23" s="169">
        <v>511.1</v>
      </c>
      <c r="I23" s="169">
        <v>59.8</v>
      </c>
      <c r="J23" s="169">
        <v>3368.7</v>
      </c>
      <c r="K23" s="169">
        <v>22.9</v>
      </c>
      <c r="L23" s="169">
        <v>4.5</v>
      </c>
      <c r="M23" s="169">
        <v>16.4</v>
      </c>
      <c r="N23" s="169">
        <v>3.2</v>
      </c>
      <c r="O23" s="169">
        <v>7.1</v>
      </c>
      <c r="P23" s="169">
        <v>6.5</v>
      </c>
      <c r="Q23" s="169">
        <v>11.8</v>
      </c>
      <c r="R23" s="169">
        <v>210.5</v>
      </c>
      <c r="S23" s="169">
        <v>82.8</v>
      </c>
      <c r="T23" s="169">
        <v>37.4</v>
      </c>
      <c r="U23" s="169">
        <v>235.7</v>
      </c>
      <c r="V23" s="169">
        <v>6.8</v>
      </c>
      <c r="W23" s="169">
        <v>6.14</v>
      </c>
      <c r="X23" s="169">
        <v>5.6</v>
      </c>
      <c r="Y23" s="33"/>
      <c r="Z23" s="33"/>
      <c r="AA23" s="33"/>
      <c r="AB23" s="33"/>
      <c r="AC23" s="33"/>
      <c r="AD23" s="33"/>
      <c r="AE23" s="33"/>
      <c r="AF23" s="33"/>
      <c r="AG23" s="33"/>
      <c r="AH23" s="33"/>
      <c r="AI23" s="33"/>
      <c r="AJ23" s="33"/>
      <c r="AK23" s="33"/>
      <c r="AL23" s="33"/>
    </row>
    <row r="24" ht="22.5" customHeight="1">
      <c r="A24" s="169">
        <v>2003.0</v>
      </c>
      <c r="B24" s="169">
        <v>32.0</v>
      </c>
      <c r="C24" s="169">
        <v>3207.1</v>
      </c>
      <c r="D24" s="169">
        <v>20.4</v>
      </c>
      <c r="E24" s="169">
        <v>200.4</v>
      </c>
      <c r="F24" s="169">
        <v>1.3</v>
      </c>
      <c r="G24" s="169">
        <v>303.0</v>
      </c>
      <c r="H24" s="169">
        <v>515.4</v>
      </c>
      <c r="I24" s="169">
        <v>58.8</v>
      </c>
      <c r="J24" s="169">
        <v>3207.1</v>
      </c>
      <c r="K24" s="169">
        <v>20.4</v>
      </c>
      <c r="L24" s="169">
        <v>4.0</v>
      </c>
      <c r="M24" s="169">
        <v>16.8</v>
      </c>
      <c r="N24" s="169">
        <v>3.3</v>
      </c>
      <c r="O24" s="169">
        <v>6.6</v>
      </c>
      <c r="P24" s="169">
        <v>6.0</v>
      </c>
      <c r="Q24" s="169">
        <v>11.3</v>
      </c>
      <c r="R24" s="169">
        <v>200.4</v>
      </c>
      <c r="S24" s="169">
        <v>78.3</v>
      </c>
      <c r="T24" s="169">
        <v>34.1</v>
      </c>
      <c r="U24" s="169">
        <v>213.7</v>
      </c>
      <c r="V24" s="169">
        <v>6.2</v>
      </c>
      <c r="W24" s="169">
        <v>5.84</v>
      </c>
      <c r="X24" s="169">
        <v>5.2</v>
      </c>
      <c r="Y24" s="33"/>
      <c r="Z24" s="33"/>
      <c r="AA24" s="33"/>
      <c r="AB24" s="33"/>
      <c r="AC24" s="33"/>
      <c r="AD24" s="33"/>
      <c r="AE24" s="33"/>
      <c r="AF24" s="33"/>
      <c r="AG24" s="33"/>
      <c r="AH24" s="33"/>
      <c r="AI24" s="33"/>
      <c r="AJ24" s="33"/>
      <c r="AK24" s="33"/>
      <c r="AL24" s="33"/>
    </row>
    <row r="25" ht="22.5" customHeight="1">
      <c r="A25" s="169">
        <v>2002.0</v>
      </c>
      <c r="B25" s="169">
        <v>32.0</v>
      </c>
      <c r="C25" s="169">
        <v>3395.7</v>
      </c>
      <c r="D25" s="169">
        <v>21.7</v>
      </c>
      <c r="E25" s="169">
        <v>212.2</v>
      </c>
      <c r="F25" s="169">
        <v>1.4</v>
      </c>
      <c r="G25" s="169">
        <v>322.3</v>
      </c>
      <c r="H25" s="169">
        <v>540.4</v>
      </c>
      <c r="I25" s="169">
        <v>59.6</v>
      </c>
      <c r="J25" s="169">
        <v>3395.7</v>
      </c>
      <c r="K25" s="169">
        <v>21.7</v>
      </c>
      <c r="L25" s="169">
        <v>4.0</v>
      </c>
      <c r="M25" s="169">
        <v>16.5</v>
      </c>
      <c r="N25" s="169">
        <v>3.1</v>
      </c>
      <c r="O25" s="169">
        <v>6.7</v>
      </c>
      <c r="P25" s="169">
        <v>6.1</v>
      </c>
      <c r="Q25" s="169">
        <v>11.3</v>
      </c>
      <c r="R25" s="169">
        <v>212.2</v>
      </c>
      <c r="S25" s="169">
        <v>80.4</v>
      </c>
      <c r="T25" s="169">
        <v>36.7</v>
      </c>
      <c r="U25" s="169">
        <v>235.6</v>
      </c>
      <c r="V25" s="169">
        <v>6.4</v>
      </c>
      <c r="W25" s="169">
        <v>5.88</v>
      </c>
      <c r="X25" s="169">
        <v>5.3</v>
      </c>
      <c r="Y25" s="33"/>
      <c r="Z25" s="33"/>
      <c r="AA25" s="33"/>
      <c r="AB25" s="33"/>
      <c r="AC25" s="33"/>
      <c r="AD25" s="33"/>
      <c r="AE25" s="33"/>
      <c r="AF25" s="33"/>
      <c r="AG25" s="33"/>
      <c r="AH25" s="33"/>
      <c r="AI25" s="33"/>
      <c r="AJ25" s="33"/>
      <c r="AK25" s="33"/>
      <c r="AL25" s="33"/>
    </row>
    <row r="26" ht="22.5" customHeight="1">
      <c r="A26" s="169">
        <v>2001.0</v>
      </c>
      <c r="B26" s="169">
        <v>31.0</v>
      </c>
      <c r="C26" s="169">
        <v>3292.9</v>
      </c>
      <c r="D26" s="169">
        <v>20.5</v>
      </c>
      <c r="E26" s="169">
        <v>205.8</v>
      </c>
      <c r="F26" s="169">
        <v>1.3</v>
      </c>
      <c r="G26" s="169">
        <v>307.8</v>
      </c>
      <c r="H26" s="169">
        <v>522.0</v>
      </c>
      <c r="I26" s="169">
        <v>59.0</v>
      </c>
      <c r="J26" s="169">
        <v>3292.9</v>
      </c>
      <c r="K26" s="169">
        <v>20.5</v>
      </c>
      <c r="L26" s="169">
        <v>3.9</v>
      </c>
      <c r="M26" s="169">
        <v>17.6</v>
      </c>
      <c r="N26" s="169">
        <v>3.4</v>
      </c>
      <c r="O26" s="169">
        <v>6.8</v>
      </c>
      <c r="P26" s="169">
        <v>6.0</v>
      </c>
      <c r="Q26" s="169">
        <v>11.5</v>
      </c>
      <c r="R26" s="169">
        <v>205.8</v>
      </c>
      <c r="S26" s="169">
        <v>78.5</v>
      </c>
      <c r="T26" s="169">
        <v>38.6</v>
      </c>
      <c r="U26" s="169">
        <v>243.8</v>
      </c>
      <c r="V26" s="169">
        <v>6.9</v>
      </c>
      <c r="W26" s="169">
        <v>5.87</v>
      </c>
      <c r="X26" s="169">
        <v>5.2</v>
      </c>
      <c r="Y26" s="33"/>
      <c r="Z26" s="33"/>
      <c r="AA26" s="33"/>
      <c r="AB26" s="33"/>
      <c r="AC26" s="33"/>
      <c r="AD26" s="33"/>
      <c r="AE26" s="33"/>
      <c r="AF26" s="33"/>
      <c r="AG26" s="33"/>
      <c r="AH26" s="33"/>
      <c r="AI26" s="33"/>
      <c r="AJ26" s="33"/>
      <c r="AK26" s="33"/>
      <c r="AL26" s="33"/>
    </row>
    <row r="27" ht="22.5" customHeight="1">
      <c r="A27" s="169">
        <v>2000.0</v>
      </c>
      <c r="B27" s="169">
        <v>31.0</v>
      </c>
      <c r="C27" s="169">
        <v>3309.9</v>
      </c>
      <c r="D27" s="169">
        <v>20.5</v>
      </c>
      <c r="E27" s="169">
        <v>206.9</v>
      </c>
      <c r="F27" s="169">
        <v>1.3</v>
      </c>
      <c r="G27" s="169">
        <v>306.4</v>
      </c>
      <c r="H27" s="169">
        <v>526.5</v>
      </c>
      <c r="I27" s="169">
        <v>58.2</v>
      </c>
      <c r="J27" s="169">
        <v>3309.9</v>
      </c>
      <c r="K27" s="169">
        <v>20.5</v>
      </c>
      <c r="L27" s="169">
        <v>3.9</v>
      </c>
      <c r="M27" s="169">
        <v>17.1</v>
      </c>
      <c r="N27" s="169">
        <v>3.3</v>
      </c>
      <c r="O27" s="169">
        <v>6.7</v>
      </c>
      <c r="P27" s="169">
        <v>6.1</v>
      </c>
      <c r="Q27" s="169">
        <v>11.6</v>
      </c>
      <c r="R27" s="169">
        <v>206.9</v>
      </c>
      <c r="S27" s="169">
        <v>78.1</v>
      </c>
      <c r="T27" s="169">
        <v>39.7</v>
      </c>
      <c r="U27" s="169">
        <v>242.7</v>
      </c>
      <c r="V27" s="169">
        <v>7.0</v>
      </c>
      <c r="W27" s="169">
        <v>5.85</v>
      </c>
      <c r="X27" s="169">
        <v>5.2</v>
      </c>
      <c r="Y27" s="33"/>
      <c r="Z27" s="33"/>
      <c r="AA27" s="33"/>
      <c r="AB27" s="33"/>
      <c r="AC27" s="33"/>
      <c r="AD27" s="33"/>
      <c r="AE27" s="33"/>
      <c r="AF27" s="33"/>
      <c r="AG27" s="33"/>
      <c r="AH27" s="33"/>
      <c r="AI27" s="33"/>
      <c r="AJ27" s="33"/>
      <c r="AK27" s="33"/>
      <c r="AL27" s="33"/>
    </row>
    <row r="28" ht="22.5" customHeight="1">
      <c r="A28" s="169">
        <v>1999.0</v>
      </c>
      <c r="B28" s="169">
        <v>31.0</v>
      </c>
      <c r="C28" s="169">
        <v>3396.4</v>
      </c>
      <c r="D28" s="169">
        <v>21.5</v>
      </c>
      <c r="E28" s="169">
        <v>212.3</v>
      </c>
      <c r="F28" s="169">
        <v>1.3</v>
      </c>
      <c r="G28" s="169">
        <v>308.6</v>
      </c>
      <c r="H28" s="169">
        <v>540.6</v>
      </c>
      <c r="I28" s="169">
        <v>57.1</v>
      </c>
      <c r="J28" s="169">
        <v>3396.4</v>
      </c>
      <c r="K28" s="169">
        <v>21.5</v>
      </c>
      <c r="L28" s="169">
        <v>4.0</v>
      </c>
      <c r="M28" s="169">
        <v>18.1</v>
      </c>
      <c r="N28" s="169">
        <v>3.4</v>
      </c>
      <c r="O28" s="169">
        <v>6.8</v>
      </c>
      <c r="P28" s="169">
        <v>6.0</v>
      </c>
      <c r="Q28" s="169">
        <v>11.8</v>
      </c>
      <c r="R28" s="169">
        <v>212.3</v>
      </c>
      <c r="S28" s="169">
        <v>77.1</v>
      </c>
      <c r="T28" s="169">
        <v>40.3</v>
      </c>
      <c r="U28" s="169">
        <v>256.9</v>
      </c>
      <c r="V28" s="169">
        <v>6.9</v>
      </c>
      <c r="W28" s="169">
        <v>5.85</v>
      </c>
      <c r="X28" s="169">
        <v>5.2</v>
      </c>
      <c r="Y28" s="33"/>
      <c r="Z28" s="33"/>
      <c r="AA28" s="33"/>
      <c r="AB28" s="33"/>
      <c r="AC28" s="33"/>
      <c r="AD28" s="33"/>
      <c r="AE28" s="33"/>
      <c r="AF28" s="33"/>
      <c r="AG28" s="33"/>
      <c r="AH28" s="33"/>
      <c r="AI28" s="33"/>
      <c r="AJ28" s="33"/>
      <c r="AK28" s="33"/>
      <c r="AL28" s="33"/>
    </row>
    <row r="29" ht="22.5" customHeight="1">
      <c r="A29" s="169">
        <v>1998.0</v>
      </c>
      <c r="B29" s="169">
        <v>30.0</v>
      </c>
      <c r="C29" s="169">
        <v>3279.5</v>
      </c>
      <c r="D29" s="169">
        <v>21.9</v>
      </c>
      <c r="E29" s="169">
        <v>205.0</v>
      </c>
      <c r="F29" s="169">
        <v>1.4</v>
      </c>
      <c r="G29" s="169">
        <v>292.2</v>
      </c>
      <c r="H29" s="169">
        <v>516.3</v>
      </c>
      <c r="I29" s="169">
        <v>56.6</v>
      </c>
      <c r="J29" s="169">
        <v>3279.5</v>
      </c>
      <c r="K29" s="169">
        <v>21.9</v>
      </c>
      <c r="L29" s="169">
        <v>4.2</v>
      </c>
      <c r="M29" s="169">
        <v>17.0</v>
      </c>
      <c r="N29" s="169">
        <v>3.3</v>
      </c>
      <c r="O29" s="169">
        <v>6.8</v>
      </c>
      <c r="P29" s="169">
        <v>6.2</v>
      </c>
      <c r="Q29" s="169">
        <v>12.1</v>
      </c>
      <c r="R29" s="169">
        <v>205.0</v>
      </c>
      <c r="S29" s="169">
        <v>78.3</v>
      </c>
      <c r="T29" s="169">
        <v>40.2</v>
      </c>
      <c r="U29" s="169">
        <v>256.7</v>
      </c>
      <c r="V29" s="169">
        <v>7.2</v>
      </c>
      <c r="W29" s="169">
        <v>5.89</v>
      </c>
      <c r="X29" s="169">
        <v>5.3</v>
      </c>
      <c r="Y29" s="33"/>
      <c r="Z29" s="33"/>
      <c r="AA29" s="33"/>
      <c r="AB29" s="33"/>
      <c r="AC29" s="33"/>
      <c r="AD29" s="33"/>
      <c r="AE29" s="33"/>
      <c r="AF29" s="33"/>
      <c r="AG29" s="33"/>
      <c r="AH29" s="33"/>
      <c r="AI29" s="33"/>
      <c r="AJ29" s="33"/>
      <c r="AK29" s="33"/>
      <c r="AL29" s="33"/>
    </row>
    <row r="30" ht="22.5" customHeight="1">
      <c r="A30" s="169">
        <v>1997.0</v>
      </c>
      <c r="B30" s="169">
        <v>30.0</v>
      </c>
      <c r="C30" s="169">
        <v>3229.2</v>
      </c>
      <c r="D30" s="169">
        <v>20.6</v>
      </c>
      <c r="E30" s="169">
        <v>201.8</v>
      </c>
      <c r="F30" s="169">
        <v>1.3</v>
      </c>
      <c r="G30" s="169">
        <v>294.8</v>
      </c>
      <c r="H30" s="169">
        <v>524.3</v>
      </c>
      <c r="I30" s="169">
        <v>56.2</v>
      </c>
      <c r="J30" s="169">
        <v>3229.2</v>
      </c>
      <c r="K30" s="169">
        <v>20.6</v>
      </c>
      <c r="L30" s="169">
        <v>3.9</v>
      </c>
      <c r="M30" s="169">
        <v>16.0</v>
      </c>
      <c r="N30" s="169">
        <v>3.0</v>
      </c>
      <c r="O30" s="169">
        <v>6.7</v>
      </c>
      <c r="P30" s="169">
        <v>6.1</v>
      </c>
      <c r="Q30" s="169">
        <v>11.9</v>
      </c>
      <c r="R30" s="169">
        <v>201.8</v>
      </c>
      <c r="S30" s="169">
        <v>77.2</v>
      </c>
      <c r="T30" s="169">
        <v>41.7</v>
      </c>
      <c r="U30" s="169">
        <v>280.4</v>
      </c>
      <c r="V30" s="169">
        <v>7.4</v>
      </c>
      <c r="W30" s="169">
        <v>5.7</v>
      </c>
      <c r="X30" s="169">
        <v>5.2</v>
      </c>
      <c r="Y30" s="33"/>
      <c r="Z30" s="33"/>
      <c r="AA30" s="33"/>
      <c r="AB30" s="33"/>
      <c r="AC30" s="33"/>
      <c r="AD30" s="33"/>
      <c r="AE30" s="33"/>
      <c r="AF30" s="33"/>
      <c r="AG30" s="33"/>
      <c r="AH30" s="33"/>
      <c r="AI30" s="33"/>
      <c r="AJ30" s="33"/>
      <c r="AK30" s="33"/>
      <c r="AL30" s="33"/>
    </row>
    <row r="31" ht="22.5" customHeight="1">
      <c r="A31" s="169">
        <v>1996.0</v>
      </c>
      <c r="B31" s="169">
        <v>30.0</v>
      </c>
      <c r="C31" s="169">
        <v>3318.9</v>
      </c>
      <c r="D31" s="169">
        <v>20.9</v>
      </c>
      <c r="E31" s="169">
        <v>207.4</v>
      </c>
      <c r="F31" s="169">
        <v>1.3</v>
      </c>
      <c r="G31" s="169">
        <v>306.6</v>
      </c>
      <c r="H31" s="169">
        <v>532.2</v>
      </c>
      <c r="I31" s="169">
        <v>57.6</v>
      </c>
      <c r="J31" s="169">
        <v>3318.9</v>
      </c>
      <c r="K31" s="169">
        <v>20.9</v>
      </c>
      <c r="L31" s="169">
        <v>3.9</v>
      </c>
      <c r="M31" s="169">
        <v>18.1</v>
      </c>
      <c r="N31" s="169">
        <v>3.4</v>
      </c>
      <c r="O31" s="169">
        <v>6.7</v>
      </c>
      <c r="P31" s="169">
        <v>5.9</v>
      </c>
      <c r="Q31" s="169">
        <v>11.6</v>
      </c>
      <c r="R31" s="169">
        <v>207.4</v>
      </c>
      <c r="S31" s="169">
        <v>76.9</v>
      </c>
      <c r="T31" s="169">
        <v>36.9</v>
      </c>
      <c r="U31" s="169">
        <v>236.5</v>
      </c>
      <c r="V31" s="169">
        <v>6.5</v>
      </c>
      <c r="W31" s="169">
        <v>5.83</v>
      </c>
      <c r="X31" s="169">
        <v>5.1</v>
      </c>
      <c r="Y31" s="33"/>
      <c r="Z31" s="33"/>
      <c r="AA31" s="33"/>
      <c r="AB31" s="33"/>
      <c r="AC31" s="33"/>
      <c r="AD31" s="33"/>
      <c r="AE31" s="33"/>
      <c r="AF31" s="33"/>
      <c r="AG31" s="33"/>
      <c r="AH31" s="33"/>
      <c r="AI31" s="33"/>
      <c r="AJ31" s="33"/>
      <c r="AK31" s="33"/>
      <c r="AL31" s="33"/>
    </row>
    <row r="32" ht="22.5" customHeight="1">
      <c r="A32" s="169">
        <v>1995.0</v>
      </c>
      <c r="B32" s="169">
        <v>30.0</v>
      </c>
      <c r="C32" s="169">
        <v>3532.5</v>
      </c>
      <c r="D32" s="169">
        <v>22.1</v>
      </c>
      <c r="E32" s="169">
        <v>220.8</v>
      </c>
      <c r="F32" s="169">
        <v>1.4</v>
      </c>
      <c r="G32" s="169">
        <v>323.9</v>
      </c>
      <c r="H32" s="169">
        <v>556.6</v>
      </c>
      <c r="I32" s="169">
        <v>58.2</v>
      </c>
      <c r="J32" s="169">
        <v>3532.5</v>
      </c>
      <c r="K32" s="169">
        <v>22.1</v>
      </c>
      <c r="L32" s="169">
        <v>4.0</v>
      </c>
      <c r="M32" s="169">
        <v>17.1</v>
      </c>
      <c r="N32" s="169">
        <v>3.1</v>
      </c>
      <c r="O32" s="169">
        <v>6.8</v>
      </c>
      <c r="P32" s="169">
        <v>6.2</v>
      </c>
      <c r="Q32" s="169">
        <v>11.6</v>
      </c>
      <c r="R32" s="169">
        <v>220.8</v>
      </c>
      <c r="S32" s="169">
        <v>79.2</v>
      </c>
      <c r="T32" s="169">
        <v>35.9</v>
      </c>
      <c r="U32" s="169">
        <v>236.4</v>
      </c>
      <c r="V32" s="169">
        <v>6.1</v>
      </c>
      <c r="W32" s="169">
        <v>5.96</v>
      </c>
      <c r="X32" s="169">
        <v>5.4</v>
      </c>
      <c r="Y32" s="33"/>
      <c r="Z32" s="33"/>
      <c r="AA32" s="33"/>
      <c r="AB32" s="33"/>
      <c r="AC32" s="33"/>
      <c r="AD32" s="33"/>
      <c r="AE32" s="33"/>
      <c r="AF32" s="33"/>
      <c r="AG32" s="33"/>
      <c r="AH32" s="33"/>
      <c r="AI32" s="33"/>
      <c r="AJ32" s="33"/>
      <c r="AK32" s="33"/>
      <c r="AL32" s="33"/>
    </row>
    <row r="33" ht="22.5" customHeight="1">
      <c r="A33" s="169">
        <v>1994.0</v>
      </c>
      <c r="B33" s="169">
        <v>28.0</v>
      </c>
      <c r="C33" s="169">
        <v>3417.6</v>
      </c>
      <c r="D33" s="169">
        <v>20.8</v>
      </c>
      <c r="E33" s="169">
        <v>213.6</v>
      </c>
      <c r="F33" s="169">
        <v>1.3</v>
      </c>
      <c r="G33" s="169">
        <v>312.1</v>
      </c>
      <c r="H33" s="169">
        <v>537.7</v>
      </c>
      <c r="I33" s="169">
        <v>58.0</v>
      </c>
      <c r="J33" s="169">
        <v>3417.6</v>
      </c>
      <c r="K33" s="169">
        <v>20.8</v>
      </c>
      <c r="L33" s="169">
        <v>3.9</v>
      </c>
      <c r="M33" s="169">
        <v>16.9</v>
      </c>
      <c r="N33" s="169">
        <v>3.1</v>
      </c>
      <c r="O33" s="169">
        <v>6.8</v>
      </c>
      <c r="P33" s="169">
        <v>6.1</v>
      </c>
      <c r="Q33" s="169">
        <v>11.7</v>
      </c>
      <c r="R33" s="169">
        <v>213.6</v>
      </c>
      <c r="S33" s="169">
        <v>78.4</v>
      </c>
      <c r="T33" s="169">
        <v>33.5</v>
      </c>
      <c r="U33" s="169">
        <v>221.1</v>
      </c>
      <c r="V33" s="169">
        <v>5.9</v>
      </c>
      <c r="W33" s="169">
        <v>5.98</v>
      </c>
      <c r="X33" s="169">
        <v>5.4</v>
      </c>
      <c r="Y33" s="33"/>
      <c r="Z33" s="33"/>
      <c r="AA33" s="33"/>
      <c r="AB33" s="33"/>
      <c r="AC33" s="33"/>
      <c r="AD33" s="33"/>
      <c r="AE33" s="33"/>
      <c r="AF33" s="33"/>
      <c r="AG33" s="33"/>
      <c r="AH33" s="33"/>
      <c r="AI33" s="33"/>
      <c r="AJ33" s="33"/>
      <c r="AK33" s="33"/>
      <c r="AL33" s="33"/>
    </row>
    <row r="34" ht="22.5" customHeight="1">
      <c r="A34" s="169">
        <v>1993.0</v>
      </c>
      <c r="B34" s="169">
        <v>28.0</v>
      </c>
      <c r="C34" s="169">
        <v>3209.8</v>
      </c>
      <c r="D34" s="169">
        <v>18.5</v>
      </c>
      <c r="E34" s="169">
        <v>200.6</v>
      </c>
      <c r="F34" s="169">
        <v>1.2</v>
      </c>
      <c r="G34" s="169">
        <v>298.3</v>
      </c>
      <c r="H34" s="169">
        <v>514.8</v>
      </c>
      <c r="I34" s="169">
        <v>57.9</v>
      </c>
      <c r="J34" s="169">
        <v>3209.8</v>
      </c>
      <c r="K34" s="169">
        <v>18.5</v>
      </c>
      <c r="L34" s="169">
        <v>3.6</v>
      </c>
      <c r="M34" s="169">
        <v>16.8</v>
      </c>
      <c r="N34" s="169">
        <v>3.3</v>
      </c>
      <c r="O34" s="169">
        <v>6.7</v>
      </c>
      <c r="P34" s="169">
        <v>5.9</v>
      </c>
      <c r="Q34" s="169">
        <v>11.6</v>
      </c>
      <c r="R34" s="169">
        <v>200.6</v>
      </c>
      <c r="S34" s="169">
        <v>76.7</v>
      </c>
      <c r="T34" s="169">
        <v>37.7</v>
      </c>
      <c r="U34" s="169">
        <v>236.3</v>
      </c>
      <c r="V34" s="169">
        <v>6.8</v>
      </c>
      <c r="W34" s="169">
        <v>5.81</v>
      </c>
      <c r="X34" s="169">
        <v>5.1</v>
      </c>
      <c r="Y34" s="33"/>
      <c r="Z34" s="33"/>
      <c r="AA34" s="33"/>
      <c r="AB34" s="33"/>
      <c r="AC34" s="33"/>
      <c r="AD34" s="33"/>
      <c r="AE34" s="33"/>
      <c r="AF34" s="33"/>
      <c r="AG34" s="33"/>
      <c r="AH34" s="33"/>
      <c r="AI34" s="33"/>
      <c r="AJ34" s="33"/>
      <c r="AK34" s="33"/>
      <c r="AL34" s="33"/>
    </row>
    <row r="35" ht="22.5" customHeight="1">
      <c r="A35" s="169">
        <v>1992.0</v>
      </c>
      <c r="B35" s="169">
        <v>28.0</v>
      </c>
      <c r="C35" s="169">
        <v>3002.3</v>
      </c>
      <c r="D35" s="169">
        <v>18.4</v>
      </c>
      <c r="E35" s="169">
        <v>187.6</v>
      </c>
      <c r="F35" s="169">
        <v>1.2</v>
      </c>
      <c r="G35" s="169">
        <v>275.2</v>
      </c>
      <c r="H35" s="169">
        <v>478.9</v>
      </c>
      <c r="I35" s="169">
        <v>57.5</v>
      </c>
      <c r="J35" s="169">
        <v>3002.3</v>
      </c>
      <c r="K35" s="169">
        <v>18.4</v>
      </c>
      <c r="L35" s="169">
        <v>3.8</v>
      </c>
      <c r="M35" s="169">
        <v>18.5</v>
      </c>
      <c r="N35" s="169">
        <v>3.9</v>
      </c>
      <c r="O35" s="169">
        <v>6.9</v>
      </c>
      <c r="P35" s="169">
        <v>5.9</v>
      </c>
      <c r="Q35" s="169">
        <v>11.9</v>
      </c>
      <c r="R35" s="169">
        <v>187.6</v>
      </c>
      <c r="S35" s="169">
        <v>75.3</v>
      </c>
      <c r="T35" s="169">
        <v>40.7</v>
      </c>
      <c r="U35" s="169">
        <v>283.8</v>
      </c>
      <c r="V35" s="169">
        <v>7.8</v>
      </c>
      <c r="W35" s="169">
        <v>5.78</v>
      </c>
      <c r="X35" s="169">
        <v>4.9</v>
      </c>
      <c r="Y35" s="33"/>
      <c r="Z35" s="33"/>
      <c r="AA35" s="33"/>
      <c r="AB35" s="33"/>
      <c r="AC35" s="33"/>
      <c r="AD35" s="33"/>
      <c r="AE35" s="33"/>
      <c r="AF35" s="33"/>
      <c r="AG35" s="33"/>
      <c r="AH35" s="33"/>
      <c r="AI35" s="33"/>
      <c r="AJ35" s="33"/>
      <c r="AK35" s="33"/>
      <c r="AL35" s="33"/>
    </row>
    <row r="36" ht="22.5" customHeight="1">
      <c r="A36" s="169">
        <v>1991.0</v>
      </c>
      <c r="B36" s="169">
        <v>28.0</v>
      </c>
      <c r="C36" s="169">
        <v>3185.8</v>
      </c>
      <c r="D36" s="169">
        <v>18.3</v>
      </c>
      <c r="E36" s="169">
        <v>199.1</v>
      </c>
      <c r="F36" s="169">
        <v>1.1</v>
      </c>
      <c r="G36" s="169">
        <v>285.8</v>
      </c>
      <c r="H36" s="169">
        <v>498.2</v>
      </c>
      <c r="I36" s="169">
        <v>57.4</v>
      </c>
      <c r="J36" s="169">
        <v>3185.8</v>
      </c>
      <c r="K36" s="169">
        <v>18.3</v>
      </c>
      <c r="L36" s="169">
        <v>3.7</v>
      </c>
      <c r="M36" s="169">
        <v>17.4</v>
      </c>
      <c r="N36" s="169">
        <v>3.5</v>
      </c>
      <c r="O36" s="169">
        <v>6.9</v>
      </c>
      <c r="P36" s="169">
        <v>6.0</v>
      </c>
      <c r="Q36" s="169">
        <v>12.0</v>
      </c>
      <c r="R36" s="169">
        <v>199.1</v>
      </c>
      <c r="S36" s="169">
        <v>76.2</v>
      </c>
      <c r="T36" s="169">
        <v>35.4</v>
      </c>
      <c r="U36" s="169">
        <v>246.3</v>
      </c>
      <c r="V36" s="169">
        <v>6.6</v>
      </c>
      <c r="W36" s="169">
        <v>5.97</v>
      </c>
      <c r="X36" s="169">
        <v>5.2</v>
      </c>
      <c r="Y36" s="33"/>
      <c r="Z36" s="33"/>
      <c r="AA36" s="33"/>
      <c r="AB36" s="33"/>
      <c r="AC36" s="33"/>
      <c r="AD36" s="33"/>
      <c r="AE36" s="33"/>
      <c r="AF36" s="33"/>
      <c r="AG36" s="33"/>
      <c r="AH36" s="33"/>
      <c r="AI36" s="33"/>
      <c r="AJ36" s="33"/>
      <c r="AK36" s="33"/>
      <c r="AL36" s="33"/>
    </row>
    <row r="37" ht="22.5" customHeight="1">
      <c r="A37" s="169">
        <v>1990.0</v>
      </c>
      <c r="B37" s="169">
        <v>28.0</v>
      </c>
      <c r="C37" s="169">
        <v>3116.0</v>
      </c>
      <c r="D37" s="169">
        <v>20.5</v>
      </c>
      <c r="E37" s="169">
        <v>194.8</v>
      </c>
      <c r="F37" s="169">
        <v>1.3</v>
      </c>
      <c r="G37" s="169">
        <v>270.4</v>
      </c>
      <c r="H37" s="169">
        <v>482.7</v>
      </c>
      <c r="I37" s="169">
        <v>56.0</v>
      </c>
      <c r="J37" s="169">
        <v>3116.0</v>
      </c>
      <c r="K37" s="169">
        <v>20.5</v>
      </c>
      <c r="L37" s="169">
        <v>4.3</v>
      </c>
      <c r="M37" s="169">
        <v>17.1</v>
      </c>
      <c r="N37" s="169">
        <v>3.6</v>
      </c>
      <c r="O37" s="169">
        <v>7.0</v>
      </c>
      <c r="P37" s="169">
        <v>6.3</v>
      </c>
      <c r="Q37" s="169">
        <v>12.5</v>
      </c>
      <c r="R37" s="169">
        <v>194.8</v>
      </c>
      <c r="S37" s="169">
        <v>77.3</v>
      </c>
      <c r="T37" s="169">
        <v>38.1</v>
      </c>
      <c r="U37" s="169">
        <v>266.1</v>
      </c>
      <c r="V37" s="169">
        <v>7.3</v>
      </c>
      <c r="W37" s="169">
        <v>5.98</v>
      </c>
      <c r="X37" s="169">
        <v>5.3</v>
      </c>
      <c r="Y37" s="33"/>
      <c r="Z37" s="33"/>
      <c r="AA37" s="33"/>
      <c r="AB37" s="33"/>
      <c r="AC37" s="33"/>
      <c r="AD37" s="33"/>
      <c r="AE37" s="33"/>
      <c r="AF37" s="33"/>
      <c r="AG37" s="33"/>
      <c r="AH37" s="33"/>
      <c r="AI37" s="33"/>
      <c r="AJ37" s="33"/>
      <c r="AK37" s="33"/>
      <c r="AL37" s="33"/>
    </row>
    <row r="38" ht="22.5" customHeight="1">
      <c r="A38" s="169">
        <v>1989.0</v>
      </c>
      <c r="B38" s="169">
        <v>28.0</v>
      </c>
      <c r="C38" s="169">
        <v>3374.1</v>
      </c>
      <c r="D38" s="169">
        <v>20.8</v>
      </c>
      <c r="E38" s="169">
        <v>210.9</v>
      </c>
      <c r="F38" s="169">
        <v>1.3</v>
      </c>
      <c r="G38" s="169">
        <v>285.7</v>
      </c>
      <c r="H38" s="169">
        <v>512.1</v>
      </c>
      <c r="I38" s="169">
        <v>55.8</v>
      </c>
      <c r="J38" s="169">
        <v>3374.1</v>
      </c>
      <c r="K38" s="169">
        <v>20.8</v>
      </c>
      <c r="L38" s="169">
        <v>4.1</v>
      </c>
      <c r="M38" s="169">
        <v>20.0</v>
      </c>
      <c r="N38" s="169">
        <v>3.9</v>
      </c>
      <c r="O38" s="169">
        <v>7.1</v>
      </c>
      <c r="P38" s="169">
        <v>6.2</v>
      </c>
      <c r="Q38" s="169">
        <v>12.8</v>
      </c>
      <c r="R38" s="169">
        <v>210.9</v>
      </c>
      <c r="S38" s="169">
        <v>75.6</v>
      </c>
      <c r="T38" s="169">
        <v>39.5</v>
      </c>
      <c r="U38" s="169">
        <v>285.1</v>
      </c>
      <c r="V38" s="169">
        <v>7.2</v>
      </c>
      <c r="W38" s="169">
        <v>6.12</v>
      </c>
      <c r="X38" s="169">
        <v>5.2</v>
      </c>
      <c r="Y38" s="33"/>
      <c r="Z38" s="33"/>
      <c r="AA38" s="33"/>
      <c r="AB38" s="33"/>
      <c r="AC38" s="33"/>
      <c r="AD38" s="33"/>
      <c r="AE38" s="33"/>
      <c r="AF38" s="33"/>
      <c r="AG38" s="33"/>
      <c r="AH38" s="33"/>
      <c r="AI38" s="33"/>
      <c r="AJ38" s="33"/>
      <c r="AK38" s="33"/>
      <c r="AL38" s="33"/>
    </row>
    <row r="39" ht="22.5" customHeight="1">
      <c r="A39" s="169">
        <v>1988.0</v>
      </c>
      <c r="B39" s="169">
        <v>28.0</v>
      </c>
      <c r="C39" s="169">
        <v>3210.5</v>
      </c>
      <c r="D39" s="169">
        <v>19.9</v>
      </c>
      <c r="E39" s="169">
        <v>200.7</v>
      </c>
      <c r="F39" s="169">
        <v>1.2</v>
      </c>
      <c r="G39" s="169">
        <v>273.9</v>
      </c>
      <c r="H39" s="169">
        <v>504.7</v>
      </c>
      <c r="I39" s="169">
        <v>54.3</v>
      </c>
      <c r="J39" s="169">
        <v>3210.5</v>
      </c>
      <c r="K39" s="169">
        <v>19.9</v>
      </c>
      <c r="L39" s="169">
        <v>3.9</v>
      </c>
      <c r="M39" s="169">
        <v>19.8</v>
      </c>
      <c r="N39" s="169">
        <v>3.9</v>
      </c>
      <c r="O39" s="169">
        <v>6.9</v>
      </c>
      <c r="P39" s="169">
        <v>5.9</v>
      </c>
      <c r="Q39" s="169">
        <v>12.7</v>
      </c>
      <c r="R39" s="169">
        <v>200.7</v>
      </c>
      <c r="S39" s="169">
        <v>72.9</v>
      </c>
      <c r="T39" s="169">
        <v>37.0</v>
      </c>
      <c r="U39" s="169">
        <v>276.4</v>
      </c>
      <c r="V39" s="169">
        <v>6.8</v>
      </c>
      <c r="W39" s="169">
        <v>5.93</v>
      </c>
      <c r="X39" s="169">
        <v>5.0</v>
      </c>
      <c r="Y39" s="33"/>
      <c r="Z39" s="33"/>
      <c r="AA39" s="33"/>
      <c r="AB39" s="33"/>
      <c r="AC39" s="33"/>
      <c r="AD39" s="33"/>
      <c r="AE39" s="33"/>
      <c r="AF39" s="33"/>
      <c r="AG39" s="33"/>
      <c r="AH39" s="33"/>
      <c r="AI39" s="33"/>
      <c r="AJ39" s="33"/>
      <c r="AK39" s="33"/>
      <c r="AL39" s="33"/>
    </row>
    <row r="40" ht="22.5" customHeight="1">
      <c r="A40" s="169">
        <v>1987.0</v>
      </c>
      <c r="B40" s="169">
        <v>28.0</v>
      </c>
      <c r="C40" s="169">
        <v>3058.8</v>
      </c>
      <c r="D40" s="169">
        <v>21.8</v>
      </c>
      <c r="E40" s="169">
        <v>203.9</v>
      </c>
      <c r="F40" s="169">
        <v>1.5</v>
      </c>
      <c r="G40" s="169">
        <v>264.1</v>
      </c>
      <c r="H40" s="169">
        <v>481.8</v>
      </c>
      <c r="I40" s="169">
        <v>54.8</v>
      </c>
      <c r="J40" s="169">
        <v>3058.8</v>
      </c>
      <c r="K40" s="169">
        <v>21.8</v>
      </c>
      <c r="L40" s="169">
        <v>4.5</v>
      </c>
      <c r="M40" s="169">
        <v>19.3</v>
      </c>
      <c r="N40" s="169">
        <v>4.0</v>
      </c>
      <c r="O40" s="169">
        <v>7.0</v>
      </c>
      <c r="P40" s="169">
        <v>6.1</v>
      </c>
      <c r="Q40" s="169">
        <v>12.7</v>
      </c>
      <c r="R40" s="169">
        <v>203.9</v>
      </c>
      <c r="S40" s="169">
        <v>75.2</v>
      </c>
      <c r="T40" s="169">
        <v>39.5</v>
      </c>
      <c r="U40" s="169">
        <v>294.1</v>
      </c>
      <c r="V40" s="169">
        <v>7.6</v>
      </c>
      <c r="W40" s="169">
        <v>5.87</v>
      </c>
      <c r="X40" s="169">
        <v>5.0</v>
      </c>
      <c r="Y40" s="33"/>
      <c r="Z40" s="33"/>
      <c r="AA40" s="33"/>
      <c r="AB40" s="33"/>
      <c r="AC40" s="33"/>
      <c r="AD40" s="33"/>
      <c r="AE40" s="33"/>
      <c r="AF40" s="33"/>
      <c r="AG40" s="33"/>
      <c r="AH40" s="33"/>
      <c r="AI40" s="33"/>
      <c r="AJ40" s="33"/>
      <c r="AK40" s="33"/>
      <c r="AL40" s="33"/>
    </row>
    <row r="41" ht="22.5" customHeight="1">
      <c r="A41" s="169">
        <v>1986.0</v>
      </c>
      <c r="B41" s="169">
        <v>28.0</v>
      </c>
      <c r="C41" s="169">
        <v>3288.6</v>
      </c>
      <c r="D41" s="169">
        <v>20.9</v>
      </c>
      <c r="E41" s="169">
        <v>205.5</v>
      </c>
      <c r="F41" s="169">
        <v>1.3</v>
      </c>
      <c r="G41" s="169">
        <v>286.2</v>
      </c>
      <c r="H41" s="169">
        <v>516.8</v>
      </c>
      <c r="I41" s="169">
        <v>55.4</v>
      </c>
      <c r="J41" s="169">
        <v>3288.6</v>
      </c>
      <c r="K41" s="169">
        <v>20.9</v>
      </c>
      <c r="L41" s="169">
        <v>4.1</v>
      </c>
      <c r="M41" s="169">
        <v>20.8</v>
      </c>
      <c r="N41" s="169">
        <v>4.0</v>
      </c>
      <c r="O41" s="169">
        <v>7.0</v>
      </c>
      <c r="P41" s="169">
        <v>6.0</v>
      </c>
      <c r="Q41" s="169">
        <v>12.6</v>
      </c>
      <c r="R41" s="169">
        <v>205.5</v>
      </c>
      <c r="S41" s="169">
        <v>74.1</v>
      </c>
      <c r="T41" s="169">
        <v>42.8</v>
      </c>
      <c r="U41" s="169">
        <v>323.1</v>
      </c>
      <c r="V41" s="169">
        <v>7.6</v>
      </c>
      <c r="W41" s="169">
        <v>5.88</v>
      </c>
      <c r="X41" s="169">
        <v>5.0</v>
      </c>
      <c r="Y41" s="33"/>
      <c r="Z41" s="33"/>
      <c r="AA41" s="33"/>
      <c r="AB41" s="33"/>
      <c r="AC41" s="33"/>
      <c r="AD41" s="33"/>
      <c r="AE41" s="33"/>
      <c r="AF41" s="33"/>
      <c r="AG41" s="33"/>
      <c r="AH41" s="33"/>
      <c r="AI41" s="33"/>
      <c r="AJ41" s="33"/>
      <c r="AK41" s="33"/>
      <c r="AL41" s="33"/>
    </row>
    <row r="42" ht="22.5" customHeight="1">
      <c r="A42" s="169">
        <v>1985.0</v>
      </c>
      <c r="B42" s="169">
        <v>28.0</v>
      </c>
      <c r="C42" s="169">
        <v>3272.2</v>
      </c>
      <c r="D42" s="169">
        <v>21.4</v>
      </c>
      <c r="E42" s="169">
        <v>204.5</v>
      </c>
      <c r="F42" s="169">
        <v>1.3</v>
      </c>
      <c r="G42" s="169">
        <v>282.5</v>
      </c>
      <c r="H42" s="169">
        <v>515.1</v>
      </c>
      <c r="I42" s="169">
        <v>54.8</v>
      </c>
      <c r="J42" s="169">
        <v>3272.2</v>
      </c>
      <c r="K42" s="169">
        <v>21.4</v>
      </c>
      <c r="L42" s="169">
        <v>4.1</v>
      </c>
      <c r="M42" s="169">
        <v>21.5</v>
      </c>
      <c r="N42" s="169">
        <v>4.2</v>
      </c>
      <c r="O42" s="169">
        <v>7.0</v>
      </c>
      <c r="P42" s="169">
        <v>6.0</v>
      </c>
      <c r="Q42" s="169">
        <v>12.8</v>
      </c>
      <c r="R42" s="169">
        <v>204.5</v>
      </c>
      <c r="S42" s="169">
        <v>73.5</v>
      </c>
      <c r="T42" s="169">
        <v>46.6</v>
      </c>
      <c r="U42" s="169">
        <v>353.4</v>
      </c>
      <c r="V42" s="169">
        <v>8.3</v>
      </c>
      <c r="W42" s="169">
        <v>5.83</v>
      </c>
      <c r="X42" s="169">
        <v>4.9</v>
      </c>
      <c r="Y42" s="33"/>
      <c r="Z42" s="33"/>
      <c r="AA42" s="33"/>
      <c r="AB42" s="33"/>
      <c r="AC42" s="33"/>
      <c r="AD42" s="33"/>
      <c r="AE42" s="33"/>
      <c r="AF42" s="33"/>
      <c r="AG42" s="33"/>
      <c r="AH42" s="33"/>
      <c r="AI42" s="33"/>
      <c r="AJ42" s="33"/>
      <c r="AK42" s="33"/>
      <c r="AL42" s="33"/>
    </row>
    <row r="43" ht="22.5" customHeight="1">
      <c r="A43" s="169">
        <v>1984.0</v>
      </c>
      <c r="B43" s="169">
        <v>28.0</v>
      </c>
      <c r="C43" s="169">
        <v>3294.2</v>
      </c>
      <c r="D43" s="169">
        <v>22.0</v>
      </c>
      <c r="E43" s="169">
        <v>205.9</v>
      </c>
      <c r="F43" s="169">
        <v>1.4</v>
      </c>
      <c r="G43" s="169">
        <v>288.4</v>
      </c>
      <c r="H43" s="169">
        <v>511.6</v>
      </c>
      <c r="I43" s="169">
        <v>56.4</v>
      </c>
      <c r="J43" s="169">
        <v>3294.2</v>
      </c>
      <c r="K43" s="169">
        <v>22.0</v>
      </c>
      <c r="L43" s="169">
        <v>4.3</v>
      </c>
      <c r="M43" s="169">
        <v>20.9</v>
      </c>
      <c r="N43" s="169">
        <v>4.1</v>
      </c>
      <c r="O43" s="169">
        <v>7.1</v>
      </c>
      <c r="P43" s="169">
        <v>6.2</v>
      </c>
      <c r="Q43" s="169">
        <v>12.7</v>
      </c>
      <c r="R43" s="169">
        <v>205.9</v>
      </c>
      <c r="S43" s="169">
        <v>76.1</v>
      </c>
      <c r="T43" s="169">
        <v>46.9</v>
      </c>
      <c r="U43" s="169">
        <v>357.0</v>
      </c>
      <c r="V43" s="169">
        <v>8.4</v>
      </c>
      <c r="W43" s="169">
        <v>5.9</v>
      </c>
      <c r="X43" s="169">
        <v>5.0</v>
      </c>
      <c r="Y43" s="33"/>
      <c r="Z43" s="33"/>
      <c r="AA43" s="33"/>
      <c r="AB43" s="33"/>
      <c r="AC43" s="33"/>
      <c r="AD43" s="33"/>
      <c r="AE43" s="33"/>
      <c r="AF43" s="33"/>
      <c r="AG43" s="33"/>
      <c r="AH43" s="33"/>
      <c r="AI43" s="33"/>
      <c r="AJ43" s="33"/>
      <c r="AK43" s="33"/>
      <c r="AL43" s="33"/>
    </row>
    <row r="44" ht="22.5" customHeight="1">
      <c r="A44" s="169">
        <v>1983.0</v>
      </c>
      <c r="B44" s="169">
        <v>28.0</v>
      </c>
      <c r="C44" s="169">
        <v>3274.0</v>
      </c>
      <c r="D44" s="169">
        <v>22.3</v>
      </c>
      <c r="E44" s="169">
        <v>204.6</v>
      </c>
      <c r="F44" s="169">
        <v>1.4</v>
      </c>
      <c r="G44" s="169">
        <v>285.5</v>
      </c>
      <c r="H44" s="169">
        <v>501.7</v>
      </c>
      <c r="I44" s="169">
        <v>56.9</v>
      </c>
      <c r="J44" s="169">
        <v>3274.0</v>
      </c>
      <c r="K44" s="169">
        <v>22.3</v>
      </c>
      <c r="L44" s="169">
        <v>4.4</v>
      </c>
      <c r="M44" s="169">
        <v>22.1</v>
      </c>
      <c r="N44" s="169">
        <v>4.4</v>
      </c>
      <c r="O44" s="169">
        <v>7.2</v>
      </c>
      <c r="P44" s="169">
        <v>6.1</v>
      </c>
      <c r="Q44" s="169">
        <v>12.6</v>
      </c>
      <c r="R44" s="169">
        <v>204.6</v>
      </c>
      <c r="S44" s="169">
        <v>75.9</v>
      </c>
      <c r="T44" s="169">
        <v>43.4</v>
      </c>
      <c r="U44" s="169">
        <v>330.3</v>
      </c>
      <c r="V44" s="169">
        <v>8.0</v>
      </c>
      <c r="W44" s="169">
        <v>6.01</v>
      </c>
      <c r="X44" s="169">
        <v>5.0</v>
      </c>
      <c r="Y44" s="33"/>
      <c r="Z44" s="33"/>
      <c r="AA44" s="33"/>
      <c r="AB44" s="33"/>
      <c r="AC44" s="33"/>
      <c r="AD44" s="33"/>
      <c r="AE44" s="33"/>
      <c r="AF44" s="33"/>
      <c r="AG44" s="33"/>
      <c r="AH44" s="33"/>
      <c r="AI44" s="33"/>
      <c r="AJ44" s="33"/>
      <c r="AK44" s="33"/>
      <c r="AL44" s="33"/>
    </row>
    <row r="45" ht="22.5" customHeight="1">
      <c r="A45" s="169">
        <v>1982.0</v>
      </c>
      <c r="B45" s="169">
        <v>28.0</v>
      </c>
      <c r="C45" s="169">
        <v>1794.9</v>
      </c>
      <c r="D45" s="169">
        <v>11.4</v>
      </c>
      <c r="E45" s="169">
        <v>199.4</v>
      </c>
      <c r="F45" s="169">
        <v>1.3</v>
      </c>
      <c r="G45" s="169">
        <v>159.8</v>
      </c>
      <c r="H45" s="169">
        <v>283.3</v>
      </c>
      <c r="I45" s="169">
        <v>56.4</v>
      </c>
      <c r="J45" s="169">
        <v>1794.9</v>
      </c>
      <c r="K45" s="169">
        <v>11.4</v>
      </c>
      <c r="L45" s="169">
        <v>4.0</v>
      </c>
      <c r="M45" s="169">
        <v>12.5</v>
      </c>
      <c r="N45" s="169">
        <v>4.4</v>
      </c>
      <c r="O45" s="169">
        <v>7.0</v>
      </c>
      <c r="P45" s="169">
        <v>5.8</v>
      </c>
      <c r="Q45" s="169">
        <v>12.4</v>
      </c>
      <c r="R45" s="169">
        <v>199.4</v>
      </c>
      <c r="S45" s="169">
        <v>73.4</v>
      </c>
      <c r="T45" s="169">
        <v>24.0</v>
      </c>
      <c r="U45" s="169">
        <v>192.9</v>
      </c>
      <c r="V45" s="169">
        <v>7.8</v>
      </c>
      <c r="W45" s="169">
        <v>5.84</v>
      </c>
      <c r="X45" s="169">
        <v>4.8</v>
      </c>
      <c r="Y45" s="33"/>
      <c r="Z45" s="33"/>
      <c r="AA45" s="33"/>
      <c r="AB45" s="33"/>
      <c r="AC45" s="33"/>
      <c r="AD45" s="33"/>
      <c r="AE45" s="33"/>
      <c r="AF45" s="33"/>
      <c r="AG45" s="33"/>
      <c r="AH45" s="33"/>
      <c r="AI45" s="33"/>
      <c r="AJ45" s="33"/>
      <c r="AK45" s="33"/>
      <c r="AL45" s="33"/>
    </row>
    <row r="46" ht="22.5" customHeight="1">
      <c r="A46" s="169">
        <v>1981.0</v>
      </c>
      <c r="B46" s="169">
        <v>28.0</v>
      </c>
      <c r="C46" s="169">
        <v>3269.8</v>
      </c>
      <c r="D46" s="169">
        <v>21.1</v>
      </c>
      <c r="E46" s="169">
        <v>204.4</v>
      </c>
      <c r="F46" s="169">
        <v>1.3</v>
      </c>
      <c r="G46" s="169">
        <v>276.6</v>
      </c>
      <c r="H46" s="169">
        <v>506.4</v>
      </c>
      <c r="I46" s="169">
        <v>54.6</v>
      </c>
      <c r="J46" s="169">
        <v>3269.8</v>
      </c>
      <c r="K46" s="169">
        <v>21.1</v>
      </c>
      <c r="L46" s="169">
        <v>4.2</v>
      </c>
      <c r="M46" s="169">
        <v>21.8</v>
      </c>
      <c r="N46" s="169">
        <v>4.3</v>
      </c>
      <c r="O46" s="169">
        <v>7.0</v>
      </c>
      <c r="P46" s="169">
        <v>5.9</v>
      </c>
      <c r="Q46" s="169">
        <v>12.9</v>
      </c>
      <c r="R46" s="169">
        <v>204.4</v>
      </c>
      <c r="S46" s="169">
        <v>72.9</v>
      </c>
      <c r="T46" s="169">
        <v>36.5</v>
      </c>
      <c r="U46" s="169">
        <v>291.7</v>
      </c>
      <c r="V46" s="169">
        <v>6.7</v>
      </c>
      <c r="W46" s="169">
        <v>6.02</v>
      </c>
      <c r="X46" s="169">
        <v>5.0</v>
      </c>
      <c r="Y46" s="33"/>
      <c r="Z46" s="33"/>
      <c r="AA46" s="33"/>
      <c r="AB46" s="33"/>
      <c r="AC46" s="33"/>
      <c r="AD46" s="33"/>
      <c r="AE46" s="33"/>
      <c r="AF46" s="33"/>
      <c r="AG46" s="33"/>
      <c r="AH46" s="33"/>
      <c r="AI46" s="33"/>
      <c r="AJ46" s="33"/>
      <c r="AK46" s="33"/>
      <c r="AL46" s="33"/>
    </row>
    <row r="47" ht="22.5" customHeight="1">
      <c r="A47" s="169">
        <v>1980.0</v>
      </c>
      <c r="B47" s="169">
        <v>28.0</v>
      </c>
      <c r="C47" s="169">
        <v>3135.3</v>
      </c>
      <c r="D47" s="169">
        <v>21.6</v>
      </c>
      <c r="E47" s="169">
        <v>196.0</v>
      </c>
      <c r="F47" s="169">
        <v>1.4</v>
      </c>
      <c r="G47" s="169">
        <v>275.0</v>
      </c>
      <c r="H47" s="169">
        <v>489.5</v>
      </c>
      <c r="I47" s="169">
        <v>56.2</v>
      </c>
      <c r="J47" s="169">
        <v>3135.3</v>
      </c>
      <c r="K47" s="169">
        <v>21.6</v>
      </c>
      <c r="L47" s="169">
        <v>4.4</v>
      </c>
      <c r="M47" s="169">
        <v>22.4</v>
      </c>
      <c r="N47" s="169">
        <v>4.6</v>
      </c>
      <c r="O47" s="169">
        <v>7.0</v>
      </c>
      <c r="P47" s="169">
        <v>5.8</v>
      </c>
      <c r="Q47" s="169">
        <v>12.5</v>
      </c>
      <c r="R47" s="169">
        <v>196.0</v>
      </c>
      <c r="S47" s="169">
        <v>73.7</v>
      </c>
      <c r="T47" s="169">
        <v>36.8</v>
      </c>
      <c r="U47" s="169">
        <v>291.0</v>
      </c>
      <c r="V47" s="169">
        <v>7.0</v>
      </c>
      <c r="W47" s="169">
        <v>5.96</v>
      </c>
      <c r="X47" s="169">
        <v>4.9</v>
      </c>
      <c r="Y47" s="33"/>
      <c r="Z47" s="33"/>
      <c r="AA47" s="33"/>
      <c r="AB47" s="33"/>
      <c r="AC47" s="33"/>
      <c r="AD47" s="33"/>
      <c r="AE47" s="33"/>
      <c r="AF47" s="33"/>
      <c r="AG47" s="33"/>
      <c r="AH47" s="33"/>
      <c r="AI47" s="33"/>
      <c r="AJ47" s="33"/>
      <c r="AK47" s="33"/>
      <c r="AL47" s="33"/>
    </row>
    <row r="48" ht="22.5" customHeight="1">
      <c r="A48" s="169">
        <v>1979.0</v>
      </c>
      <c r="B48" s="169">
        <v>28.0</v>
      </c>
      <c r="C48" s="169">
        <v>2886.0</v>
      </c>
      <c r="D48" s="169">
        <v>19.2</v>
      </c>
      <c r="E48" s="169">
        <v>180.4</v>
      </c>
      <c r="F48" s="169">
        <v>1.2</v>
      </c>
      <c r="G48" s="169">
        <v>250.8</v>
      </c>
      <c r="H48" s="169">
        <v>463.5</v>
      </c>
      <c r="I48" s="169">
        <v>54.1</v>
      </c>
      <c r="J48" s="169">
        <v>2886.0</v>
      </c>
      <c r="K48" s="169">
        <v>19.2</v>
      </c>
      <c r="L48" s="169">
        <v>4.1</v>
      </c>
      <c r="M48" s="169">
        <v>21.3</v>
      </c>
      <c r="N48" s="169">
        <v>4.6</v>
      </c>
      <c r="O48" s="169">
        <v>6.9</v>
      </c>
      <c r="P48" s="169">
        <v>5.6</v>
      </c>
      <c r="Q48" s="169">
        <v>12.7</v>
      </c>
      <c r="R48" s="169">
        <v>180.4</v>
      </c>
      <c r="S48" s="169">
        <v>70.4</v>
      </c>
      <c r="T48" s="169">
        <v>37.8</v>
      </c>
      <c r="U48" s="169">
        <v>298.6</v>
      </c>
      <c r="V48" s="169">
        <v>7.5</v>
      </c>
      <c r="W48" s="169">
        <v>5.76</v>
      </c>
      <c r="X48" s="169">
        <v>4.6</v>
      </c>
      <c r="Y48" s="33"/>
      <c r="Z48" s="33"/>
      <c r="AA48" s="33"/>
      <c r="AB48" s="33"/>
      <c r="AC48" s="33"/>
      <c r="AD48" s="33"/>
      <c r="AE48" s="33"/>
      <c r="AF48" s="33"/>
      <c r="AG48" s="33"/>
      <c r="AH48" s="33"/>
      <c r="AI48" s="33"/>
      <c r="AJ48" s="33"/>
      <c r="AK48" s="33"/>
      <c r="AL48" s="33"/>
    </row>
    <row r="49" ht="22.5" customHeight="1">
      <c r="A49" s="169">
        <v>1978.0</v>
      </c>
      <c r="B49" s="169">
        <v>28.0</v>
      </c>
      <c r="C49" s="169">
        <v>2541.4</v>
      </c>
      <c r="D49" s="169">
        <v>16.7</v>
      </c>
      <c r="E49" s="169">
        <v>158.8</v>
      </c>
      <c r="F49" s="169">
        <v>1.0</v>
      </c>
      <c r="G49" s="169">
        <v>224.2</v>
      </c>
      <c r="H49" s="169">
        <v>422.5</v>
      </c>
      <c r="I49" s="169">
        <v>53.1</v>
      </c>
      <c r="J49" s="169">
        <v>2541.4</v>
      </c>
      <c r="K49" s="169">
        <v>16.7</v>
      </c>
      <c r="L49" s="169">
        <v>4.0</v>
      </c>
      <c r="M49" s="169">
        <v>22.8</v>
      </c>
      <c r="N49" s="169">
        <v>5.4</v>
      </c>
      <c r="O49" s="169">
        <v>6.7</v>
      </c>
      <c r="P49" s="169">
        <v>5.1</v>
      </c>
      <c r="Q49" s="169">
        <v>12.7</v>
      </c>
      <c r="R49" s="169">
        <v>158.8</v>
      </c>
      <c r="S49" s="169">
        <v>65.0</v>
      </c>
      <c r="T49" s="169">
        <v>36.5</v>
      </c>
      <c r="U49" s="169">
        <v>300.0</v>
      </c>
      <c r="V49" s="169">
        <v>7.9</v>
      </c>
      <c r="W49" s="169">
        <v>5.54</v>
      </c>
      <c r="X49" s="169">
        <v>4.0</v>
      </c>
      <c r="Y49" s="33"/>
      <c r="Z49" s="33"/>
      <c r="AA49" s="33"/>
      <c r="AB49" s="33"/>
      <c r="AC49" s="33"/>
      <c r="AD49" s="33"/>
      <c r="AE49" s="33"/>
      <c r="AF49" s="33"/>
      <c r="AG49" s="33"/>
      <c r="AH49" s="33"/>
      <c r="AI49" s="33"/>
      <c r="AJ49" s="33"/>
      <c r="AK49" s="33"/>
      <c r="AL49" s="33"/>
    </row>
    <row r="50" ht="22.5" customHeight="1">
      <c r="A50" s="169">
        <v>1977.0</v>
      </c>
      <c r="B50" s="169">
        <v>28.0</v>
      </c>
      <c r="C50" s="169">
        <v>1986.4</v>
      </c>
      <c r="D50" s="169">
        <v>13.9</v>
      </c>
      <c r="E50" s="169">
        <v>141.9</v>
      </c>
      <c r="F50" s="169">
        <v>1.0</v>
      </c>
      <c r="G50" s="169">
        <v>179.4</v>
      </c>
      <c r="H50" s="169">
        <v>349.5</v>
      </c>
      <c r="I50" s="169">
        <v>51.3</v>
      </c>
      <c r="J50" s="169">
        <v>1986.4</v>
      </c>
      <c r="K50" s="169">
        <v>13.9</v>
      </c>
      <c r="L50" s="169">
        <v>4.0</v>
      </c>
      <c r="M50" s="169">
        <v>20.1</v>
      </c>
      <c r="N50" s="169">
        <v>5.7</v>
      </c>
      <c r="O50" s="169">
        <v>6.5</v>
      </c>
      <c r="P50" s="169">
        <v>4.7</v>
      </c>
      <c r="Q50" s="169">
        <v>12.7</v>
      </c>
      <c r="R50" s="169">
        <v>141.9</v>
      </c>
      <c r="S50" s="169">
        <v>61.2</v>
      </c>
      <c r="T50" s="169">
        <v>34.1</v>
      </c>
      <c r="U50" s="169">
        <v>284.8</v>
      </c>
      <c r="V50" s="169">
        <v>8.9</v>
      </c>
      <c r="W50" s="169">
        <v>5.18</v>
      </c>
      <c r="X50" s="169">
        <v>3.5</v>
      </c>
      <c r="Y50" s="33"/>
      <c r="Z50" s="33"/>
      <c r="AA50" s="33"/>
      <c r="AB50" s="33"/>
      <c r="AC50" s="33"/>
      <c r="AD50" s="33"/>
      <c r="AE50" s="33"/>
      <c r="AF50" s="33"/>
      <c r="AG50" s="33"/>
      <c r="AH50" s="33"/>
      <c r="AI50" s="33"/>
      <c r="AJ50" s="33"/>
      <c r="AK50" s="33"/>
      <c r="AL50" s="33"/>
    </row>
    <row r="51" ht="22.5" customHeight="1">
      <c r="A51" s="169">
        <v>1976.0</v>
      </c>
      <c r="B51" s="169">
        <v>28.0</v>
      </c>
      <c r="C51" s="169">
        <v>2128.4</v>
      </c>
      <c r="D51" s="169">
        <v>15.4</v>
      </c>
      <c r="E51" s="169">
        <v>152.0</v>
      </c>
      <c r="F51" s="169">
        <v>1.1</v>
      </c>
      <c r="G51" s="169">
        <v>191.1</v>
      </c>
      <c r="H51" s="169">
        <v>366.4</v>
      </c>
      <c r="I51" s="169">
        <v>52.2</v>
      </c>
      <c r="J51" s="169">
        <v>2128.4</v>
      </c>
      <c r="K51" s="169">
        <v>15.4</v>
      </c>
      <c r="L51" s="169">
        <v>4.2</v>
      </c>
      <c r="M51" s="169">
        <v>17.8</v>
      </c>
      <c r="N51" s="169">
        <v>4.8</v>
      </c>
      <c r="O51" s="169">
        <v>6.6</v>
      </c>
      <c r="P51" s="169">
        <v>5.3</v>
      </c>
      <c r="Q51" s="169">
        <v>12.7</v>
      </c>
      <c r="R51" s="169">
        <v>152.0</v>
      </c>
      <c r="S51" s="169">
        <v>67.0</v>
      </c>
      <c r="T51" s="169">
        <v>36.6</v>
      </c>
      <c r="U51" s="169">
        <v>299.8</v>
      </c>
      <c r="V51" s="169">
        <v>9.1</v>
      </c>
      <c r="W51" s="169">
        <v>5.28</v>
      </c>
      <c r="X51" s="169">
        <v>4.1</v>
      </c>
      <c r="Y51" s="33"/>
      <c r="Z51" s="33"/>
      <c r="AA51" s="33"/>
      <c r="AB51" s="33"/>
      <c r="AC51" s="33"/>
      <c r="AD51" s="33"/>
      <c r="AE51" s="33"/>
      <c r="AF51" s="33"/>
      <c r="AG51" s="33"/>
      <c r="AH51" s="33"/>
      <c r="AI51" s="33"/>
      <c r="AJ51" s="33"/>
      <c r="AK51" s="33"/>
      <c r="AL51" s="33"/>
    </row>
    <row r="52" ht="22.5" customHeight="1">
      <c r="A52" s="169">
        <v>1975.0</v>
      </c>
      <c r="B52" s="169">
        <v>26.0</v>
      </c>
      <c r="C52" s="169">
        <v>2279.1</v>
      </c>
      <c r="D52" s="169">
        <v>16.7</v>
      </c>
      <c r="E52" s="169">
        <v>162.8</v>
      </c>
      <c r="F52" s="169">
        <v>1.2</v>
      </c>
      <c r="G52" s="169">
        <v>201.2</v>
      </c>
      <c r="H52" s="169">
        <v>383.6</v>
      </c>
      <c r="I52" s="169">
        <v>52.5</v>
      </c>
      <c r="J52" s="169">
        <v>2279.1</v>
      </c>
      <c r="K52" s="169">
        <v>16.7</v>
      </c>
      <c r="L52" s="169">
        <v>4.3</v>
      </c>
      <c r="M52" s="169">
        <v>20.5</v>
      </c>
      <c r="N52" s="169">
        <v>5.3</v>
      </c>
      <c r="O52" s="169">
        <v>6.7</v>
      </c>
      <c r="P52" s="169">
        <v>5.1</v>
      </c>
      <c r="Q52" s="169">
        <v>12.7</v>
      </c>
      <c r="R52" s="169">
        <v>162.8</v>
      </c>
      <c r="S52" s="169">
        <v>65.8</v>
      </c>
      <c r="T52" s="169">
        <v>34.9</v>
      </c>
      <c r="U52" s="169">
        <v>282.3</v>
      </c>
      <c r="V52" s="169">
        <v>8.3</v>
      </c>
      <c r="W52" s="169">
        <v>5.45</v>
      </c>
      <c r="X52" s="169">
        <v>4.0</v>
      </c>
      <c r="Y52" s="33"/>
      <c r="Z52" s="33"/>
      <c r="AA52" s="33"/>
      <c r="AB52" s="33"/>
      <c r="AC52" s="33"/>
      <c r="AD52" s="33"/>
      <c r="AE52" s="33"/>
      <c r="AF52" s="33"/>
      <c r="AG52" s="33"/>
      <c r="AH52" s="33"/>
      <c r="AI52" s="33"/>
      <c r="AJ52" s="33"/>
      <c r="AK52" s="33"/>
      <c r="AL52" s="33"/>
    </row>
    <row r="53" ht="22.5" customHeight="1">
      <c r="A53" s="169">
        <v>1974.0</v>
      </c>
      <c r="B53" s="169">
        <v>26.0</v>
      </c>
      <c r="C53" s="169">
        <v>2145.4</v>
      </c>
      <c r="D53" s="169">
        <v>14.5</v>
      </c>
      <c r="E53" s="169">
        <v>153.2</v>
      </c>
      <c r="F53" s="169">
        <v>1.0</v>
      </c>
      <c r="G53" s="169">
        <v>193.9</v>
      </c>
      <c r="H53" s="169">
        <v>369.6</v>
      </c>
      <c r="I53" s="169">
        <v>52.5</v>
      </c>
      <c r="J53" s="169">
        <v>2145.4</v>
      </c>
      <c r="K53" s="169">
        <v>14.5</v>
      </c>
      <c r="L53" s="169">
        <v>3.9</v>
      </c>
      <c r="M53" s="169">
        <v>19.2</v>
      </c>
      <c r="N53" s="169">
        <v>5.2</v>
      </c>
      <c r="O53" s="169">
        <v>6.5</v>
      </c>
      <c r="P53" s="169">
        <v>4.9</v>
      </c>
      <c r="Q53" s="169">
        <v>12.4</v>
      </c>
      <c r="R53" s="169">
        <v>153.2</v>
      </c>
      <c r="S53" s="169">
        <v>64.2</v>
      </c>
      <c r="T53" s="169">
        <v>31.5</v>
      </c>
      <c r="U53" s="169">
        <v>254.2</v>
      </c>
      <c r="V53" s="169">
        <v>7.9</v>
      </c>
      <c r="W53" s="169">
        <v>5.35</v>
      </c>
      <c r="X53" s="169">
        <v>3.9</v>
      </c>
      <c r="Y53" s="33"/>
      <c r="Z53" s="33"/>
      <c r="AA53" s="33"/>
      <c r="AB53" s="33"/>
      <c r="AC53" s="33"/>
      <c r="AD53" s="33"/>
      <c r="AE53" s="33"/>
      <c r="AF53" s="33"/>
      <c r="AG53" s="33"/>
      <c r="AH53" s="33"/>
      <c r="AI53" s="33"/>
      <c r="AJ53" s="33"/>
      <c r="AK53" s="33"/>
      <c r="AL53" s="33"/>
    </row>
    <row r="54" ht="22.5" customHeight="1">
      <c r="A54" s="169">
        <v>1973.0</v>
      </c>
      <c r="B54" s="169">
        <v>26.0</v>
      </c>
      <c r="C54" s="169">
        <v>1973.0</v>
      </c>
      <c r="D54" s="169">
        <v>14.5</v>
      </c>
      <c r="E54" s="169">
        <v>140.9</v>
      </c>
      <c r="F54" s="169">
        <v>1.0</v>
      </c>
      <c r="G54" s="169">
        <v>177.0</v>
      </c>
      <c r="H54" s="169">
        <v>340.2</v>
      </c>
      <c r="I54" s="169">
        <v>52.0</v>
      </c>
      <c r="J54" s="169">
        <v>1973.0</v>
      </c>
      <c r="K54" s="169">
        <v>14.5</v>
      </c>
      <c r="L54" s="169">
        <v>4.3</v>
      </c>
      <c r="M54" s="169">
        <v>18.1</v>
      </c>
      <c r="N54" s="169">
        <v>5.3</v>
      </c>
      <c r="O54" s="169">
        <v>6.6</v>
      </c>
      <c r="P54" s="169">
        <v>5.0</v>
      </c>
      <c r="Q54" s="169">
        <v>12.6</v>
      </c>
      <c r="R54" s="169">
        <v>140.9</v>
      </c>
      <c r="S54" s="169">
        <v>64.9</v>
      </c>
      <c r="T54" s="169">
        <v>33.1</v>
      </c>
      <c r="U54" s="169">
        <v>258.1</v>
      </c>
      <c r="V54" s="169">
        <v>8.9</v>
      </c>
      <c r="W54" s="169">
        <v>5.29</v>
      </c>
      <c r="X54" s="169">
        <v>3.9</v>
      </c>
      <c r="Y54" s="33"/>
      <c r="Z54" s="33"/>
      <c r="AA54" s="33"/>
      <c r="AB54" s="33"/>
      <c r="AC54" s="33"/>
      <c r="AD54" s="33"/>
      <c r="AE54" s="33"/>
      <c r="AF54" s="33"/>
      <c r="AG54" s="33"/>
      <c r="AH54" s="33"/>
      <c r="AI54" s="33"/>
      <c r="AJ54" s="33"/>
      <c r="AK54" s="33"/>
      <c r="AL54" s="33"/>
    </row>
    <row r="55" ht="22.5" customHeight="1">
      <c r="A55" s="169">
        <v>1972.0</v>
      </c>
      <c r="B55" s="169">
        <v>26.0</v>
      </c>
      <c r="C55" s="169">
        <v>2129.0</v>
      </c>
      <c r="D55" s="169">
        <v>15.5</v>
      </c>
      <c r="E55" s="169">
        <v>152.1</v>
      </c>
      <c r="F55" s="169">
        <v>1.1</v>
      </c>
      <c r="G55" s="169">
        <v>179.2</v>
      </c>
      <c r="H55" s="169">
        <v>346.6</v>
      </c>
      <c r="I55" s="169">
        <v>51.7</v>
      </c>
      <c r="J55" s="169">
        <v>2129.0</v>
      </c>
      <c r="K55" s="169">
        <v>15.5</v>
      </c>
      <c r="L55" s="169">
        <v>4.5</v>
      </c>
      <c r="M55" s="169">
        <v>18.5</v>
      </c>
      <c r="N55" s="169">
        <v>5.3</v>
      </c>
      <c r="O55" s="169">
        <v>6.8</v>
      </c>
      <c r="P55" s="169">
        <v>5.3</v>
      </c>
      <c r="Q55" s="169">
        <v>13.2</v>
      </c>
      <c r="R55" s="169">
        <v>152.1</v>
      </c>
      <c r="S55" s="169">
        <v>66.3</v>
      </c>
      <c r="T55" s="169">
        <v>29.3</v>
      </c>
      <c r="U55" s="169">
        <v>233.5</v>
      </c>
      <c r="V55" s="169">
        <v>7.8</v>
      </c>
      <c r="W55" s="169">
        <v>5.66</v>
      </c>
      <c r="X55" s="169">
        <v>4.3</v>
      </c>
      <c r="Y55" s="33"/>
      <c r="Z55" s="33"/>
      <c r="AA55" s="33"/>
      <c r="AB55" s="33"/>
      <c r="AC55" s="33"/>
      <c r="AD55" s="33"/>
      <c r="AE55" s="33"/>
      <c r="AF55" s="33"/>
      <c r="AG55" s="33"/>
      <c r="AH55" s="33"/>
      <c r="AI55" s="33"/>
      <c r="AJ55" s="33"/>
      <c r="AK55" s="33"/>
      <c r="AL55" s="33"/>
    </row>
    <row r="56" ht="22.5" customHeight="1">
      <c r="A56" s="169">
        <v>1971.0</v>
      </c>
      <c r="B56" s="169">
        <v>26.0</v>
      </c>
      <c r="C56" s="169">
        <v>2180.1</v>
      </c>
      <c r="D56" s="169">
        <v>15.0</v>
      </c>
      <c r="E56" s="169">
        <v>155.7</v>
      </c>
      <c r="F56" s="169">
        <v>1.1</v>
      </c>
      <c r="G56" s="169">
        <v>184.2</v>
      </c>
      <c r="H56" s="169">
        <v>362.0</v>
      </c>
      <c r="I56" s="169">
        <v>50.9</v>
      </c>
      <c r="J56" s="169">
        <v>2180.1</v>
      </c>
      <c r="K56" s="169">
        <v>15.0</v>
      </c>
      <c r="L56" s="169">
        <v>4.1</v>
      </c>
      <c r="M56" s="169">
        <v>20.9</v>
      </c>
      <c r="N56" s="169">
        <v>5.8</v>
      </c>
      <c r="O56" s="169">
        <v>6.7</v>
      </c>
      <c r="P56" s="169">
        <v>4.9</v>
      </c>
      <c r="Q56" s="169">
        <v>13.2</v>
      </c>
      <c r="R56" s="169">
        <v>155.7</v>
      </c>
      <c r="S56" s="169">
        <v>62.2</v>
      </c>
      <c r="T56" s="169">
        <v>29.5</v>
      </c>
      <c r="U56" s="169">
        <v>252.7</v>
      </c>
      <c r="V56" s="169">
        <v>7.5</v>
      </c>
      <c r="W56" s="169">
        <v>5.57</v>
      </c>
      <c r="X56" s="169">
        <v>3.9</v>
      </c>
      <c r="Y56" s="33"/>
      <c r="Z56" s="33"/>
      <c r="AA56" s="33"/>
      <c r="AB56" s="33"/>
      <c r="AC56" s="33"/>
      <c r="AD56" s="33"/>
      <c r="AE56" s="33"/>
      <c r="AF56" s="33"/>
      <c r="AG56" s="33"/>
      <c r="AH56" s="33"/>
      <c r="AI56" s="33"/>
      <c r="AJ56" s="33"/>
      <c r="AK56" s="33"/>
      <c r="AL56" s="33"/>
    </row>
    <row r="57" ht="22.5" customHeight="1">
      <c r="A57" s="169">
        <v>1970.0</v>
      </c>
      <c r="B57" s="169">
        <v>26.0</v>
      </c>
      <c r="C57" s="169">
        <v>2259.4</v>
      </c>
      <c r="D57" s="169">
        <v>16.4</v>
      </c>
      <c r="E57" s="169">
        <v>161.4</v>
      </c>
      <c r="F57" s="169">
        <v>1.2</v>
      </c>
      <c r="G57" s="169">
        <v>192.6</v>
      </c>
      <c r="H57" s="169">
        <v>376.8</v>
      </c>
      <c r="I57" s="169">
        <v>51.1</v>
      </c>
      <c r="J57" s="169">
        <v>2259.4</v>
      </c>
      <c r="K57" s="169">
        <v>16.4</v>
      </c>
      <c r="L57" s="169">
        <v>4.4</v>
      </c>
      <c r="M57" s="169">
        <v>19.6</v>
      </c>
      <c r="N57" s="169">
        <v>5.2</v>
      </c>
      <c r="O57" s="169">
        <v>6.7</v>
      </c>
      <c r="P57" s="169">
        <v>5.3</v>
      </c>
      <c r="Q57" s="169">
        <v>13.2</v>
      </c>
      <c r="R57" s="169">
        <v>161.4</v>
      </c>
      <c r="S57" s="169">
        <v>65.6</v>
      </c>
      <c r="T57" s="169">
        <v>33.5</v>
      </c>
      <c r="U57" s="169">
        <v>275.3</v>
      </c>
      <c r="V57" s="169">
        <v>8.2</v>
      </c>
      <c r="W57" s="169">
        <v>5.51</v>
      </c>
      <c r="X57" s="169">
        <v>4.2</v>
      </c>
      <c r="Y57" s="33"/>
      <c r="Z57" s="33"/>
      <c r="AA57" s="33"/>
      <c r="AB57" s="33"/>
      <c r="AC57" s="33"/>
      <c r="AD57" s="33"/>
      <c r="AE57" s="33"/>
      <c r="AF57" s="33"/>
      <c r="AG57" s="33"/>
      <c r="AH57" s="33"/>
      <c r="AI57" s="33"/>
      <c r="AJ57" s="33"/>
      <c r="AK57" s="33"/>
      <c r="AL57" s="33"/>
    </row>
    <row r="58" ht="22.5" customHeight="1">
      <c r="A58" s="169">
        <v>1969.0</v>
      </c>
      <c r="B58" s="169">
        <v>16.0</v>
      </c>
      <c r="C58" s="169">
        <v>2484.7</v>
      </c>
      <c r="D58" s="169">
        <v>20.2</v>
      </c>
      <c r="E58" s="169">
        <v>177.5</v>
      </c>
      <c r="F58" s="169">
        <v>1.4</v>
      </c>
      <c r="G58" s="169">
        <v>208.8</v>
      </c>
      <c r="H58" s="169">
        <v>396.6</v>
      </c>
      <c r="I58" s="169">
        <v>52.6</v>
      </c>
      <c r="J58" s="169">
        <v>2484.7</v>
      </c>
      <c r="K58" s="169">
        <v>20.2</v>
      </c>
      <c r="L58" s="169">
        <v>5.1</v>
      </c>
      <c r="M58" s="169">
        <v>19.4</v>
      </c>
      <c r="N58" s="169">
        <v>4.9</v>
      </c>
      <c r="O58" s="169">
        <v>7.0</v>
      </c>
      <c r="P58" s="169">
        <v>5.8</v>
      </c>
      <c r="Q58" s="169">
        <v>13.3</v>
      </c>
      <c r="R58" s="169">
        <v>177.5</v>
      </c>
      <c r="S58" s="169">
        <v>71.6</v>
      </c>
      <c r="T58" s="169">
        <v>35.1</v>
      </c>
      <c r="U58" s="169">
        <v>285.6</v>
      </c>
      <c r="V58" s="169">
        <v>8.1</v>
      </c>
      <c r="W58" s="169">
        <v>5.76</v>
      </c>
      <c r="X58" s="169">
        <v>4.7</v>
      </c>
      <c r="Y58" s="33"/>
      <c r="Z58" s="33"/>
      <c r="AA58" s="33"/>
      <c r="AB58" s="33"/>
      <c r="AC58" s="33"/>
      <c r="AD58" s="33"/>
      <c r="AE58" s="33"/>
      <c r="AF58" s="33"/>
      <c r="AG58" s="33"/>
      <c r="AH58" s="33"/>
      <c r="AI58" s="33"/>
      <c r="AJ58" s="33"/>
      <c r="AK58" s="33"/>
      <c r="AL58" s="33"/>
    </row>
    <row r="59" ht="22.5" customHeight="1">
      <c r="A59" s="169">
        <v>1968.0</v>
      </c>
      <c r="B59" s="169">
        <v>16.0</v>
      </c>
      <c r="C59" s="169">
        <v>2359.4</v>
      </c>
      <c r="D59" s="169">
        <v>19.2</v>
      </c>
      <c r="E59" s="169">
        <v>168.5</v>
      </c>
      <c r="F59" s="169">
        <v>1.4</v>
      </c>
      <c r="G59" s="169">
        <v>193.3</v>
      </c>
      <c r="H59" s="169">
        <v>374.8</v>
      </c>
      <c r="I59" s="169">
        <v>51.6</v>
      </c>
      <c r="J59" s="169">
        <v>2359.4</v>
      </c>
      <c r="K59" s="169">
        <v>19.2</v>
      </c>
      <c r="L59" s="169">
        <v>5.1</v>
      </c>
      <c r="M59" s="169">
        <v>20.4</v>
      </c>
      <c r="N59" s="169">
        <v>5.5</v>
      </c>
      <c r="O59" s="169">
        <v>7.0</v>
      </c>
      <c r="P59" s="169">
        <v>5.6</v>
      </c>
      <c r="Q59" s="169">
        <v>13.6</v>
      </c>
      <c r="R59" s="169">
        <v>168.5</v>
      </c>
      <c r="S59" s="169">
        <v>68.7</v>
      </c>
      <c r="T59" s="169">
        <v>34.0</v>
      </c>
      <c r="U59" s="169">
        <v>271.5</v>
      </c>
      <c r="V59" s="169">
        <v>8.3</v>
      </c>
      <c r="W59" s="169">
        <v>5.77</v>
      </c>
      <c r="X59" s="169">
        <v>4.5</v>
      </c>
      <c r="Y59" s="33"/>
      <c r="Z59" s="33"/>
      <c r="AA59" s="33"/>
      <c r="AB59" s="33"/>
      <c r="AC59" s="33"/>
      <c r="AD59" s="33"/>
      <c r="AE59" s="33"/>
      <c r="AF59" s="33"/>
      <c r="AG59" s="33"/>
      <c r="AH59" s="33"/>
      <c r="AI59" s="33"/>
      <c r="AJ59" s="33"/>
      <c r="AK59" s="33"/>
      <c r="AL59" s="33"/>
    </row>
    <row r="60" ht="22.5" customHeight="1">
      <c r="A60" s="169">
        <v>1967.0</v>
      </c>
      <c r="B60" s="169">
        <v>16.0</v>
      </c>
      <c r="C60" s="169">
        <v>2513.7</v>
      </c>
      <c r="D60" s="169">
        <v>20.3</v>
      </c>
      <c r="E60" s="169">
        <v>179.5</v>
      </c>
      <c r="F60" s="169">
        <v>1.4</v>
      </c>
      <c r="G60" s="169">
        <v>205.8</v>
      </c>
      <c r="H60" s="169">
        <v>403.2</v>
      </c>
      <c r="I60" s="169">
        <v>51.0</v>
      </c>
      <c r="J60" s="169">
        <v>2513.7</v>
      </c>
      <c r="K60" s="169">
        <v>20.3</v>
      </c>
      <c r="L60" s="169">
        <v>5.0</v>
      </c>
      <c r="M60" s="169">
        <v>22.9</v>
      </c>
      <c r="N60" s="169">
        <v>5.7</v>
      </c>
      <c r="O60" s="169">
        <v>6.9</v>
      </c>
      <c r="P60" s="169">
        <v>5.4</v>
      </c>
      <c r="Q60" s="169">
        <v>13.6</v>
      </c>
      <c r="R60" s="169">
        <v>179.5</v>
      </c>
      <c r="S60" s="169">
        <v>66.6</v>
      </c>
      <c r="T60" s="169">
        <v>34.3</v>
      </c>
      <c r="U60" s="169">
        <v>286.4</v>
      </c>
      <c r="V60" s="169">
        <v>7.8</v>
      </c>
      <c r="W60" s="169">
        <v>5.75</v>
      </c>
      <c r="X60" s="169">
        <v>4.3</v>
      </c>
      <c r="Y60" s="33"/>
      <c r="Z60" s="33"/>
      <c r="AA60" s="33"/>
      <c r="AB60" s="33"/>
      <c r="AC60" s="33"/>
      <c r="AD60" s="33"/>
      <c r="AE60" s="33"/>
      <c r="AF60" s="33"/>
      <c r="AG60" s="33"/>
      <c r="AH60" s="33"/>
      <c r="AI60" s="33"/>
      <c r="AJ60" s="33"/>
      <c r="AK60" s="33"/>
      <c r="AL60" s="33"/>
    </row>
    <row r="61" ht="22.5" customHeight="1">
      <c r="A61" s="169">
        <v>1966.0</v>
      </c>
      <c r="B61" s="169">
        <v>15.0</v>
      </c>
      <c r="C61" s="169">
        <v>2495.7</v>
      </c>
      <c r="D61" s="169">
        <v>18.7</v>
      </c>
      <c r="E61" s="169">
        <v>178.3</v>
      </c>
      <c r="F61" s="169">
        <v>1.3</v>
      </c>
      <c r="G61" s="169">
        <v>209.9</v>
      </c>
      <c r="H61" s="169">
        <v>407.2</v>
      </c>
      <c r="I61" s="169">
        <v>51.6</v>
      </c>
      <c r="J61" s="169">
        <v>2495.7</v>
      </c>
      <c r="K61" s="169">
        <v>18.7</v>
      </c>
      <c r="L61" s="169">
        <v>4.6</v>
      </c>
      <c r="M61" s="169">
        <v>21.2</v>
      </c>
      <c r="N61" s="169">
        <v>5.2</v>
      </c>
      <c r="O61" s="169">
        <v>6.9</v>
      </c>
      <c r="P61" s="169">
        <v>5.5</v>
      </c>
      <c r="Q61" s="169">
        <v>13.4</v>
      </c>
      <c r="R61" s="169">
        <v>178.3</v>
      </c>
      <c r="S61" s="169">
        <v>67.4</v>
      </c>
      <c r="T61" s="169">
        <v>39.4</v>
      </c>
      <c r="U61" s="169">
        <v>319.3</v>
      </c>
      <c r="V61" s="169">
        <v>8.8</v>
      </c>
      <c r="W61" s="169">
        <v>5.59</v>
      </c>
      <c r="X61" s="169">
        <v>4.3</v>
      </c>
      <c r="Y61" s="33"/>
      <c r="Z61" s="33"/>
      <c r="AA61" s="33"/>
      <c r="AB61" s="33"/>
      <c r="AC61" s="33"/>
      <c r="AD61" s="33"/>
      <c r="AE61" s="33"/>
      <c r="AF61" s="33"/>
      <c r="AG61" s="33"/>
      <c r="AH61" s="33"/>
      <c r="AI61" s="33"/>
      <c r="AJ61" s="33"/>
      <c r="AK61" s="33"/>
      <c r="AL61" s="33"/>
    </row>
    <row r="62" ht="22.5" customHeight="1">
      <c r="A62" s="169">
        <v>1965.0</v>
      </c>
      <c r="B62" s="169">
        <v>14.0</v>
      </c>
      <c r="C62" s="169">
        <v>2573.4</v>
      </c>
      <c r="D62" s="169">
        <v>21.9</v>
      </c>
      <c r="E62" s="169">
        <v>183.8</v>
      </c>
      <c r="F62" s="169">
        <v>1.6</v>
      </c>
      <c r="G62" s="169">
        <v>198.1</v>
      </c>
      <c r="H62" s="169">
        <v>386.2</v>
      </c>
      <c r="I62" s="169">
        <v>51.3</v>
      </c>
      <c r="J62" s="169">
        <v>2573.4</v>
      </c>
      <c r="K62" s="169">
        <v>21.9</v>
      </c>
      <c r="L62" s="169">
        <v>5.7</v>
      </c>
      <c r="M62" s="169">
        <v>19.8</v>
      </c>
      <c r="N62" s="169">
        <v>5.1</v>
      </c>
      <c r="O62" s="169">
        <v>7.5</v>
      </c>
      <c r="P62" s="169">
        <v>6.3</v>
      </c>
      <c r="Q62" s="169">
        <v>14.5</v>
      </c>
      <c r="R62" s="169">
        <v>183.8</v>
      </c>
      <c r="S62" s="169">
        <v>73.5</v>
      </c>
      <c r="T62" s="169">
        <v>37.3</v>
      </c>
      <c r="U62" s="169">
        <v>308.6</v>
      </c>
      <c r="V62" s="169">
        <v>8.8</v>
      </c>
      <c r="W62" s="169">
        <v>6.08</v>
      </c>
      <c r="X62" s="169">
        <v>5.0</v>
      </c>
      <c r="Y62" s="33"/>
      <c r="Z62" s="33"/>
      <c r="AA62" s="33"/>
      <c r="AB62" s="33"/>
      <c r="AC62" s="33"/>
      <c r="AD62" s="33"/>
      <c r="AE62" s="33"/>
      <c r="AF62" s="33"/>
      <c r="AG62" s="33"/>
      <c r="AH62" s="33"/>
      <c r="AI62" s="33"/>
      <c r="AJ62" s="33"/>
      <c r="AK62" s="33"/>
      <c r="AL62" s="33"/>
    </row>
    <row r="63" ht="22.5" customHeight="1">
      <c r="A63" s="169">
        <v>1964.0</v>
      </c>
      <c r="B63" s="169">
        <v>14.0</v>
      </c>
      <c r="C63" s="169">
        <v>2431.0</v>
      </c>
      <c r="D63" s="169">
        <v>19.9</v>
      </c>
      <c r="E63" s="169">
        <v>173.6</v>
      </c>
      <c r="F63" s="169">
        <v>1.4</v>
      </c>
      <c r="G63" s="169">
        <v>199.6</v>
      </c>
      <c r="H63" s="169">
        <v>388.4</v>
      </c>
      <c r="I63" s="169">
        <v>51.4</v>
      </c>
      <c r="J63" s="169">
        <v>2431.0</v>
      </c>
      <c r="K63" s="169">
        <v>19.9</v>
      </c>
      <c r="L63" s="169">
        <v>5.1</v>
      </c>
      <c r="M63" s="169">
        <v>18.7</v>
      </c>
      <c r="N63" s="169">
        <v>4.8</v>
      </c>
      <c r="O63" s="169">
        <v>7.2</v>
      </c>
      <c r="P63" s="169">
        <v>6.0</v>
      </c>
      <c r="Q63" s="169">
        <v>13.9</v>
      </c>
      <c r="R63" s="169">
        <v>173.6</v>
      </c>
      <c r="S63" s="169">
        <v>71.7</v>
      </c>
      <c r="T63" s="169">
        <v>42.9</v>
      </c>
      <c r="U63" s="169">
        <v>348.6</v>
      </c>
      <c r="V63" s="169">
        <v>10.0</v>
      </c>
      <c r="W63" s="169">
        <v>5.64</v>
      </c>
      <c r="X63" s="169">
        <v>4.6</v>
      </c>
      <c r="Y63" s="33"/>
      <c r="Z63" s="33"/>
      <c r="AA63" s="33"/>
      <c r="AB63" s="33"/>
      <c r="AC63" s="33"/>
      <c r="AD63" s="33"/>
      <c r="AE63" s="33"/>
      <c r="AF63" s="33"/>
      <c r="AG63" s="33"/>
      <c r="AH63" s="33"/>
      <c r="AI63" s="33"/>
      <c r="AJ63" s="33"/>
      <c r="AK63" s="33"/>
      <c r="AL63" s="33"/>
    </row>
    <row r="64" ht="22.5" customHeight="1">
      <c r="A64" s="169">
        <v>1963.0</v>
      </c>
      <c r="B64" s="169">
        <v>14.0</v>
      </c>
      <c r="C64" s="169">
        <v>2600.4</v>
      </c>
      <c r="D64" s="169">
        <v>21.6</v>
      </c>
      <c r="E64" s="169">
        <v>185.7</v>
      </c>
      <c r="F64" s="169">
        <v>1.5</v>
      </c>
      <c r="G64" s="169">
        <v>199.4</v>
      </c>
      <c r="H64" s="169">
        <v>386.8</v>
      </c>
      <c r="I64" s="169">
        <v>51.5</v>
      </c>
      <c r="J64" s="169">
        <v>2600.4</v>
      </c>
      <c r="K64" s="169">
        <v>21.6</v>
      </c>
      <c r="L64" s="169">
        <v>5.6</v>
      </c>
      <c r="M64" s="169">
        <v>21.6</v>
      </c>
      <c r="N64" s="169">
        <v>5.6</v>
      </c>
      <c r="O64" s="169">
        <v>7.5</v>
      </c>
      <c r="P64" s="169">
        <v>6.1</v>
      </c>
      <c r="Q64" s="169">
        <v>14.6</v>
      </c>
      <c r="R64" s="169">
        <v>185.7</v>
      </c>
      <c r="S64" s="169">
        <v>71.7</v>
      </c>
      <c r="T64" s="169">
        <v>36.1</v>
      </c>
      <c r="U64" s="169">
        <v>310.0</v>
      </c>
      <c r="V64" s="169">
        <v>8.5</v>
      </c>
      <c r="W64" s="169">
        <v>6.15</v>
      </c>
      <c r="X64" s="169">
        <v>4.9</v>
      </c>
      <c r="Y64" s="33"/>
      <c r="Z64" s="33"/>
      <c r="AA64" s="33"/>
      <c r="AB64" s="33"/>
      <c r="AC64" s="33"/>
      <c r="AD64" s="33"/>
      <c r="AE64" s="33"/>
      <c r="AF64" s="33"/>
      <c r="AG64" s="33"/>
      <c r="AH64" s="33"/>
      <c r="AI64" s="33"/>
      <c r="AJ64" s="33"/>
      <c r="AK64" s="33"/>
      <c r="AL64" s="33"/>
    </row>
    <row r="65" ht="22.5" customHeight="1">
      <c r="A65" s="169">
        <v>1962.0</v>
      </c>
      <c r="B65" s="169">
        <v>14.0</v>
      </c>
      <c r="C65" s="169">
        <v>2713.4</v>
      </c>
      <c r="D65" s="169">
        <v>21.4</v>
      </c>
      <c r="E65" s="169">
        <v>193.8</v>
      </c>
      <c r="F65" s="169">
        <v>1.5</v>
      </c>
      <c r="G65" s="169">
        <v>203.9</v>
      </c>
      <c r="H65" s="169">
        <v>382.6</v>
      </c>
      <c r="I65" s="169">
        <v>53.3</v>
      </c>
      <c r="J65" s="169">
        <v>2713.4</v>
      </c>
      <c r="K65" s="169">
        <v>21.4</v>
      </c>
      <c r="L65" s="169">
        <v>5.6</v>
      </c>
      <c r="M65" s="169">
        <v>23.2</v>
      </c>
      <c r="N65" s="169">
        <v>6.1</v>
      </c>
      <c r="O65" s="169">
        <v>7.9</v>
      </c>
      <c r="P65" s="169">
        <v>6.2</v>
      </c>
      <c r="Q65" s="169">
        <v>14.7</v>
      </c>
      <c r="R65" s="169">
        <v>193.8</v>
      </c>
      <c r="S65" s="169">
        <v>72.6</v>
      </c>
      <c r="T65" s="169">
        <v>0.0</v>
      </c>
      <c r="U65" s="169">
        <v>290.7</v>
      </c>
      <c r="V65" s="169">
        <v>0.0</v>
      </c>
      <c r="W65" s="169">
        <v>7.09</v>
      </c>
      <c r="X65" s="169">
        <v>5.5</v>
      </c>
      <c r="Y65" s="33"/>
      <c r="Z65" s="33"/>
      <c r="AA65" s="33"/>
      <c r="AB65" s="33"/>
      <c r="AC65" s="33"/>
      <c r="AD65" s="33"/>
      <c r="AE65" s="33"/>
      <c r="AF65" s="33"/>
      <c r="AG65" s="33"/>
      <c r="AH65" s="33"/>
      <c r="AI65" s="33"/>
      <c r="AJ65" s="33"/>
      <c r="AK65" s="33"/>
      <c r="AL65" s="33"/>
    </row>
    <row r="66" ht="22.5" customHeight="1">
      <c r="A66" s="169">
        <v>1961.0</v>
      </c>
      <c r="B66" s="169">
        <v>14.0</v>
      </c>
      <c r="C66" s="169">
        <v>2526.6</v>
      </c>
      <c r="D66" s="169">
        <v>20.4</v>
      </c>
      <c r="E66" s="169">
        <v>180.5</v>
      </c>
      <c r="F66" s="169">
        <v>1.5</v>
      </c>
      <c r="G66" s="169">
        <v>197.1</v>
      </c>
      <c r="H66" s="169">
        <v>378.0</v>
      </c>
      <c r="I66" s="169">
        <v>52.1</v>
      </c>
      <c r="J66" s="169">
        <v>2526.6</v>
      </c>
      <c r="K66" s="169">
        <v>20.4</v>
      </c>
      <c r="L66" s="169">
        <v>5.4</v>
      </c>
      <c r="M66" s="169">
        <v>23.7</v>
      </c>
      <c r="N66" s="169">
        <v>6.3</v>
      </c>
      <c r="O66" s="169">
        <v>7.5</v>
      </c>
      <c r="P66" s="169">
        <v>5.7</v>
      </c>
      <c r="Q66" s="169">
        <v>14.3</v>
      </c>
      <c r="R66" s="169">
        <v>180.5</v>
      </c>
      <c r="S66" s="169">
        <v>68.5</v>
      </c>
      <c r="T66" s="169">
        <v>0.0</v>
      </c>
      <c r="U66" s="169">
        <v>301.3</v>
      </c>
      <c r="V66" s="169">
        <v>0.0</v>
      </c>
      <c r="W66" s="169">
        <v>6.68</v>
      </c>
      <c r="X66" s="169">
        <v>4.9</v>
      </c>
      <c r="Y66" s="33"/>
      <c r="Z66" s="33"/>
      <c r="AA66" s="33"/>
      <c r="AB66" s="33"/>
      <c r="AC66" s="33"/>
      <c r="AD66" s="33"/>
      <c r="AE66" s="33"/>
      <c r="AF66" s="33"/>
      <c r="AG66" s="33"/>
      <c r="AH66" s="33"/>
      <c r="AI66" s="33"/>
      <c r="AJ66" s="33"/>
      <c r="AK66" s="33"/>
      <c r="AL66" s="33"/>
    </row>
    <row r="67" ht="22.5" customHeight="1">
      <c r="A67" s="169">
        <v>1960.0</v>
      </c>
      <c r="B67" s="169">
        <v>13.0</v>
      </c>
      <c r="C67" s="169">
        <v>2047.5</v>
      </c>
      <c r="D67" s="169">
        <v>17.0</v>
      </c>
      <c r="E67" s="169">
        <v>170.6</v>
      </c>
      <c r="F67" s="169">
        <v>1.4</v>
      </c>
      <c r="G67" s="169">
        <v>158.8</v>
      </c>
      <c r="H67" s="169">
        <v>316.5</v>
      </c>
      <c r="I67" s="169">
        <v>50.2</v>
      </c>
      <c r="J67" s="169">
        <v>2047.5</v>
      </c>
      <c r="K67" s="169">
        <v>17.0</v>
      </c>
      <c r="L67" s="169">
        <v>5.4</v>
      </c>
      <c r="M67" s="169">
        <v>21.1</v>
      </c>
      <c r="N67" s="169">
        <v>6.7</v>
      </c>
      <c r="O67" s="169">
        <v>7.2</v>
      </c>
      <c r="P67" s="169">
        <v>5.3</v>
      </c>
      <c r="Q67" s="169">
        <v>14.4</v>
      </c>
      <c r="R67" s="169">
        <v>170.6</v>
      </c>
      <c r="S67" s="169">
        <v>64.2</v>
      </c>
      <c r="T67" s="169">
        <v>0.0</v>
      </c>
      <c r="U67" s="169">
        <v>241.2</v>
      </c>
      <c r="V67" s="169">
        <v>0.0</v>
      </c>
      <c r="W67" s="169">
        <v>6.47</v>
      </c>
      <c r="X67" s="169">
        <v>4.5</v>
      </c>
      <c r="Y67" s="33"/>
      <c r="Z67" s="33"/>
      <c r="AA67" s="33"/>
      <c r="AB67" s="33"/>
      <c r="AC67" s="33"/>
      <c r="AD67" s="33"/>
      <c r="AE67" s="33"/>
      <c r="AF67" s="33"/>
      <c r="AG67" s="33"/>
      <c r="AH67" s="33"/>
      <c r="AI67" s="33"/>
      <c r="AJ67" s="33"/>
      <c r="AK67" s="33"/>
      <c r="AL67" s="33"/>
    </row>
    <row r="68" ht="22.5" customHeight="1">
      <c r="A68" s="169">
        <v>1959.0</v>
      </c>
      <c r="B68" s="169">
        <v>12.0</v>
      </c>
      <c r="C68" s="169">
        <v>2037.7</v>
      </c>
      <c r="D68" s="169">
        <v>16.4</v>
      </c>
      <c r="E68" s="169">
        <v>169.8</v>
      </c>
      <c r="F68" s="169">
        <v>1.4</v>
      </c>
      <c r="G68" s="169">
        <v>154.8</v>
      </c>
      <c r="H68" s="169">
        <v>309.5</v>
      </c>
      <c r="I68" s="169">
        <v>50.0</v>
      </c>
      <c r="J68" s="169">
        <v>2037.7</v>
      </c>
      <c r="K68" s="169">
        <v>16.4</v>
      </c>
      <c r="L68" s="169">
        <v>5.3</v>
      </c>
      <c r="M68" s="169">
        <v>18.4</v>
      </c>
      <c r="N68" s="169">
        <v>6.0</v>
      </c>
      <c r="O68" s="169">
        <v>7.2</v>
      </c>
      <c r="P68" s="169">
        <v>5.6</v>
      </c>
      <c r="Q68" s="169">
        <v>14.5</v>
      </c>
      <c r="R68" s="169">
        <v>169.8</v>
      </c>
      <c r="S68" s="169">
        <v>66.9</v>
      </c>
      <c r="T68" s="169">
        <v>0.0</v>
      </c>
      <c r="U68" s="169">
        <v>205.8</v>
      </c>
      <c r="V68" s="169">
        <v>0.0</v>
      </c>
      <c r="W68" s="169">
        <v>6.58</v>
      </c>
      <c r="X68" s="169">
        <v>5.0</v>
      </c>
      <c r="Y68" s="33"/>
      <c r="Z68" s="33"/>
      <c r="AA68" s="33"/>
      <c r="AB68" s="33"/>
      <c r="AC68" s="33"/>
      <c r="AD68" s="33"/>
      <c r="AE68" s="33"/>
      <c r="AF68" s="33"/>
      <c r="AG68" s="33"/>
      <c r="AH68" s="33"/>
      <c r="AI68" s="33"/>
      <c r="AJ68" s="33"/>
      <c r="AK68" s="33"/>
      <c r="AL68" s="33"/>
    </row>
    <row r="69" ht="22.5" customHeight="1">
      <c r="A69" s="169">
        <v>1958.0</v>
      </c>
      <c r="B69" s="169">
        <v>12.0</v>
      </c>
      <c r="C69" s="169">
        <v>2164.3</v>
      </c>
      <c r="D69" s="169">
        <v>17.6</v>
      </c>
      <c r="E69" s="169">
        <v>180.4</v>
      </c>
      <c r="F69" s="169">
        <v>1.5</v>
      </c>
      <c r="G69" s="169">
        <v>162.8</v>
      </c>
      <c r="H69" s="169">
        <v>329.3</v>
      </c>
      <c r="I69" s="169">
        <v>49.4</v>
      </c>
      <c r="J69" s="169">
        <v>2164.3</v>
      </c>
      <c r="K69" s="169">
        <v>17.6</v>
      </c>
      <c r="L69" s="169">
        <v>5.3</v>
      </c>
      <c r="M69" s="169">
        <v>20.3</v>
      </c>
      <c r="N69" s="169">
        <v>6.2</v>
      </c>
      <c r="O69" s="169">
        <v>7.2</v>
      </c>
      <c r="P69" s="169">
        <v>5.5</v>
      </c>
      <c r="Q69" s="169">
        <v>14.5</v>
      </c>
      <c r="R69" s="169">
        <v>180.4</v>
      </c>
      <c r="S69" s="169">
        <v>65.3</v>
      </c>
      <c r="T69" s="169">
        <v>0.0</v>
      </c>
      <c r="U69" s="169">
        <v>193.3</v>
      </c>
      <c r="V69" s="169">
        <v>0.0</v>
      </c>
      <c r="W69" s="169">
        <v>6.57</v>
      </c>
      <c r="X69" s="169">
        <v>4.9</v>
      </c>
      <c r="Y69" s="33"/>
      <c r="Z69" s="33"/>
      <c r="AA69" s="33"/>
      <c r="AB69" s="33"/>
      <c r="AC69" s="33"/>
      <c r="AD69" s="33"/>
      <c r="AE69" s="33"/>
      <c r="AF69" s="33"/>
      <c r="AG69" s="33"/>
      <c r="AH69" s="33"/>
      <c r="AI69" s="33"/>
      <c r="AJ69" s="33"/>
      <c r="AK69" s="33"/>
      <c r="AL69" s="33"/>
    </row>
    <row r="70" ht="22.5" customHeight="1">
      <c r="A70" s="169">
        <v>1957.0</v>
      </c>
      <c r="B70" s="169">
        <v>12.0</v>
      </c>
      <c r="C70" s="169">
        <v>1841.0</v>
      </c>
      <c r="D70" s="169">
        <v>14.2</v>
      </c>
      <c r="E70" s="169">
        <v>153.4</v>
      </c>
      <c r="F70" s="169">
        <v>1.2</v>
      </c>
      <c r="G70" s="169">
        <v>140.4</v>
      </c>
      <c r="H70" s="169">
        <v>278.3</v>
      </c>
      <c r="I70" s="169">
        <v>50.5</v>
      </c>
      <c r="J70" s="169">
        <v>1841.0</v>
      </c>
      <c r="K70" s="169">
        <v>14.2</v>
      </c>
      <c r="L70" s="169">
        <v>5.1</v>
      </c>
      <c r="M70" s="169">
        <v>19.3</v>
      </c>
      <c r="N70" s="169">
        <v>6.9</v>
      </c>
      <c r="O70" s="169">
        <v>7.4</v>
      </c>
      <c r="P70" s="169">
        <v>5.3</v>
      </c>
      <c r="Q70" s="169">
        <v>14.7</v>
      </c>
      <c r="R70" s="169">
        <v>153.4</v>
      </c>
      <c r="S70" s="169">
        <v>63.2</v>
      </c>
      <c r="T70" s="169">
        <v>0.0</v>
      </c>
      <c r="U70" s="169">
        <v>221.1</v>
      </c>
      <c r="V70" s="169">
        <v>0.0</v>
      </c>
      <c r="W70" s="169">
        <v>6.62</v>
      </c>
      <c r="X70" s="169">
        <v>4.5</v>
      </c>
      <c r="Y70" s="33"/>
      <c r="Z70" s="33"/>
      <c r="AA70" s="33"/>
      <c r="AB70" s="33"/>
      <c r="AC70" s="33"/>
      <c r="AD70" s="33"/>
      <c r="AE70" s="33"/>
      <c r="AF70" s="33"/>
      <c r="AG70" s="33"/>
      <c r="AH70" s="33"/>
      <c r="AI70" s="33"/>
      <c r="AJ70" s="33"/>
      <c r="AK70" s="33"/>
      <c r="AL70" s="33"/>
    </row>
    <row r="71" ht="22.5" customHeight="1">
      <c r="A71" s="169">
        <v>1956.0</v>
      </c>
      <c r="B71" s="169">
        <v>12.0</v>
      </c>
      <c r="C71" s="169">
        <v>1770.9</v>
      </c>
      <c r="D71" s="169">
        <v>13.5</v>
      </c>
      <c r="E71" s="169">
        <v>147.6</v>
      </c>
      <c r="F71" s="169">
        <v>1.1</v>
      </c>
      <c r="G71" s="169">
        <v>138.0</v>
      </c>
      <c r="H71" s="169">
        <v>273.5</v>
      </c>
      <c r="I71" s="169">
        <v>50.5</v>
      </c>
      <c r="J71" s="169">
        <v>1770.9</v>
      </c>
      <c r="K71" s="169">
        <v>13.5</v>
      </c>
      <c r="L71" s="169">
        <v>4.9</v>
      </c>
      <c r="M71" s="169">
        <v>20.0</v>
      </c>
      <c r="N71" s="169">
        <v>7.3</v>
      </c>
      <c r="O71" s="169">
        <v>7.1</v>
      </c>
      <c r="P71" s="169">
        <v>4.8</v>
      </c>
      <c r="Q71" s="169">
        <v>14.0</v>
      </c>
      <c r="R71" s="169">
        <v>147.6</v>
      </c>
      <c r="S71" s="169">
        <v>59.6</v>
      </c>
      <c r="T71" s="169">
        <v>0.0</v>
      </c>
      <c r="U71" s="169">
        <v>165.9</v>
      </c>
      <c r="V71" s="169">
        <v>0.0</v>
      </c>
      <c r="W71" s="169">
        <v>6.48</v>
      </c>
      <c r="X71" s="169">
        <v>4.2</v>
      </c>
      <c r="Y71" s="33"/>
      <c r="Z71" s="33"/>
      <c r="AA71" s="33"/>
      <c r="AB71" s="33"/>
      <c r="AC71" s="33"/>
      <c r="AD71" s="33"/>
      <c r="AE71" s="33"/>
      <c r="AF71" s="33"/>
      <c r="AG71" s="33"/>
      <c r="AH71" s="33"/>
      <c r="AI71" s="33"/>
      <c r="AJ71" s="33"/>
      <c r="AK71" s="33"/>
      <c r="AL71" s="33"/>
    </row>
    <row r="72" ht="22.5" customHeight="1">
      <c r="A72" s="169">
        <v>1955.0</v>
      </c>
      <c r="B72" s="169">
        <v>12.0</v>
      </c>
      <c r="C72" s="169">
        <v>1917.4</v>
      </c>
      <c r="D72" s="169">
        <v>15.0</v>
      </c>
      <c r="E72" s="169">
        <v>159.8</v>
      </c>
      <c r="F72" s="169">
        <v>1.3</v>
      </c>
      <c r="G72" s="169">
        <v>152.4</v>
      </c>
      <c r="H72" s="169">
        <v>318.3</v>
      </c>
      <c r="I72" s="169">
        <v>47.9</v>
      </c>
      <c r="J72" s="169">
        <v>1917.4</v>
      </c>
      <c r="K72" s="169">
        <v>15.0</v>
      </c>
      <c r="L72" s="169">
        <v>4.7</v>
      </c>
      <c r="M72" s="169">
        <v>21.5</v>
      </c>
      <c r="N72" s="169">
        <v>6.8</v>
      </c>
      <c r="O72" s="169">
        <v>6.6</v>
      </c>
      <c r="P72" s="169">
        <v>4.5</v>
      </c>
      <c r="Q72" s="169">
        <v>13.8</v>
      </c>
      <c r="R72" s="169">
        <v>159.8</v>
      </c>
      <c r="S72" s="169">
        <v>57.1</v>
      </c>
      <c r="T72" s="169">
        <v>0.0</v>
      </c>
      <c r="U72" s="169">
        <v>189.7</v>
      </c>
      <c r="V72" s="169">
        <v>0.0</v>
      </c>
      <c r="W72" s="169">
        <v>6.02</v>
      </c>
      <c r="X72" s="169">
        <v>3.9</v>
      </c>
      <c r="Y72" s="33"/>
      <c r="Z72" s="33"/>
      <c r="AA72" s="33"/>
      <c r="AB72" s="33"/>
      <c r="AC72" s="33"/>
      <c r="AD72" s="33"/>
      <c r="AE72" s="33"/>
      <c r="AF72" s="33"/>
      <c r="AG72" s="33"/>
      <c r="AH72" s="33"/>
      <c r="AI72" s="33"/>
      <c r="AJ72" s="33"/>
      <c r="AK72" s="33"/>
      <c r="AL72" s="33"/>
    </row>
    <row r="73" ht="22.5" customHeight="1">
      <c r="A73" s="169">
        <v>1954.0</v>
      </c>
      <c r="B73" s="169">
        <v>12.0</v>
      </c>
      <c r="C73" s="169">
        <v>2299.4</v>
      </c>
      <c r="D73" s="169">
        <v>17.6</v>
      </c>
      <c r="E73" s="169">
        <v>191.6</v>
      </c>
      <c r="F73" s="169">
        <v>1.5</v>
      </c>
      <c r="G73" s="169">
        <v>177.9</v>
      </c>
      <c r="H73" s="169">
        <v>352.7</v>
      </c>
      <c r="I73" s="169">
        <v>50.4</v>
      </c>
      <c r="J73" s="169">
        <v>2299.4</v>
      </c>
      <c r="K73" s="169">
        <v>17.6</v>
      </c>
      <c r="L73" s="169">
        <v>5.0</v>
      </c>
      <c r="M73" s="169">
        <v>24.5</v>
      </c>
      <c r="N73" s="169">
        <v>6.9</v>
      </c>
      <c r="O73" s="169">
        <v>7.2</v>
      </c>
      <c r="P73" s="169">
        <v>5.1</v>
      </c>
      <c r="Q73" s="169">
        <v>14.2</v>
      </c>
      <c r="R73" s="169">
        <v>191.6</v>
      </c>
      <c r="S73" s="169">
        <v>61.7</v>
      </c>
      <c r="T73" s="169">
        <v>0.0</v>
      </c>
      <c r="U73" s="169">
        <v>232.8</v>
      </c>
      <c r="V73" s="169">
        <v>0.0</v>
      </c>
      <c r="W73" s="169">
        <v>6.52</v>
      </c>
      <c r="X73" s="169">
        <v>4.4</v>
      </c>
      <c r="Y73" s="33"/>
      <c r="Z73" s="33"/>
      <c r="AA73" s="33"/>
      <c r="AB73" s="33"/>
      <c r="AC73" s="33"/>
      <c r="AD73" s="33"/>
      <c r="AE73" s="33"/>
      <c r="AF73" s="33"/>
      <c r="AG73" s="33"/>
      <c r="AH73" s="33"/>
      <c r="AI73" s="33"/>
      <c r="AJ73" s="33"/>
      <c r="AK73" s="33"/>
      <c r="AL73" s="33"/>
    </row>
    <row r="74" ht="22.5" customHeight="1">
      <c r="A74" s="169">
        <v>1953.0</v>
      </c>
      <c r="B74" s="169">
        <v>12.0</v>
      </c>
      <c r="C74" s="169">
        <v>2085.4</v>
      </c>
      <c r="D74" s="169">
        <v>15.8</v>
      </c>
      <c r="E74" s="169">
        <v>173.8</v>
      </c>
      <c r="F74" s="169">
        <v>1.3</v>
      </c>
      <c r="G74" s="169">
        <v>168.3</v>
      </c>
      <c r="H74" s="169">
        <v>355.6</v>
      </c>
      <c r="I74" s="169">
        <v>47.3</v>
      </c>
      <c r="J74" s="169">
        <v>2085.4</v>
      </c>
      <c r="K74" s="169">
        <v>15.8</v>
      </c>
      <c r="L74" s="169">
        <v>4.4</v>
      </c>
      <c r="M74" s="169">
        <v>25.5</v>
      </c>
      <c r="N74" s="169">
        <v>7.2</v>
      </c>
      <c r="O74" s="169">
        <v>6.5</v>
      </c>
      <c r="P74" s="169">
        <v>4.2</v>
      </c>
      <c r="Q74" s="169">
        <v>13.8</v>
      </c>
      <c r="R74" s="169">
        <v>173.8</v>
      </c>
      <c r="S74" s="169">
        <v>53.6</v>
      </c>
      <c r="T74" s="169">
        <v>0.0</v>
      </c>
      <c r="U74" s="169">
        <v>233.3</v>
      </c>
      <c r="V74" s="169">
        <v>0.0</v>
      </c>
      <c r="W74" s="169">
        <v>5.86</v>
      </c>
      <c r="X74" s="169">
        <v>3.5</v>
      </c>
      <c r="Y74" s="33"/>
      <c r="Z74" s="33"/>
      <c r="AA74" s="33"/>
      <c r="AB74" s="33"/>
      <c r="AC74" s="33"/>
      <c r="AD74" s="33"/>
      <c r="AE74" s="33"/>
      <c r="AF74" s="33"/>
      <c r="AG74" s="33"/>
      <c r="AH74" s="33"/>
      <c r="AI74" s="33"/>
      <c r="AJ74" s="33"/>
      <c r="AK74" s="33"/>
      <c r="AL74" s="33"/>
    </row>
    <row r="75" ht="22.5" customHeight="1">
      <c r="A75" s="169">
        <v>1952.0</v>
      </c>
      <c r="B75" s="169">
        <v>12.0</v>
      </c>
      <c r="C75" s="169">
        <v>1919.4</v>
      </c>
      <c r="D75" s="169">
        <v>18.2</v>
      </c>
      <c r="E75" s="169">
        <v>160.0</v>
      </c>
      <c r="F75" s="169">
        <v>1.5</v>
      </c>
      <c r="G75" s="169">
        <v>155.3</v>
      </c>
      <c r="H75" s="169">
        <v>335.3</v>
      </c>
      <c r="I75" s="169">
        <v>46.3</v>
      </c>
      <c r="J75" s="169">
        <v>1919.4</v>
      </c>
      <c r="K75" s="169">
        <v>18.2</v>
      </c>
      <c r="L75" s="169">
        <v>5.4</v>
      </c>
      <c r="M75" s="169">
        <v>24.8</v>
      </c>
      <c r="N75" s="169">
        <v>7.4</v>
      </c>
      <c r="O75" s="169">
        <v>6.7</v>
      </c>
      <c r="P75" s="169">
        <v>4.4</v>
      </c>
      <c r="Q75" s="169">
        <v>14.4</v>
      </c>
      <c r="R75" s="169">
        <v>160.0</v>
      </c>
      <c r="S75" s="169">
        <v>55.7</v>
      </c>
      <c r="T75" s="169">
        <v>0.0</v>
      </c>
      <c r="U75" s="169">
        <v>312.3</v>
      </c>
      <c r="V75" s="169">
        <v>0.0</v>
      </c>
      <c r="W75" s="169">
        <v>5.72</v>
      </c>
      <c r="X75" s="169">
        <v>3.5</v>
      </c>
      <c r="Y75" s="33"/>
      <c r="Z75" s="33"/>
      <c r="AA75" s="33"/>
      <c r="AB75" s="33"/>
      <c r="AC75" s="33"/>
      <c r="AD75" s="33"/>
      <c r="AE75" s="33"/>
      <c r="AF75" s="33"/>
      <c r="AG75" s="33"/>
      <c r="AH75" s="33"/>
      <c r="AI75" s="33"/>
      <c r="AJ75" s="33"/>
      <c r="AK75" s="33"/>
      <c r="AL75" s="33"/>
    </row>
    <row r="76" ht="22.5" customHeight="1">
      <c r="A76" s="169">
        <v>1951.0</v>
      </c>
      <c r="B76" s="169">
        <v>12.0</v>
      </c>
      <c r="C76" s="169">
        <v>1952.9</v>
      </c>
      <c r="D76" s="169">
        <v>16.7</v>
      </c>
      <c r="E76" s="169">
        <v>162.7</v>
      </c>
      <c r="F76" s="169">
        <v>1.4</v>
      </c>
      <c r="G76" s="169">
        <v>150.8</v>
      </c>
      <c r="H76" s="169">
        <v>323.4</v>
      </c>
      <c r="I76" s="169">
        <v>46.6</v>
      </c>
      <c r="J76" s="169">
        <v>1952.9</v>
      </c>
      <c r="K76" s="169">
        <v>16.7</v>
      </c>
      <c r="L76" s="169">
        <v>5.2</v>
      </c>
      <c r="M76" s="169">
        <v>24.0</v>
      </c>
      <c r="N76" s="169">
        <v>7.4</v>
      </c>
      <c r="O76" s="169">
        <v>6.8</v>
      </c>
      <c r="P76" s="169">
        <v>4.5</v>
      </c>
      <c r="Q76" s="169">
        <v>14.6</v>
      </c>
      <c r="R76" s="169">
        <v>162.7</v>
      </c>
      <c r="S76" s="169">
        <v>55.6</v>
      </c>
      <c r="T76" s="169">
        <v>0.0</v>
      </c>
      <c r="U76" s="169">
        <v>253.9</v>
      </c>
      <c r="V76" s="169">
        <v>0.0</v>
      </c>
      <c r="W76" s="169">
        <v>6.04</v>
      </c>
      <c r="X76" s="169">
        <v>3.7</v>
      </c>
      <c r="Y76" s="33"/>
      <c r="Z76" s="33"/>
      <c r="AA76" s="33"/>
      <c r="AB76" s="33"/>
      <c r="AC76" s="33"/>
      <c r="AD76" s="33"/>
      <c r="AE76" s="33"/>
      <c r="AF76" s="33"/>
      <c r="AG76" s="33"/>
      <c r="AH76" s="33"/>
      <c r="AI76" s="33"/>
      <c r="AJ76" s="33"/>
      <c r="AK76" s="33"/>
      <c r="AL76" s="33"/>
    </row>
    <row r="77" ht="22.5" customHeight="1">
      <c r="A77" s="169">
        <v>1950.0</v>
      </c>
      <c r="B77" s="169">
        <v>13.0</v>
      </c>
      <c r="C77" s="169">
        <v>1988.9</v>
      </c>
      <c r="D77" s="169">
        <v>16.9</v>
      </c>
      <c r="E77" s="169">
        <v>165.7</v>
      </c>
      <c r="F77" s="169">
        <v>1.4</v>
      </c>
      <c r="G77" s="169">
        <v>154.5</v>
      </c>
      <c r="H77" s="169">
        <v>331.3</v>
      </c>
      <c r="I77" s="169">
        <v>46.6</v>
      </c>
      <c r="J77" s="169">
        <v>1988.9</v>
      </c>
      <c r="K77" s="169">
        <v>16.9</v>
      </c>
      <c r="L77" s="169">
        <v>5.1</v>
      </c>
      <c r="M77" s="169">
        <v>26.4</v>
      </c>
      <c r="N77" s="169">
        <v>8.0</v>
      </c>
      <c r="O77" s="169">
        <v>6.7</v>
      </c>
      <c r="P77" s="169">
        <v>4.2</v>
      </c>
      <c r="Q77" s="169">
        <v>14.5</v>
      </c>
      <c r="R77" s="169">
        <v>165.7</v>
      </c>
      <c r="S77" s="169">
        <v>52.9</v>
      </c>
      <c r="T77" s="169">
        <v>0.0</v>
      </c>
      <c r="U77" s="169">
        <v>245.7</v>
      </c>
      <c r="V77" s="169">
        <v>0.0</v>
      </c>
      <c r="W77" s="169">
        <v>6.0</v>
      </c>
      <c r="X77" s="169">
        <v>3.4</v>
      </c>
      <c r="Y77" s="33"/>
      <c r="Z77" s="33"/>
      <c r="AA77" s="33"/>
      <c r="AB77" s="33"/>
      <c r="AC77" s="33"/>
      <c r="AD77" s="33"/>
      <c r="AE77" s="33"/>
      <c r="AF77" s="33"/>
      <c r="AG77" s="33"/>
      <c r="AH77" s="33"/>
      <c r="AI77" s="33"/>
      <c r="AJ77" s="33"/>
      <c r="AK77" s="33"/>
      <c r="AL77" s="33"/>
    </row>
    <row r="78" ht="22.5" customHeight="1">
      <c r="A78" s="169">
        <v>1949.0</v>
      </c>
      <c r="B78" s="169">
        <v>10.0</v>
      </c>
      <c r="C78" s="169">
        <v>1932.4</v>
      </c>
      <c r="D78" s="169">
        <v>16.8</v>
      </c>
      <c r="E78" s="169">
        <v>161.0</v>
      </c>
      <c r="F78" s="169">
        <v>1.4</v>
      </c>
      <c r="G78" s="169">
        <v>152.7</v>
      </c>
      <c r="H78" s="169">
        <v>327.5</v>
      </c>
      <c r="I78" s="169">
        <v>46.6</v>
      </c>
      <c r="J78" s="169">
        <v>1932.4</v>
      </c>
      <c r="K78" s="169">
        <v>16.8</v>
      </c>
      <c r="L78" s="169">
        <v>5.1</v>
      </c>
      <c r="M78" s="169">
        <v>24.7</v>
      </c>
      <c r="N78" s="169">
        <v>7.5</v>
      </c>
      <c r="O78" s="169">
        <v>6.5</v>
      </c>
      <c r="P78" s="169">
        <v>4.2</v>
      </c>
      <c r="Q78" s="169">
        <v>14.0</v>
      </c>
      <c r="R78" s="169">
        <v>161.0</v>
      </c>
      <c r="S78" s="169">
        <v>53.9</v>
      </c>
      <c r="T78" s="169">
        <v>0.0</v>
      </c>
      <c r="U78" s="169">
        <v>211.2</v>
      </c>
      <c r="V78" s="169">
        <v>0.0</v>
      </c>
      <c r="W78" s="169">
        <v>5.9</v>
      </c>
      <c r="X78" s="169">
        <v>3.5</v>
      </c>
      <c r="Y78" s="33"/>
      <c r="Z78" s="33"/>
      <c r="AA78" s="33"/>
      <c r="AB78" s="33"/>
      <c r="AC78" s="33"/>
      <c r="AD78" s="33"/>
      <c r="AE78" s="33"/>
      <c r="AF78" s="33"/>
      <c r="AG78" s="33"/>
      <c r="AH78" s="33"/>
      <c r="AI78" s="33"/>
      <c r="AJ78" s="33"/>
      <c r="AK78" s="33"/>
      <c r="AL78" s="33"/>
    </row>
    <row r="79" ht="22.5" customHeight="1">
      <c r="A79" s="169">
        <v>1948.0</v>
      </c>
      <c r="B79" s="169">
        <v>10.0</v>
      </c>
      <c r="C79" s="169">
        <v>2087.1</v>
      </c>
      <c r="D79" s="169">
        <v>19.6</v>
      </c>
      <c r="E79" s="169">
        <v>173.9</v>
      </c>
      <c r="F79" s="169">
        <v>1.6</v>
      </c>
      <c r="G79" s="169">
        <v>149.8</v>
      </c>
      <c r="H79" s="169">
        <v>311.6</v>
      </c>
      <c r="I79" s="169">
        <v>48.1</v>
      </c>
      <c r="J79" s="169">
        <v>2087.1</v>
      </c>
      <c r="K79" s="169">
        <v>19.6</v>
      </c>
      <c r="L79" s="169">
        <v>6.3</v>
      </c>
      <c r="M79" s="169">
        <v>23.2</v>
      </c>
      <c r="N79" s="169">
        <v>7.4</v>
      </c>
      <c r="O79" s="169">
        <v>7.3</v>
      </c>
      <c r="P79" s="169">
        <v>5.2</v>
      </c>
      <c r="Q79" s="169">
        <v>15.1</v>
      </c>
      <c r="R79" s="169">
        <v>173.9</v>
      </c>
      <c r="S79" s="169">
        <v>62.4</v>
      </c>
      <c r="T79" s="170"/>
      <c r="U79" s="170"/>
      <c r="V79" s="170"/>
      <c r="W79" s="170"/>
      <c r="X79" s="170"/>
      <c r="Y79" s="33"/>
      <c r="Z79" s="33"/>
      <c r="AA79" s="33"/>
      <c r="AB79" s="33"/>
      <c r="AC79" s="33"/>
      <c r="AD79" s="33"/>
      <c r="AE79" s="33"/>
      <c r="AF79" s="33"/>
      <c r="AG79" s="33"/>
      <c r="AH79" s="33"/>
      <c r="AI79" s="33"/>
      <c r="AJ79" s="33"/>
      <c r="AK79" s="33"/>
      <c r="AL79" s="33"/>
    </row>
    <row r="80" ht="22.5" customHeight="1">
      <c r="A80" s="169">
        <v>1947.0</v>
      </c>
      <c r="B80" s="169">
        <v>10.0</v>
      </c>
      <c r="C80" s="169">
        <v>2167.0</v>
      </c>
      <c r="D80" s="169">
        <v>18.8</v>
      </c>
      <c r="E80" s="169">
        <v>180.6</v>
      </c>
      <c r="F80" s="169">
        <v>1.6</v>
      </c>
      <c r="G80" s="169">
        <v>140.6</v>
      </c>
      <c r="H80" s="169">
        <v>299.1</v>
      </c>
      <c r="I80" s="169">
        <v>47.0</v>
      </c>
      <c r="J80" s="169">
        <v>2167.0</v>
      </c>
      <c r="K80" s="169">
        <v>18.8</v>
      </c>
      <c r="L80" s="169">
        <v>6.3</v>
      </c>
      <c r="M80" s="169">
        <v>25.0</v>
      </c>
      <c r="N80" s="169">
        <v>8.4</v>
      </c>
      <c r="O80" s="169">
        <v>7.9</v>
      </c>
      <c r="P80" s="169">
        <v>5.4</v>
      </c>
      <c r="Q80" s="169">
        <v>16.7</v>
      </c>
      <c r="R80" s="169">
        <v>180.6</v>
      </c>
      <c r="S80" s="169">
        <v>60.1</v>
      </c>
      <c r="T80" s="170"/>
      <c r="U80" s="170"/>
      <c r="V80" s="170"/>
      <c r="W80" s="170"/>
      <c r="X80" s="170"/>
      <c r="Y80" s="33"/>
      <c r="Z80" s="33"/>
      <c r="AA80" s="33"/>
      <c r="AB80" s="33"/>
      <c r="AC80" s="33"/>
      <c r="AD80" s="33"/>
      <c r="AE80" s="33"/>
      <c r="AF80" s="33"/>
      <c r="AG80" s="33"/>
      <c r="AH80" s="33"/>
      <c r="AI80" s="33"/>
      <c r="AJ80" s="33"/>
      <c r="AK80" s="33"/>
      <c r="AL80" s="33"/>
    </row>
    <row r="81" ht="22.5" customHeight="1">
      <c r="A81" s="169">
        <v>1946.0</v>
      </c>
      <c r="B81" s="169">
        <v>10.0</v>
      </c>
      <c r="C81" s="169">
        <v>1573.6</v>
      </c>
      <c r="D81" s="169">
        <v>12.6</v>
      </c>
      <c r="E81" s="169">
        <v>143.1</v>
      </c>
      <c r="F81" s="169">
        <v>1.1</v>
      </c>
      <c r="G81" s="169">
        <v>104.9</v>
      </c>
      <c r="H81" s="169">
        <v>234.1</v>
      </c>
      <c r="I81" s="169">
        <v>44.8</v>
      </c>
      <c r="J81" s="169">
        <v>1573.6</v>
      </c>
      <c r="K81" s="169">
        <v>12.6</v>
      </c>
      <c r="L81" s="169">
        <v>5.4</v>
      </c>
      <c r="M81" s="169">
        <v>21.2</v>
      </c>
      <c r="N81" s="169">
        <v>9.1</v>
      </c>
      <c r="O81" s="169">
        <v>6.7</v>
      </c>
      <c r="P81" s="169">
        <v>3.7</v>
      </c>
      <c r="Q81" s="169">
        <v>15.0</v>
      </c>
      <c r="R81" s="169">
        <v>143.1</v>
      </c>
      <c r="S81" s="169">
        <v>47.6</v>
      </c>
      <c r="T81" s="170"/>
      <c r="U81" s="170"/>
      <c r="V81" s="170"/>
      <c r="W81" s="170"/>
      <c r="X81" s="170"/>
      <c r="Y81" s="33"/>
      <c r="Z81" s="33"/>
      <c r="AA81" s="33"/>
      <c r="AB81" s="33"/>
      <c r="AC81" s="33"/>
      <c r="AD81" s="33"/>
      <c r="AE81" s="33"/>
      <c r="AF81" s="33"/>
      <c r="AG81" s="33"/>
      <c r="AH81" s="33"/>
      <c r="AI81" s="33"/>
      <c r="AJ81" s="33"/>
      <c r="AK81" s="33"/>
      <c r="AL81" s="33"/>
    </row>
    <row r="82" ht="22.5" customHeight="1">
      <c r="A82" s="169">
        <v>1945.0</v>
      </c>
      <c r="B82" s="169">
        <v>10.0</v>
      </c>
      <c r="C82" s="169">
        <v>1437.7</v>
      </c>
      <c r="D82" s="169">
        <v>10.9</v>
      </c>
      <c r="E82" s="169">
        <v>143.8</v>
      </c>
      <c r="F82" s="169">
        <v>1.1</v>
      </c>
      <c r="G82" s="169">
        <v>96.1</v>
      </c>
      <c r="H82" s="169">
        <v>210.7</v>
      </c>
      <c r="I82" s="169">
        <v>45.6</v>
      </c>
      <c r="J82" s="169">
        <v>1437.7</v>
      </c>
      <c r="K82" s="169">
        <v>10.9</v>
      </c>
      <c r="L82" s="169">
        <v>5.2</v>
      </c>
      <c r="M82" s="169">
        <v>19.3</v>
      </c>
      <c r="N82" s="169">
        <v>9.2</v>
      </c>
      <c r="O82" s="169">
        <v>6.8</v>
      </c>
      <c r="P82" s="169">
        <v>3.7</v>
      </c>
      <c r="Q82" s="169">
        <v>15.0</v>
      </c>
      <c r="R82" s="169">
        <v>143.8</v>
      </c>
      <c r="S82" s="169">
        <v>47.6</v>
      </c>
      <c r="T82" s="170"/>
      <c r="U82" s="170"/>
      <c r="V82" s="170"/>
      <c r="W82" s="170"/>
      <c r="X82" s="170"/>
      <c r="Y82" s="33"/>
      <c r="Z82" s="33"/>
      <c r="AA82" s="33"/>
      <c r="AB82" s="33"/>
      <c r="AC82" s="33"/>
      <c r="AD82" s="33"/>
      <c r="AE82" s="33"/>
      <c r="AF82" s="33"/>
      <c r="AG82" s="33"/>
      <c r="AH82" s="33"/>
      <c r="AI82" s="33"/>
      <c r="AJ82" s="33"/>
      <c r="AK82" s="33"/>
      <c r="AL82" s="33"/>
    </row>
    <row r="83" ht="22.5" customHeight="1">
      <c r="A83" s="169">
        <v>1944.0</v>
      </c>
      <c r="B83" s="169">
        <v>11.0</v>
      </c>
      <c r="C83" s="169">
        <v>1175.0</v>
      </c>
      <c r="D83" s="169">
        <v>10.6</v>
      </c>
      <c r="E83" s="169">
        <v>129.3</v>
      </c>
      <c r="F83" s="169">
        <v>1.2</v>
      </c>
      <c r="G83" s="169">
        <v>82.4</v>
      </c>
      <c r="H83" s="169">
        <v>192.2</v>
      </c>
      <c r="I83" s="169">
        <v>42.9</v>
      </c>
      <c r="J83" s="169">
        <v>1175.0</v>
      </c>
      <c r="K83" s="169">
        <v>10.6</v>
      </c>
      <c r="L83" s="169">
        <v>5.5</v>
      </c>
      <c r="M83" s="169">
        <v>21.3</v>
      </c>
      <c r="N83" s="169">
        <v>11.1</v>
      </c>
      <c r="O83" s="169">
        <v>6.1</v>
      </c>
      <c r="P83" s="169">
        <v>2.2</v>
      </c>
      <c r="Q83" s="169">
        <v>14.3</v>
      </c>
      <c r="R83" s="169">
        <v>129.3</v>
      </c>
      <c r="S83" s="169">
        <v>42.1</v>
      </c>
      <c r="T83" s="170"/>
      <c r="U83" s="170"/>
      <c r="V83" s="170"/>
      <c r="W83" s="170"/>
      <c r="X83" s="170"/>
      <c r="Y83" s="33"/>
      <c r="Z83" s="33"/>
      <c r="AA83" s="33"/>
      <c r="AB83" s="33"/>
      <c r="AC83" s="33"/>
      <c r="AD83" s="33"/>
      <c r="AE83" s="33"/>
      <c r="AF83" s="33"/>
      <c r="AG83" s="33"/>
      <c r="AH83" s="33"/>
      <c r="AI83" s="33"/>
      <c r="AJ83" s="33"/>
      <c r="AK83" s="33"/>
      <c r="AL83" s="33"/>
    </row>
    <row r="84" ht="22.5" customHeight="1">
      <c r="A84" s="169">
        <v>1943.0</v>
      </c>
      <c r="B84" s="169">
        <v>10.0</v>
      </c>
      <c r="C84" s="169">
        <v>1130.8</v>
      </c>
      <c r="D84" s="169">
        <v>11.4</v>
      </c>
      <c r="E84" s="169">
        <v>141.4</v>
      </c>
      <c r="F84" s="169">
        <v>1.4</v>
      </c>
      <c r="G84" s="169">
        <v>76.9</v>
      </c>
      <c r="H84" s="169">
        <v>173.2</v>
      </c>
      <c r="I84" s="169">
        <v>44.4</v>
      </c>
      <c r="J84" s="169">
        <v>1130.8</v>
      </c>
      <c r="K84" s="169">
        <v>11.4</v>
      </c>
      <c r="L84" s="169">
        <v>6.6</v>
      </c>
      <c r="M84" s="169">
        <v>18.2</v>
      </c>
      <c r="N84" s="169">
        <v>10.5</v>
      </c>
      <c r="O84" s="169">
        <v>6.5</v>
      </c>
      <c r="P84" s="169">
        <v>3.1</v>
      </c>
      <c r="Q84" s="169">
        <v>14.7</v>
      </c>
      <c r="R84" s="169">
        <v>141.4</v>
      </c>
      <c r="S84" s="169">
        <v>48.6</v>
      </c>
      <c r="T84" s="170"/>
      <c r="U84" s="170"/>
      <c r="V84" s="170"/>
      <c r="W84" s="170"/>
      <c r="X84" s="170"/>
      <c r="Y84" s="33"/>
      <c r="Z84" s="33"/>
      <c r="AA84" s="33"/>
      <c r="AB84" s="33"/>
      <c r="AC84" s="33"/>
      <c r="AD84" s="33"/>
      <c r="AE84" s="33"/>
      <c r="AF84" s="33"/>
      <c r="AG84" s="33"/>
      <c r="AH84" s="33"/>
      <c r="AI84" s="33"/>
      <c r="AJ84" s="33"/>
      <c r="AK84" s="33"/>
      <c r="AL84" s="33"/>
    </row>
    <row r="85" ht="22.5" customHeight="1">
      <c r="A85" s="169">
        <v>1942.0</v>
      </c>
      <c r="B85" s="169">
        <v>10.0</v>
      </c>
      <c r="C85" s="169">
        <v>1361.8</v>
      </c>
      <c r="D85" s="169">
        <v>10.8</v>
      </c>
      <c r="E85" s="169">
        <v>123.8</v>
      </c>
      <c r="F85" s="169">
        <v>1.0</v>
      </c>
      <c r="G85" s="169">
        <v>98.6</v>
      </c>
      <c r="H85" s="169">
        <v>224.9</v>
      </c>
      <c r="I85" s="169">
        <v>43.8</v>
      </c>
      <c r="J85" s="169">
        <v>1361.8</v>
      </c>
      <c r="K85" s="169">
        <v>10.8</v>
      </c>
      <c r="L85" s="169">
        <v>4.8</v>
      </c>
      <c r="M85" s="169">
        <v>21.9</v>
      </c>
      <c r="N85" s="169">
        <v>9.7</v>
      </c>
      <c r="O85" s="169">
        <v>6.1</v>
      </c>
      <c r="P85" s="169">
        <v>2.6</v>
      </c>
      <c r="Q85" s="169">
        <v>13.8</v>
      </c>
      <c r="R85" s="169">
        <v>123.8</v>
      </c>
      <c r="S85" s="169">
        <v>40.3</v>
      </c>
      <c r="T85" s="170"/>
      <c r="U85" s="170"/>
      <c r="V85" s="170"/>
      <c r="W85" s="170"/>
      <c r="X85" s="170"/>
      <c r="Y85" s="33"/>
      <c r="Z85" s="33"/>
      <c r="AA85" s="33"/>
      <c r="AB85" s="33"/>
      <c r="AC85" s="33"/>
      <c r="AD85" s="33"/>
      <c r="AE85" s="33"/>
      <c r="AF85" s="33"/>
      <c r="AG85" s="33"/>
      <c r="AH85" s="33"/>
      <c r="AI85" s="33"/>
      <c r="AJ85" s="33"/>
      <c r="AK85" s="33"/>
      <c r="AL85" s="33"/>
    </row>
    <row r="86" ht="22.5" customHeight="1">
      <c r="A86" s="169">
        <v>1941.0</v>
      </c>
      <c r="B86" s="169">
        <v>10.0</v>
      </c>
      <c r="C86" s="169">
        <v>1339.7</v>
      </c>
      <c r="D86" s="169">
        <v>9.9</v>
      </c>
      <c r="E86" s="169">
        <v>121.8</v>
      </c>
      <c r="F86" s="169">
        <v>0.9</v>
      </c>
      <c r="G86" s="169">
        <v>97.8</v>
      </c>
      <c r="H86" s="169">
        <v>221.0</v>
      </c>
      <c r="I86" s="169">
        <v>44.3</v>
      </c>
      <c r="J86" s="169">
        <v>1339.7</v>
      </c>
      <c r="K86" s="169">
        <v>9.9</v>
      </c>
      <c r="L86" s="169">
        <v>4.5</v>
      </c>
      <c r="M86" s="169">
        <v>22.0</v>
      </c>
      <c r="N86" s="169">
        <v>10.0</v>
      </c>
      <c r="O86" s="169">
        <v>6.1</v>
      </c>
      <c r="P86" s="169">
        <v>2.5</v>
      </c>
      <c r="Q86" s="169">
        <v>13.7</v>
      </c>
      <c r="R86" s="169">
        <v>121.8</v>
      </c>
      <c r="S86" s="169">
        <v>39.6</v>
      </c>
      <c r="T86" s="170"/>
      <c r="U86" s="170"/>
      <c r="V86" s="170"/>
      <c r="W86" s="170"/>
      <c r="X86" s="170"/>
      <c r="Y86" s="33"/>
      <c r="Z86" s="33"/>
      <c r="AA86" s="33"/>
      <c r="AB86" s="33"/>
      <c r="AC86" s="33"/>
      <c r="AD86" s="33"/>
      <c r="AE86" s="33"/>
      <c r="AF86" s="33"/>
      <c r="AG86" s="33"/>
      <c r="AH86" s="33"/>
      <c r="AI86" s="33"/>
      <c r="AJ86" s="33"/>
      <c r="AK86" s="33"/>
      <c r="AL86" s="33"/>
    </row>
    <row r="87" ht="22.5" customHeight="1">
      <c r="A87" s="169">
        <v>1940.0</v>
      </c>
      <c r="B87" s="169">
        <v>10.0</v>
      </c>
      <c r="C87" s="169">
        <v>1378.8</v>
      </c>
      <c r="D87" s="169">
        <v>10.0</v>
      </c>
      <c r="E87" s="169">
        <v>125.3</v>
      </c>
      <c r="F87" s="169">
        <v>0.9</v>
      </c>
      <c r="G87" s="169">
        <v>96.8</v>
      </c>
      <c r="H87" s="169">
        <v>225.4</v>
      </c>
      <c r="I87" s="169">
        <v>42.9</v>
      </c>
      <c r="J87" s="169">
        <v>1378.8</v>
      </c>
      <c r="K87" s="169">
        <v>10.0</v>
      </c>
      <c r="L87" s="169">
        <v>4.4</v>
      </c>
      <c r="M87" s="169">
        <v>22.3</v>
      </c>
      <c r="N87" s="169">
        <v>9.9</v>
      </c>
      <c r="O87" s="169">
        <v>6.1</v>
      </c>
      <c r="P87" s="169">
        <v>2.6</v>
      </c>
      <c r="Q87" s="169">
        <v>14.2</v>
      </c>
      <c r="R87" s="169">
        <v>125.3</v>
      </c>
      <c r="S87" s="169">
        <v>38.6</v>
      </c>
      <c r="T87" s="170"/>
      <c r="U87" s="170"/>
      <c r="V87" s="170"/>
      <c r="W87" s="170"/>
      <c r="X87" s="170"/>
      <c r="Y87" s="33"/>
      <c r="Z87" s="33"/>
      <c r="AA87" s="33"/>
      <c r="AB87" s="33"/>
      <c r="AC87" s="33"/>
      <c r="AD87" s="33"/>
      <c r="AE87" s="33"/>
      <c r="AF87" s="33"/>
      <c r="AG87" s="33"/>
      <c r="AH87" s="33"/>
      <c r="AI87" s="33"/>
      <c r="AJ87" s="33"/>
      <c r="AK87" s="33"/>
      <c r="AL87" s="33"/>
    </row>
    <row r="88" ht="22.5" customHeight="1">
      <c r="A88" s="169">
        <v>1939.0</v>
      </c>
      <c r="B88" s="169">
        <v>10.0</v>
      </c>
      <c r="C88" s="169">
        <v>1416.8</v>
      </c>
      <c r="D88" s="169">
        <v>9.9</v>
      </c>
      <c r="E88" s="169">
        <v>128.8</v>
      </c>
      <c r="F88" s="169">
        <v>0.9</v>
      </c>
      <c r="G88" s="169">
        <v>95.2</v>
      </c>
      <c r="H88" s="169">
        <v>223.8</v>
      </c>
      <c r="I88" s="169">
        <v>42.5</v>
      </c>
      <c r="J88" s="169">
        <v>1416.8</v>
      </c>
      <c r="K88" s="169">
        <v>9.9</v>
      </c>
      <c r="L88" s="169">
        <v>4.4</v>
      </c>
      <c r="M88" s="169">
        <v>20.9</v>
      </c>
      <c r="N88" s="169">
        <v>9.3</v>
      </c>
      <c r="O88" s="169">
        <v>6.3</v>
      </c>
      <c r="P88" s="169">
        <v>3.0</v>
      </c>
      <c r="Q88" s="169">
        <v>14.9</v>
      </c>
      <c r="R88" s="169">
        <v>128.8</v>
      </c>
      <c r="S88" s="169">
        <v>39.7</v>
      </c>
      <c r="T88" s="170"/>
      <c r="U88" s="170"/>
      <c r="V88" s="170"/>
      <c r="W88" s="170"/>
      <c r="X88" s="170"/>
      <c r="Y88" s="33"/>
      <c r="Z88" s="33"/>
      <c r="AA88" s="33"/>
      <c r="AB88" s="33"/>
      <c r="AC88" s="33"/>
      <c r="AD88" s="33"/>
      <c r="AE88" s="33"/>
      <c r="AF88" s="33"/>
      <c r="AG88" s="33"/>
      <c r="AH88" s="33"/>
      <c r="AI88" s="33"/>
      <c r="AJ88" s="33"/>
      <c r="AK88" s="33"/>
      <c r="AL88" s="33"/>
    </row>
    <row r="89" ht="22.5" customHeight="1">
      <c r="A89" s="169">
        <v>1938.0</v>
      </c>
      <c r="B89" s="169">
        <v>10.0</v>
      </c>
      <c r="C89" s="169">
        <v>1164.1</v>
      </c>
      <c r="D89" s="169">
        <v>9.3</v>
      </c>
      <c r="E89" s="169">
        <v>105.8</v>
      </c>
      <c r="F89" s="169">
        <v>0.8</v>
      </c>
      <c r="G89" s="169">
        <v>82.4</v>
      </c>
      <c r="H89" s="169">
        <v>203.0</v>
      </c>
      <c r="I89" s="169">
        <v>40.6</v>
      </c>
      <c r="J89" s="169">
        <v>1164.1</v>
      </c>
      <c r="K89" s="169">
        <v>9.3</v>
      </c>
      <c r="L89" s="169">
        <v>4.6</v>
      </c>
      <c r="M89" s="169">
        <v>22.1</v>
      </c>
      <c r="N89" s="169">
        <v>10.9</v>
      </c>
      <c r="O89" s="169">
        <v>5.7</v>
      </c>
      <c r="P89" s="169">
        <v>1.8</v>
      </c>
      <c r="Q89" s="169">
        <v>14.1</v>
      </c>
      <c r="R89" s="169">
        <v>105.8</v>
      </c>
      <c r="S89" s="169">
        <v>35.5</v>
      </c>
      <c r="T89" s="170"/>
      <c r="U89" s="170"/>
      <c r="V89" s="170"/>
      <c r="W89" s="170"/>
      <c r="X89" s="170"/>
      <c r="Y89" s="33"/>
      <c r="Z89" s="33"/>
      <c r="AA89" s="33"/>
      <c r="AB89" s="33"/>
      <c r="AC89" s="33"/>
      <c r="AD89" s="33"/>
      <c r="AE89" s="33"/>
      <c r="AF89" s="33"/>
      <c r="AG89" s="33"/>
      <c r="AH89" s="33"/>
      <c r="AI89" s="33"/>
      <c r="AJ89" s="33"/>
      <c r="AK89" s="33"/>
      <c r="AL89" s="33"/>
    </row>
    <row r="90" ht="22.5" customHeight="1">
      <c r="A90" s="169">
        <v>1937.0</v>
      </c>
      <c r="B90" s="169">
        <v>10.0</v>
      </c>
      <c r="C90" s="169">
        <v>1022.7</v>
      </c>
      <c r="D90" s="169">
        <v>9.0</v>
      </c>
      <c r="E90" s="169">
        <v>93.0</v>
      </c>
      <c r="F90" s="169">
        <v>0.8</v>
      </c>
      <c r="G90" s="169">
        <v>69.7</v>
      </c>
      <c r="H90" s="169">
        <v>181.5</v>
      </c>
      <c r="I90" s="169">
        <v>38.4</v>
      </c>
      <c r="J90" s="169">
        <v>1022.7</v>
      </c>
      <c r="K90" s="169">
        <v>9.0</v>
      </c>
      <c r="L90" s="169">
        <v>5.0</v>
      </c>
      <c r="M90" s="169">
        <v>20.6</v>
      </c>
      <c r="N90" s="169">
        <v>11.3</v>
      </c>
      <c r="O90" s="169">
        <v>5.6</v>
      </c>
      <c r="P90" s="169">
        <v>1.5</v>
      </c>
      <c r="Q90" s="169">
        <v>14.7</v>
      </c>
      <c r="R90" s="169">
        <v>93.0</v>
      </c>
      <c r="S90" s="169">
        <v>34.5</v>
      </c>
      <c r="T90" s="170"/>
      <c r="U90" s="170"/>
      <c r="V90" s="170"/>
      <c r="W90" s="170"/>
      <c r="X90" s="170"/>
      <c r="Y90" s="33"/>
      <c r="Z90" s="33"/>
      <c r="AA90" s="33"/>
      <c r="AB90" s="33"/>
      <c r="AC90" s="33"/>
      <c r="AD90" s="33"/>
      <c r="AE90" s="33"/>
      <c r="AF90" s="33"/>
      <c r="AG90" s="33"/>
      <c r="AH90" s="33"/>
      <c r="AI90" s="33"/>
      <c r="AJ90" s="33"/>
      <c r="AK90" s="33"/>
      <c r="AL90" s="33"/>
    </row>
    <row r="91" ht="22.5" customHeight="1">
      <c r="A91" s="169">
        <v>1936.0</v>
      </c>
      <c r="B91" s="169">
        <v>9.0</v>
      </c>
      <c r="C91" s="169">
        <v>995.6</v>
      </c>
      <c r="D91" s="169">
        <v>7.4</v>
      </c>
      <c r="E91" s="169">
        <v>83.0</v>
      </c>
      <c r="F91" s="169">
        <v>0.6</v>
      </c>
      <c r="G91" s="169">
        <v>67.1</v>
      </c>
      <c r="H91" s="169">
        <v>184.0</v>
      </c>
      <c r="I91" s="169">
        <v>36.5</v>
      </c>
      <c r="J91" s="169">
        <v>995.6</v>
      </c>
      <c r="K91" s="169">
        <v>7.4</v>
      </c>
      <c r="L91" s="169">
        <v>4.0</v>
      </c>
      <c r="M91" s="169">
        <v>24.0</v>
      </c>
      <c r="N91" s="169">
        <v>13.0</v>
      </c>
      <c r="O91" s="169">
        <v>5.4</v>
      </c>
      <c r="P91" s="169">
        <v>0.4</v>
      </c>
      <c r="Q91" s="169">
        <v>14.8</v>
      </c>
      <c r="R91" s="169">
        <v>83.0</v>
      </c>
      <c r="S91" s="169">
        <v>28.9</v>
      </c>
      <c r="T91" s="170"/>
      <c r="U91" s="170"/>
      <c r="V91" s="170"/>
      <c r="W91" s="170"/>
      <c r="X91" s="170"/>
      <c r="Y91" s="33"/>
      <c r="Z91" s="33"/>
      <c r="AA91" s="33"/>
      <c r="AB91" s="33"/>
      <c r="AC91" s="33"/>
      <c r="AD91" s="33"/>
      <c r="AE91" s="33"/>
      <c r="AF91" s="33"/>
      <c r="AG91" s="33"/>
      <c r="AH91" s="33"/>
      <c r="AI91" s="33"/>
      <c r="AJ91" s="33"/>
      <c r="AK91" s="33"/>
      <c r="AL91" s="33"/>
    </row>
    <row r="92" ht="22.5" customHeight="1">
      <c r="A92" s="169">
        <v>1935.0</v>
      </c>
      <c r="B92" s="169">
        <v>9.0</v>
      </c>
      <c r="C92" s="169">
        <v>939.2</v>
      </c>
      <c r="D92" s="169">
        <v>7.1</v>
      </c>
      <c r="E92" s="169">
        <v>79.7</v>
      </c>
      <c r="F92" s="169">
        <v>0.6</v>
      </c>
      <c r="G92" s="169">
        <v>61.3</v>
      </c>
      <c r="H92" s="169">
        <v>181.1</v>
      </c>
      <c r="I92" s="169">
        <v>33.9</v>
      </c>
      <c r="J92" s="169">
        <v>939.2</v>
      </c>
      <c r="K92" s="169">
        <v>7.1</v>
      </c>
      <c r="L92" s="169">
        <v>3.9</v>
      </c>
      <c r="M92" s="169">
        <v>26.4</v>
      </c>
      <c r="N92" s="169">
        <v>14.6</v>
      </c>
      <c r="O92" s="169">
        <v>5.2</v>
      </c>
      <c r="P92" s="169">
        <v>-0.6</v>
      </c>
      <c r="Q92" s="169">
        <v>15.3</v>
      </c>
      <c r="R92" s="169">
        <v>79.7</v>
      </c>
      <c r="S92" s="169">
        <v>25.4</v>
      </c>
      <c r="T92" s="170"/>
      <c r="U92" s="170"/>
      <c r="V92" s="170"/>
      <c r="W92" s="170"/>
      <c r="X92" s="170"/>
      <c r="Y92" s="33"/>
      <c r="Z92" s="33"/>
      <c r="AA92" s="33"/>
      <c r="AB92" s="33"/>
      <c r="AC92" s="33"/>
      <c r="AD92" s="33"/>
      <c r="AE92" s="33"/>
      <c r="AF92" s="33"/>
      <c r="AG92" s="33"/>
      <c r="AH92" s="33"/>
      <c r="AI92" s="33"/>
      <c r="AJ92" s="33"/>
      <c r="AK92" s="33"/>
      <c r="AL92" s="33"/>
    </row>
    <row r="93" ht="22.5" customHeight="1">
      <c r="A93" s="169">
        <v>1934.0</v>
      </c>
      <c r="B93" s="169">
        <v>11.0</v>
      </c>
      <c r="C93" s="169">
        <v>647.0</v>
      </c>
      <c r="D93" s="169">
        <v>5.1</v>
      </c>
      <c r="E93" s="169">
        <v>59.3</v>
      </c>
      <c r="F93" s="169">
        <v>0.5</v>
      </c>
      <c r="G93" s="169">
        <v>45.9</v>
      </c>
      <c r="H93" s="169">
        <v>146.0</v>
      </c>
      <c r="I93" s="169">
        <v>31.4</v>
      </c>
      <c r="J93" s="169">
        <v>647.0</v>
      </c>
      <c r="K93" s="169">
        <v>5.1</v>
      </c>
      <c r="L93" s="169">
        <v>3.5</v>
      </c>
      <c r="M93" s="169">
        <v>18.7</v>
      </c>
      <c r="N93" s="169">
        <v>12.8</v>
      </c>
      <c r="O93" s="169">
        <v>4.4</v>
      </c>
      <c r="P93" s="169">
        <v>-0.6</v>
      </c>
      <c r="Q93" s="169">
        <v>14.1</v>
      </c>
      <c r="R93" s="169">
        <v>59.3</v>
      </c>
      <c r="S93" s="169">
        <v>18.8</v>
      </c>
      <c r="T93" s="170"/>
      <c r="U93" s="170"/>
      <c r="V93" s="170"/>
      <c r="W93" s="170"/>
      <c r="X93" s="170"/>
      <c r="Y93" s="33"/>
      <c r="Z93" s="33"/>
      <c r="AA93" s="33"/>
      <c r="AB93" s="33"/>
      <c r="AC93" s="33"/>
      <c r="AD93" s="33"/>
      <c r="AE93" s="33"/>
      <c r="AF93" s="33"/>
      <c r="AG93" s="33"/>
      <c r="AH93" s="33"/>
      <c r="AI93" s="33"/>
      <c r="AJ93" s="33"/>
      <c r="AK93" s="33"/>
      <c r="AL93" s="33"/>
    </row>
    <row r="94" ht="22.5" customHeight="1">
      <c r="A94" s="169">
        <v>1933.0</v>
      </c>
      <c r="B94" s="169">
        <v>10.0</v>
      </c>
      <c r="C94" s="169">
        <v>887.8</v>
      </c>
      <c r="D94" s="169">
        <v>5.7</v>
      </c>
      <c r="E94" s="169">
        <v>77.9</v>
      </c>
      <c r="F94" s="169">
        <v>0.5</v>
      </c>
      <c r="G94" s="169">
        <v>57.6</v>
      </c>
      <c r="H94" s="169">
        <v>163.1</v>
      </c>
      <c r="I94" s="169">
        <v>35.3</v>
      </c>
      <c r="J94" s="169">
        <v>887.8</v>
      </c>
      <c r="K94" s="169">
        <v>5.7</v>
      </c>
      <c r="L94" s="169">
        <v>3.5</v>
      </c>
      <c r="M94" s="169">
        <v>24.9</v>
      </c>
      <c r="N94" s="169">
        <v>15.3</v>
      </c>
      <c r="O94" s="169">
        <v>5.4</v>
      </c>
      <c r="P94" s="169">
        <v>-0.7</v>
      </c>
      <c r="Q94" s="169">
        <v>15.4</v>
      </c>
      <c r="R94" s="169">
        <v>77.9</v>
      </c>
      <c r="S94" s="169">
        <v>26.3</v>
      </c>
      <c r="T94" s="170"/>
      <c r="U94" s="170"/>
      <c r="V94" s="170"/>
      <c r="W94" s="170"/>
      <c r="X94" s="170"/>
      <c r="Y94" s="33"/>
      <c r="Z94" s="33"/>
      <c r="AA94" s="33"/>
      <c r="AB94" s="33"/>
      <c r="AC94" s="33"/>
      <c r="AD94" s="33"/>
      <c r="AE94" s="33"/>
      <c r="AF94" s="33"/>
      <c r="AG94" s="33"/>
      <c r="AH94" s="33"/>
      <c r="AI94" s="33"/>
      <c r="AJ94" s="33"/>
      <c r="AK94" s="33"/>
      <c r="AL94" s="33"/>
    </row>
    <row r="95" ht="22.5" customHeight="1">
      <c r="A95" s="169">
        <v>1932.0</v>
      </c>
      <c r="B95" s="169">
        <v>8.0</v>
      </c>
      <c r="C95" s="169">
        <v>662.5</v>
      </c>
      <c r="D95" s="169">
        <v>5.3</v>
      </c>
      <c r="E95" s="169">
        <v>55.2</v>
      </c>
      <c r="F95" s="169">
        <v>0.4</v>
      </c>
      <c r="G95" s="169">
        <v>46.5</v>
      </c>
      <c r="H95" s="169">
        <v>130.5</v>
      </c>
      <c r="I95" s="169">
        <v>35.6</v>
      </c>
      <c r="J95" s="169">
        <v>662.5</v>
      </c>
      <c r="K95" s="169">
        <v>5.3</v>
      </c>
      <c r="L95" s="169">
        <v>4.0</v>
      </c>
      <c r="M95" s="169">
        <v>12.3</v>
      </c>
      <c r="N95" s="169">
        <v>9.4</v>
      </c>
      <c r="O95" s="169">
        <v>5.1</v>
      </c>
      <c r="P95" s="169">
        <v>1.7</v>
      </c>
      <c r="Q95" s="169">
        <v>14.2</v>
      </c>
      <c r="R95" s="169">
        <v>55.2</v>
      </c>
      <c r="S95" s="169">
        <v>27.2</v>
      </c>
      <c r="T95" s="170"/>
      <c r="U95" s="170"/>
      <c r="V95" s="170"/>
      <c r="W95" s="170"/>
      <c r="X95" s="170"/>
      <c r="Y95" s="33"/>
      <c r="Z95" s="33"/>
      <c r="AA95" s="33"/>
      <c r="AB95" s="33"/>
      <c r="AC95" s="33"/>
      <c r="AD95" s="33"/>
      <c r="AE95" s="33"/>
      <c r="AF95" s="33"/>
      <c r="AG95" s="33"/>
      <c r="AH95" s="33"/>
      <c r="AI95" s="33"/>
      <c r="AJ95" s="33"/>
      <c r="AK95" s="33"/>
      <c r="AL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row>
  </sheetData>
  <dataValidations>
    <dataValidation type="custom" allowBlank="1" showDropDown="1" sqref="A2:X95">
      <formula1>AND(ISNUMBER(A2),(NOT(OR(NOT(ISERROR(DATEVALUE(A2))), AND(ISNUMBER(A2), LEFT(CELL("format", A2))="D")))))</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Row="1"/>
  <cols>
    <col customWidth="1" min="1" max="1" width="18.63"/>
    <col hidden="1" min="3" max="4" width="12.63"/>
    <col customWidth="1" min="9" max="9" width="17.75"/>
    <col customWidth="1" min="10" max="10" width="22.88"/>
    <col customWidth="1" min="11" max="11" width="21.13"/>
    <col customWidth="1" min="12" max="12" width="26.38"/>
  </cols>
  <sheetData>
    <row r="1">
      <c r="A1" s="171" t="s">
        <v>39</v>
      </c>
      <c r="B1" s="172" t="s">
        <v>348</v>
      </c>
      <c r="C1" s="172" t="s">
        <v>349</v>
      </c>
      <c r="D1" s="172" t="s">
        <v>350</v>
      </c>
      <c r="E1" s="172" t="s">
        <v>351</v>
      </c>
      <c r="F1" s="172" t="s">
        <v>352</v>
      </c>
      <c r="G1" s="172" t="s">
        <v>353</v>
      </c>
      <c r="H1" s="172" t="s">
        <v>354</v>
      </c>
      <c r="I1" s="172" t="s">
        <v>355</v>
      </c>
      <c r="J1" s="172" t="s">
        <v>356</v>
      </c>
      <c r="K1" s="172" t="s">
        <v>272</v>
      </c>
      <c r="L1" s="172" t="s">
        <v>357</v>
      </c>
      <c r="M1" s="172" t="s">
        <v>358</v>
      </c>
      <c r="N1" s="172" t="s">
        <v>359</v>
      </c>
      <c r="O1" s="172" t="s">
        <v>360</v>
      </c>
      <c r="P1" s="172" t="s">
        <v>330</v>
      </c>
      <c r="Q1" s="172" t="s">
        <v>331</v>
      </c>
      <c r="R1" s="172" t="s">
        <v>332</v>
      </c>
      <c r="S1" s="172" t="s">
        <v>326</v>
      </c>
      <c r="T1" s="172" t="s">
        <v>327</v>
      </c>
      <c r="U1" s="172" t="s">
        <v>335</v>
      </c>
      <c r="V1" s="172" t="s">
        <v>336</v>
      </c>
      <c r="W1" s="172" t="s">
        <v>337</v>
      </c>
      <c r="X1" s="172" t="s">
        <v>361</v>
      </c>
      <c r="Y1" s="172" t="s">
        <v>362</v>
      </c>
      <c r="Z1" s="172" t="s">
        <v>363</v>
      </c>
      <c r="AA1" s="172" t="s">
        <v>338</v>
      </c>
      <c r="AB1" s="172" t="s">
        <v>339</v>
      </c>
      <c r="AC1" s="172" t="s">
        <v>340</v>
      </c>
      <c r="AD1" s="172" t="s">
        <v>341</v>
      </c>
      <c r="AE1" s="172" t="s">
        <v>342</v>
      </c>
      <c r="AF1" s="172" t="s">
        <v>343</v>
      </c>
      <c r="AG1" s="172" t="s">
        <v>326</v>
      </c>
      <c r="AH1" s="172" t="s">
        <v>345</v>
      </c>
      <c r="AI1" s="172" t="s">
        <v>346</v>
      </c>
      <c r="AJ1" s="172" t="s">
        <v>347</v>
      </c>
      <c r="AK1" s="172" t="s">
        <v>364</v>
      </c>
      <c r="AL1" s="172" t="s">
        <v>365</v>
      </c>
      <c r="AM1" s="172" t="s">
        <v>366</v>
      </c>
      <c r="AN1" s="173"/>
      <c r="AO1" s="174"/>
      <c r="AP1" s="174"/>
      <c r="AQ1" s="174"/>
      <c r="AR1" s="174"/>
      <c r="AS1" s="174"/>
    </row>
    <row r="2" collapsed="1">
      <c r="A2" s="175" t="s">
        <v>51</v>
      </c>
      <c r="B2" s="176" t="s">
        <v>348</v>
      </c>
      <c r="C2" s="177" t="str">
        <f t="array" ref="C2">xlookup(B2,DATA_LEAGUE_AVG!A:A,DATA_LEAGUE_AVG!H:H)</f>
        <v>#N/A</v>
      </c>
      <c r="D2" s="177" t="str">
        <f t="shared" ref="D2:D361" si="1">Q2&gt;=(0.5)*C2</f>
        <v>#N/A</v>
      </c>
      <c r="E2" s="176" t="s">
        <v>351</v>
      </c>
      <c r="F2" s="176" t="s">
        <v>352</v>
      </c>
      <c r="G2" s="176" t="s">
        <v>353</v>
      </c>
      <c r="H2" s="176" t="s">
        <v>354</v>
      </c>
      <c r="I2" s="178" t="s">
        <v>355</v>
      </c>
      <c r="J2" s="178" t="s">
        <v>356</v>
      </c>
      <c r="K2" s="178" t="s">
        <v>272</v>
      </c>
      <c r="L2" s="178" t="s">
        <v>357</v>
      </c>
      <c r="M2" s="176" t="s">
        <v>358</v>
      </c>
      <c r="N2" s="176" t="s">
        <v>359</v>
      </c>
      <c r="O2" s="176" t="s">
        <v>360</v>
      </c>
      <c r="P2" s="176" t="s">
        <v>330</v>
      </c>
      <c r="Q2" s="176" t="s">
        <v>331</v>
      </c>
      <c r="R2" s="176" t="s">
        <v>332</v>
      </c>
      <c r="S2" s="176" t="s">
        <v>326</v>
      </c>
      <c r="T2" s="176" t="s">
        <v>327</v>
      </c>
      <c r="U2" s="176" t="s">
        <v>335</v>
      </c>
      <c r="V2" s="176" t="s">
        <v>336</v>
      </c>
      <c r="W2" s="176" t="s">
        <v>337</v>
      </c>
      <c r="X2" s="176" t="s">
        <v>361</v>
      </c>
      <c r="Y2" s="176" t="s">
        <v>362</v>
      </c>
      <c r="Z2" s="176" t="s">
        <v>363</v>
      </c>
      <c r="AA2" s="176" t="s">
        <v>338</v>
      </c>
      <c r="AB2" s="176" t="s">
        <v>339</v>
      </c>
      <c r="AC2" s="176" t="s">
        <v>340</v>
      </c>
      <c r="AD2" s="176" t="s">
        <v>341</v>
      </c>
      <c r="AE2" s="176" t="s">
        <v>342</v>
      </c>
      <c r="AF2" s="176" t="s">
        <v>343</v>
      </c>
      <c r="AG2" s="176" t="s">
        <v>326</v>
      </c>
      <c r="AH2" s="176" t="s">
        <v>345</v>
      </c>
      <c r="AI2" s="176" t="s">
        <v>346</v>
      </c>
      <c r="AJ2" s="176" t="s">
        <v>347</v>
      </c>
      <c r="AK2" s="176" t="s">
        <v>364</v>
      </c>
      <c r="AL2" s="176" t="s">
        <v>365</v>
      </c>
      <c r="AM2" s="176" t="s">
        <v>366</v>
      </c>
      <c r="AN2" s="176" t="s">
        <v>367</v>
      </c>
      <c r="AO2" s="33"/>
      <c r="AP2" s="33"/>
      <c r="AQ2" s="33"/>
      <c r="AR2" s="33"/>
      <c r="AS2" s="33"/>
    </row>
    <row r="3" hidden="1" outlineLevel="1">
      <c r="A3" s="179" t="s">
        <v>51</v>
      </c>
      <c r="B3" s="176">
        <v>2001.0</v>
      </c>
      <c r="C3" s="180">
        <f t="array" ref="C3">xlookup(B3,DATA_LEAGUE_AVG!A:A,DATA_LEAGUE_AVG!H:H)</f>
        <v>522</v>
      </c>
      <c r="D3" s="177" t="b">
        <f t="shared" si="1"/>
        <v>1</v>
      </c>
      <c r="E3" s="177">
        <v>24.0</v>
      </c>
      <c r="F3" s="181" t="s">
        <v>368</v>
      </c>
      <c r="G3" s="181" t="s">
        <v>369</v>
      </c>
      <c r="H3" s="181" t="s">
        <v>90</v>
      </c>
      <c r="I3" s="180">
        <f t="array" ref="I3">xlookup(B3,DATA_LEAGUE_AVG!A:A,DATA_LEAGUE_AVG!C:C)</f>
        <v>3292.9</v>
      </c>
      <c r="J3" s="180">
        <f t="array" ref="J3">xlookup(B3,DATA_LEAGUE_AVG!A:A,DATA_LEAGUE_AVG!D:D)</f>
        <v>20.5</v>
      </c>
      <c r="K3" s="177">
        <f t="shared" ref="K3:L3" si="2">S3/I3</f>
        <v>0.863372711</v>
      </c>
      <c r="L3" s="177">
        <f t="shared" si="2"/>
        <v>0.8780487805</v>
      </c>
      <c r="M3" s="177">
        <v>15.0</v>
      </c>
      <c r="N3" s="177">
        <v>14.0</v>
      </c>
      <c r="O3" s="182">
        <v>36833.0</v>
      </c>
      <c r="P3" s="177">
        <v>264.0</v>
      </c>
      <c r="Q3" s="177">
        <v>413.0</v>
      </c>
      <c r="R3" s="177">
        <v>63.9</v>
      </c>
      <c r="S3" s="177">
        <v>2843.0</v>
      </c>
      <c r="T3" s="177">
        <v>18.0</v>
      </c>
      <c r="U3" s="177">
        <v>4.4</v>
      </c>
      <c r="V3" s="177">
        <v>12.0</v>
      </c>
      <c r="W3" s="177">
        <v>2.9</v>
      </c>
      <c r="X3" s="177">
        <v>145.0</v>
      </c>
      <c r="Y3" s="177">
        <v>45.6</v>
      </c>
      <c r="Z3" s="177">
        <v>91.0</v>
      </c>
      <c r="AA3" s="177">
        <v>6.9</v>
      </c>
      <c r="AB3" s="177">
        <v>6.45</v>
      </c>
      <c r="AC3" s="177">
        <v>10.8</v>
      </c>
      <c r="AD3" s="177">
        <v>189.5</v>
      </c>
      <c r="AE3" s="177">
        <v>86.5</v>
      </c>
      <c r="AF3" s="177">
        <v>41.0</v>
      </c>
      <c r="AG3" s="177">
        <v>216.0</v>
      </c>
      <c r="AH3" s="177">
        <v>9.03</v>
      </c>
      <c r="AI3" s="177">
        <v>5.79</v>
      </c>
      <c r="AJ3" s="177">
        <v>5.39</v>
      </c>
      <c r="AK3" s="177">
        <v>3.0</v>
      </c>
      <c r="AL3" s="177">
        <v>3.0</v>
      </c>
      <c r="AM3" s="177">
        <v>12.0</v>
      </c>
      <c r="AN3" s="33"/>
      <c r="AO3" s="33"/>
      <c r="AP3" s="33"/>
      <c r="AQ3" s="33"/>
      <c r="AR3" s="33"/>
      <c r="AS3" s="33"/>
    </row>
    <row r="4" hidden="1" outlineLevel="1">
      <c r="A4" s="179" t="s">
        <v>51</v>
      </c>
      <c r="B4" s="176">
        <v>2002.0</v>
      </c>
      <c r="C4" s="180">
        <f t="array" ref="C4">xlookup(B4,DATA_LEAGUE_AVG!A:A,DATA_LEAGUE_AVG!H:H)</f>
        <v>540.4</v>
      </c>
      <c r="D4" s="177" t="b">
        <f t="shared" si="1"/>
        <v>1</v>
      </c>
      <c r="E4" s="177">
        <v>25.0</v>
      </c>
      <c r="F4" s="181" t="s">
        <v>368</v>
      </c>
      <c r="G4" s="181" t="s">
        <v>369</v>
      </c>
      <c r="H4" s="181" t="s">
        <v>90</v>
      </c>
      <c r="I4" s="180">
        <f t="array" ref="I4">xlookup(B4,DATA_LEAGUE_AVG!A:A,DATA_LEAGUE_AVG!C:C)</f>
        <v>3395.7</v>
      </c>
      <c r="J4" s="180">
        <f t="array" ref="J4">xlookup(B4,DATA_LEAGUE_AVG!A:A,DATA_LEAGUE_AVG!D:D)</f>
        <v>21.7</v>
      </c>
      <c r="K4" s="177">
        <f t="shared" ref="K4:L4" si="3">S4/I4</f>
        <v>1.1084607</v>
      </c>
      <c r="L4" s="177">
        <f t="shared" si="3"/>
        <v>1.290322581</v>
      </c>
      <c r="M4" s="177">
        <v>16.0</v>
      </c>
      <c r="N4" s="177">
        <v>16.0</v>
      </c>
      <c r="O4" s="182">
        <v>36776.0</v>
      </c>
      <c r="P4" s="177">
        <v>373.0</v>
      </c>
      <c r="Q4" s="177">
        <v>601.0</v>
      </c>
      <c r="R4" s="177">
        <v>62.1</v>
      </c>
      <c r="S4" s="177">
        <v>3764.0</v>
      </c>
      <c r="T4" s="177">
        <v>28.0</v>
      </c>
      <c r="U4" s="177">
        <v>4.7</v>
      </c>
      <c r="V4" s="177">
        <v>14.0</v>
      </c>
      <c r="W4" s="177">
        <v>2.3</v>
      </c>
      <c r="X4" s="177">
        <v>185.0</v>
      </c>
      <c r="Y4" s="177">
        <v>46.0</v>
      </c>
      <c r="Z4" s="177">
        <v>49.0</v>
      </c>
      <c r="AA4" s="177">
        <v>6.3</v>
      </c>
      <c r="AB4" s="177">
        <v>6.15</v>
      </c>
      <c r="AC4" s="177">
        <v>10.1</v>
      </c>
      <c r="AD4" s="177">
        <v>235.3</v>
      </c>
      <c r="AE4" s="177">
        <v>85.7</v>
      </c>
      <c r="AF4" s="177">
        <v>31.0</v>
      </c>
      <c r="AG4" s="177">
        <v>190.0</v>
      </c>
      <c r="AH4" s="177">
        <v>4.91</v>
      </c>
      <c r="AI4" s="177">
        <v>5.66</v>
      </c>
      <c r="AJ4" s="177">
        <v>5.54</v>
      </c>
      <c r="AK4" s="177">
        <v>2.0</v>
      </c>
      <c r="AL4" s="177">
        <v>3.0</v>
      </c>
      <c r="AM4" s="177">
        <v>13.0</v>
      </c>
      <c r="AN4" s="33"/>
      <c r="AO4" s="33"/>
      <c r="AP4" s="33"/>
      <c r="AQ4" s="33"/>
      <c r="AR4" s="33"/>
      <c r="AS4" s="33"/>
    </row>
    <row r="5" hidden="1" outlineLevel="1">
      <c r="A5" s="179" t="s">
        <v>51</v>
      </c>
      <c r="B5" s="176">
        <v>2003.0</v>
      </c>
      <c r="C5" s="180">
        <f t="array" ref="C5">xlookup(B5,DATA_LEAGUE_AVG!A:A,DATA_LEAGUE_AVG!H:H)</f>
        <v>515.4</v>
      </c>
      <c r="D5" s="177" t="b">
        <f t="shared" si="1"/>
        <v>1</v>
      </c>
      <c r="E5" s="177">
        <v>26.0</v>
      </c>
      <c r="F5" s="181" t="s">
        <v>368</v>
      </c>
      <c r="G5" s="181" t="s">
        <v>369</v>
      </c>
      <c r="H5" s="181" t="s">
        <v>90</v>
      </c>
      <c r="I5" s="180">
        <f t="array" ref="I5">xlookup(B5,DATA_LEAGUE_AVG!A:A,DATA_LEAGUE_AVG!C:C)</f>
        <v>3207.1</v>
      </c>
      <c r="J5" s="180">
        <f t="array" ref="J5">xlookup(B5,DATA_LEAGUE_AVG!A:A,DATA_LEAGUE_AVG!D:D)</f>
        <v>20.4</v>
      </c>
      <c r="K5" s="177">
        <f t="shared" ref="K5:L5" si="4">S5/I5</f>
        <v>1.128745596</v>
      </c>
      <c r="L5" s="177">
        <f t="shared" si="4"/>
        <v>1.12745098</v>
      </c>
      <c r="M5" s="177">
        <v>16.0</v>
      </c>
      <c r="N5" s="177">
        <v>16.0</v>
      </c>
      <c r="O5" s="181" t="s">
        <v>370</v>
      </c>
      <c r="P5" s="177">
        <v>317.0</v>
      </c>
      <c r="Q5" s="177">
        <v>527.0</v>
      </c>
      <c r="R5" s="177">
        <v>60.2</v>
      </c>
      <c r="S5" s="177">
        <v>3620.0</v>
      </c>
      <c r="T5" s="177">
        <v>23.0</v>
      </c>
      <c r="U5" s="177">
        <v>4.4</v>
      </c>
      <c r="V5" s="177">
        <v>12.0</v>
      </c>
      <c r="W5" s="177">
        <v>2.3</v>
      </c>
      <c r="X5" s="177">
        <v>175.0</v>
      </c>
      <c r="Y5" s="177">
        <v>43.1</v>
      </c>
      <c r="Z5" s="177">
        <v>82.0</v>
      </c>
      <c r="AA5" s="177">
        <v>6.9</v>
      </c>
      <c r="AB5" s="177">
        <v>6.72</v>
      </c>
      <c r="AC5" s="177">
        <v>11.4</v>
      </c>
      <c r="AD5" s="177">
        <v>226.3</v>
      </c>
      <c r="AE5" s="177">
        <v>85.9</v>
      </c>
      <c r="AF5" s="177">
        <v>32.0</v>
      </c>
      <c r="AG5" s="177">
        <v>219.0</v>
      </c>
      <c r="AH5" s="177">
        <v>5.72</v>
      </c>
      <c r="AI5" s="177">
        <v>6.08</v>
      </c>
      <c r="AJ5" s="177">
        <v>5.94</v>
      </c>
      <c r="AK5" s="177">
        <v>3.0</v>
      </c>
      <c r="AL5" s="177">
        <v>5.0</v>
      </c>
      <c r="AM5" s="177">
        <v>11.0</v>
      </c>
      <c r="AN5" s="33"/>
      <c r="AO5" s="33"/>
      <c r="AP5" s="33"/>
      <c r="AQ5" s="33"/>
      <c r="AR5" s="33"/>
      <c r="AS5" s="33"/>
    </row>
    <row r="6" hidden="1" outlineLevel="1">
      <c r="A6" s="179" t="s">
        <v>51</v>
      </c>
      <c r="B6" s="176">
        <v>2004.0</v>
      </c>
      <c r="C6" s="180">
        <f t="array" ref="C6">xlookup(B6,DATA_LEAGUE_AVG!A:A,DATA_LEAGUE_AVG!H:H)</f>
        <v>511.1</v>
      </c>
      <c r="D6" s="177" t="b">
        <f t="shared" si="1"/>
        <v>1</v>
      </c>
      <c r="E6" s="177">
        <v>27.0</v>
      </c>
      <c r="F6" s="181" t="s">
        <v>368</v>
      </c>
      <c r="G6" s="181" t="s">
        <v>369</v>
      </c>
      <c r="H6" s="181" t="s">
        <v>90</v>
      </c>
      <c r="I6" s="180">
        <f t="array" ref="I6">xlookup(B6,DATA_LEAGUE_AVG!A:A,DATA_LEAGUE_AVG!C:C)</f>
        <v>3368.7</v>
      </c>
      <c r="J6" s="180">
        <f t="array" ref="J6">xlookup(B6,DATA_LEAGUE_AVG!A:A,DATA_LEAGUE_AVG!D:D)</f>
        <v>22.9</v>
      </c>
      <c r="K6" s="177">
        <f t="shared" ref="K6:L6" si="5">S6/I6</f>
        <v>1.09597174</v>
      </c>
      <c r="L6" s="177">
        <f t="shared" si="5"/>
        <v>1.222707424</v>
      </c>
      <c r="M6" s="177">
        <v>16.0</v>
      </c>
      <c r="N6" s="177">
        <v>16.0</v>
      </c>
      <c r="O6" s="181" t="s">
        <v>370</v>
      </c>
      <c r="P6" s="177">
        <v>288.0</v>
      </c>
      <c r="Q6" s="177">
        <v>474.0</v>
      </c>
      <c r="R6" s="177">
        <v>60.8</v>
      </c>
      <c r="S6" s="177">
        <v>3692.0</v>
      </c>
      <c r="T6" s="177">
        <v>28.0</v>
      </c>
      <c r="U6" s="177">
        <v>5.9</v>
      </c>
      <c r="V6" s="177">
        <v>14.0</v>
      </c>
      <c r="W6" s="177">
        <v>3.0</v>
      </c>
      <c r="X6" s="177">
        <v>187.0</v>
      </c>
      <c r="Y6" s="177">
        <v>48.0</v>
      </c>
      <c r="Z6" s="177">
        <v>50.0</v>
      </c>
      <c r="AA6" s="177">
        <v>7.8</v>
      </c>
      <c r="AB6" s="177">
        <v>7.64</v>
      </c>
      <c r="AC6" s="177">
        <v>12.8</v>
      </c>
      <c r="AD6" s="177">
        <v>230.8</v>
      </c>
      <c r="AE6" s="177">
        <v>92.6</v>
      </c>
      <c r="AF6" s="177">
        <v>26.0</v>
      </c>
      <c r="AG6" s="177">
        <v>162.0</v>
      </c>
      <c r="AH6" s="177">
        <v>5.2</v>
      </c>
      <c r="AI6" s="177">
        <v>7.06</v>
      </c>
      <c r="AJ6" s="177">
        <v>6.92</v>
      </c>
      <c r="AK6" s="177">
        <v>0.0</v>
      </c>
      <c r="AL6" s="177">
        <v>1.0</v>
      </c>
      <c r="AM6" s="177">
        <v>16.0</v>
      </c>
      <c r="AN6" s="33"/>
      <c r="AO6" s="33"/>
      <c r="AP6" s="33"/>
      <c r="AQ6" s="33"/>
      <c r="AR6" s="33"/>
      <c r="AS6" s="33"/>
    </row>
    <row r="7" hidden="1" outlineLevel="1">
      <c r="A7" s="179" t="s">
        <v>51</v>
      </c>
      <c r="B7" s="176">
        <v>2005.0</v>
      </c>
      <c r="C7" s="180">
        <f t="array" ref="C7">xlookup(B7,DATA_LEAGUE_AVG!A:A,DATA_LEAGUE_AVG!H:H)</f>
        <v>514.5</v>
      </c>
      <c r="D7" s="177" t="b">
        <f t="shared" si="1"/>
        <v>1</v>
      </c>
      <c r="E7" s="177">
        <v>28.0</v>
      </c>
      <c r="F7" s="181" t="s">
        <v>368</v>
      </c>
      <c r="G7" s="181" t="s">
        <v>369</v>
      </c>
      <c r="H7" s="181" t="s">
        <v>90</v>
      </c>
      <c r="I7" s="180">
        <f t="array" ref="I7">xlookup(B7,DATA_LEAGUE_AVG!A:A,DATA_LEAGUE_AVG!C:C)</f>
        <v>3255.3</v>
      </c>
      <c r="J7" s="180">
        <f t="array" ref="J7">xlookup(B7,DATA_LEAGUE_AVG!A:A,DATA_LEAGUE_AVG!D:D)</f>
        <v>20.1</v>
      </c>
      <c r="K7" s="177">
        <f t="shared" ref="K7:L7" si="6">S7/I7</f>
        <v>1.262556446</v>
      </c>
      <c r="L7" s="177">
        <f t="shared" si="6"/>
        <v>1.293532338</v>
      </c>
      <c r="M7" s="177">
        <v>16.0</v>
      </c>
      <c r="N7" s="177">
        <v>16.0</v>
      </c>
      <c r="O7" s="182">
        <v>36805.0</v>
      </c>
      <c r="P7" s="177">
        <v>334.0</v>
      </c>
      <c r="Q7" s="177">
        <v>530.0</v>
      </c>
      <c r="R7" s="177">
        <v>63.0</v>
      </c>
      <c r="S7" s="177">
        <v>4110.0</v>
      </c>
      <c r="T7" s="177">
        <v>26.0</v>
      </c>
      <c r="U7" s="177">
        <v>4.9</v>
      </c>
      <c r="V7" s="177">
        <v>14.0</v>
      </c>
      <c r="W7" s="177">
        <v>2.6</v>
      </c>
      <c r="X7" s="177">
        <v>197.0</v>
      </c>
      <c r="Y7" s="177">
        <v>49.6</v>
      </c>
      <c r="Z7" s="177">
        <v>71.0</v>
      </c>
      <c r="AA7" s="177">
        <v>7.8</v>
      </c>
      <c r="AB7" s="177">
        <v>7.55</v>
      </c>
      <c r="AC7" s="177">
        <v>12.3</v>
      </c>
      <c r="AD7" s="177">
        <v>256.9</v>
      </c>
      <c r="AE7" s="177">
        <v>92.3</v>
      </c>
      <c r="AF7" s="177">
        <v>26.0</v>
      </c>
      <c r="AG7" s="177">
        <v>188.0</v>
      </c>
      <c r="AH7" s="177">
        <v>4.68</v>
      </c>
      <c r="AI7" s="177">
        <v>7.05</v>
      </c>
      <c r="AJ7" s="177">
        <v>6.86</v>
      </c>
      <c r="AK7" s="177">
        <v>3.0</v>
      </c>
      <c r="AL7" s="177">
        <v>4.0</v>
      </c>
      <c r="AM7" s="177">
        <v>15.0</v>
      </c>
      <c r="AN7" s="33"/>
      <c r="AO7" s="33"/>
      <c r="AP7" s="33"/>
      <c r="AQ7" s="33"/>
      <c r="AR7" s="33"/>
      <c r="AS7" s="33"/>
    </row>
    <row r="8" hidden="1" outlineLevel="1">
      <c r="A8" s="179" t="s">
        <v>51</v>
      </c>
      <c r="B8" s="176">
        <v>2006.0</v>
      </c>
      <c r="C8" s="180">
        <f t="array" ref="C8">xlookup(B8,DATA_LEAGUE_AVG!A:A,DATA_LEAGUE_AVG!H:H)</f>
        <v>512.2</v>
      </c>
      <c r="D8" s="177" t="b">
        <f t="shared" si="1"/>
        <v>1</v>
      </c>
      <c r="E8" s="177">
        <v>29.0</v>
      </c>
      <c r="F8" s="181" t="s">
        <v>368</v>
      </c>
      <c r="G8" s="181" t="s">
        <v>369</v>
      </c>
      <c r="H8" s="181" t="s">
        <v>90</v>
      </c>
      <c r="I8" s="180">
        <f t="array" ref="I8">xlookup(B8,DATA_LEAGUE_AVG!A:A,DATA_LEAGUE_AVG!C:C)</f>
        <v>3277</v>
      </c>
      <c r="J8" s="180">
        <f t="array" ref="J8">xlookup(B8,DATA_LEAGUE_AVG!A:A,DATA_LEAGUE_AVG!D:D)</f>
        <v>20.3</v>
      </c>
      <c r="K8" s="177">
        <f t="shared" ref="K8:L8" si="7">S8/I8</f>
        <v>1.076899603</v>
      </c>
      <c r="L8" s="177">
        <f t="shared" si="7"/>
        <v>1.18226601</v>
      </c>
      <c r="M8" s="177">
        <v>16.0</v>
      </c>
      <c r="N8" s="177">
        <v>16.0</v>
      </c>
      <c r="O8" s="182">
        <v>36864.0</v>
      </c>
      <c r="P8" s="177">
        <v>319.0</v>
      </c>
      <c r="Q8" s="177">
        <v>516.0</v>
      </c>
      <c r="R8" s="177">
        <v>61.8</v>
      </c>
      <c r="S8" s="177">
        <v>3529.0</v>
      </c>
      <c r="T8" s="177">
        <v>24.0</v>
      </c>
      <c r="U8" s="177">
        <v>4.7</v>
      </c>
      <c r="V8" s="177">
        <v>12.0</v>
      </c>
      <c r="W8" s="177">
        <v>2.3</v>
      </c>
      <c r="X8" s="177">
        <v>176.0</v>
      </c>
      <c r="Y8" s="177">
        <v>47.4</v>
      </c>
      <c r="Z8" s="177">
        <v>62.0</v>
      </c>
      <c r="AA8" s="177">
        <v>6.8</v>
      </c>
      <c r="AB8" s="177">
        <v>6.72</v>
      </c>
      <c r="AC8" s="177">
        <v>11.1</v>
      </c>
      <c r="AD8" s="177">
        <v>220.6</v>
      </c>
      <c r="AE8" s="177">
        <v>87.9</v>
      </c>
      <c r="AF8" s="177">
        <v>26.0</v>
      </c>
      <c r="AG8" s="177">
        <v>175.0</v>
      </c>
      <c r="AH8" s="177">
        <v>4.8</v>
      </c>
      <c r="AI8" s="177">
        <v>6.19</v>
      </c>
      <c r="AJ8" s="177">
        <v>6.08</v>
      </c>
      <c r="AK8" s="177">
        <v>2.0</v>
      </c>
      <c r="AL8" s="177">
        <v>2.0</v>
      </c>
      <c r="AM8" s="177">
        <v>14.0</v>
      </c>
      <c r="AN8" s="33"/>
      <c r="AO8" s="33"/>
      <c r="AP8" s="33"/>
      <c r="AQ8" s="33"/>
      <c r="AR8" s="33"/>
      <c r="AS8" s="33"/>
    </row>
    <row r="9" hidden="1" outlineLevel="1">
      <c r="A9" s="179" t="s">
        <v>51</v>
      </c>
      <c r="B9" s="176">
        <v>2007.0</v>
      </c>
      <c r="C9" s="180">
        <f t="array" ref="C9">xlookup(B9,DATA_LEAGUE_AVG!A:A,DATA_LEAGUE_AVG!H:H)</f>
        <v>532.7</v>
      </c>
      <c r="D9" s="177" t="b">
        <f t="shared" si="1"/>
        <v>1</v>
      </c>
      <c r="E9" s="177">
        <v>30.0</v>
      </c>
      <c r="F9" s="181" t="s">
        <v>368</v>
      </c>
      <c r="G9" s="181" t="s">
        <v>369</v>
      </c>
      <c r="H9" s="181" t="s">
        <v>90</v>
      </c>
      <c r="I9" s="180">
        <f t="array" ref="I9">xlookup(B9,DATA_LEAGUE_AVG!A:A,DATA_LEAGUE_AVG!C:C)</f>
        <v>3428.8</v>
      </c>
      <c r="J9" s="180">
        <f t="array" ref="J9">xlookup(B9,DATA_LEAGUE_AVG!A:A,DATA_LEAGUE_AVG!D:D)</f>
        <v>22.5</v>
      </c>
      <c r="K9" s="177">
        <f t="shared" ref="K9:L9" si="8">S9/I9</f>
        <v>1.401656556</v>
      </c>
      <c r="L9" s="177">
        <f t="shared" si="8"/>
        <v>2.222222222</v>
      </c>
      <c r="M9" s="177">
        <v>16.0</v>
      </c>
      <c r="N9" s="177">
        <v>16.0</v>
      </c>
      <c r="O9" s="181" t="s">
        <v>371</v>
      </c>
      <c r="P9" s="177">
        <v>398.0</v>
      </c>
      <c r="Q9" s="177">
        <v>578.0</v>
      </c>
      <c r="R9" s="177">
        <v>68.9</v>
      </c>
      <c r="S9" s="177">
        <v>4806.0</v>
      </c>
      <c r="T9" s="177">
        <v>50.0</v>
      </c>
      <c r="U9" s="177">
        <v>8.7</v>
      </c>
      <c r="V9" s="177">
        <v>8.0</v>
      </c>
      <c r="W9" s="177">
        <v>1.4</v>
      </c>
      <c r="X9" s="177">
        <v>240.0</v>
      </c>
      <c r="Y9" s="177">
        <v>57.8</v>
      </c>
      <c r="Z9" s="177">
        <v>69.0</v>
      </c>
      <c r="AA9" s="177">
        <v>8.3</v>
      </c>
      <c r="AB9" s="177">
        <v>9.42</v>
      </c>
      <c r="AC9" s="177">
        <v>12.1</v>
      </c>
      <c r="AD9" s="177">
        <v>300.4</v>
      </c>
      <c r="AE9" s="177">
        <v>117.2</v>
      </c>
      <c r="AF9" s="177">
        <v>21.0</v>
      </c>
      <c r="AG9" s="177">
        <v>128.0</v>
      </c>
      <c r="AH9" s="177">
        <v>3.51</v>
      </c>
      <c r="AI9" s="177">
        <v>7.81</v>
      </c>
      <c r="AJ9" s="177">
        <v>8.88</v>
      </c>
      <c r="AK9" s="177">
        <v>4.0</v>
      </c>
      <c r="AL9" s="177">
        <v>4.0</v>
      </c>
      <c r="AM9" s="177">
        <v>23.0</v>
      </c>
      <c r="AN9" s="33"/>
      <c r="AO9" s="33"/>
      <c r="AP9" s="33"/>
      <c r="AQ9" s="33"/>
      <c r="AR9" s="33"/>
      <c r="AS9" s="33"/>
    </row>
    <row r="10" hidden="1" outlineLevel="1">
      <c r="A10" s="179" t="s">
        <v>51</v>
      </c>
      <c r="B10" s="176">
        <v>2009.0</v>
      </c>
      <c r="C10" s="180">
        <f t="array" ref="C10">xlookup(B10,DATA_LEAGUE_AVG!A:A,DATA_LEAGUE_AVG!H:H)</f>
        <v>532.3</v>
      </c>
      <c r="D10" s="177" t="b">
        <f t="shared" si="1"/>
        <v>1</v>
      </c>
      <c r="E10" s="177">
        <v>32.0</v>
      </c>
      <c r="F10" s="181" t="s">
        <v>368</v>
      </c>
      <c r="G10" s="181" t="s">
        <v>369</v>
      </c>
      <c r="H10" s="181" t="s">
        <v>90</v>
      </c>
      <c r="I10" s="180">
        <f t="array" ref="I10">xlookup(B10,DATA_LEAGUE_AVG!A:A,DATA_LEAGUE_AVG!C:C)</f>
        <v>3495.3</v>
      </c>
      <c r="J10" s="180">
        <f t="array" ref="J10">xlookup(B10,DATA_LEAGUE_AVG!A:A,DATA_LEAGUE_AVG!D:D)</f>
        <v>22.2</v>
      </c>
      <c r="K10" s="177">
        <f t="shared" ref="K10:L10" si="9">S10/I10</f>
        <v>1.258261093</v>
      </c>
      <c r="L10" s="177">
        <f t="shared" si="9"/>
        <v>1.261261261</v>
      </c>
      <c r="M10" s="177">
        <v>16.0</v>
      </c>
      <c r="N10" s="177">
        <v>16.0</v>
      </c>
      <c r="O10" s="182">
        <v>36805.0</v>
      </c>
      <c r="P10" s="177">
        <v>371.0</v>
      </c>
      <c r="Q10" s="177">
        <v>565.0</v>
      </c>
      <c r="R10" s="177">
        <v>65.7</v>
      </c>
      <c r="S10" s="177">
        <v>4398.0</v>
      </c>
      <c r="T10" s="177">
        <v>28.0</v>
      </c>
      <c r="U10" s="177">
        <v>5.0</v>
      </c>
      <c r="V10" s="177">
        <v>13.0</v>
      </c>
      <c r="W10" s="177">
        <v>2.3</v>
      </c>
      <c r="X10" s="177">
        <v>215.0</v>
      </c>
      <c r="Y10" s="177">
        <v>54.6</v>
      </c>
      <c r="Z10" s="177">
        <v>81.0</v>
      </c>
      <c r="AA10" s="177">
        <v>7.8</v>
      </c>
      <c r="AB10" s="177">
        <v>7.74</v>
      </c>
      <c r="AC10" s="177">
        <v>11.9</v>
      </c>
      <c r="AD10" s="177">
        <v>274.9</v>
      </c>
      <c r="AE10" s="177">
        <v>96.2</v>
      </c>
      <c r="AF10" s="177">
        <v>16.0</v>
      </c>
      <c r="AG10" s="177">
        <v>86.0</v>
      </c>
      <c r="AH10" s="177">
        <v>2.75</v>
      </c>
      <c r="AI10" s="177">
        <v>7.42</v>
      </c>
      <c r="AJ10" s="177">
        <v>7.38</v>
      </c>
      <c r="AK10" s="177">
        <v>1.0</v>
      </c>
      <c r="AL10" s="177">
        <v>1.0</v>
      </c>
      <c r="AM10" s="177">
        <v>17.0</v>
      </c>
      <c r="AN10" s="33"/>
      <c r="AO10" s="33"/>
      <c r="AP10" s="33"/>
      <c r="AQ10" s="33"/>
      <c r="AR10" s="33"/>
      <c r="AS10" s="33"/>
    </row>
    <row r="11" hidden="1" outlineLevel="1">
      <c r="A11" s="179" t="s">
        <v>51</v>
      </c>
      <c r="B11" s="176">
        <v>2010.0</v>
      </c>
      <c r="C11" s="180">
        <f t="array" ref="C11">xlookup(B11,DATA_LEAGUE_AVG!A:A,DATA_LEAGUE_AVG!H:H)</f>
        <v>539.7</v>
      </c>
      <c r="D11" s="177" t="b">
        <f t="shared" si="1"/>
        <v>1</v>
      </c>
      <c r="E11" s="177">
        <v>33.0</v>
      </c>
      <c r="F11" s="181" t="s">
        <v>368</v>
      </c>
      <c r="G11" s="181" t="s">
        <v>369</v>
      </c>
      <c r="H11" s="181" t="s">
        <v>90</v>
      </c>
      <c r="I11" s="180">
        <f t="array" ref="I11">xlookup(B11,DATA_LEAGUE_AVG!A:A,DATA_LEAGUE_AVG!C:C)</f>
        <v>3544.8</v>
      </c>
      <c r="J11" s="180">
        <f t="array" ref="J11">xlookup(B11,DATA_LEAGUE_AVG!A:A,DATA_LEAGUE_AVG!D:D)</f>
        <v>23.5</v>
      </c>
      <c r="K11" s="177">
        <f t="shared" ref="K11:L11" si="10">S11/I11</f>
        <v>1.100203114</v>
      </c>
      <c r="L11" s="177">
        <f t="shared" si="10"/>
        <v>1.531914894</v>
      </c>
      <c r="M11" s="177">
        <v>16.0</v>
      </c>
      <c r="N11" s="177">
        <v>16.0</v>
      </c>
      <c r="O11" s="181" t="s">
        <v>370</v>
      </c>
      <c r="P11" s="177">
        <v>324.0</v>
      </c>
      <c r="Q11" s="177">
        <v>492.0</v>
      </c>
      <c r="R11" s="177">
        <v>65.9</v>
      </c>
      <c r="S11" s="177">
        <v>3900.0</v>
      </c>
      <c r="T11" s="177">
        <v>36.0</v>
      </c>
      <c r="U11" s="177">
        <v>7.3</v>
      </c>
      <c r="V11" s="177">
        <v>4.0</v>
      </c>
      <c r="W11" s="177">
        <v>0.8</v>
      </c>
      <c r="X11" s="177">
        <v>189.0</v>
      </c>
      <c r="Y11" s="177">
        <v>50.1</v>
      </c>
      <c r="Z11" s="177">
        <v>79.0</v>
      </c>
      <c r="AA11" s="177">
        <v>7.9</v>
      </c>
      <c r="AB11" s="177">
        <v>9.02</v>
      </c>
      <c r="AC11" s="177">
        <v>12.0</v>
      </c>
      <c r="AD11" s="177">
        <v>243.8</v>
      </c>
      <c r="AE11" s="177">
        <v>111.0</v>
      </c>
      <c r="AF11" s="177">
        <v>25.0</v>
      </c>
      <c r="AG11" s="177">
        <v>175.0</v>
      </c>
      <c r="AH11" s="177">
        <v>4.84</v>
      </c>
      <c r="AI11" s="177">
        <v>7.21</v>
      </c>
      <c r="AJ11" s="177">
        <v>8.25</v>
      </c>
      <c r="AK11" s="177">
        <v>2.0</v>
      </c>
      <c r="AL11" s="177">
        <v>3.0</v>
      </c>
      <c r="AM11" s="177">
        <v>18.0</v>
      </c>
      <c r="AN11" s="33"/>
      <c r="AO11" s="33"/>
      <c r="AP11" s="33"/>
      <c r="AQ11" s="33"/>
      <c r="AR11" s="33"/>
      <c r="AS11" s="33"/>
    </row>
    <row r="12" hidden="1" outlineLevel="1">
      <c r="A12" s="179" t="s">
        <v>51</v>
      </c>
      <c r="B12" s="176">
        <v>2011.0</v>
      </c>
      <c r="C12" s="180">
        <f t="array" ref="C12">xlookup(B12,DATA_LEAGUE_AVG!A:A,DATA_LEAGUE_AVG!H:H)</f>
        <v>544.1</v>
      </c>
      <c r="D12" s="177" t="b">
        <f t="shared" si="1"/>
        <v>1</v>
      </c>
      <c r="E12" s="177">
        <v>34.0</v>
      </c>
      <c r="F12" s="181" t="s">
        <v>368</v>
      </c>
      <c r="G12" s="181" t="s">
        <v>369</v>
      </c>
      <c r="H12" s="181" t="s">
        <v>90</v>
      </c>
      <c r="I12" s="180">
        <f t="array" ref="I12">xlookup(B12,DATA_LEAGUE_AVG!A:A,DATA_LEAGUE_AVG!C:C)</f>
        <v>3675</v>
      </c>
      <c r="J12" s="180">
        <f t="array" ref="J12">xlookup(B12,DATA_LEAGUE_AVG!A:A,DATA_LEAGUE_AVG!D:D)</f>
        <v>23.3</v>
      </c>
      <c r="K12" s="177">
        <f t="shared" ref="K12:L12" si="11">S12/I12</f>
        <v>1.424489796</v>
      </c>
      <c r="L12" s="177">
        <f t="shared" si="11"/>
        <v>1.673819742</v>
      </c>
      <c r="M12" s="177">
        <v>16.0</v>
      </c>
      <c r="N12" s="177">
        <v>16.0</v>
      </c>
      <c r="O12" s="181" t="s">
        <v>372</v>
      </c>
      <c r="P12" s="177">
        <v>401.0</v>
      </c>
      <c r="Q12" s="177">
        <v>611.0</v>
      </c>
      <c r="R12" s="177">
        <v>65.6</v>
      </c>
      <c r="S12" s="177">
        <v>5235.0</v>
      </c>
      <c r="T12" s="177">
        <v>39.0</v>
      </c>
      <c r="U12" s="177">
        <v>6.4</v>
      </c>
      <c r="V12" s="177">
        <v>12.0</v>
      </c>
      <c r="W12" s="177">
        <v>2.0</v>
      </c>
      <c r="X12" s="177">
        <v>262.0</v>
      </c>
      <c r="Y12" s="177">
        <v>55.5</v>
      </c>
      <c r="Z12" s="177">
        <v>99.0</v>
      </c>
      <c r="AA12" s="177">
        <v>8.6</v>
      </c>
      <c r="AB12" s="177">
        <v>8.96</v>
      </c>
      <c r="AC12" s="177">
        <v>13.1</v>
      </c>
      <c r="AD12" s="177">
        <v>327.2</v>
      </c>
      <c r="AE12" s="177">
        <v>105.6</v>
      </c>
      <c r="AF12" s="177">
        <v>32.0</v>
      </c>
      <c r="AG12" s="177">
        <v>173.0</v>
      </c>
      <c r="AH12" s="177">
        <v>4.98</v>
      </c>
      <c r="AI12" s="177">
        <v>7.87</v>
      </c>
      <c r="AJ12" s="177">
        <v>8.25</v>
      </c>
      <c r="AK12" s="177">
        <v>1.0</v>
      </c>
      <c r="AL12" s="177">
        <v>2.0</v>
      </c>
      <c r="AM12" s="177">
        <v>21.0</v>
      </c>
      <c r="AN12" s="33"/>
      <c r="AO12" s="33"/>
      <c r="AP12" s="33"/>
      <c r="AQ12" s="33"/>
      <c r="AR12" s="33"/>
      <c r="AS12" s="33"/>
    </row>
    <row r="13" hidden="1" outlineLevel="1">
      <c r="A13" s="179" t="s">
        <v>51</v>
      </c>
      <c r="B13" s="176">
        <v>2012.0</v>
      </c>
      <c r="C13" s="180">
        <f t="array" ref="C13">xlookup(B13,DATA_LEAGUE_AVG!A:A,DATA_LEAGUE_AVG!H:H)</f>
        <v>555.9</v>
      </c>
      <c r="D13" s="177" t="b">
        <f t="shared" si="1"/>
        <v>1</v>
      </c>
      <c r="E13" s="177">
        <v>35.0</v>
      </c>
      <c r="F13" s="181" t="s">
        <v>368</v>
      </c>
      <c r="G13" s="181" t="s">
        <v>369</v>
      </c>
      <c r="H13" s="181" t="s">
        <v>90</v>
      </c>
      <c r="I13" s="180">
        <f t="array" ref="I13">xlookup(B13,DATA_LEAGUE_AVG!A:A,DATA_LEAGUE_AVG!C:C)</f>
        <v>3700.6</v>
      </c>
      <c r="J13" s="180">
        <f t="array" ref="J13">xlookup(B13,DATA_LEAGUE_AVG!A:A,DATA_LEAGUE_AVG!D:D)</f>
        <v>23.7</v>
      </c>
      <c r="K13" s="177">
        <f t="shared" ref="K13:L13" si="12">S13/I13</f>
        <v>1.304383073</v>
      </c>
      <c r="L13" s="177">
        <f t="shared" si="12"/>
        <v>1.434599156</v>
      </c>
      <c r="M13" s="177">
        <v>16.0</v>
      </c>
      <c r="N13" s="177">
        <v>16.0</v>
      </c>
      <c r="O13" s="182">
        <v>36864.0</v>
      </c>
      <c r="P13" s="177">
        <v>401.0</v>
      </c>
      <c r="Q13" s="177">
        <v>637.0</v>
      </c>
      <c r="R13" s="177">
        <v>63.0</v>
      </c>
      <c r="S13" s="177">
        <v>4827.0</v>
      </c>
      <c r="T13" s="177">
        <v>34.0</v>
      </c>
      <c r="U13" s="177">
        <v>5.3</v>
      </c>
      <c r="V13" s="177">
        <v>8.0</v>
      </c>
      <c r="W13" s="177">
        <v>1.3</v>
      </c>
      <c r="X13" s="177">
        <v>256.0</v>
      </c>
      <c r="Y13" s="177">
        <v>52.7</v>
      </c>
      <c r="Z13" s="177">
        <v>83.0</v>
      </c>
      <c r="AA13" s="177">
        <v>7.6</v>
      </c>
      <c r="AB13" s="177">
        <v>8.08</v>
      </c>
      <c r="AC13" s="177">
        <v>12.0</v>
      </c>
      <c r="AD13" s="177">
        <v>301.7</v>
      </c>
      <c r="AE13" s="177">
        <v>98.7</v>
      </c>
      <c r="AF13" s="177">
        <v>27.0</v>
      </c>
      <c r="AG13" s="177">
        <v>182.0</v>
      </c>
      <c r="AH13" s="177">
        <v>4.07</v>
      </c>
      <c r="AI13" s="177">
        <v>7.0</v>
      </c>
      <c r="AJ13" s="177">
        <v>7.48</v>
      </c>
      <c r="AK13" s="177">
        <v>1.0</v>
      </c>
      <c r="AL13" s="177">
        <v>2.0</v>
      </c>
      <c r="AM13" s="177">
        <v>19.0</v>
      </c>
      <c r="AN13" s="33"/>
      <c r="AO13" s="33"/>
      <c r="AP13" s="33"/>
      <c r="AQ13" s="33"/>
      <c r="AR13" s="33"/>
      <c r="AS13" s="33"/>
    </row>
    <row r="14" hidden="1" outlineLevel="1">
      <c r="A14" s="179" t="s">
        <v>51</v>
      </c>
      <c r="B14" s="176">
        <v>2013.0</v>
      </c>
      <c r="C14" s="180">
        <f t="array" ref="C14">xlookup(B14,DATA_LEAGUE_AVG!A:A,DATA_LEAGUE_AVG!H:H)</f>
        <v>566.8</v>
      </c>
      <c r="D14" s="177" t="b">
        <f t="shared" si="1"/>
        <v>1</v>
      </c>
      <c r="E14" s="177">
        <v>36.0</v>
      </c>
      <c r="F14" s="181" t="s">
        <v>368</v>
      </c>
      <c r="G14" s="181" t="s">
        <v>369</v>
      </c>
      <c r="H14" s="181" t="s">
        <v>90</v>
      </c>
      <c r="I14" s="180">
        <f t="array" ref="I14">xlookup(B14,DATA_LEAGUE_AVG!A:A,DATA_LEAGUE_AVG!C:C)</f>
        <v>3769.6</v>
      </c>
      <c r="J14" s="180">
        <f t="array" ref="J14">xlookup(B14,DATA_LEAGUE_AVG!A:A,DATA_LEAGUE_AVG!D:D)</f>
        <v>25.1</v>
      </c>
      <c r="K14" s="177">
        <f t="shared" ref="K14:L14" si="13">S14/I14</f>
        <v>1.15211163</v>
      </c>
      <c r="L14" s="177">
        <f t="shared" si="13"/>
        <v>0.9960159363</v>
      </c>
      <c r="M14" s="177">
        <v>16.0</v>
      </c>
      <c r="N14" s="177">
        <v>16.0</v>
      </c>
      <c r="O14" s="182">
        <v>36864.0</v>
      </c>
      <c r="P14" s="177">
        <v>380.0</v>
      </c>
      <c r="Q14" s="177">
        <v>628.0</v>
      </c>
      <c r="R14" s="177">
        <v>60.5</v>
      </c>
      <c r="S14" s="177">
        <v>4343.0</v>
      </c>
      <c r="T14" s="177">
        <v>25.0</v>
      </c>
      <c r="U14" s="177">
        <v>4.0</v>
      </c>
      <c r="V14" s="177">
        <v>11.0</v>
      </c>
      <c r="W14" s="177">
        <v>1.8</v>
      </c>
      <c r="X14" s="177">
        <v>226.0</v>
      </c>
      <c r="Y14" s="177">
        <v>45.2</v>
      </c>
      <c r="Z14" s="177">
        <v>81.0</v>
      </c>
      <c r="AA14" s="177">
        <v>6.9</v>
      </c>
      <c r="AB14" s="177">
        <v>6.92</v>
      </c>
      <c r="AC14" s="177">
        <v>11.4</v>
      </c>
      <c r="AD14" s="177">
        <v>271.4</v>
      </c>
      <c r="AE14" s="177">
        <v>87.3</v>
      </c>
      <c r="AF14" s="177">
        <v>40.0</v>
      </c>
      <c r="AG14" s="177">
        <v>256.0</v>
      </c>
      <c r="AH14" s="177">
        <v>5.99</v>
      </c>
      <c r="AI14" s="177">
        <v>6.12</v>
      </c>
      <c r="AJ14" s="177">
        <v>6.13</v>
      </c>
      <c r="AK14" s="177">
        <v>5.0</v>
      </c>
      <c r="AL14" s="177">
        <v>5.0</v>
      </c>
      <c r="AM14" s="177">
        <v>13.0</v>
      </c>
      <c r="AN14" s="33"/>
      <c r="AO14" s="33"/>
      <c r="AP14" s="33"/>
      <c r="AQ14" s="33"/>
      <c r="AR14" s="33"/>
      <c r="AS14" s="33"/>
    </row>
    <row r="15" hidden="1" outlineLevel="1">
      <c r="A15" s="179" t="s">
        <v>51</v>
      </c>
      <c r="B15" s="176">
        <v>2014.0</v>
      </c>
      <c r="C15" s="180">
        <f t="array" ref="C15">xlookup(B15,DATA_LEAGUE_AVG!A:A,DATA_LEAGUE_AVG!H:H)</f>
        <v>558.7</v>
      </c>
      <c r="D15" s="177" t="b">
        <f t="shared" si="1"/>
        <v>1</v>
      </c>
      <c r="E15" s="177">
        <v>37.0</v>
      </c>
      <c r="F15" s="181" t="s">
        <v>368</v>
      </c>
      <c r="G15" s="181" t="s">
        <v>369</v>
      </c>
      <c r="H15" s="181" t="s">
        <v>90</v>
      </c>
      <c r="I15" s="180">
        <f t="array" ref="I15">xlookup(B15,DATA_LEAGUE_AVG!A:A,DATA_LEAGUE_AVG!C:C)</f>
        <v>3789</v>
      </c>
      <c r="J15" s="180">
        <f t="array" ref="J15">xlookup(B15,DATA_LEAGUE_AVG!A:A,DATA_LEAGUE_AVG!D:D)</f>
        <v>25.2</v>
      </c>
      <c r="K15" s="177">
        <f t="shared" ref="K15:L15" si="14">S15/I15</f>
        <v>1.084455001</v>
      </c>
      <c r="L15" s="177">
        <f t="shared" si="14"/>
        <v>1.30952381</v>
      </c>
      <c r="M15" s="177">
        <v>16.0</v>
      </c>
      <c r="N15" s="177">
        <v>16.0</v>
      </c>
      <c r="O15" s="182">
        <v>36864.0</v>
      </c>
      <c r="P15" s="177">
        <v>373.0</v>
      </c>
      <c r="Q15" s="177">
        <v>582.0</v>
      </c>
      <c r="R15" s="177">
        <v>64.1</v>
      </c>
      <c r="S15" s="177">
        <v>4109.0</v>
      </c>
      <c r="T15" s="177">
        <v>33.0</v>
      </c>
      <c r="U15" s="177">
        <v>5.7</v>
      </c>
      <c r="V15" s="177">
        <v>9.0</v>
      </c>
      <c r="W15" s="177">
        <v>1.5</v>
      </c>
      <c r="X15" s="177">
        <v>221.0</v>
      </c>
      <c r="Y15" s="177">
        <v>49.1</v>
      </c>
      <c r="Z15" s="177">
        <v>69.0</v>
      </c>
      <c r="AA15" s="177">
        <v>7.1</v>
      </c>
      <c r="AB15" s="177">
        <v>7.5</v>
      </c>
      <c r="AC15" s="177">
        <v>11.0</v>
      </c>
      <c r="AD15" s="177">
        <v>256.8</v>
      </c>
      <c r="AE15" s="177">
        <v>97.4</v>
      </c>
      <c r="AF15" s="177">
        <v>21.0</v>
      </c>
      <c r="AG15" s="177">
        <v>134.0</v>
      </c>
      <c r="AH15" s="177">
        <v>3.48</v>
      </c>
      <c r="AI15" s="177">
        <v>6.59</v>
      </c>
      <c r="AJ15" s="177">
        <v>7.01</v>
      </c>
      <c r="AK15" s="177">
        <v>2.0</v>
      </c>
      <c r="AL15" s="177">
        <v>2.0</v>
      </c>
      <c r="AM15" s="177">
        <v>16.0</v>
      </c>
      <c r="AN15" s="33"/>
      <c r="AO15" s="33"/>
      <c r="AP15" s="33"/>
      <c r="AQ15" s="33"/>
      <c r="AR15" s="33"/>
      <c r="AS15" s="33"/>
    </row>
    <row r="16" hidden="1" outlineLevel="1">
      <c r="A16" s="179" t="s">
        <v>51</v>
      </c>
      <c r="B16" s="176">
        <v>2015.0</v>
      </c>
      <c r="C16" s="180">
        <f t="array" ref="C16">xlookup(B16,DATA_LEAGUE_AVG!A:A,DATA_LEAGUE_AVG!H:H)</f>
        <v>571.8</v>
      </c>
      <c r="D16" s="177" t="b">
        <f t="shared" si="1"/>
        <v>1</v>
      </c>
      <c r="E16" s="177">
        <v>38.0</v>
      </c>
      <c r="F16" s="181" t="s">
        <v>368</v>
      </c>
      <c r="G16" s="181" t="s">
        <v>369</v>
      </c>
      <c r="H16" s="181" t="s">
        <v>90</v>
      </c>
      <c r="I16" s="180">
        <f t="array" ref="I16">xlookup(B16,DATA_LEAGUE_AVG!A:A,DATA_LEAGUE_AVG!C:C)</f>
        <v>3901.1</v>
      </c>
      <c r="J16" s="180">
        <f t="array" ref="J16">xlookup(B16,DATA_LEAGUE_AVG!A:A,DATA_LEAGUE_AVG!D:D)</f>
        <v>26.3</v>
      </c>
      <c r="K16" s="177">
        <f t="shared" ref="K16:L16" si="15">S16/I16</f>
        <v>1.22273205</v>
      </c>
      <c r="L16" s="177">
        <f t="shared" si="15"/>
        <v>1.368821293</v>
      </c>
      <c r="M16" s="177">
        <v>16.0</v>
      </c>
      <c r="N16" s="177">
        <v>16.0</v>
      </c>
      <c r="O16" s="182">
        <v>36864.0</v>
      </c>
      <c r="P16" s="177">
        <v>402.0</v>
      </c>
      <c r="Q16" s="177">
        <v>624.0</v>
      </c>
      <c r="R16" s="177">
        <v>64.4</v>
      </c>
      <c r="S16" s="177">
        <v>4770.0</v>
      </c>
      <c r="T16" s="177">
        <v>36.0</v>
      </c>
      <c r="U16" s="177">
        <v>5.8</v>
      </c>
      <c r="V16" s="177">
        <v>7.0</v>
      </c>
      <c r="W16" s="177">
        <v>1.1</v>
      </c>
      <c r="X16" s="177">
        <v>229.0</v>
      </c>
      <c r="Y16" s="177">
        <v>47.4</v>
      </c>
      <c r="Z16" s="177">
        <v>76.0</v>
      </c>
      <c r="AA16" s="177">
        <v>7.6</v>
      </c>
      <c r="AB16" s="177">
        <v>8.29</v>
      </c>
      <c r="AC16" s="177">
        <v>11.9</v>
      </c>
      <c r="AD16" s="177">
        <v>298.1</v>
      </c>
      <c r="AE16" s="177">
        <v>102.2</v>
      </c>
      <c r="AF16" s="177">
        <v>38.0</v>
      </c>
      <c r="AG16" s="177">
        <v>225.0</v>
      </c>
      <c r="AH16" s="177">
        <v>5.74</v>
      </c>
      <c r="AI16" s="177">
        <v>6.87</v>
      </c>
      <c r="AJ16" s="177">
        <v>7.48</v>
      </c>
      <c r="AK16" s="177">
        <v>2.0</v>
      </c>
      <c r="AL16" s="177">
        <v>2.0</v>
      </c>
      <c r="AM16" s="177">
        <v>18.0</v>
      </c>
      <c r="AN16" s="33"/>
      <c r="AO16" s="33"/>
      <c r="AP16" s="33"/>
      <c r="AQ16" s="33"/>
      <c r="AR16" s="33"/>
      <c r="AS16" s="33"/>
    </row>
    <row r="17" hidden="1" outlineLevel="1">
      <c r="A17" s="179" t="s">
        <v>51</v>
      </c>
      <c r="B17" s="176">
        <v>2016.0</v>
      </c>
      <c r="C17" s="180">
        <f t="array" ref="C17">xlookup(B17,DATA_LEAGUE_AVG!A:A,DATA_LEAGUE_AVG!H:H)</f>
        <v>571.7</v>
      </c>
      <c r="D17" s="177" t="b">
        <f t="shared" si="1"/>
        <v>1</v>
      </c>
      <c r="E17" s="177">
        <v>39.0</v>
      </c>
      <c r="F17" s="181" t="s">
        <v>368</v>
      </c>
      <c r="G17" s="181" t="s">
        <v>369</v>
      </c>
      <c r="H17" s="181" t="s">
        <v>90</v>
      </c>
      <c r="I17" s="180">
        <f t="array" ref="I17">xlookup(B17,DATA_LEAGUE_AVG!A:A,DATA_LEAGUE_AVG!C:C)</f>
        <v>3863.7</v>
      </c>
      <c r="J17" s="180">
        <f t="array" ref="J17">xlookup(B17,DATA_LEAGUE_AVG!A:A,DATA_LEAGUE_AVG!D:D)</f>
        <v>24.6</v>
      </c>
      <c r="K17" s="177">
        <f t="shared" ref="K17:L17" si="16">S17/I17</f>
        <v>0.9198436732</v>
      </c>
      <c r="L17" s="177">
        <f t="shared" si="16"/>
        <v>1.138211382</v>
      </c>
      <c r="M17" s="177">
        <v>12.0</v>
      </c>
      <c r="N17" s="177">
        <v>12.0</v>
      </c>
      <c r="O17" s="182">
        <v>36831.0</v>
      </c>
      <c r="P17" s="177">
        <v>291.0</v>
      </c>
      <c r="Q17" s="177">
        <v>432.0</v>
      </c>
      <c r="R17" s="177">
        <v>67.4</v>
      </c>
      <c r="S17" s="177">
        <v>3554.0</v>
      </c>
      <c r="T17" s="177">
        <v>28.0</v>
      </c>
      <c r="U17" s="177">
        <v>6.5</v>
      </c>
      <c r="V17" s="177">
        <v>2.0</v>
      </c>
      <c r="W17" s="177">
        <v>0.5</v>
      </c>
      <c r="X17" s="177">
        <v>165.0</v>
      </c>
      <c r="Y17" s="177">
        <v>50.6</v>
      </c>
      <c r="Z17" s="177">
        <v>79.0</v>
      </c>
      <c r="AA17" s="177">
        <v>8.2</v>
      </c>
      <c r="AB17" s="177">
        <v>9.31</v>
      </c>
      <c r="AC17" s="177">
        <v>12.2</v>
      </c>
      <c r="AD17" s="177">
        <v>296.2</v>
      </c>
      <c r="AE17" s="177">
        <v>112.2</v>
      </c>
      <c r="AF17" s="177">
        <v>15.0</v>
      </c>
      <c r="AG17" s="177">
        <v>87.0</v>
      </c>
      <c r="AH17" s="177">
        <v>3.36</v>
      </c>
      <c r="AI17" s="177">
        <v>7.76</v>
      </c>
      <c r="AJ17" s="177">
        <v>8.81</v>
      </c>
      <c r="AK17" s="177">
        <v>1.0</v>
      </c>
      <c r="AL17" s="177">
        <v>1.0</v>
      </c>
      <c r="AM17" s="177">
        <v>13.0</v>
      </c>
      <c r="AN17" s="33"/>
      <c r="AO17" s="33"/>
      <c r="AP17" s="33"/>
      <c r="AQ17" s="33"/>
      <c r="AR17" s="33"/>
      <c r="AS17" s="33"/>
    </row>
    <row r="18" hidden="1" outlineLevel="1">
      <c r="A18" s="179" t="s">
        <v>51</v>
      </c>
      <c r="B18" s="176">
        <v>2017.0</v>
      </c>
      <c r="C18" s="180">
        <f t="array" ref="C18">xlookup(B18,DATA_LEAGUE_AVG!A:A,DATA_LEAGUE_AVG!H:H)</f>
        <v>546.5</v>
      </c>
      <c r="D18" s="177" t="b">
        <f t="shared" si="1"/>
        <v>1</v>
      </c>
      <c r="E18" s="177">
        <v>40.0</v>
      </c>
      <c r="F18" s="181" t="s">
        <v>368</v>
      </c>
      <c r="G18" s="181" t="s">
        <v>369</v>
      </c>
      <c r="H18" s="181" t="s">
        <v>90</v>
      </c>
      <c r="I18" s="180">
        <f t="array" ref="I18">xlookup(B18,DATA_LEAGUE_AVG!A:A,DATA_LEAGUE_AVG!C:C)</f>
        <v>3589.7</v>
      </c>
      <c r="J18" s="180">
        <f t="array" ref="J18">xlookup(B18,DATA_LEAGUE_AVG!A:A,DATA_LEAGUE_AVG!D:D)</f>
        <v>23.2</v>
      </c>
      <c r="K18" s="177">
        <f t="shared" ref="K18:L18" si="17">S18/I18</f>
        <v>1.275036911</v>
      </c>
      <c r="L18" s="177">
        <f t="shared" si="17"/>
        <v>1.379310345</v>
      </c>
      <c r="M18" s="177">
        <v>16.0</v>
      </c>
      <c r="N18" s="177">
        <v>16.0</v>
      </c>
      <c r="O18" s="181" t="s">
        <v>372</v>
      </c>
      <c r="P18" s="177">
        <v>385.0</v>
      </c>
      <c r="Q18" s="177">
        <v>581.0</v>
      </c>
      <c r="R18" s="177">
        <v>66.3</v>
      </c>
      <c r="S18" s="177">
        <v>4577.0</v>
      </c>
      <c r="T18" s="177">
        <v>32.0</v>
      </c>
      <c r="U18" s="177">
        <v>5.5</v>
      </c>
      <c r="V18" s="177">
        <v>8.0</v>
      </c>
      <c r="W18" s="177">
        <v>1.4</v>
      </c>
      <c r="X18" s="177">
        <v>230.0</v>
      </c>
      <c r="Y18" s="177">
        <v>49.7</v>
      </c>
      <c r="Z18" s="177">
        <v>64.0</v>
      </c>
      <c r="AA18" s="177">
        <v>7.9</v>
      </c>
      <c r="AB18" s="177">
        <v>8.36</v>
      </c>
      <c r="AC18" s="177">
        <v>11.9</v>
      </c>
      <c r="AD18" s="177">
        <v>286.1</v>
      </c>
      <c r="AE18" s="177">
        <v>102.8</v>
      </c>
      <c r="AF18" s="177">
        <v>35.0</v>
      </c>
      <c r="AG18" s="177">
        <v>201.0</v>
      </c>
      <c r="AH18" s="177">
        <v>5.68</v>
      </c>
      <c r="AI18" s="177">
        <v>7.1</v>
      </c>
      <c r="AJ18" s="177">
        <v>7.56</v>
      </c>
      <c r="AK18" s="177">
        <v>2.0</v>
      </c>
      <c r="AL18" s="177">
        <v>2.0</v>
      </c>
      <c r="AM18" s="177">
        <v>20.0</v>
      </c>
      <c r="AN18" s="33"/>
      <c r="AO18" s="33"/>
      <c r="AP18" s="33"/>
      <c r="AQ18" s="33"/>
      <c r="AR18" s="33"/>
      <c r="AS18" s="33"/>
    </row>
    <row r="19" hidden="1" outlineLevel="1">
      <c r="A19" s="179" t="s">
        <v>51</v>
      </c>
      <c r="B19" s="176">
        <v>2018.0</v>
      </c>
      <c r="C19" s="180">
        <f t="array" ref="C19">xlookup(B19,DATA_LEAGUE_AVG!A:A,DATA_LEAGUE_AVG!H:H)</f>
        <v>552.2</v>
      </c>
      <c r="D19" s="177" t="b">
        <f t="shared" si="1"/>
        <v>1</v>
      </c>
      <c r="E19" s="177">
        <v>41.0</v>
      </c>
      <c r="F19" s="181" t="s">
        <v>368</v>
      </c>
      <c r="G19" s="181" t="s">
        <v>369</v>
      </c>
      <c r="H19" s="181" t="s">
        <v>90</v>
      </c>
      <c r="I19" s="180">
        <f t="array" ref="I19">xlookup(B19,DATA_LEAGUE_AVG!A:A,DATA_LEAGUE_AVG!C:C)</f>
        <v>3804.3</v>
      </c>
      <c r="J19" s="180">
        <f t="array" ref="J19">xlookup(B19,DATA_LEAGUE_AVG!A:A,DATA_LEAGUE_AVG!D:D)</f>
        <v>26.5</v>
      </c>
      <c r="K19" s="177">
        <f t="shared" ref="K19:L19" si="18">S19/I19</f>
        <v>1.144757248</v>
      </c>
      <c r="L19" s="177">
        <f t="shared" si="18"/>
        <v>1.094339623</v>
      </c>
      <c r="M19" s="177">
        <v>16.0</v>
      </c>
      <c r="N19" s="177">
        <v>16.0</v>
      </c>
      <c r="O19" s="182">
        <v>36835.0</v>
      </c>
      <c r="P19" s="177">
        <v>375.0</v>
      </c>
      <c r="Q19" s="177">
        <v>570.0</v>
      </c>
      <c r="R19" s="177">
        <v>65.8</v>
      </c>
      <c r="S19" s="177">
        <v>4355.0</v>
      </c>
      <c r="T19" s="177">
        <v>29.0</v>
      </c>
      <c r="U19" s="177">
        <v>5.1</v>
      </c>
      <c r="V19" s="177">
        <v>11.0</v>
      </c>
      <c r="W19" s="177">
        <v>1.9</v>
      </c>
      <c r="X19" s="177">
        <v>205.0</v>
      </c>
      <c r="Y19" s="177">
        <v>51.8</v>
      </c>
      <c r="Z19" s="177">
        <v>63.0</v>
      </c>
      <c r="AA19" s="177">
        <v>7.6</v>
      </c>
      <c r="AB19" s="177">
        <v>7.79</v>
      </c>
      <c r="AC19" s="177">
        <v>11.6</v>
      </c>
      <c r="AD19" s="177">
        <v>272.2</v>
      </c>
      <c r="AE19" s="177">
        <v>97.7</v>
      </c>
      <c r="AF19" s="177">
        <v>21.0</v>
      </c>
      <c r="AG19" s="177">
        <v>147.0</v>
      </c>
      <c r="AH19" s="177">
        <v>3.55</v>
      </c>
      <c r="AI19" s="177">
        <v>7.12</v>
      </c>
      <c r="AJ19" s="177">
        <v>7.26</v>
      </c>
      <c r="AK19" s="177">
        <v>1.0</v>
      </c>
      <c r="AL19" s="177">
        <v>2.0</v>
      </c>
      <c r="AM19" s="177">
        <v>14.0</v>
      </c>
      <c r="AN19" s="33"/>
      <c r="AO19" s="33"/>
      <c r="AP19" s="33"/>
      <c r="AQ19" s="33"/>
      <c r="AR19" s="33"/>
      <c r="AS19" s="33"/>
    </row>
    <row r="20" hidden="1" outlineLevel="1">
      <c r="A20" s="179" t="s">
        <v>51</v>
      </c>
      <c r="B20" s="176">
        <v>2019.0</v>
      </c>
      <c r="C20" s="180">
        <f t="array" ref="C20">xlookup(B20,DATA_LEAGUE_AVG!A:A,DATA_LEAGUE_AVG!H:H)</f>
        <v>557.9</v>
      </c>
      <c r="D20" s="177" t="b">
        <f t="shared" si="1"/>
        <v>1</v>
      </c>
      <c r="E20" s="177">
        <v>42.0</v>
      </c>
      <c r="F20" s="181" t="s">
        <v>368</v>
      </c>
      <c r="G20" s="181" t="s">
        <v>369</v>
      </c>
      <c r="H20" s="181" t="s">
        <v>90</v>
      </c>
      <c r="I20" s="180">
        <f t="array" ref="I20">xlookup(B20,DATA_LEAGUE_AVG!A:A,DATA_LEAGUE_AVG!C:C)</f>
        <v>3759.4</v>
      </c>
      <c r="J20" s="180">
        <f t="array" ref="J20">xlookup(B20,DATA_LEAGUE_AVG!A:A,DATA_LEAGUE_AVG!D:D)</f>
        <v>24.9</v>
      </c>
      <c r="K20" s="177">
        <f t="shared" ref="K20:L20" si="19">S20/I20</f>
        <v>1.079161568</v>
      </c>
      <c r="L20" s="177">
        <f t="shared" si="19"/>
        <v>0.9638554217</v>
      </c>
      <c r="M20" s="177">
        <v>16.0</v>
      </c>
      <c r="N20" s="177">
        <v>16.0</v>
      </c>
      <c r="O20" s="182">
        <v>36864.0</v>
      </c>
      <c r="P20" s="177">
        <v>373.0</v>
      </c>
      <c r="Q20" s="177">
        <v>613.0</v>
      </c>
      <c r="R20" s="177">
        <v>60.8</v>
      </c>
      <c r="S20" s="177">
        <v>4057.0</v>
      </c>
      <c r="T20" s="177">
        <v>24.0</v>
      </c>
      <c r="U20" s="177">
        <v>3.9</v>
      </c>
      <c r="V20" s="177">
        <v>8.0</v>
      </c>
      <c r="W20" s="177">
        <v>1.3</v>
      </c>
      <c r="X20" s="177">
        <v>193.0</v>
      </c>
      <c r="Y20" s="177">
        <v>44.1</v>
      </c>
      <c r="Z20" s="177">
        <v>59.0</v>
      </c>
      <c r="AA20" s="177">
        <v>6.6</v>
      </c>
      <c r="AB20" s="177">
        <v>6.81</v>
      </c>
      <c r="AC20" s="177">
        <v>10.9</v>
      </c>
      <c r="AD20" s="177">
        <v>253.6</v>
      </c>
      <c r="AE20" s="177">
        <v>88.0</v>
      </c>
      <c r="AF20" s="177">
        <v>27.0</v>
      </c>
      <c r="AG20" s="177">
        <v>185.0</v>
      </c>
      <c r="AH20" s="177">
        <v>4.22</v>
      </c>
      <c r="AI20" s="177">
        <v>6.05</v>
      </c>
      <c r="AJ20" s="177">
        <v>6.24</v>
      </c>
      <c r="AK20" s="177">
        <v>1.0</v>
      </c>
      <c r="AL20" s="177">
        <v>1.0</v>
      </c>
      <c r="AM20" s="177">
        <v>12.0</v>
      </c>
      <c r="AN20" s="33"/>
      <c r="AO20" s="33"/>
      <c r="AP20" s="33"/>
      <c r="AQ20" s="33"/>
      <c r="AR20" s="33"/>
      <c r="AS20" s="33"/>
    </row>
    <row r="21" hidden="1" outlineLevel="1">
      <c r="A21" s="179" t="s">
        <v>51</v>
      </c>
      <c r="B21" s="176">
        <v>2020.0</v>
      </c>
      <c r="C21" s="180">
        <f t="array" ref="C21">xlookup(B21,DATA_LEAGUE_AVG!A:A,DATA_LEAGUE_AVG!H:H)</f>
        <v>563.1</v>
      </c>
      <c r="D21" s="177" t="b">
        <f t="shared" si="1"/>
        <v>1</v>
      </c>
      <c r="E21" s="177">
        <v>43.0</v>
      </c>
      <c r="F21" s="181" t="s">
        <v>373</v>
      </c>
      <c r="G21" s="181" t="s">
        <v>369</v>
      </c>
      <c r="H21" s="181" t="s">
        <v>90</v>
      </c>
      <c r="I21" s="180">
        <f t="array" ref="I21">xlookup(B21,DATA_LEAGUE_AVG!A:A,DATA_LEAGUE_AVG!C:C)</f>
        <v>3842.4</v>
      </c>
      <c r="J21" s="180">
        <f t="array" ref="J21">xlookup(B21,DATA_LEAGUE_AVG!A:A,DATA_LEAGUE_AVG!D:D)</f>
        <v>27.2</v>
      </c>
      <c r="K21" s="177">
        <f t="shared" ref="K21:L21" si="20">S21/I21</f>
        <v>1.205756819</v>
      </c>
      <c r="L21" s="177">
        <f t="shared" si="20"/>
        <v>1.470588235</v>
      </c>
      <c r="M21" s="177">
        <v>16.0</v>
      </c>
      <c r="N21" s="177">
        <v>16.0</v>
      </c>
      <c r="O21" s="182">
        <v>36835.0</v>
      </c>
      <c r="P21" s="177">
        <v>401.0</v>
      </c>
      <c r="Q21" s="177">
        <v>610.0</v>
      </c>
      <c r="R21" s="177">
        <v>65.7</v>
      </c>
      <c r="S21" s="177">
        <v>4633.0</v>
      </c>
      <c r="T21" s="177">
        <v>40.0</v>
      </c>
      <c r="U21" s="177">
        <v>6.6</v>
      </c>
      <c r="V21" s="177">
        <v>12.0</v>
      </c>
      <c r="W21" s="177">
        <v>2.0</v>
      </c>
      <c r="X21" s="177">
        <v>233.0</v>
      </c>
      <c r="Y21" s="177">
        <v>49.6</v>
      </c>
      <c r="Z21" s="177">
        <v>50.0</v>
      </c>
      <c r="AA21" s="177">
        <v>7.6</v>
      </c>
      <c r="AB21" s="177">
        <v>8.02</v>
      </c>
      <c r="AC21" s="177">
        <v>11.6</v>
      </c>
      <c r="AD21" s="177">
        <v>289.6</v>
      </c>
      <c r="AE21" s="177">
        <v>102.2</v>
      </c>
      <c r="AF21" s="177">
        <v>21.0</v>
      </c>
      <c r="AG21" s="177">
        <v>143.0</v>
      </c>
      <c r="AH21" s="177">
        <v>3.33</v>
      </c>
      <c r="AI21" s="177">
        <v>7.12</v>
      </c>
      <c r="AJ21" s="177">
        <v>7.53</v>
      </c>
      <c r="AK21" s="177">
        <v>3.0</v>
      </c>
      <c r="AL21" s="177">
        <v>3.0</v>
      </c>
      <c r="AM21" s="177">
        <v>15.0</v>
      </c>
      <c r="AN21" s="33"/>
      <c r="AO21" s="33"/>
      <c r="AP21" s="33"/>
      <c r="AQ21" s="33"/>
      <c r="AR21" s="33"/>
      <c r="AS21" s="33"/>
    </row>
    <row r="22" hidden="1" outlineLevel="1">
      <c r="A22" s="179" t="s">
        <v>51</v>
      </c>
      <c r="B22" s="176">
        <v>2021.0</v>
      </c>
      <c r="C22" s="180">
        <f t="array" ref="C22">xlookup(B22,DATA_LEAGUE_AVG!A:A,DATA_LEAGUE_AVG!H:H)</f>
        <v>584.8</v>
      </c>
      <c r="D22" s="177" t="b">
        <f t="shared" si="1"/>
        <v>1</v>
      </c>
      <c r="E22" s="177">
        <v>44.0</v>
      </c>
      <c r="F22" s="181" t="s">
        <v>373</v>
      </c>
      <c r="G22" s="181" t="s">
        <v>369</v>
      </c>
      <c r="H22" s="181" t="s">
        <v>90</v>
      </c>
      <c r="I22" s="180">
        <f t="array" ref="I22">xlookup(B22,DATA_LEAGUE_AVG!A:A,DATA_LEAGUE_AVG!C:C)</f>
        <v>3881.3</v>
      </c>
      <c r="J22" s="180">
        <f t="array" ref="J22">xlookup(B22,DATA_LEAGUE_AVG!A:A,DATA_LEAGUE_AVG!D:D)</f>
        <v>26.3</v>
      </c>
      <c r="K22" s="177">
        <f t="shared" ref="K22:L22" si="21">S22/I22</f>
        <v>1.369644191</v>
      </c>
      <c r="L22" s="177">
        <f t="shared" si="21"/>
        <v>1.634980989</v>
      </c>
      <c r="M22" s="177">
        <v>17.0</v>
      </c>
      <c r="N22" s="177">
        <v>17.0</v>
      </c>
      <c r="O22" s="181" t="s">
        <v>374</v>
      </c>
      <c r="P22" s="177">
        <v>485.0</v>
      </c>
      <c r="Q22" s="177">
        <v>719.0</v>
      </c>
      <c r="R22" s="177">
        <v>67.5</v>
      </c>
      <c r="S22" s="177">
        <v>5316.0</v>
      </c>
      <c r="T22" s="177">
        <v>43.0</v>
      </c>
      <c r="U22" s="177">
        <v>6.0</v>
      </c>
      <c r="V22" s="177">
        <v>12.0</v>
      </c>
      <c r="W22" s="177">
        <v>1.7</v>
      </c>
      <c r="X22" s="177">
        <v>269.0</v>
      </c>
      <c r="Y22" s="177">
        <v>52.6</v>
      </c>
      <c r="Z22" s="177">
        <v>62.0</v>
      </c>
      <c r="AA22" s="177">
        <v>7.4</v>
      </c>
      <c r="AB22" s="177">
        <v>7.84</v>
      </c>
      <c r="AC22" s="177">
        <v>11.0</v>
      </c>
      <c r="AD22" s="177">
        <v>312.7</v>
      </c>
      <c r="AE22" s="177">
        <v>102.1</v>
      </c>
      <c r="AF22" s="177">
        <v>22.0</v>
      </c>
      <c r="AG22" s="177">
        <v>144.0</v>
      </c>
      <c r="AH22" s="177">
        <v>2.97</v>
      </c>
      <c r="AI22" s="177">
        <v>6.98</v>
      </c>
      <c r="AJ22" s="177">
        <v>7.41</v>
      </c>
      <c r="AK22" s="177">
        <v>3.0</v>
      </c>
      <c r="AL22" s="177">
        <v>5.0</v>
      </c>
      <c r="AM22" s="177">
        <v>16.0</v>
      </c>
      <c r="AN22" s="33"/>
      <c r="AO22" s="33"/>
      <c r="AP22" s="33"/>
      <c r="AQ22" s="33"/>
      <c r="AR22" s="33"/>
      <c r="AS22" s="33"/>
    </row>
    <row r="23" hidden="1" outlineLevel="1">
      <c r="A23" s="179" t="s">
        <v>51</v>
      </c>
      <c r="B23" s="176">
        <v>2022.0</v>
      </c>
      <c r="C23" s="180">
        <f t="array" ref="C23">xlookup(B23,DATA_LEAGUE_AVG!A:A,DATA_LEAGUE_AVG!H:H)</f>
        <v>564.7</v>
      </c>
      <c r="D23" s="177" t="b">
        <f t="shared" si="1"/>
        <v>1</v>
      </c>
      <c r="E23" s="177">
        <v>45.0</v>
      </c>
      <c r="F23" s="181" t="s">
        <v>373</v>
      </c>
      <c r="G23" s="181" t="s">
        <v>369</v>
      </c>
      <c r="H23" s="181" t="s">
        <v>90</v>
      </c>
      <c r="I23" s="180">
        <f t="array" ref="I23">xlookup(B23,DATA_LEAGUE_AVG!A:A,DATA_LEAGUE_AVG!C:C)</f>
        <v>3701.2</v>
      </c>
      <c r="J23" s="180">
        <f t="array" ref="J23">xlookup(B23,DATA_LEAGUE_AVG!A:A,DATA_LEAGUE_AVG!D:D)</f>
        <v>23.4</v>
      </c>
      <c r="K23" s="177">
        <f t="shared" ref="K23:L23" si="22">S23/I23</f>
        <v>1.268237328</v>
      </c>
      <c r="L23" s="177">
        <f t="shared" si="22"/>
        <v>1.068376068</v>
      </c>
      <c r="M23" s="177">
        <v>17.0</v>
      </c>
      <c r="N23" s="177">
        <v>17.0</v>
      </c>
      <c r="O23" s="182">
        <v>36747.0</v>
      </c>
      <c r="P23" s="177">
        <v>490.0</v>
      </c>
      <c r="Q23" s="177">
        <v>733.0</v>
      </c>
      <c r="R23" s="177">
        <v>66.8</v>
      </c>
      <c r="S23" s="177">
        <v>4694.0</v>
      </c>
      <c r="T23" s="177">
        <v>25.0</v>
      </c>
      <c r="U23" s="177">
        <v>3.4</v>
      </c>
      <c r="V23" s="177">
        <v>9.0</v>
      </c>
      <c r="W23" s="177">
        <v>1.2</v>
      </c>
      <c r="X23" s="177">
        <v>237.0</v>
      </c>
      <c r="Y23" s="177">
        <v>49.5</v>
      </c>
      <c r="Z23" s="177">
        <v>63.0</v>
      </c>
      <c r="AA23" s="177">
        <v>6.4</v>
      </c>
      <c r="AB23" s="177">
        <v>6.53</v>
      </c>
      <c r="AC23" s="177">
        <v>9.6</v>
      </c>
      <c r="AD23" s="177">
        <v>276.1</v>
      </c>
      <c r="AE23" s="177">
        <v>90.7</v>
      </c>
      <c r="AF23" s="177">
        <v>22.0</v>
      </c>
      <c r="AG23" s="177">
        <v>160.0</v>
      </c>
      <c r="AH23" s="177">
        <v>2.91</v>
      </c>
      <c r="AI23" s="177">
        <v>6.01</v>
      </c>
      <c r="AJ23" s="177">
        <v>6.13</v>
      </c>
      <c r="AK23" s="177">
        <v>4.0</v>
      </c>
      <c r="AL23" s="177">
        <v>5.0</v>
      </c>
      <c r="AM23" s="177">
        <v>10.0</v>
      </c>
      <c r="AN23" s="33"/>
      <c r="AO23" s="33"/>
      <c r="AP23" s="33"/>
      <c r="AQ23" s="33"/>
      <c r="AR23" s="33"/>
      <c r="AS23" s="33"/>
    </row>
    <row r="24" collapsed="1">
      <c r="A24" s="175" t="s">
        <v>56</v>
      </c>
      <c r="B24" s="176" t="s">
        <v>348</v>
      </c>
      <c r="C24" s="177" t="str">
        <f t="array" ref="C24">xlookup(B24,DATA_LEAGUE_AVG!A:A,DATA_LEAGUE_AVG!H:H)</f>
        <v>#N/A</v>
      </c>
      <c r="D24" s="177" t="str">
        <f t="shared" si="1"/>
        <v>#N/A</v>
      </c>
      <c r="E24" s="176" t="s">
        <v>351</v>
      </c>
      <c r="F24" s="176" t="s">
        <v>352</v>
      </c>
      <c r="G24" s="176" t="s">
        <v>353</v>
      </c>
      <c r="H24" s="176" t="s">
        <v>354</v>
      </c>
      <c r="I24" s="178" t="s">
        <v>355</v>
      </c>
      <c r="J24" s="178" t="s">
        <v>356</v>
      </c>
      <c r="K24" s="178" t="s">
        <v>272</v>
      </c>
      <c r="L24" s="178" t="s">
        <v>357</v>
      </c>
      <c r="M24" s="176" t="s">
        <v>358</v>
      </c>
      <c r="N24" s="176" t="s">
        <v>359</v>
      </c>
      <c r="O24" s="176" t="s">
        <v>360</v>
      </c>
      <c r="P24" s="176" t="s">
        <v>330</v>
      </c>
      <c r="Q24" s="176" t="s">
        <v>331</v>
      </c>
      <c r="R24" s="176" t="s">
        <v>332</v>
      </c>
      <c r="S24" s="176" t="s">
        <v>326</v>
      </c>
      <c r="T24" s="176" t="s">
        <v>327</v>
      </c>
      <c r="U24" s="176" t="s">
        <v>335</v>
      </c>
      <c r="V24" s="176" t="s">
        <v>336</v>
      </c>
      <c r="W24" s="176" t="s">
        <v>337</v>
      </c>
      <c r="X24" s="176" t="s">
        <v>361</v>
      </c>
      <c r="Y24" s="176" t="s">
        <v>362</v>
      </c>
      <c r="Z24" s="176" t="s">
        <v>363</v>
      </c>
      <c r="AA24" s="176" t="s">
        <v>338</v>
      </c>
      <c r="AB24" s="176" t="s">
        <v>339</v>
      </c>
      <c r="AC24" s="176" t="s">
        <v>340</v>
      </c>
      <c r="AD24" s="176" t="s">
        <v>341</v>
      </c>
      <c r="AE24" s="176" t="s">
        <v>342</v>
      </c>
      <c r="AF24" s="176" t="s">
        <v>343</v>
      </c>
      <c r="AG24" s="176" t="s">
        <v>326</v>
      </c>
      <c r="AH24" s="176" t="s">
        <v>345</v>
      </c>
      <c r="AI24" s="176" t="s">
        <v>346</v>
      </c>
      <c r="AJ24" s="176" t="s">
        <v>347</v>
      </c>
      <c r="AK24" s="176" t="s">
        <v>364</v>
      </c>
      <c r="AL24" s="176" t="s">
        <v>365</v>
      </c>
      <c r="AM24" s="176" t="s">
        <v>366</v>
      </c>
      <c r="AN24" s="176" t="s">
        <v>367</v>
      </c>
      <c r="AO24" s="33"/>
      <c r="AP24" s="33"/>
      <c r="AQ24" s="33"/>
      <c r="AR24" s="33"/>
      <c r="AS24" s="33"/>
    </row>
    <row r="25" hidden="1" outlineLevel="1">
      <c r="A25" s="175" t="s">
        <v>56</v>
      </c>
      <c r="B25" s="176">
        <v>1980.0</v>
      </c>
      <c r="C25" s="180">
        <f t="array" ref="C25">xlookup(B25,DATA_LEAGUE_AVG!A:A,DATA_LEAGUE_AVG!H:H)</f>
        <v>489.5</v>
      </c>
      <c r="D25" s="177" t="b">
        <f t="shared" si="1"/>
        <v>1</v>
      </c>
      <c r="E25" s="177">
        <v>24.0</v>
      </c>
      <c r="F25" s="181" t="s">
        <v>375</v>
      </c>
      <c r="G25" s="181" t="s">
        <v>369</v>
      </c>
      <c r="H25" s="181" t="s">
        <v>90</v>
      </c>
      <c r="I25" s="180">
        <f t="array" ref="I25">xlookup(B25,DATA_LEAGUE_AVG!A:A,DATA_LEAGUE_AVG!C:C)</f>
        <v>3135.3</v>
      </c>
      <c r="J25" s="180">
        <f t="array" ref="J25">xlookup(B25,DATA_LEAGUE_AVG!A:A,DATA_LEAGUE_AVG!D:D)</f>
        <v>21.6</v>
      </c>
      <c r="K25" s="177">
        <f t="shared" ref="K25:L25" si="23">S25/I25</f>
        <v>0.5725129972</v>
      </c>
      <c r="L25" s="177">
        <f t="shared" si="23"/>
        <v>0.6944444444</v>
      </c>
      <c r="M25" s="177">
        <v>15.0</v>
      </c>
      <c r="N25" s="177">
        <v>7.0</v>
      </c>
      <c r="O25" s="182">
        <v>36561.0</v>
      </c>
      <c r="P25" s="177">
        <v>176.0</v>
      </c>
      <c r="Q25" s="177">
        <v>273.0</v>
      </c>
      <c r="R25" s="177">
        <v>64.5</v>
      </c>
      <c r="S25" s="177">
        <v>1795.0</v>
      </c>
      <c r="T25" s="177">
        <v>15.0</v>
      </c>
      <c r="U25" s="177">
        <v>5.5</v>
      </c>
      <c r="V25" s="177">
        <v>9.0</v>
      </c>
      <c r="W25" s="177">
        <v>3.3</v>
      </c>
      <c r="X25" s="177">
        <v>81.0</v>
      </c>
      <c r="Y25" s="177">
        <v>43.8</v>
      </c>
      <c r="Z25" s="177">
        <v>71.0</v>
      </c>
      <c r="AA25" s="177">
        <v>6.6</v>
      </c>
      <c r="AB25" s="177">
        <v>6.19</v>
      </c>
      <c r="AC25" s="177">
        <v>10.2</v>
      </c>
      <c r="AD25" s="177">
        <v>119.7</v>
      </c>
      <c r="AE25" s="177">
        <v>87.8</v>
      </c>
      <c r="AF25" s="177">
        <v>15.0</v>
      </c>
      <c r="AG25" s="177">
        <v>100.0</v>
      </c>
      <c r="AH25" s="177">
        <v>5.21</v>
      </c>
      <c r="AI25" s="177">
        <v>5.89</v>
      </c>
      <c r="AJ25" s="177">
        <v>5.52</v>
      </c>
      <c r="AK25" s="177">
        <v>1.0</v>
      </c>
      <c r="AL25" s="177">
        <v>1.0</v>
      </c>
      <c r="AM25" s="177">
        <v>6.0</v>
      </c>
      <c r="AN25" s="183"/>
      <c r="AO25" s="33"/>
      <c r="AP25" s="33"/>
      <c r="AQ25" s="33"/>
      <c r="AR25" s="33"/>
      <c r="AS25" s="33"/>
    </row>
    <row r="26" hidden="1" outlineLevel="1">
      <c r="A26" s="175" t="s">
        <v>56</v>
      </c>
      <c r="B26" s="176">
        <v>1981.0</v>
      </c>
      <c r="C26" s="180">
        <f t="array" ref="C26">xlookup(B26,DATA_LEAGUE_AVG!A:A,DATA_LEAGUE_AVG!H:H)</f>
        <v>506.4</v>
      </c>
      <c r="D26" s="177" t="b">
        <f t="shared" si="1"/>
        <v>1</v>
      </c>
      <c r="E26" s="177">
        <v>25.0</v>
      </c>
      <c r="F26" s="181" t="s">
        <v>375</v>
      </c>
      <c r="G26" s="181" t="s">
        <v>369</v>
      </c>
      <c r="H26" s="181" t="s">
        <v>90</v>
      </c>
      <c r="I26" s="180">
        <f t="array" ref="I26">xlookup(B26,DATA_LEAGUE_AVG!A:A,DATA_LEAGUE_AVG!C:C)</f>
        <v>3269.8</v>
      </c>
      <c r="J26" s="180">
        <f t="array" ref="J26">xlookup(B26,DATA_LEAGUE_AVG!A:A,DATA_LEAGUE_AVG!D:D)</f>
        <v>21.1</v>
      </c>
      <c r="K26" s="177">
        <f t="shared" ref="K26:L26" si="24">S26/I26</f>
        <v>1.090280751</v>
      </c>
      <c r="L26" s="177">
        <f t="shared" si="24"/>
        <v>0.9004739336</v>
      </c>
      <c r="M26" s="177">
        <v>16.0</v>
      </c>
      <c r="N26" s="177">
        <v>16.0</v>
      </c>
      <c r="O26" s="181" t="s">
        <v>372</v>
      </c>
      <c r="P26" s="177">
        <v>311.0</v>
      </c>
      <c r="Q26" s="177">
        <v>488.0</v>
      </c>
      <c r="R26" s="177">
        <v>63.7</v>
      </c>
      <c r="S26" s="177">
        <v>3565.0</v>
      </c>
      <c r="T26" s="177">
        <v>19.0</v>
      </c>
      <c r="U26" s="177">
        <v>3.9</v>
      </c>
      <c r="V26" s="177">
        <v>12.0</v>
      </c>
      <c r="W26" s="177">
        <v>2.5</v>
      </c>
      <c r="X26" s="177">
        <v>173.0</v>
      </c>
      <c r="Y26" s="177">
        <v>45.9</v>
      </c>
      <c r="Z26" s="177">
        <v>78.0</v>
      </c>
      <c r="AA26" s="177">
        <v>7.3</v>
      </c>
      <c r="AB26" s="177">
        <v>6.98</v>
      </c>
      <c r="AC26" s="177">
        <v>11.5</v>
      </c>
      <c r="AD26" s="177">
        <v>222.8</v>
      </c>
      <c r="AE26" s="177">
        <v>88.4</v>
      </c>
      <c r="AF26" s="177">
        <v>26.0</v>
      </c>
      <c r="AG26" s="177">
        <v>193.0</v>
      </c>
      <c r="AH26" s="177">
        <v>5.06</v>
      </c>
      <c r="AI26" s="177">
        <v>6.56</v>
      </c>
      <c r="AJ26" s="177">
        <v>6.25</v>
      </c>
      <c r="AK26" s="177">
        <v>2.0</v>
      </c>
      <c r="AL26" s="177">
        <v>2.0</v>
      </c>
      <c r="AM26" s="177">
        <v>12.0</v>
      </c>
      <c r="AN26" s="181" t="s">
        <v>376</v>
      </c>
      <c r="AO26" s="33"/>
      <c r="AP26" s="33"/>
      <c r="AQ26" s="33"/>
      <c r="AR26" s="33"/>
      <c r="AS26" s="33"/>
    </row>
    <row r="27" hidden="1" outlineLevel="1">
      <c r="A27" s="175" t="s">
        <v>56</v>
      </c>
      <c r="B27" s="176">
        <v>1982.0</v>
      </c>
      <c r="C27" s="180">
        <f t="array" ref="C27">xlookup(B27,DATA_LEAGUE_AVG!A:A,DATA_LEAGUE_AVG!H:H)</f>
        <v>283.3</v>
      </c>
      <c r="D27" s="177" t="b">
        <f t="shared" si="1"/>
        <v>1</v>
      </c>
      <c r="E27" s="177">
        <v>26.0</v>
      </c>
      <c r="F27" s="181" t="s">
        <v>375</v>
      </c>
      <c r="G27" s="181" t="s">
        <v>369</v>
      </c>
      <c r="H27" s="181" t="s">
        <v>90</v>
      </c>
      <c r="I27" s="180">
        <f t="array" ref="I27">xlookup(B27,DATA_LEAGUE_AVG!A:A,DATA_LEAGUE_AVG!C:C)</f>
        <v>1794.9</v>
      </c>
      <c r="J27" s="180">
        <f t="array" ref="J27">xlookup(B27,DATA_LEAGUE_AVG!A:A,DATA_LEAGUE_AVG!D:D)</f>
        <v>11.4</v>
      </c>
      <c r="K27" s="177">
        <f t="shared" ref="K27:L27" si="25">S27/I27</f>
        <v>1.455791409</v>
      </c>
      <c r="L27" s="177">
        <f t="shared" si="25"/>
        <v>1.49122807</v>
      </c>
      <c r="M27" s="177">
        <v>9.0</v>
      </c>
      <c r="N27" s="177">
        <v>9.0</v>
      </c>
      <c r="O27" s="182">
        <v>36591.0</v>
      </c>
      <c r="P27" s="177">
        <v>213.0</v>
      </c>
      <c r="Q27" s="177">
        <v>346.0</v>
      </c>
      <c r="R27" s="177">
        <v>61.6</v>
      </c>
      <c r="S27" s="177">
        <v>2613.0</v>
      </c>
      <c r="T27" s="177">
        <v>17.0</v>
      </c>
      <c r="U27" s="177">
        <v>4.9</v>
      </c>
      <c r="V27" s="177">
        <v>11.0</v>
      </c>
      <c r="W27" s="177">
        <v>3.2</v>
      </c>
      <c r="X27" s="177">
        <v>120.0</v>
      </c>
      <c r="Y27" s="177">
        <v>45.4</v>
      </c>
      <c r="Z27" s="177">
        <v>55.0</v>
      </c>
      <c r="AA27" s="177">
        <v>7.6</v>
      </c>
      <c r="AB27" s="177">
        <v>7.1</v>
      </c>
      <c r="AC27" s="177">
        <v>12.3</v>
      </c>
      <c r="AD27" s="177">
        <v>290.3</v>
      </c>
      <c r="AE27" s="177">
        <v>88.0</v>
      </c>
      <c r="AF27" s="177">
        <v>20.0</v>
      </c>
      <c r="AG27" s="177">
        <v>166.0</v>
      </c>
      <c r="AH27" s="177">
        <v>5.46</v>
      </c>
      <c r="AI27" s="177">
        <v>6.69</v>
      </c>
      <c r="AJ27" s="177">
        <v>6.26</v>
      </c>
      <c r="AK27" s="177">
        <v>2.0</v>
      </c>
      <c r="AL27" s="177">
        <v>2.0</v>
      </c>
      <c r="AM27" s="177">
        <v>16.0</v>
      </c>
      <c r="AN27" s="183"/>
      <c r="AO27" s="33"/>
      <c r="AP27" s="33"/>
      <c r="AQ27" s="33"/>
      <c r="AR27" s="33"/>
      <c r="AS27" s="33"/>
    </row>
    <row r="28" hidden="1" outlineLevel="1">
      <c r="A28" s="175" t="s">
        <v>56</v>
      </c>
      <c r="B28" s="176">
        <v>1983.0</v>
      </c>
      <c r="C28" s="180">
        <f t="array" ref="C28">xlookup(B28,DATA_LEAGUE_AVG!A:A,DATA_LEAGUE_AVG!H:H)</f>
        <v>501.7</v>
      </c>
      <c r="D28" s="177" t="b">
        <f t="shared" si="1"/>
        <v>1</v>
      </c>
      <c r="E28" s="177">
        <v>27.0</v>
      </c>
      <c r="F28" s="181" t="s">
        <v>375</v>
      </c>
      <c r="G28" s="181" t="s">
        <v>369</v>
      </c>
      <c r="H28" s="181" t="s">
        <v>90</v>
      </c>
      <c r="I28" s="180">
        <f t="array" ref="I28">xlookup(B28,DATA_LEAGUE_AVG!A:A,DATA_LEAGUE_AVG!C:C)</f>
        <v>3274</v>
      </c>
      <c r="J28" s="180">
        <f t="array" ref="J28">xlookup(B28,DATA_LEAGUE_AVG!A:A,DATA_LEAGUE_AVG!D:D)</f>
        <v>22.3</v>
      </c>
      <c r="K28" s="177">
        <f t="shared" ref="K28:L28" si="26">S28/I28</f>
        <v>1.194257789</v>
      </c>
      <c r="L28" s="177">
        <f t="shared" si="26"/>
        <v>1.165919283</v>
      </c>
      <c r="M28" s="177">
        <v>16.0</v>
      </c>
      <c r="N28" s="177">
        <v>16.0</v>
      </c>
      <c r="O28" s="182">
        <v>36805.0</v>
      </c>
      <c r="P28" s="177">
        <v>332.0</v>
      </c>
      <c r="Q28" s="177">
        <v>515.0</v>
      </c>
      <c r="R28" s="177">
        <v>64.5</v>
      </c>
      <c r="S28" s="177">
        <v>3910.0</v>
      </c>
      <c r="T28" s="177">
        <v>26.0</v>
      </c>
      <c r="U28" s="177">
        <v>5.0</v>
      </c>
      <c r="V28" s="177">
        <v>12.0</v>
      </c>
      <c r="W28" s="177">
        <v>2.3</v>
      </c>
      <c r="X28" s="177">
        <v>199.0</v>
      </c>
      <c r="Y28" s="177">
        <v>51.3</v>
      </c>
      <c r="Z28" s="177">
        <v>77.0</v>
      </c>
      <c r="AA28" s="177">
        <v>7.6</v>
      </c>
      <c r="AB28" s="177">
        <v>7.55</v>
      </c>
      <c r="AC28" s="177">
        <v>11.8</v>
      </c>
      <c r="AD28" s="177">
        <v>244.4</v>
      </c>
      <c r="AE28" s="177">
        <v>94.6</v>
      </c>
      <c r="AF28" s="177">
        <v>33.0</v>
      </c>
      <c r="AG28" s="177">
        <v>224.0</v>
      </c>
      <c r="AH28" s="177">
        <v>6.02</v>
      </c>
      <c r="AI28" s="177">
        <v>6.73</v>
      </c>
      <c r="AJ28" s="177">
        <v>6.69</v>
      </c>
      <c r="AK28" s="177">
        <v>2.0</v>
      </c>
      <c r="AL28" s="177">
        <v>1.0</v>
      </c>
      <c r="AM28" s="177">
        <v>17.0</v>
      </c>
      <c r="AN28" s="181" t="s">
        <v>377</v>
      </c>
      <c r="AO28" s="33"/>
      <c r="AP28" s="33"/>
      <c r="AQ28" s="33"/>
      <c r="AR28" s="33"/>
      <c r="AS28" s="33"/>
    </row>
    <row r="29" hidden="1" outlineLevel="1">
      <c r="A29" s="175" t="s">
        <v>56</v>
      </c>
      <c r="B29" s="176">
        <v>1984.0</v>
      </c>
      <c r="C29" s="180">
        <f t="array" ref="C29">xlookup(B29,DATA_LEAGUE_AVG!A:A,DATA_LEAGUE_AVG!H:H)</f>
        <v>511.6</v>
      </c>
      <c r="D29" s="177" t="b">
        <f t="shared" si="1"/>
        <v>1</v>
      </c>
      <c r="E29" s="177">
        <v>28.0</v>
      </c>
      <c r="F29" s="181" t="s">
        <v>375</v>
      </c>
      <c r="G29" s="181" t="s">
        <v>369</v>
      </c>
      <c r="H29" s="181" t="s">
        <v>90</v>
      </c>
      <c r="I29" s="180">
        <f t="array" ref="I29">xlookup(B29,DATA_LEAGUE_AVG!A:A,DATA_LEAGUE_AVG!C:C)</f>
        <v>3294.2</v>
      </c>
      <c r="J29" s="180">
        <f t="array" ref="J29">xlookup(B29,DATA_LEAGUE_AVG!A:A,DATA_LEAGUE_AVG!D:D)</f>
        <v>22</v>
      </c>
      <c r="K29" s="177">
        <f t="shared" ref="K29:L29" si="27">S29/I29</f>
        <v>1.101936737</v>
      </c>
      <c r="L29" s="177">
        <f t="shared" si="27"/>
        <v>1.272727273</v>
      </c>
      <c r="M29" s="177">
        <v>16.0</v>
      </c>
      <c r="N29" s="177">
        <v>15.0</v>
      </c>
      <c r="O29" s="181" t="s">
        <v>378</v>
      </c>
      <c r="P29" s="177">
        <v>279.0</v>
      </c>
      <c r="Q29" s="177">
        <v>432.0</v>
      </c>
      <c r="R29" s="177">
        <v>64.6</v>
      </c>
      <c r="S29" s="177">
        <v>3630.0</v>
      </c>
      <c r="T29" s="177">
        <v>28.0</v>
      </c>
      <c r="U29" s="177">
        <v>6.5</v>
      </c>
      <c r="V29" s="177">
        <v>10.0</v>
      </c>
      <c r="W29" s="177">
        <v>2.3</v>
      </c>
      <c r="X29" s="177">
        <v>184.0</v>
      </c>
      <c r="Y29" s="177">
        <v>50.2</v>
      </c>
      <c r="Z29" s="177">
        <v>80.0</v>
      </c>
      <c r="AA29" s="177">
        <v>8.4</v>
      </c>
      <c r="AB29" s="177">
        <v>8.66</v>
      </c>
      <c r="AC29" s="177">
        <v>13.0</v>
      </c>
      <c r="AD29" s="177">
        <v>226.9</v>
      </c>
      <c r="AE29" s="177">
        <v>102.9</v>
      </c>
      <c r="AF29" s="177">
        <v>22.0</v>
      </c>
      <c r="AG29" s="177">
        <v>138.0</v>
      </c>
      <c r="AH29" s="177">
        <v>4.85</v>
      </c>
      <c r="AI29" s="177">
        <v>7.69</v>
      </c>
      <c r="AJ29" s="177">
        <v>7.93</v>
      </c>
      <c r="AK29" s="177">
        <v>2.0</v>
      </c>
      <c r="AL29" s="177">
        <v>2.0</v>
      </c>
      <c r="AM29" s="177">
        <v>16.0</v>
      </c>
      <c r="AN29" s="181" t="s">
        <v>379</v>
      </c>
      <c r="AO29" s="33"/>
      <c r="AP29" s="33"/>
      <c r="AQ29" s="33"/>
      <c r="AR29" s="33"/>
      <c r="AS29" s="33"/>
    </row>
    <row r="30" hidden="1" outlineLevel="1">
      <c r="A30" s="175" t="s">
        <v>56</v>
      </c>
      <c r="B30" s="176">
        <v>1985.0</v>
      </c>
      <c r="C30" s="180">
        <f t="array" ref="C30">xlookup(B30,DATA_LEAGUE_AVG!A:A,DATA_LEAGUE_AVG!H:H)</f>
        <v>515.1</v>
      </c>
      <c r="D30" s="177" t="b">
        <f t="shared" si="1"/>
        <v>1</v>
      </c>
      <c r="E30" s="177">
        <v>29.0</v>
      </c>
      <c r="F30" s="181" t="s">
        <v>375</v>
      </c>
      <c r="G30" s="181" t="s">
        <v>369</v>
      </c>
      <c r="H30" s="181" t="s">
        <v>90</v>
      </c>
      <c r="I30" s="180">
        <f t="array" ref="I30">xlookup(B30,DATA_LEAGUE_AVG!A:A,DATA_LEAGUE_AVG!C:C)</f>
        <v>3272.2</v>
      </c>
      <c r="J30" s="180">
        <f t="array" ref="J30">xlookup(B30,DATA_LEAGUE_AVG!A:A,DATA_LEAGUE_AVG!D:D)</f>
        <v>21.4</v>
      </c>
      <c r="K30" s="177">
        <f t="shared" ref="K30:L30" si="28">S30/I30</f>
        <v>1.116374305</v>
      </c>
      <c r="L30" s="177">
        <f t="shared" si="28"/>
        <v>1.261682243</v>
      </c>
      <c r="M30" s="177">
        <v>15.0</v>
      </c>
      <c r="N30" s="177">
        <v>15.0</v>
      </c>
      <c r="O30" s="182">
        <v>36775.0</v>
      </c>
      <c r="P30" s="177">
        <v>303.0</v>
      </c>
      <c r="Q30" s="177">
        <v>494.0</v>
      </c>
      <c r="R30" s="177">
        <v>61.3</v>
      </c>
      <c r="S30" s="177">
        <v>3653.0</v>
      </c>
      <c r="T30" s="177">
        <v>27.0</v>
      </c>
      <c r="U30" s="177">
        <v>5.5</v>
      </c>
      <c r="V30" s="177">
        <v>13.0</v>
      </c>
      <c r="W30" s="177">
        <v>2.6</v>
      </c>
      <c r="X30" s="177">
        <v>164.0</v>
      </c>
      <c r="Y30" s="177">
        <v>45.2</v>
      </c>
      <c r="Z30" s="177">
        <v>73.0</v>
      </c>
      <c r="AA30" s="177">
        <v>7.4</v>
      </c>
      <c r="AB30" s="177">
        <v>7.3</v>
      </c>
      <c r="AC30" s="177">
        <v>12.1</v>
      </c>
      <c r="AD30" s="177">
        <v>243.5</v>
      </c>
      <c r="AE30" s="177">
        <v>91.3</v>
      </c>
      <c r="AF30" s="177">
        <v>35.0</v>
      </c>
      <c r="AG30" s="177">
        <v>246.0</v>
      </c>
      <c r="AH30" s="177">
        <v>6.62</v>
      </c>
      <c r="AI30" s="177">
        <v>6.44</v>
      </c>
      <c r="AJ30" s="177">
        <v>6.36</v>
      </c>
      <c r="AK30" s="177">
        <v>1.0</v>
      </c>
      <c r="AL30" s="177">
        <v>1.0</v>
      </c>
      <c r="AM30" s="177">
        <v>13.0</v>
      </c>
      <c r="AN30" s="181" t="s">
        <v>380</v>
      </c>
      <c r="AO30" s="33"/>
      <c r="AP30" s="33"/>
      <c r="AQ30" s="33"/>
      <c r="AR30" s="33"/>
      <c r="AS30" s="33"/>
    </row>
    <row r="31" hidden="1" outlineLevel="1">
      <c r="A31" s="175" t="s">
        <v>56</v>
      </c>
      <c r="B31" s="176">
        <v>1986.0</v>
      </c>
      <c r="C31" s="180">
        <f t="array" ref="C31">xlookup(B31,DATA_LEAGUE_AVG!A:A,DATA_LEAGUE_AVG!H:H)</f>
        <v>516.8</v>
      </c>
      <c r="D31" s="177" t="b">
        <f t="shared" si="1"/>
        <v>1</v>
      </c>
      <c r="E31" s="177">
        <v>30.0</v>
      </c>
      <c r="F31" s="181" t="s">
        <v>375</v>
      </c>
      <c r="G31" s="181" t="s">
        <v>369</v>
      </c>
      <c r="H31" s="181" t="s">
        <v>90</v>
      </c>
      <c r="I31" s="180">
        <f t="array" ref="I31">xlookup(B31,DATA_LEAGUE_AVG!A:A,DATA_LEAGUE_AVG!C:C)</f>
        <v>3288.6</v>
      </c>
      <c r="J31" s="180">
        <f t="array" ref="J31">xlookup(B31,DATA_LEAGUE_AVG!A:A,DATA_LEAGUE_AVG!D:D)</f>
        <v>20.9</v>
      </c>
      <c r="K31" s="177">
        <f t="shared" ref="K31:L31" si="29">S31/I31</f>
        <v>0.679924588</v>
      </c>
      <c r="L31" s="177">
        <f t="shared" si="29"/>
        <v>0.3827751196</v>
      </c>
      <c r="M31" s="177">
        <v>8.0</v>
      </c>
      <c r="N31" s="177">
        <v>8.0</v>
      </c>
      <c r="O31" s="182">
        <v>36679.0</v>
      </c>
      <c r="P31" s="177">
        <v>191.0</v>
      </c>
      <c r="Q31" s="177">
        <v>307.0</v>
      </c>
      <c r="R31" s="177">
        <v>62.2</v>
      </c>
      <c r="S31" s="177">
        <v>2236.0</v>
      </c>
      <c r="T31" s="177">
        <v>8.0</v>
      </c>
      <c r="U31" s="177">
        <v>2.6</v>
      </c>
      <c r="V31" s="177">
        <v>9.0</v>
      </c>
      <c r="W31" s="177">
        <v>2.9</v>
      </c>
      <c r="X31" s="177">
        <v>111.0</v>
      </c>
      <c r="Y31" s="177">
        <v>45.5</v>
      </c>
      <c r="Z31" s="177">
        <v>48.0</v>
      </c>
      <c r="AA31" s="177">
        <v>7.3</v>
      </c>
      <c r="AB31" s="177">
        <v>6.49</v>
      </c>
      <c r="AC31" s="177">
        <v>11.7</v>
      </c>
      <c r="AD31" s="177">
        <v>279.5</v>
      </c>
      <c r="AE31" s="177">
        <v>80.7</v>
      </c>
      <c r="AF31" s="177">
        <v>12.0</v>
      </c>
      <c r="AG31" s="177">
        <v>95.0</v>
      </c>
      <c r="AH31" s="177">
        <v>3.76</v>
      </c>
      <c r="AI31" s="177">
        <v>6.71</v>
      </c>
      <c r="AJ31" s="177">
        <v>5.94</v>
      </c>
      <c r="AK31" s="177">
        <v>1.0</v>
      </c>
      <c r="AL31" s="177">
        <v>1.0</v>
      </c>
      <c r="AM31" s="177">
        <v>7.0</v>
      </c>
      <c r="AN31" s="181" t="s">
        <v>381</v>
      </c>
      <c r="AO31" s="33"/>
      <c r="AP31" s="33"/>
      <c r="AQ31" s="33"/>
      <c r="AR31" s="33"/>
      <c r="AS31" s="33"/>
    </row>
    <row r="32" hidden="1" outlineLevel="1">
      <c r="A32" s="175" t="s">
        <v>56</v>
      </c>
      <c r="B32" s="176">
        <v>1987.0</v>
      </c>
      <c r="C32" s="180">
        <f t="array" ref="C32">xlookup(B32,DATA_LEAGUE_AVG!A:A,DATA_LEAGUE_AVG!H:H)</f>
        <v>481.8</v>
      </c>
      <c r="D32" s="177" t="b">
        <f t="shared" si="1"/>
        <v>1</v>
      </c>
      <c r="E32" s="177">
        <v>31.0</v>
      </c>
      <c r="F32" s="181" t="s">
        <v>375</v>
      </c>
      <c r="G32" s="181" t="s">
        <v>369</v>
      </c>
      <c r="H32" s="181" t="s">
        <v>90</v>
      </c>
      <c r="I32" s="180">
        <f t="array" ref="I32">xlookup(B32,DATA_LEAGUE_AVG!A:A,DATA_LEAGUE_AVG!C:C)</f>
        <v>3058.8</v>
      </c>
      <c r="J32" s="180">
        <f t="array" ref="J32">xlookup(B32,DATA_LEAGUE_AVG!A:A,DATA_LEAGUE_AVG!D:D)</f>
        <v>21.8</v>
      </c>
      <c r="K32" s="177">
        <f t="shared" ref="K32:L32" si="30">S32/I32</f>
        <v>0.9984307572</v>
      </c>
      <c r="L32" s="177">
        <f t="shared" si="30"/>
        <v>1.422018349</v>
      </c>
      <c r="M32" s="177">
        <v>13.0</v>
      </c>
      <c r="N32" s="177">
        <v>11.0</v>
      </c>
      <c r="O32" s="182">
        <v>36800.0</v>
      </c>
      <c r="P32" s="177">
        <v>266.0</v>
      </c>
      <c r="Q32" s="177">
        <v>398.0</v>
      </c>
      <c r="R32" s="177">
        <v>66.8</v>
      </c>
      <c r="S32" s="177">
        <v>3054.0</v>
      </c>
      <c r="T32" s="177">
        <v>31.0</v>
      </c>
      <c r="U32" s="177">
        <v>7.8</v>
      </c>
      <c r="V32" s="177">
        <v>13.0</v>
      </c>
      <c r="W32" s="177">
        <v>3.3</v>
      </c>
      <c r="X32" s="177">
        <v>158.0</v>
      </c>
      <c r="Y32" s="177">
        <v>52.6</v>
      </c>
      <c r="Z32" s="177">
        <v>57.0</v>
      </c>
      <c r="AA32" s="177">
        <v>7.7</v>
      </c>
      <c r="AB32" s="177">
        <v>7.76</v>
      </c>
      <c r="AC32" s="177">
        <v>11.5</v>
      </c>
      <c r="AD32" s="177">
        <v>234.9</v>
      </c>
      <c r="AE32" s="177">
        <v>102.1</v>
      </c>
      <c r="AF32" s="177">
        <v>22.0</v>
      </c>
      <c r="AG32" s="177">
        <v>158.0</v>
      </c>
      <c r="AH32" s="177">
        <v>5.24</v>
      </c>
      <c r="AI32" s="177">
        <v>6.9</v>
      </c>
      <c r="AJ32" s="177">
        <v>6.98</v>
      </c>
      <c r="AK32" s="177">
        <v>3.0</v>
      </c>
      <c r="AL32" s="177">
        <v>3.0</v>
      </c>
      <c r="AM32" s="177">
        <v>16.0</v>
      </c>
      <c r="AN32" s="181" t="s">
        <v>382</v>
      </c>
      <c r="AO32" s="33"/>
      <c r="AP32" s="33"/>
      <c r="AQ32" s="33"/>
      <c r="AR32" s="33"/>
      <c r="AS32" s="33"/>
    </row>
    <row r="33" hidden="1" outlineLevel="1">
      <c r="A33" s="175" t="s">
        <v>56</v>
      </c>
      <c r="B33" s="176">
        <v>1988.0</v>
      </c>
      <c r="C33" s="180">
        <f t="array" ref="C33">xlookup(B33,DATA_LEAGUE_AVG!A:A,DATA_LEAGUE_AVG!H:H)</f>
        <v>504.7</v>
      </c>
      <c r="D33" s="177" t="b">
        <f t="shared" si="1"/>
        <v>1</v>
      </c>
      <c r="E33" s="177">
        <v>32.0</v>
      </c>
      <c r="F33" s="181" t="s">
        <v>375</v>
      </c>
      <c r="G33" s="181" t="s">
        <v>369</v>
      </c>
      <c r="H33" s="181" t="s">
        <v>90</v>
      </c>
      <c r="I33" s="180">
        <f t="array" ref="I33">xlookup(B33,DATA_LEAGUE_AVG!A:A,DATA_LEAGUE_AVG!C:C)</f>
        <v>3210.5</v>
      </c>
      <c r="J33" s="180">
        <f t="array" ref="J33">xlookup(B33,DATA_LEAGUE_AVG!A:A,DATA_LEAGUE_AVG!D:D)</f>
        <v>19.9</v>
      </c>
      <c r="K33" s="177">
        <f t="shared" ref="K33:L33" si="31">S33/I33</f>
        <v>0.9285158075</v>
      </c>
      <c r="L33" s="177">
        <f t="shared" si="31"/>
        <v>0.9045226131</v>
      </c>
      <c r="M33" s="177">
        <v>14.0</v>
      </c>
      <c r="N33" s="177">
        <v>13.0</v>
      </c>
      <c r="O33" s="182">
        <v>36743.0</v>
      </c>
      <c r="P33" s="177">
        <v>238.0</v>
      </c>
      <c r="Q33" s="177">
        <v>397.0</v>
      </c>
      <c r="R33" s="177">
        <v>59.9</v>
      </c>
      <c r="S33" s="177">
        <v>2981.0</v>
      </c>
      <c r="T33" s="177">
        <v>18.0</v>
      </c>
      <c r="U33" s="177">
        <v>4.5</v>
      </c>
      <c r="V33" s="177">
        <v>10.0</v>
      </c>
      <c r="W33" s="177">
        <v>2.5</v>
      </c>
      <c r="X33" s="177">
        <v>131.0</v>
      </c>
      <c r="Y33" s="177">
        <v>45.2</v>
      </c>
      <c r="Z33" s="177">
        <v>96.0</v>
      </c>
      <c r="AA33" s="177">
        <v>7.5</v>
      </c>
      <c r="AB33" s="177">
        <v>7.28</v>
      </c>
      <c r="AC33" s="177">
        <v>12.5</v>
      </c>
      <c r="AD33" s="177">
        <v>212.9</v>
      </c>
      <c r="AE33" s="177">
        <v>87.9</v>
      </c>
      <c r="AF33" s="177">
        <v>34.0</v>
      </c>
      <c r="AG33" s="177">
        <v>223.0</v>
      </c>
      <c r="AH33" s="177">
        <v>7.89</v>
      </c>
      <c r="AI33" s="177">
        <v>6.4</v>
      </c>
      <c r="AJ33" s="177">
        <v>6.19</v>
      </c>
      <c r="AK33" s="177">
        <v>2.0</v>
      </c>
      <c r="AL33" s="177">
        <v>2.0</v>
      </c>
      <c r="AM33" s="177">
        <v>13.0</v>
      </c>
      <c r="AN33" s="183"/>
      <c r="AO33" s="33"/>
      <c r="AP33" s="33"/>
      <c r="AQ33" s="33"/>
      <c r="AR33" s="33"/>
      <c r="AS33" s="33"/>
    </row>
    <row r="34" hidden="1" outlineLevel="1">
      <c r="A34" s="175" t="s">
        <v>56</v>
      </c>
      <c r="B34" s="176">
        <v>1989.0</v>
      </c>
      <c r="C34" s="180">
        <f t="array" ref="C34">xlookup(B34,DATA_LEAGUE_AVG!A:A,DATA_LEAGUE_AVG!H:H)</f>
        <v>512.1</v>
      </c>
      <c r="D34" s="177" t="b">
        <f t="shared" si="1"/>
        <v>1</v>
      </c>
      <c r="E34" s="177">
        <v>33.0</v>
      </c>
      <c r="F34" s="181" t="s">
        <v>375</v>
      </c>
      <c r="G34" s="181" t="s">
        <v>369</v>
      </c>
      <c r="H34" s="181" t="s">
        <v>90</v>
      </c>
      <c r="I34" s="180">
        <f t="array" ref="I34">xlookup(B34,DATA_LEAGUE_AVG!A:A,DATA_LEAGUE_AVG!C:C)</f>
        <v>3374.1</v>
      </c>
      <c r="J34" s="180">
        <f t="array" ref="J34">xlookup(B34,DATA_LEAGUE_AVG!A:A,DATA_LEAGUE_AVG!D:D)</f>
        <v>20.8</v>
      </c>
      <c r="K34" s="177">
        <f t="shared" ref="K34:L34" si="32">S34/I34</f>
        <v>1.043537536</v>
      </c>
      <c r="L34" s="177">
        <f t="shared" si="32"/>
        <v>1.25</v>
      </c>
      <c r="M34" s="177">
        <v>13.0</v>
      </c>
      <c r="N34" s="177">
        <v>13.0</v>
      </c>
      <c r="O34" s="182">
        <v>36832.0</v>
      </c>
      <c r="P34" s="177">
        <v>271.0</v>
      </c>
      <c r="Q34" s="177">
        <v>386.0</v>
      </c>
      <c r="R34" s="177">
        <v>70.2</v>
      </c>
      <c r="S34" s="177">
        <v>3521.0</v>
      </c>
      <c r="T34" s="177">
        <v>26.0</v>
      </c>
      <c r="U34" s="177">
        <v>6.7</v>
      </c>
      <c r="V34" s="177">
        <v>8.0</v>
      </c>
      <c r="W34" s="177">
        <v>2.1</v>
      </c>
      <c r="X34" s="177">
        <v>160.0</v>
      </c>
      <c r="Y34" s="177">
        <v>53.7</v>
      </c>
      <c r="Z34" s="177">
        <v>95.0</v>
      </c>
      <c r="AA34" s="177">
        <v>9.1</v>
      </c>
      <c r="AB34" s="177">
        <v>9.54</v>
      </c>
      <c r="AC34" s="177">
        <v>13.0</v>
      </c>
      <c r="AD34" s="177">
        <v>270.8</v>
      </c>
      <c r="AE34" s="177">
        <v>112.4</v>
      </c>
      <c r="AF34" s="177">
        <v>33.0</v>
      </c>
      <c r="AG34" s="177">
        <v>198.0</v>
      </c>
      <c r="AH34" s="177">
        <v>7.88</v>
      </c>
      <c r="AI34" s="177">
        <v>7.93</v>
      </c>
      <c r="AJ34" s="177">
        <v>8.31</v>
      </c>
      <c r="AK34" s="177">
        <v>4.0</v>
      </c>
      <c r="AL34" s="177">
        <v>5.0</v>
      </c>
      <c r="AM34" s="177">
        <v>17.0</v>
      </c>
      <c r="AN34" s="181" t="s">
        <v>383</v>
      </c>
      <c r="AO34" s="33"/>
      <c r="AP34" s="33"/>
      <c r="AQ34" s="33"/>
      <c r="AR34" s="33"/>
      <c r="AS34" s="33"/>
    </row>
    <row r="35" hidden="1" outlineLevel="1">
      <c r="A35" s="175" t="s">
        <v>56</v>
      </c>
      <c r="B35" s="176">
        <v>1990.0</v>
      </c>
      <c r="C35" s="180">
        <f t="array" ref="C35">xlookup(B35,DATA_LEAGUE_AVG!A:A,DATA_LEAGUE_AVG!H:H)</f>
        <v>482.7</v>
      </c>
      <c r="D35" s="177" t="b">
        <f t="shared" si="1"/>
        <v>1</v>
      </c>
      <c r="E35" s="177">
        <v>34.0</v>
      </c>
      <c r="F35" s="181" t="s">
        <v>375</v>
      </c>
      <c r="G35" s="181" t="s">
        <v>369</v>
      </c>
      <c r="H35" s="181" t="s">
        <v>90</v>
      </c>
      <c r="I35" s="180">
        <f t="array" ref="I35">xlookup(B35,DATA_LEAGUE_AVG!A:A,DATA_LEAGUE_AVG!C:C)</f>
        <v>3116</v>
      </c>
      <c r="J35" s="180">
        <f t="array" ref="J35">xlookup(B35,DATA_LEAGUE_AVG!A:A,DATA_LEAGUE_AVG!D:D)</f>
        <v>20.5</v>
      </c>
      <c r="K35" s="177">
        <f t="shared" ref="K35:L35" si="33">S35/I35</f>
        <v>1.265725289</v>
      </c>
      <c r="L35" s="177">
        <f t="shared" si="33"/>
        <v>1.268292683</v>
      </c>
      <c r="M35" s="177">
        <v>15.0</v>
      </c>
      <c r="N35" s="177">
        <v>15.0</v>
      </c>
      <c r="O35" s="181" t="s">
        <v>378</v>
      </c>
      <c r="P35" s="177">
        <v>321.0</v>
      </c>
      <c r="Q35" s="177">
        <v>520.0</v>
      </c>
      <c r="R35" s="177">
        <v>61.7</v>
      </c>
      <c r="S35" s="177">
        <v>3944.0</v>
      </c>
      <c r="T35" s="177">
        <v>26.0</v>
      </c>
      <c r="U35" s="177">
        <v>5.0</v>
      </c>
      <c r="V35" s="177">
        <v>16.0</v>
      </c>
      <c r="W35" s="177">
        <v>3.1</v>
      </c>
      <c r="X35" s="177">
        <v>182.0</v>
      </c>
      <c r="Y35" s="177">
        <v>48.1</v>
      </c>
      <c r="Z35" s="177">
        <v>78.0</v>
      </c>
      <c r="AA35" s="177">
        <v>7.6</v>
      </c>
      <c r="AB35" s="177">
        <v>7.2</v>
      </c>
      <c r="AC35" s="177">
        <v>12.3</v>
      </c>
      <c r="AD35" s="177">
        <v>262.9</v>
      </c>
      <c r="AE35" s="177">
        <v>89.0</v>
      </c>
      <c r="AF35" s="177">
        <v>29.0</v>
      </c>
      <c r="AG35" s="177">
        <v>153.0</v>
      </c>
      <c r="AH35" s="177">
        <v>5.28</v>
      </c>
      <c r="AI35" s="177">
        <v>6.91</v>
      </c>
      <c r="AJ35" s="177">
        <v>6.54</v>
      </c>
      <c r="AK35" s="177">
        <v>3.0</v>
      </c>
      <c r="AL35" s="177">
        <v>5.0</v>
      </c>
      <c r="AM35" s="177">
        <v>14.0</v>
      </c>
      <c r="AN35" s="181" t="s">
        <v>384</v>
      </c>
      <c r="AO35" s="33"/>
      <c r="AP35" s="33"/>
      <c r="AQ35" s="33"/>
      <c r="AR35" s="33"/>
      <c r="AS35" s="33"/>
    </row>
    <row r="36" hidden="1" outlineLevel="1">
      <c r="A36" s="175" t="s">
        <v>56</v>
      </c>
      <c r="B36" s="176">
        <v>1993.0</v>
      </c>
      <c r="C36" s="180">
        <f t="array" ref="C36">xlookup(B36,DATA_LEAGUE_AVG!A:A,DATA_LEAGUE_AVG!H:H)</f>
        <v>514.8</v>
      </c>
      <c r="D36" s="177" t="b">
        <f t="shared" si="1"/>
        <v>1</v>
      </c>
      <c r="E36" s="177">
        <v>37.0</v>
      </c>
      <c r="F36" s="181" t="s">
        <v>138</v>
      </c>
      <c r="G36" s="181" t="s">
        <v>369</v>
      </c>
      <c r="H36" s="181" t="s">
        <v>90</v>
      </c>
      <c r="I36" s="180">
        <f t="array" ref="I36">xlookup(B36,DATA_LEAGUE_AVG!A:A,DATA_LEAGUE_AVG!C:C)</f>
        <v>3209.8</v>
      </c>
      <c r="J36" s="180">
        <f t="array" ref="J36">xlookup(B36,DATA_LEAGUE_AVG!A:A,DATA_LEAGUE_AVG!D:D)</f>
        <v>18.5</v>
      </c>
      <c r="K36" s="177">
        <f t="shared" ref="K36:L36" si="34">S36/I36</f>
        <v>0.6679543897</v>
      </c>
      <c r="L36" s="177">
        <f t="shared" si="34"/>
        <v>0.7027027027</v>
      </c>
      <c r="M36" s="177">
        <v>11.0</v>
      </c>
      <c r="N36" s="177">
        <v>11.0</v>
      </c>
      <c r="O36" s="182">
        <v>36741.0</v>
      </c>
      <c r="P36" s="177">
        <v>181.0</v>
      </c>
      <c r="Q36" s="177">
        <v>298.0</v>
      </c>
      <c r="R36" s="177">
        <v>60.7</v>
      </c>
      <c r="S36" s="177">
        <v>2144.0</v>
      </c>
      <c r="T36" s="177">
        <v>13.0</v>
      </c>
      <c r="U36" s="177">
        <v>4.4</v>
      </c>
      <c r="V36" s="177">
        <v>7.0</v>
      </c>
      <c r="W36" s="177">
        <v>2.3</v>
      </c>
      <c r="X36" s="177">
        <v>110.0</v>
      </c>
      <c r="Y36" s="177">
        <v>47.4</v>
      </c>
      <c r="Z36" s="177">
        <v>50.0</v>
      </c>
      <c r="AA36" s="177">
        <v>7.2</v>
      </c>
      <c r="AB36" s="177">
        <v>7.01</v>
      </c>
      <c r="AC36" s="177">
        <v>11.8</v>
      </c>
      <c r="AD36" s="177">
        <v>194.9</v>
      </c>
      <c r="AE36" s="177">
        <v>87.4</v>
      </c>
      <c r="AF36" s="177">
        <v>12.0</v>
      </c>
      <c r="AG36" s="177">
        <v>61.0</v>
      </c>
      <c r="AH36" s="177">
        <v>3.87</v>
      </c>
      <c r="AI36" s="177">
        <v>6.72</v>
      </c>
      <c r="AJ36" s="177">
        <v>6.54</v>
      </c>
      <c r="AK36" s="177">
        <v>1.0</v>
      </c>
      <c r="AL36" s="177">
        <v>1.0</v>
      </c>
      <c r="AM36" s="177">
        <v>9.0</v>
      </c>
      <c r="AN36" s="181" t="s">
        <v>380</v>
      </c>
      <c r="AO36" s="33"/>
      <c r="AP36" s="33"/>
      <c r="AQ36" s="33"/>
      <c r="AR36" s="33"/>
      <c r="AS36" s="33"/>
    </row>
    <row r="37" hidden="1" outlineLevel="1">
      <c r="A37" s="175" t="s">
        <v>56</v>
      </c>
      <c r="B37" s="176">
        <v>1994.0</v>
      </c>
      <c r="C37" s="180">
        <f t="array" ref="C37">xlookup(B37,DATA_LEAGUE_AVG!A:A,DATA_LEAGUE_AVG!H:H)</f>
        <v>537.7</v>
      </c>
      <c r="D37" s="177" t="b">
        <f t="shared" si="1"/>
        <v>1</v>
      </c>
      <c r="E37" s="177">
        <v>38.0</v>
      </c>
      <c r="F37" s="181" t="s">
        <v>138</v>
      </c>
      <c r="G37" s="181" t="s">
        <v>369</v>
      </c>
      <c r="H37" s="181" t="s">
        <v>90</v>
      </c>
      <c r="I37" s="180">
        <f t="array" ref="I37">xlookup(B37,DATA_LEAGUE_AVG!A:A,DATA_LEAGUE_AVG!C:C)</f>
        <v>3417.6</v>
      </c>
      <c r="J37" s="180">
        <f t="array" ref="J37">xlookup(B37,DATA_LEAGUE_AVG!A:A,DATA_LEAGUE_AVG!D:D)</f>
        <v>20.8</v>
      </c>
      <c r="K37" s="177">
        <f t="shared" ref="K37:L37" si="35">S37/I37</f>
        <v>0.9606156367</v>
      </c>
      <c r="L37" s="177">
        <f t="shared" si="35"/>
        <v>0.7692307692</v>
      </c>
      <c r="M37" s="177">
        <v>14.0</v>
      </c>
      <c r="N37" s="177">
        <v>14.0</v>
      </c>
      <c r="O37" s="182">
        <v>36774.0</v>
      </c>
      <c r="P37" s="177">
        <v>299.0</v>
      </c>
      <c r="Q37" s="177">
        <v>493.0</v>
      </c>
      <c r="R37" s="177">
        <v>60.6</v>
      </c>
      <c r="S37" s="177">
        <v>3283.0</v>
      </c>
      <c r="T37" s="177">
        <v>16.0</v>
      </c>
      <c r="U37" s="177">
        <v>3.2</v>
      </c>
      <c r="V37" s="177">
        <v>9.0</v>
      </c>
      <c r="W37" s="177">
        <v>1.8</v>
      </c>
      <c r="X37" s="177">
        <v>172.0</v>
      </c>
      <c r="Y37" s="177">
        <v>46.7</v>
      </c>
      <c r="Z37" s="177">
        <v>57.0</v>
      </c>
      <c r="AA37" s="177">
        <v>6.7</v>
      </c>
      <c r="AB37" s="177">
        <v>6.49</v>
      </c>
      <c r="AC37" s="177">
        <v>11.0</v>
      </c>
      <c r="AD37" s="177">
        <v>234.5</v>
      </c>
      <c r="AE37" s="177">
        <v>83.6</v>
      </c>
      <c r="AF37" s="177">
        <v>19.0</v>
      </c>
      <c r="AG37" s="177">
        <v>132.0</v>
      </c>
      <c r="AH37" s="177">
        <v>3.71</v>
      </c>
      <c r="AI37" s="177">
        <v>6.15</v>
      </c>
      <c r="AJ37" s="177">
        <v>5.99</v>
      </c>
      <c r="AK37" s="177">
        <v>2.0</v>
      </c>
      <c r="AL37" s="177">
        <v>2.0</v>
      </c>
      <c r="AM37" s="177">
        <v>9.0</v>
      </c>
      <c r="AN37" s="183"/>
      <c r="AO37" s="33"/>
      <c r="AP37" s="33"/>
      <c r="AQ37" s="33"/>
      <c r="AR37" s="33"/>
      <c r="AS37" s="33"/>
    </row>
    <row r="38" collapsed="1">
      <c r="A38" s="175" t="s">
        <v>52</v>
      </c>
      <c r="B38" s="176" t="s">
        <v>348</v>
      </c>
      <c r="C38" s="177" t="str">
        <f t="array" ref="C38">xlookup(B38,DATA_LEAGUE_AVG!A:A,DATA_LEAGUE_AVG!H:H)</f>
        <v>#N/A</v>
      </c>
      <c r="D38" s="177" t="str">
        <f t="shared" si="1"/>
        <v>#N/A</v>
      </c>
      <c r="E38" s="176" t="s">
        <v>351</v>
      </c>
      <c r="F38" s="176" t="s">
        <v>352</v>
      </c>
      <c r="G38" s="176" t="s">
        <v>353</v>
      </c>
      <c r="H38" s="176" t="s">
        <v>354</v>
      </c>
      <c r="I38" s="178" t="s">
        <v>355</v>
      </c>
      <c r="J38" s="178" t="s">
        <v>356</v>
      </c>
      <c r="K38" s="178" t="s">
        <v>272</v>
      </c>
      <c r="L38" s="178" t="s">
        <v>357</v>
      </c>
      <c r="M38" s="176" t="s">
        <v>358</v>
      </c>
      <c r="N38" s="176" t="s">
        <v>359</v>
      </c>
      <c r="O38" s="176" t="s">
        <v>360</v>
      </c>
      <c r="P38" s="176" t="s">
        <v>330</v>
      </c>
      <c r="Q38" s="176" t="s">
        <v>331</v>
      </c>
      <c r="R38" s="176" t="s">
        <v>332</v>
      </c>
      <c r="S38" s="176" t="s">
        <v>326</v>
      </c>
      <c r="T38" s="176" t="s">
        <v>327</v>
      </c>
      <c r="U38" s="176" t="s">
        <v>335</v>
      </c>
      <c r="V38" s="176" t="s">
        <v>336</v>
      </c>
      <c r="W38" s="176" t="s">
        <v>337</v>
      </c>
      <c r="X38" s="176" t="s">
        <v>361</v>
      </c>
      <c r="Y38" s="176" t="s">
        <v>362</v>
      </c>
      <c r="Z38" s="176" t="s">
        <v>363</v>
      </c>
      <c r="AA38" s="176" t="s">
        <v>338</v>
      </c>
      <c r="AB38" s="176" t="s">
        <v>339</v>
      </c>
      <c r="AC38" s="176" t="s">
        <v>340</v>
      </c>
      <c r="AD38" s="176" t="s">
        <v>341</v>
      </c>
      <c r="AE38" s="176" t="s">
        <v>342</v>
      </c>
      <c r="AF38" s="176" t="s">
        <v>343</v>
      </c>
      <c r="AG38" s="176" t="s">
        <v>326</v>
      </c>
      <c r="AH38" s="176" t="s">
        <v>345</v>
      </c>
      <c r="AI38" s="176" t="s">
        <v>346</v>
      </c>
      <c r="AJ38" s="176" t="s">
        <v>347</v>
      </c>
      <c r="AK38" s="176" t="s">
        <v>364</v>
      </c>
      <c r="AL38" s="176" t="s">
        <v>365</v>
      </c>
      <c r="AM38" s="176" t="s">
        <v>366</v>
      </c>
      <c r="AN38" s="176" t="s">
        <v>367</v>
      </c>
      <c r="AO38" s="33"/>
      <c r="AP38" s="33"/>
      <c r="AQ38" s="33"/>
      <c r="AR38" s="33"/>
      <c r="AS38" s="33"/>
    </row>
    <row r="39" hidden="1" outlineLevel="1">
      <c r="A39" s="175" t="s">
        <v>52</v>
      </c>
      <c r="B39" s="176">
        <v>1998.0</v>
      </c>
      <c r="C39" s="180">
        <f t="array" ref="C39">xlookup(B39,DATA_LEAGUE_AVG!A:A,DATA_LEAGUE_AVG!H:H)</f>
        <v>516.3</v>
      </c>
      <c r="D39" s="177" t="b">
        <f t="shared" si="1"/>
        <v>1</v>
      </c>
      <c r="E39" s="177">
        <v>22.0</v>
      </c>
      <c r="F39" s="181" t="s">
        <v>385</v>
      </c>
      <c r="G39" s="181" t="s">
        <v>369</v>
      </c>
      <c r="H39" s="181" t="s">
        <v>90</v>
      </c>
      <c r="I39" s="180">
        <f t="array" ref="I39">xlookup(B39,DATA_LEAGUE_AVG!A:A,DATA_LEAGUE_AVG!C:C)</f>
        <v>3279.5</v>
      </c>
      <c r="J39" s="180">
        <f t="array" ref="J39">xlookup(B39,DATA_LEAGUE_AVG!A:A,DATA_LEAGUE_AVG!D:D)</f>
        <v>21.9</v>
      </c>
      <c r="K39" s="177">
        <f t="shared" ref="K39:L39" si="36">S39/I39</f>
        <v>1.140112822</v>
      </c>
      <c r="L39" s="177">
        <f t="shared" si="36"/>
        <v>1.187214612</v>
      </c>
      <c r="M39" s="177">
        <v>16.0</v>
      </c>
      <c r="N39" s="177">
        <v>16.0</v>
      </c>
      <c r="O39" s="182">
        <v>36598.0</v>
      </c>
      <c r="P39" s="177">
        <v>326.0</v>
      </c>
      <c r="Q39" s="177">
        <v>575.0</v>
      </c>
      <c r="R39" s="177">
        <v>56.7</v>
      </c>
      <c r="S39" s="177">
        <v>3739.0</v>
      </c>
      <c r="T39" s="177">
        <v>26.0</v>
      </c>
      <c r="U39" s="177">
        <v>4.5</v>
      </c>
      <c r="V39" s="177">
        <v>28.0</v>
      </c>
      <c r="W39" s="177">
        <v>4.9</v>
      </c>
      <c r="X39" s="177">
        <v>190.0</v>
      </c>
      <c r="Y39" s="177">
        <v>42.9</v>
      </c>
      <c r="Z39" s="177">
        <v>78.0</v>
      </c>
      <c r="AA39" s="177">
        <v>6.5</v>
      </c>
      <c r="AB39" s="177">
        <v>5.22</v>
      </c>
      <c r="AC39" s="177">
        <v>11.5</v>
      </c>
      <c r="AD39" s="177">
        <v>233.7</v>
      </c>
      <c r="AE39" s="177">
        <v>71.2</v>
      </c>
      <c r="AF39" s="177">
        <v>22.0</v>
      </c>
      <c r="AG39" s="177">
        <v>109.0</v>
      </c>
      <c r="AH39" s="177">
        <v>3.69</v>
      </c>
      <c r="AI39" s="177">
        <v>6.08</v>
      </c>
      <c r="AJ39" s="177">
        <v>4.84</v>
      </c>
      <c r="AK39" s="177">
        <v>1.0</v>
      </c>
      <c r="AL39" s="177">
        <v>1.0</v>
      </c>
      <c r="AM39" s="177">
        <v>11.0</v>
      </c>
      <c r="AN39" s="181" t="s">
        <v>386</v>
      </c>
      <c r="AO39" s="33"/>
      <c r="AP39" s="33"/>
      <c r="AQ39" s="33"/>
      <c r="AR39" s="33"/>
      <c r="AS39" s="33"/>
    </row>
    <row r="40" hidden="1" outlineLevel="1">
      <c r="A40" s="175" t="s">
        <v>52</v>
      </c>
      <c r="B40" s="176">
        <v>1999.0</v>
      </c>
      <c r="C40" s="180">
        <f t="array" ref="C40">xlookup(B40,DATA_LEAGUE_AVG!A:A,DATA_LEAGUE_AVG!H:H)</f>
        <v>540.6</v>
      </c>
      <c r="D40" s="177" t="b">
        <f t="shared" si="1"/>
        <v>1</v>
      </c>
      <c r="E40" s="177">
        <v>23.0</v>
      </c>
      <c r="F40" s="181" t="s">
        <v>385</v>
      </c>
      <c r="G40" s="181" t="s">
        <v>369</v>
      </c>
      <c r="H40" s="181" t="s">
        <v>90</v>
      </c>
      <c r="I40" s="180">
        <f t="array" ref="I40">xlookup(B40,DATA_LEAGUE_AVG!A:A,DATA_LEAGUE_AVG!C:C)</f>
        <v>3396.4</v>
      </c>
      <c r="J40" s="180">
        <f t="array" ref="J40">xlookup(B40,DATA_LEAGUE_AVG!A:A,DATA_LEAGUE_AVG!D:D)</f>
        <v>21.5</v>
      </c>
      <c r="K40" s="177">
        <f t="shared" ref="K40:L40" si="37">S40/I40</f>
        <v>1.217465552</v>
      </c>
      <c r="L40" s="177">
        <f t="shared" si="37"/>
        <v>1.209302326</v>
      </c>
      <c r="M40" s="177">
        <v>16.0</v>
      </c>
      <c r="N40" s="177">
        <v>16.0</v>
      </c>
      <c r="O40" s="181" t="s">
        <v>372</v>
      </c>
      <c r="P40" s="177">
        <v>331.0</v>
      </c>
      <c r="Q40" s="177">
        <v>533.0</v>
      </c>
      <c r="R40" s="177">
        <v>62.1</v>
      </c>
      <c r="S40" s="177">
        <v>4135.0</v>
      </c>
      <c r="T40" s="177">
        <v>26.0</v>
      </c>
      <c r="U40" s="177">
        <v>4.9</v>
      </c>
      <c r="V40" s="177">
        <v>15.0</v>
      </c>
      <c r="W40" s="177">
        <v>2.8</v>
      </c>
      <c r="X40" s="177">
        <v>197.0</v>
      </c>
      <c r="Y40" s="177">
        <v>46.6</v>
      </c>
      <c r="Z40" s="177">
        <v>80.0</v>
      </c>
      <c r="AA40" s="177">
        <v>7.8</v>
      </c>
      <c r="AB40" s="177">
        <v>7.47</v>
      </c>
      <c r="AC40" s="177">
        <v>12.5</v>
      </c>
      <c r="AD40" s="177">
        <v>258.4</v>
      </c>
      <c r="AE40" s="177">
        <v>90.7</v>
      </c>
      <c r="AF40" s="177">
        <v>14.0</v>
      </c>
      <c r="AG40" s="177">
        <v>116.0</v>
      </c>
      <c r="AH40" s="177">
        <v>2.56</v>
      </c>
      <c r="AI40" s="177">
        <v>7.35</v>
      </c>
      <c r="AJ40" s="177">
        <v>7.06</v>
      </c>
      <c r="AK40" s="177">
        <v>6.0</v>
      </c>
      <c r="AL40" s="177">
        <v>7.0</v>
      </c>
      <c r="AM40" s="177">
        <v>18.0</v>
      </c>
      <c r="AN40" s="181" t="s">
        <v>376</v>
      </c>
      <c r="AO40" s="33"/>
      <c r="AP40" s="33"/>
      <c r="AQ40" s="33"/>
      <c r="AR40" s="33"/>
      <c r="AS40" s="33"/>
    </row>
    <row r="41" hidden="1" outlineLevel="1">
      <c r="A41" s="175" t="s">
        <v>52</v>
      </c>
      <c r="B41" s="176">
        <v>2000.0</v>
      </c>
      <c r="C41" s="180">
        <f t="array" ref="C41">xlookup(B41,DATA_LEAGUE_AVG!A:A,DATA_LEAGUE_AVG!H:H)</f>
        <v>526.5</v>
      </c>
      <c r="D41" s="177" t="b">
        <f t="shared" si="1"/>
        <v>1</v>
      </c>
      <c r="E41" s="177">
        <v>24.0</v>
      </c>
      <c r="F41" s="181" t="s">
        <v>385</v>
      </c>
      <c r="G41" s="181" t="s">
        <v>369</v>
      </c>
      <c r="H41" s="181" t="s">
        <v>90</v>
      </c>
      <c r="I41" s="180">
        <f t="array" ref="I41">xlookup(B41,DATA_LEAGUE_AVG!A:A,DATA_LEAGUE_AVG!C:C)</f>
        <v>3309.9</v>
      </c>
      <c r="J41" s="180">
        <f t="array" ref="J41">xlookup(B41,DATA_LEAGUE_AVG!A:A,DATA_LEAGUE_AVG!D:D)</f>
        <v>20.5</v>
      </c>
      <c r="K41" s="177">
        <f t="shared" ref="K41:L41" si="38">S41/I41</f>
        <v>1.333272909</v>
      </c>
      <c r="L41" s="177">
        <f t="shared" si="38"/>
        <v>1.609756098</v>
      </c>
      <c r="M41" s="177">
        <v>16.0</v>
      </c>
      <c r="N41" s="177">
        <v>16.0</v>
      </c>
      <c r="O41" s="182">
        <v>36805.0</v>
      </c>
      <c r="P41" s="177">
        <v>357.0</v>
      </c>
      <c r="Q41" s="177">
        <v>571.0</v>
      </c>
      <c r="R41" s="177">
        <v>62.5</v>
      </c>
      <c r="S41" s="177">
        <v>4413.0</v>
      </c>
      <c r="T41" s="177">
        <v>33.0</v>
      </c>
      <c r="U41" s="177">
        <v>5.8</v>
      </c>
      <c r="V41" s="177">
        <v>15.0</v>
      </c>
      <c r="W41" s="177">
        <v>2.6</v>
      </c>
      <c r="X41" s="177">
        <v>213.0</v>
      </c>
      <c r="Y41" s="177">
        <v>50.3</v>
      </c>
      <c r="Z41" s="177">
        <v>78.0</v>
      </c>
      <c r="AA41" s="177">
        <v>7.7</v>
      </c>
      <c r="AB41" s="177">
        <v>7.7</v>
      </c>
      <c r="AC41" s="177">
        <v>12.4</v>
      </c>
      <c r="AD41" s="177">
        <v>275.8</v>
      </c>
      <c r="AE41" s="177">
        <v>94.7</v>
      </c>
      <c r="AF41" s="177">
        <v>20.0</v>
      </c>
      <c r="AG41" s="177">
        <v>131.0</v>
      </c>
      <c r="AH41" s="177">
        <v>3.38</v>
      </c>
      <c r="AI41" s="177">
        <v>7.25</v>
      </c>
      <c r="AJ41" s="177">
        <v>7.22</v>
      </c>
      <c r="AK41" s="177">
        <v>2.0</v>
      </c>
      <c r="AL41" s="177">
        <v>3.0</v>
      </c>
      <c r="AM41" s="177">
        <v>17.0</v>
      </c>
      <c r="AN41" s="181" t="s">
        <v>387</v>
      </c>
      <c r="AO41" s="33"/>
      <c r="AP41" s="33"/>
      <c r="AQ41" s="33"/>
      <c r="AR41" s="33"/>
      <c r="AS41" s="33"/>
    </row>
    <row r="42" hidden="1" outlineLevel="1">
      <c r="A42" s="175" t="s">
        <v>52</v>
      </c>
      <c r="B42" s="176">
        <v>2001.0</v>
      </c>
      <c r="C42" s="180">
        <f t="array" ref="C42">xlookup(B42,DATA_LEAGUE_AVG!A:A,DATA_LEAGUE_AVG!H:H)</f>
        <v>522</v>
      </c>
      <c r="D42" s="177" t="b">
        <f t="shared" si="1"/>
        <v>1</v>
      </c>
      <c r="E42" s="177">
        <v>25.0</v>
      </c>
      <c r="F42" s="181" t="s">
        <v>385</v>
      </c>
      <c r="G42" s="181" t="s">
        <v>369</v>
      </c>
      <c r="H42" s="181" t="s">
        <v>90</v>
      </c>
      <c r="I42" s="180">
        <f t="array" ref="I42">xlookup(B42,DATA_LEAGUE_AVG!A:A,DATA_LEAGUE_AVG!C:C)</f>
        <v>3292.9</v>
      </c>
      <c r="J42" s="180">
        <f t="array" ref="J42">xlookup(B42,DATA_LEAGUE_AVG!A:A,DATA_LEAGUE_AVG!D:D)</f>
        <v>20.5</v>
      </c>
      <c r="K42" s="177">
        <f t="shared" ref="K42:L42" si="39">S42/I42</f>
        <v>1.254517295</v>
      </c>
      <c r="L42" s="177">
        <f t="shared" si="39"/>
        <v>1.268292683</v>
      </c>
      <c r="M42" s="177">
        <v>16.0</v>
      </c>
      <c r="N42" s="177">
        <v>16.0</v>
      </c>
      <c r="O42" s="182">
        <v>36687.0</v>
      </c>
      <c r="P42" s="177">
        <v>343.0</v>
      </c>
      <c r="Q42" s="177">
        <v>547.0</v>
      </c>
      <c r="R42" s="177">
        <v>62.7</v>
      </c>
      <c r="S42" s="177">
        <v>4131.0</v>
      </c>
      <c r="T42" s="177">
        <v>26.0</v>
      </c>
      <c r="U42" s="177">
        <v>4.8</v>
      </c>
      <c r="V42" s="177">
        <v>23.0</v>
      </c>
      <c r="W42" s="177">
        <v>4.2</v>
      </c>
      <c r="X42" s="177">
        <v>201.0</v>
      </c>
      <c r="Y42" s="177">
        <v>46.4</v>
      </c>
      <c r="Z42" s="177">
        <v>86.0</v>
      </c>
      <c r="AA42" s="177">
        <v>7.6</v>
      </c>
      <c r="AB42" s="177">
        <v>6.61</v>
      </c>
      <c r="AC42" s="177">
        <v>12.0</v>
      </c>
      <c r="AD42" s="177">
        <v>258.2</v>
      </c>
      <c r="AE42" s="177">
        <v>84.1</v>
      </c>
      <c r="AF42" s="177">
        <v>29.0</v>
      </c>
      <c r="AG42" s="177">
        <v>232.0</v>
      </c>
      <c r="AH42" s="177">
        <v>5.03</v>
      </c>
      <c r="AI42" s="177">
        <v>6.77</v>
      </c>
      <c r="AJ42" s="177">
        <v>5.88</v>
      </c>
      <c r="AK42" s="177">
        <v>0.0</v>
      </c>
      <c r="AL42" s="177">
        <v>0.0</v>
      </c>
      <c r="AM42" s="177">
        <v>15.0</v>
      </c>
      <c r="AN42" s="183"/>
      <c r="AO42" s="33"/>
      <c r="AP42" s="33"/>
      <c r="AQ42" s="33"/>
      <c r="AR42" s="33"/>
      <c r="AS42" s="33"/>
    </row>
    <row r="43" hidden="1" outlineLevel="1">
      <c r="A43" s="175" t="s">
        <v>52</v>
      </c>
      <c r="B43" s="176">
        <v>2002.0</v>
      </c>
      <c r="C43" s="180">
        <f t="array" ref="C43">xlookup(B43,DATA_LEAGUE_AVG!A:A,DATA_LEAGUE_AVG!H:H)</f>
        <v>540.4</v>
      </c>
      <c r="D43" s="177" t="b">
        <f t="shared" si="1"/>
        <v>1</v>
      </c>
      <c r="E43" s="177">
        <v>26.0</v>
      </c>
      <c r="F43" s="181" t="s">
        <v>385</v>
      </c>
      <c r="G43" s="181" t="s">
        <v>369</v>
      </c>
      <c r="H43" s="181" t="s">
        <v>90</v>
      </c>
      <c r="I43" s="180">
        <f t="array" ref="I43">xlookup(B43,DATA_LEAGUE_AVG!A:A,DATA_LEAGUE_AVG!C:C)</f>
        <v>3395.7</v>
      </c>
      <c r="J43" s="180">
        <f t="array" ref="J43">xlookup(B43,DATA_LEAGUE_AVG!A:A,DATA_LEAGUE_AVG!D:D)</f>
        <v>21.7</v>
      </c>
      <c r="K43" s="177">
        <f t="shared" ref="K43:L43" si="40">S43/I43</f>
        <v>1.23685838</v>
      </c>
      <c r="L43" s="177">
        <f t="shared" si="40"/>
        <v>1.244239631</v>
      </c>
      <c r="M43" s="177">
        <v>16.0</v>
      </c>
      <c r="N43" s="177">
        <v>16.0</v>
      </c>
      <c r="O43" s="182">
        <v>36805.0</v>
      </c>
      <c r="P43" s="177">
        <v>392.0</v>
      </c>
      <c r="Q43" s="177">
        <v>591.0</v>
      </c>
      <c r="R43" s="177">
        <v>66.3</v>
      </c>
      <c r="S43" s="177">
        <v>4200.0</v>
      </c>
      <c r="T43" s="177">
        <v>27.0</v>
      </c>
      <c r="U43" s="177">
        <v>4.6</v>
      </c>
      <c r="V43" s="177">
        <v>19.0</v>
      </c>
      <c r="W43" s="177">
        <v>3.2</v>
      </c>
      <c r="X43" s="177">
        <v>213.0</v>
      </c>
      <c r="Y43" s="177">
        <v>47.6</v>
      </c>
      <c r="Z43" s="177">
        <v>69.0</v>
      </c>
      <c r="AA43" s="177">
        <v>7.1</v>
      </c>
      <c r="AB43" s="177">
        <v>6.57</v>
      </c>
      <c r="AC43" s="177">
        <v>10.7</v>
      </c>
      <c r="AD43" s="177">
        <v>262.5</v>
      </c>
      <c r="AE43" s="177">
        <v>88.8</v>
      </c>
      <c r="AF43" s="177">
        <v>23.0</v>
      </c>
      <c r="AG43" s="177">
        <v>145.0</v>
      </c>
      <c r="AH43" s="177">
        <v>3.75</v>
      </c>
      <c r="AI43" s="177">
        <v>6.6</v>
      </c>
      <c r="AJ43" s="177">
        <v>6.09</v>
      </c>
      <c r="AK43" s="177">
        <v>4.0</v>
      </c>
      <c r="AL43" s="177">
        <v>5.0</v>
      </c>
      <c r="AM43" s="177">
        <v>15.0</v>
      </c>
      <c r="AN43" s="181" t="s">
        <v>380</v>
      </c>
      <c r="AO43" s="33"/>
      <c r="AP43" s="33"/>
      <c r="AQ43" s="33"/>
      <c r="AR43" s="33"/>
      <c r="AS43" s="33"/>
    </row>
    <row r="44" hidden="1" outlineLevel="1">
      <c r="A44" s="175" t="s">
        <v>52</v>
      </c>
      <c r="B44" s="176">
        <v>2003.0</v>
      </c>
      <c r="C44" s="180">
        <f t="array" ref="C44">xlookup(B44,DATA_LEAGUE_AVG!A:A,DATA_LEAGUE_AVG!H:H)</f>
        <v>515.4</v>
      </c>
      <c r="D44" s="177" t="b">
        <f t="shared" si="1"/>
        <v>1</v>
      </c>
      <c r="E44" s="177">
        <v>27.0</v>
      </c>
      <c r="F44" s="181" t="s">
        <v>385</v>
      </c>
      <c r="G44" s="181" t="s">
        <v>369</v>
      </c>
      <c r="H44" s="181" t="s">
        <v>90</v>
      </c>
      <c r="I44" s="180">
        <f t="array" ref="I44">xlookup(B44,DATA_LEAGUE_AVG!A:A,DATA_LEAGUE_AVG!C:C)</f>
        <v>3207.1</v>
      </c>
      <c r="J44" s="180">
        <f t="array" ref="J44">xlookup(B44,DATA_LEAGUE_AVG!A:A,DATA_LEAGUE_AVG!D:D)</f>
        <v>20.4</v>
      </c>
      <c r="K44" s="177">
        <f t="shared" ref="K44:L44" si="41">S44/I44</f>
        <v>1.330485485</v>
      </c>
      <c r="L44" s="177">
        <f t="shared" si="41"/>
        <v>1.421568627</v>
      </c>
      <c r="M44" s="177">
        <v>16.0</v>
      </c>
      <c r="N44" s="177">
        <v>16.0</v>
      </c>
      <c r="O44" s="182">
        <v>36864.0</v>
      </c>
      <c r="P44" s="177">
        <v>379.0</v>
      </c>
      <c r="Q44" s="177">
        <v>566.0</v>
      </c>
      <c r="R44" s="177">
        <v>67.0</v>
      </c>
      <c r="S44" s="177">
        <v>4267.0</v>
      </c>
      <c r="T44" s="177">
        <v>29.0</v>
      </c>
      <c r="U44" s="177">
        <v>5.1</v>
      </c>
      <c r="V44" s="177">
        <v>10.0</v>
      </c>
      <c r="W44" s="177">
        <v>1.8</v>
      </c>
      <c r="X44" s="177">
        <v>213.0</v>
      </c>
      <c r="Y44" s="177">
        <v>51.0</v>
      </c>
      <c r="Z44" s="177">
        <v>79.0</v>
      </c>
      <c r="AA44" s="177">
        <v>7.5</v>
      </c>
      <c r="AB44" s="177">
        <v>7.77</v>
      </c>
      <c r="AC44" s="177">
        <v>11.3</v>
      </c>
      <c r="AD44" s="177">
        <v>266.7</v>
      </c>
      <c r="AE44" s="177">
        <v>99.0</v>
      </c>
      <c r="AF44" s="177">
        <v>18.0</v>
      </c>
      <c r="AG44" s="177">
        <v>107.0</v>
      </c>
      <c r="AH44" s="177">
        <v>3.08</v>
      </c>
      <c r="AI44" s="177">
        <v>7.12</v>
      </c>
      <c r="AJ44" s="177">
        <v>7.35</v>
      </c>
      <c r="AK44" s="177">
        <v>3.0</v>
      </c>
      <c r="AL44" s="177">
        <v>4.0</v>
      </c>
      <c r="AM44" s="177">
        <v>18.0</v>
      </c>
      <c r="AN44" s="181" t="s">
        <v>384</v>
      </c>
      <c r="AO44" s="33"/>
      <c r="AP44" s="33"/>
      <c r="AQ44" s="33"/>
      <c r="AR44" s="33"/>
      <c r="AS44" s="33"/>
    </row>
    <row r="45" hidden="1" outlineLevel="1">
      <c r="A45" s="175" t="s">
        <v>52</v>
      </c>
      <c r="B45" s="176">
        <v>2004.0</v>
      </c>
      <c r="C45" s="180">
        <f t="array" ref="C45">xlookup(B45,DATA_LEAGUE_AVG!A:A,DATA_LEAGUE_AVG!H:H)</f>
        <v>511.1</v>
      </c>
      <c r="D45" s="177" t="b">
        <f t="shared" si="1"/>
        <v>1</v>
      </c>
      <c r="E45" s="177">
        <v>28.0</v>
      </c>
      <c r="F45" s="181" t="s">
        <v>385</v>
      </c>
      <c r="G45" s="181" t="s">
        <v>369</v>
      </c>
      <c r="H45" s="181" t="s">
        <v>90</v>
      </c>
      <c r="I45" s="180">
        <f t="array" ref="I45">xlookup(B45,DATA_LEAGUE_AVG!A:A,DATA_LEAGUE_AVG!C:C)</f>
        <v>3368.7</v>
      </c>
      <c r="J45" s="180">
        <f t="array" ref="J45">xlookup(B45,DATA_LEAGUE_AVG!A:A,DATA_LEAGUE_AVG!D:D)</f>
        <v>22.9</v>
      </c>
      <c r="K45" s="177">
        <f t="shared" ref="K45:L45" si="42">S45/I45</f>
        <v>1.352747351</v>
      </c>
      <c r="L45" s="177">
        <f t="shared" si="42"/>
        <v>2.139737991</v>
      </c>
      <c r="M45" s="177">
        <v>16.0</v>
      </c>
      <c r="N45" s="177">
        <v>16.0</v>
      </c>
      <c r="O45" s="182">
        <v>36864.0</v>
      </c>
      <c r="P45" s="177">
        <v>336.0</v>
      </c>
      <c r="Q45" s="177">
        <v>497.0</v>
      </c>
      <c r="R45" s="177">
        <v>67.6</v>
      </c>
      <c r="S45" s="177">
        <v>4557.0</v>
      </c>
      <c r="T45" s="177">
        <v>49.0</v>
      </c>
      <c r="U45" s="177">
        <v>9.9</v>
      </c>
      <c r="V45" s="177">
        <v>10.0</v>
      </c>
      <c r="W45" s="177">
        <v>2.0</v>
      </c>
      <c r="X45" s="177">
        <v>233.0</v>
      </c>
      <c r="Y45" s="177">
        <v>57.1</v>
      </c>
      <c r="Z45" s="177">
        <v>80.0</v>
      </c>
      <c r="AA45" s="177">
        <v>9.2</v>
      </c>
      <c r="AB45" s="177">
        <v>10.24</v>
      </c>
      <c r="AC45" s="177">
        <v>13.6</v>
      </c>
      <c r="AD45" s="177">
        <v>284.8</v>
      </c>
      <c r="AE45" s="177">
        <v>121.1</v>
      </c>
      <c r="AF45" s="177">
        <v>13.0</v>
      </c>
      <c r="AG45" s="177">
        <v>101.0</v>
      </c>
      <c r="AH45" s="177">
        <v>2.55</v>
      </c>
      <c r="AI45" s="177">
        <v>8.74</v>
      </c>
      <c r="AJ45" s="177">
        <v>9.78</v>
      </c>
      <c r="AK45" s="177">
        <v>2.0</v>
      </c>
      <c r="AL45" s="177">
        <v>4.0</v>
      </c>
      <c r="AM45" s="177">
        <v>21.0</v>
      </c>
      <c r="AN45" s="181" t="s">
        <v>383</v>
      </c>
      <c r="AO45" s="33"/>
      <c r="AP45" s="33"/>
      <c r="AQ45" s="33"/>
      <c r="AR45" s="33"/>
      <c r="AS45" s="33"/>
    </row>
    <row r="46" hidden="1" outlineLevel="1">
      <c r="A46" s="175" t="s">
        <v>52</v>
      </c>
      <c r="B46" s="176">
        <v>2005.0</v>
      </c>
      <c r="C46" s="180">
        <f t="array" ref="C46">xlookup(B46,DATA_LEAGUE_AVG!A:A,DATA_LEAGUE_AVG!H:H)</f>
        <v>514.5</v>
      </c>
      <c r="D46" s="177" t="b">
        <f t="shared" si="1"/>
        <v>1</v>
      </c>
      <c r="E46" s="177">
        <v>29.0</v>
      </c>
      <c r="F46" s="181" t="s">
        <v>385</v>
      </c>
      <c r="G46" s="181" t="s">
        <v>369</v>
      </c>
      <c r="H46" s="181" t="s">
        <v>90</v>
      </c>
      <c r="I46" s="180">
        <f t="array" ref="I46">xlookup(B46,DATA_LEAGUE_AVG!A:A,DATA_LEAGUE_AVG!C:C)</f>
        <v>3255.3</v>
      </c>
      <c r="J46" s="180">
        <f t="array" ref="J46">xlookup(B46,DATA_LEAGUE_AVG!A:A,DATA_LEAGUE_AVG!D:D)</f>
        <v>20.1</v>
      </c>
      <c r="K46" s="177">
        <f t="shared" ref="K46:L46" si="43">S46/I46</f>
        <v>1.151045987</v>
      </c>
      <c r="L46" s="177">
        <f t="shared" si="43"/>
        <v>1.393034826</v>
      </c>
      <c r="M46" s="177">
        <v>16.0</v>
      </c>
      <c r="N46" s="177">
        <v>16.0</v>
      </c>
      <c r="O46" s="181" t="s">
        <v>370</v>
      </c>
      <c r="P46" s="177">
        <v>305.0</v>
      </c>
      <c r="Q46" s="177">
        <v>453.0</v>
      </c>
      <c r="R46" s="177">
        <v>67.3</v>
      </c>
      <c r="S46" s="177">
        <v>3747.0</v>
      </c>
      <c r="T46" s="177">
        <v>28.0</v>
      </c>
      <c r="U46" s="177">
        <v>6.2</v>
      </c>
      <c r="V46" s="177">
        <v>10.0</v>
      </c>
      <c r="W46" s="177">
        <v>2.2</v>
      </c>
      <c r="X46" s="177">
        <v>198.0</v>
      </c>
      <c r="Y46" s="177">
        <v>55.7</v>
      </c>
      <c r="Z46" s="177">
        <v>80.0</v>
      </c>
      <c r="AA46" s="177">
        <v>8.3</v>
      </c>
      <c r="AB46" s="177">
        <v>8.51</v>
      </c>
      <c r="AC46" s="177">
        <v>12.3</v>
      </c>
      <c r="AD46" s="177">
        <v>234.2</v>
      </c>
      <c r="AE46" s="177">
        <v>104.1</v>
      </c>
      <c r="AF46" s="177">
        <v>17.0</v>
      </c>
      <c r="AG46" s="177">
        <v>81.0</v>
      </c>
      <c r="AH46" s="177">
        <v>3.62</v>
      </c>
      <c r="AI46" s="177">
        <v>7.8</v>
      </c>
      <c r="AJ46" s="177">
        <v>8.03</v>
      </c>
      <c r="AK46" s="177">
        <v>1.0</v>
      </c>
      <c r="AL46" s="177">
        <v>1.0</v>
      </c>
      <c r="AM46" s="177">
        <v>18.0</v>
      </c>
      <c r="AN46" s="181" t="s">
        <v>388</v>
      </c>
      <c r="AO46" s="33"/>
      <c r="AP46" s="33"/>
      <c r="AQ46" s="33"/>
      <c r="AR46" s="33"/>
      <c r="AS46" s="33"/>
    </row>
    <row r="47" hidden="1" outlineLevel="1">
      <c r="A47" s="175" t="s">
        <v>52</v>
      </c>
      <c r="B47" s="176">
        <v>2006.0</v>
      </c>
      <c r="C47" s="180">
        <f t="array" ref="C47">xlookup(B47,DATA_LEAGUE_AVG!A:A,DATA_LEAGUE_AVG!H:H)</f>
        <v>512.2</v>
      </c>
      <c r="D47" s="177" t="b">
        <f t="shared" si="1"/>
        <v>1</v>
      </c>
      <c r="E47" s="177">
        <v>30.0</v>
      </c>
      <c r="F47" s="181" t="s">
        <v>385</v>
      </c>
      <c r="G47" s="181" t="s">
        <v>369</v>
      </c>
      <c r="H47" s="181" t="s">
        <v>90</v>
      </c>
      <c r="I47" s="180">
        <f t="array" ref="I47">xlookup(B47,DATA_LEAGUE_AVG!A:A,DATA_LEAGUE_AVG!C:C)</f>
        <v>3277</v>
      </c>
      <c r="J47" s="180">
        <f t="array" ref="J47">xlookup(B47,DATA_LEAGUE_AVG!A:A,DATA_LEAGUE_AVG!D:D)</f>
        <v>20.3</v>
      </c>
      <c r="K47" s="177">
        <f t="shared" ref="K47:L47" si="44">S47/I47</f>
        <v>1.341776015</v>
      </c>
      <c r="L47" s="177">
        <f t="shared" si="44"/>
        <v>1.527093596</v>
      </c>
      <c r="M47" s="177">
        <v>16.0</v>
      </c>
      <c r="N47" s="177">
        <v>16.0</v>
      </c>
      <c r="O47" s="182">
        <v>36864.0</v>
      </c>
      <c r="P47" s="177">
        <v>362.0</v>
      </c>
      <c r="Q47" s="177">
        <v>557.0</v>
      </c>
      <c r="R47" s="177">
        <v>65.0</v>
      </c>
      <c r="S47" s="177">
        <v>4397.0</v>
      </c>
      <c r="T47" s="177">
        <v>31.0</v>
      </c>
      <c r="U47" s="177">
        <v>5.6</v>
      </c>
      <c r="V47" s="177">
        <v>9.0</v>
      </c>
      <c r="W47" s="177">
        <v>1.6</v>
      </c>
      <c r="X47" s="177">
        <v>242.0</v>
      </c>
      <c r="Y47" s="177">
        <v>56.6</v>
      </c>
      <c r="Z47" s="177">
        <v>68.0</v>
      </c>
      <c r="AA47" s="177">
        <v>7.9</v>
      </c>
      <c r="AB47" s="177">
        <v>8.28</v>
      </c>
      <c r="AC47" s="177">
        <v>12.1</v>
      </c>
      <c r="AD47" s="177">
        <v>274.8</v>
      </c>
      <c r="AE47" s="177">
        <v>101.0</v>
      </c>
      <c r="AF47" s="177">
        <v>14.0</v>
      </c>
      <c r="AG47" s="177">
        <v>86.0</v>
      </c>
      <c r="AH47" s="177">
        <v>2.45</v>
      </c>
      <c r="AI47" s="177">
        <v>7.55</v>
      </c>
      <c r="AJ47" s="177">
        <v>7.93</v>
      </c>
      <c r="AK47" s="177">
        <v>3.0</v>
      </c>
      <c r="AL47" s="177">
        <v>3.0</v>
      </c>
      <c r="AM47" s="177">
        <v>20.0</v>
      </c>
      <c r="AN47" s="181" t="s">
        <v>389</v>
      </c>
      <c r="AO47" s="33"/>
      <c r="AP47" s="33"/>
      <c r="AQ47" s="33"/>
      <c r="AR47" s="33"/>
      <c r="AS47" s="33"/>
    </row>
    <row r="48" hidden="1" outlineLevel="1">
      <c r="A48" s="175" t="s">
        <v>52</v>
      </c>
      <c r="B48" s="176">
        <v>2007.0</v>
      </c>
      <c r="C48" s="180">
        <f t="array" ref="C48">xlookup(B48,DATA_LEAGUE_AVG!A:A,DATA_LEAGUE_AVG!H:H)</f>
        <v>532.7</v>
      </c>
      <c r="D48" s="177" t="b">
        <f t="shared" si="1"/>
        <v>1</v>
      </c>
      <c r="E48" s="177">
        <v>31.0</v>
      </c>
      <c r="F48" s="181" t="s">
        <v>385</v>
      </c>
      <c r="G48" s="181" t="s">
        <v>369</v>
      </c>
      <c r="H48" s="181" t="s">
        <v>90</v>
      </c>
      <c r="I48" s="180">
        <f t="array" ref="I48">xlookup(B48,DATA_LEAGUE_AVG!A:A,DATA_LEAGUE_AVG!C:C)</f>
        <v>3428.8</v>
      </c>
      <c r="J48" s="180">
        <f t="array" ref="J48">xlookup(B48,DATA_LEAGUE_AVG!A:A,DATA_LEAGUE_AVG!D:D)</f>
        <v>22.5</v>
      </c>
      <c r="K48" s="177">
        <f t="shared" ref="K48:L48" si="45">S48/I48</f>
        <v>1.178254783</v>
      </c>
      <c r="L48" s="177">
        <f t="shared" si="45"/>
        <v>1.377777778</v>
      </c>
      <c r="M48" s="177">
        <v>16.0</v>
      </c>
      <c r="N48" s="177">
        <v>16.0</v>
      </c>
      <c r="O48" s="181" t="s">
        <v>372</v>
      </c>
      <c r="P48" s="177">
        <v>337.0</v>
      </c>
      <c r="Q48" s="177">
        <v>515.0</v>
      </c>
      <c r="R48" s="177">
        <v>65.4</v>
      </c>
      <c r="S48" s="177">
        <v>4040.0</v>
      </c>
      <c r="T48" s="177">
        <v>31.0</v>
      </c>
      <c r="U48" s="177">
        <v>6.0</v>
      </c>
      <c r="V48" s="177">
        <v>14.0</v>
      </c>
      <c r="W48" s="177">
        <v>2.7</v>
      </c>
      <c r="X48" s="177">
        <v>207.0</v>
      </c>
      <c r="Y48" s="177">
        <v>53.9</v>
      </c>
      <c r="Z48" s="177">
        <v>73.0</v>
      </c>
      <c r="AA48" s="177">
        <v>7.8</v>
      </c>
      <c r="AB48" s="177">
        <v>7.83</v>
      </c>
      <c r="AC48" s="177">
        <v>12.0</v>
      </c>
      <c r="AD48" s="177">
        <v>252.5</v>
      </c>
      <c r="AE48" s="177">
        <v>98.0</v>
      </c>
      <c r="AF48" s="177">
        <v>21.0</v>
      </c>
      <c r="AG48" s="177">
        <v>124.0</v>
      </c>
      <c r="AH48" s="177">
        <v>3.92</v>
      </c>
      <c r="AI48" s="177">
        <v>7.31</v>
      </c>
      <c r="AJ48" s="177">
        <v>7.29</v>
      </c>
      <c r="AK48" s="177">
        <v>1.0</v>
      </c>
      <c r="AL48" s="177">
        <v>2.0</v>
      </c>
      <c r="AM48" s="177">
        <v>17.0</v>
      </c>
      <c r="AN48" s="181" t="s">
        <v>380</v>
      </c>
      <c r="AO48" s="33"/>
      <c r="AP48" s="33"/>
      <c r="AQ48" s="33"/>
      <c r="AR48" s="33"/>
      <c r="AS48" s="33"/>
    </row>
    <row r="49" hidden="1" outlineLevel="1">
      <c r="A49" s="175" t="s">
        <v>52</v>
      </c>
      <c r="B49" s="176">
        <v>2008.0</v>
      </c>
      <c r="C49" s="180">
        <f t="array" ref="C49">xlookup(B49,DATA_LEAGUE_AVG!A:A,DATA_LEAGUE_AVG!H:H)</f>
        <v>516.4</v>
      </c>
      <c r="D49" s="177" t="b">
        <f t="shared" si="1"/>
        <v>1</v>
      </c>
      <c r="E49" s="177">
        <v>32.0</v>
      </c>
      <c r="F49" s="181" t="s">
        <v>385</v>
      </c>
      <c r="G49" s="181" t="s">
        <v>369</v>
      </c>
      <c r="H49" s="181" t="s">
        <v>90</v>
      </c>
      <c r="I49" s="180">
        <f t="array" ref="I49">xlookup(B49,DATA_LEAGUE_AVG!A:A,DATA_LEAGUE_AVG!C:C)</f>
        <v>3380.5</v>
      </c>
      <c r="J49" s="180">
        <f t="array" ref="J49">xlookup(B49,DATA_LEAGUE_AVG!A:A,DATA_LEAGUE_AVG!D:D)</f>
        <v>20.2</v>
      </c>
      <c r="K49" s="177">
        <f t="shared" ref="K49:L49" si="46">S49/I49</f>
        <v>1.183848543</v>
      </c>
      <c r="L49" s="177">
        <f t="shared" si="46"/>
        <v>1.336633663</v>
      </c>
      <c r="M49" s="177">
        <v>16.0</v>
      </c>
      <c r="N49" s="177">
        <v>16.0</v>
      </c>
      <c r="O49" s="182">
        <v>36864.0</v>
      </c>
      <c r="P49" s="177">
        <v>371.0</v>
      </c>
      <c r="Q49" s="177">
        <v>555.0</v>
      </c>
      <c r="R49" s="177">
        <v>66.8</v>
      </c>
      <c r="S49" s="177">
        <v>4002.0</v>
      </c>
      <c r="T49" s="177">
        <v>27.0</v>
      </c>
      <c r="U49" s="177">
        <v>4.9</v>
      </c>
      <c r="V49" s="177">
        <v>12.0</v>
      </c>
      <c r="W49" s="177">
        <v>2.2</v>
      </c>
      <c r="X49" s="177">
        <v>213.0</v>
      </c>
      <c r="Y49" s="177">
        <v>52.4</v>
      </c>
      <c r="Z49" s="177">
        <v>75.0</v>
      </c>
      <c r="AA49" s="177">
        <v>7.2</v>
      </c>
      <c r="AB49" s="177">
        <v>7.21</v>
      </c>
      <c r="AC49" s="177">
        <v>10.8</v>
      </c>
      <c r="AD49" s="177">
        <v>250.1</v>
      </c>
      <c r="AE49" s="177">
        <v>95.0</v>
      </c>
      <c r="AF49" s="177">
        <v>14.0</v>
      </c>
      <c r="AG49" s="177">
        <v>86.0</v>
      </c>
      <c r="AH49" s="177">
        <v>2.46</v>
      </c>
      <c r="AI49" s="177">
        <v>6.88</v>
      </c>
      <c r="AJ49" s="177">
        <v>6.88</v>
      </c>
      <c r="AK49" s="177">
        <v>4.0</v>
      </c>
      <c r="AL49" s="177">
        <v>6.0</v>
      </c>
      <c r="AM49" s="177">
        <v>16.0</v>
      </c>
      <c r="AN49" s="181" t="s">
        <v>390</v>
      </c>
      <c r="AO49" s="33"/>
      <c r="AP49" s="33"/>
      <c r="AQ49" s="33"/>
      <c r="AR49" s="33"/>
      <c r="AS49" s="33"/>
    </row>
    <row r="50" hidden="1" outlineLevel="1">
      <c r="A50" s="175" t="s">
        <v>52</v>
      </c>
      <c r="B50" s="176">
        <v>2009.0</v>
      </c>
      <c r="C50" s="180">
        <f t="array" ref="C50">xlookup(B50,DATA_LEAGUE_AVG!A:A,DATA_LEAGUE_AVG!H:H)</f>
        <v>532.3</v>
      </c>
      <c r="D50" s="177" t="b">
        <f t="shared" si="1"/>
        <v>1</v>
      </c>
      <c r="E50" s="177">
        <v>33.0</v>
      </c>
      <c r="F50" s="181" t="s">
        <v>385</v>
      </c>
      <c r="G50" s="181" t="s">
        <v>369</v>
      </c>
      <c r="H50" s="181" t="s">
        <v>90</v>
      </c>
      <c r="I50" s="180">
        <f t="array" ref="I50">xlookup(B50,DATA_LEAGUE_AVG!A:A,DATA_LEAGUE_AVG!C:C)</f>
        <v>3495.3</v>
      </c>
      <c r="J50" s="180">
        <f t="array" ref="J50">xlookup(B50,DATA_LEAGUE_AVG!A:A,DATA_LEAGUE_AVG!D:D)</f>
        <v>22.2</v>
      </c>
      <c r="K50" s="177">
        <f t="shared" ref="K50:L50" si="47">S50/I50</f>
        <v>1.287443138</v>
      </c>
      <c r="L50" s="177">
        <f t="shared" si="47"/>
        <v>1.486486486</v>
      </c>
      <c r="M50" s="177">
        <v>16.0</v>
      </c>
      <c r="N50" s="177">
        <v>16.0</v>
      </c>
      <c r="O50" s="181" t="s">
        <v>370</v>
      </c>
      <c r="P50" s="177">
        <v>393.0</v>
      </c>
      <c r="Q50" s="177">
        <v>571.0</v>
      </c>
      <c r="R50" s="177">
        <v>68.8</v>
      </c>
      <c r="S50" s="177">
        <v>4500.0</v>
      </c>
      <c r="T50" s="177">
        <v>33.0</v>
      </c>
      <c r="U50" s="177">
        <v>5.8</v>
      </c>
      <c r="V50" s="177">
        <v>16.0</v>
      </c>
      <c r="W50" s="177">
        <v>2.8</v>
      </c>
      <c r="X50" s="177">
        <v>241.0</v>
      </c>
      <c r="Y50" s="177">
        <v>54.6</v>
      </c>
      <c r="Z50" s="177">
        <v>80.0</v>
      </c>
      <c r="AA50" s="177">
        <v>7.9</v>
      </c>
      <c r="AB50" s="177">
        <v>7.78</v>
      </c>
      <c r="AC50" s="177">
        <v>11.5</v>
      </c>
      <c r="AD50" s="177">
        <v>281.3</v>
      </c>
      <c r="AE50" s="177">
        <v>99.9</v>
      </c>
      <c r="AF50" s="177">
        <v>10.0</v>
      </c>
      <c r="AG50" s="177">
        <v>74.0</v>
      </c>
      <c r="AH50" s="177">
        <v>1.72</v>
      </c>
      <c r="AI50" s="177">
        <v>7.62</v>
      </c>
      <c r="AJ50" s="177">
        <v>7.51</v>
      </c>
      <c r="AK50" s="177">
        <v>7.0</v>
      </c>
      <c r="AL50" s="177">
        <v>7.0</v>
      </c>
      <c r="AM50" s="177">
        <v>17.0</v>
      </c>
      <c r="AN50" s="181" t="s">
        <v>384</v>
      </c>
      <c r="AO50" s="33"/>
      <c r="AP50" s="33"/>
      <c r="AQ50" s="33"/>
      <c r="AR50" s="33"/>
      <c r="AS50" s="33"/>
    </row>
    <row r="51" hidden="1" outlineLevel="1">
      <c r="A51" s="175" t="s">
        <v>52</v>
      </c>
      <c r="B51" s="176">
        <v>2010.0</v>
      </c>
      <c r="C51" s="180">
        <f t="array" ref="C51">xlookup(B51,DATA_LEAGUE_AVG!A:A,DATA_LEAGUE_AVG!H:H)</f>
        <v>539.7</v>
      </c>
      <c r="D51" s="177" t="b">
        <f t="shared" si="1"/>
        <v>1</v>
      </c>
      <c r="E51" s="177">
        <v>34.0</v>
      </c>
      <c r="F51" s="181" t="s">
        <v>385</v>
      </c>
      <c r="G51" s="181" t="s">
        <v>369</v>
      </c>
      <c r="H51" s="181" t="s">
        <v>90</v>
      </c>
      <c r="I51" s="180">
        <f t="array" ref="I51">xlookup(B51,DATA_LEAGUE_AVG!A:A,DATA_LEAGUE_AVG!C:C)</f>
        <v>3544.8</v>
      </c>
      <c r="J51" s="180">
        <f t="array" ref="J51">xlookup(B51,DATA_LEAGUE_AVG!A:A,DATA_LEAGUE_AVG!D:D)</f>
        <v>23.5</v>
      </c>
      <c r="K51" s="177">
        <f t="shared" ref="K51:L51" si="48">S51/I51</f>
        <v>1.325885805</v>
      </c>
      <c r="L51" s="177">
        <f t="shared" si="48"/>
        <v>1.404255319</v>
      </c>
      <c r="M51" s="177">
        <v>16.0</v>
      </c>
      <c r="N51" s="177">
        <v>16.0</v>
      </c>
      <c r="O51" s="182">
        <v>36805.0</v>
      </c>
      <c r="P51" s="177">
        <v>450.0</v>
      </c>
      <c r="Q51" s="177">
        <v>679.0</v>
      </c>
      <c r="R51" s="177">
        <v>66.3</v>
      </c>
      <c r="S51" s="177">
        <v>4700.0</v>
      </c>
      <c r="T51" s="177">
        <v>33.0</v>
      </c>
      <c r="U51" s="177">
        <v>4.9</v>
      </c>
      <c r="V51" s="177">
        <v>17.0</v>
      </c>
      <c r="W51" s="177">
        <v>2.5</v>
      </c>
      <c r="X51" s="177">
        <v>253.0</v>
      </c>
      <c r="Y51" s="177">
        <v>54.1</v>
      </c>
      <c r="Z51" s="177">
        <v>73.0</v>
      </c>
      <c r="AA51" s="177">
        <v>6.9</v>
      </c>
      <c r="AB51" s="177">
        <v>6.77</v>
      </c>
      <c r="AC51" s="177">
        <v>10.4</v>
      </c>
      <c r="AD51" s="177">
        <v>293.8</v>
      </c>
      <c r="AE51" s="177">
        <v>91.9</v>
      </c>
      <c r="AF51" s="177">
        <v>16.0</v>
      </c>
      <c r="AG51" s="177">
        <v>91.0</v>
      </c>
      <c r="AH51" s="177">
        <v>2.3</v>
      </c>
      <c r="AI51" s="177">
        <v>6.63</v>
      </c>
      <c r="AJ51" s="177">
        <v>6.48</v>
      </c>
      <c r="AK51" s="177">
        <v>0.0</v>
      </c>
      <c r="AL51" s="177">
        <v>2.0</v>
      </c>
      <c r="AM51" s="177">
        <v>16.0</v>
      </c>
      <c r="AN51" s="181" t="s">
        <v>380</v>
      </c>
      <c r="AO51" s="33"/>
      <c r="AP51" s="33"/>
      <c r="AQ51" s="33"/>
      <c r="AR51" s="33"/>
      <c r="AS51" s="33"/>
    </row>
    <row r="52" hidden="1" outlineLevel="1">
      <c r="A52" s="175" t="s">
        <v>52</v>
      </c>
      <c r="B52" s="176">
        <v>2012.0</v>
      </c>
      <c r="C52" s="180">
        <f t="array" ref="C52">xlookup(B52,DATA_LEAGUE_AVG!A:A,DATA_LEAGUE_AVG!H:H)</f>
        <v>555.9</v>
      </c>
      <c r="D52" s="177" t="b">
        <f t="shared" si="1"/>
        <v>1</v>
      </c>
      <c r="E52" s="177">
        <v>36.0</v>
      </c>
      <c r="F52" s="181" t="s">
        <v>116</v>
      </c>
      <c r="G52" s="181" t="s">
        <v>369</v>
      </c>
      <c r="H52" s="181" t="s">
        <v>90</v>
      </c>
      <c r="I52" s="180">
        <f t="array" ref="I52">xlookup(B52,DATA_LEAGUE_AVG!A:A,DATA_LEAGUE_AVG!C:C)</f>
        <v>3700.6</v>
      </c>
      <c r="J52" s="180">
        <f t="array" ref="J52">xlookup(B52,DATA_LEAGUE_AVG!A:A,DATA_LEAGUE_AVG!D:D)</f>
        <v>23.7</v>
      </c>
      <c r="K52" s="177">
        <f t="shared" ref="K52:L52" si="49">S52/I52</f>
        <v>1.258985029</v>
      </c>
      <c r="L52" s="177">
        <f t="shared" si="49"/>
        <v>1.561181435</v>
      </c>
      <c r="M52" s="177">
        <v>16.0</v>
      </c>
      <c r="N52" s="177">
        <v>16.0</v>
      </c>
      <c r="O52" s="181" t="s">
        <v>372</v>
      </c>
      <c r="P52" s="177">
        <v>400.0</v>
      </c>
      <c r="Q52" s="177">
        <v>583.0</v>
      </c>
      <c r="R52" s="177">
        <v>68.6</v>
      </c>
      <c r="S52" s="177">
        <v>4659.0</v>
      </c>
      <c r="T52" s="177">
        <v>37.0</v>
      </c>
      <c r="U52" s="177">
        <v>6.3</v>
      </c>
      <c r="V52" s="177">
        <v>11.0</v>
      </c>
      <c r="W52" s="177">
        <v>1.9</v>
      </c>
      <c r="X52" s="177">
        <v>231.0</v>
      </c>
      <c r="Y52" s="177">
        <v>54.0</v>
      </c>
      <c r="Z52" s="177">
        <v>71.0</v>
      </c>
      <c r="AA52" s="177">
        <v>8.0</v>
      </c>
      <c r="AB52" s="177">
        <v>8.41</v>
      </c>
      <c r="AC52" s="177">
        <v>11.6</v>
      </c>
      <c r="AD52" s="177">
        <v>291.2</v>
      </c>
      <c r="AE52" s="177">
        <v>105.8</v>
      </c>
      <c r="AF52" s="177">
        <v>21.0</v>
      </c>
      <c r="AG52" s="177">
        <v>137.0</v>
      </c>
      <c r="AH52" s="177">
        <v>3.48</v>
      </c>
      <c r="AI52" s="177">
        <v>7.49</v>
      </c>
      <c r="AJ52" s="177">
        <v>7.89</v>
      </c>
      <c r="AK52" s="177">
        <v>3.0</v>
      </c>
      <c r="AL52" s="177">
        <v>3.0</v>
      </c>
      <c r="AM52" s="177">
        <v>15.0</v>
      </c>
      <c r="AN52" s="181" t="s">
        <v>391</v>
      </c>
      <c r="AO52" s="33"/>
      <c r="AP52" s="33"/>
      <c r="AQ52" s="33"/>
      <c r="AR52" s="33"/>
      <c r="AS52" s="33"/>
    </row>
    <row r="53" hidden="1" outlineLevel="1">
      <c r="A53" s="175" t="s">
        <v>52</v>
      </c>
      <c r="B53" s="176">
        <v>2013.0</v>
      </c>
      <c r="C53" s="180">
        <f t="array" ref="C53">xlookup(B53,DATA_LEAGUE_AVG!A:A,DATA_LEAGUE_AVG!H:H)</f>
        <v>566.8</v>
      </c>
      <c r="D53" s="177" t="b">
        <f t="shared" si="1"/>
        <v>1</v>
      </c>
      <c r="E53" s="177">
        <v>37.0</v>
      </c>
      <c r="F53" s="181" t="s">
        <v>116</v>
      </c>
      <c r="G53" s="181" t="s">
        <v>369</v>
      </c>
      <c r="H53" s="181" t="s">
        <v>90</v>
      </c>
      <c r="I53" s="180">
        <f t="array" ref="I53">xlookup(B53,DATA_LEAGUE_AVG!A:A,DATA_LEAGUE_AVG!C:C)</f>
        <v>3769.6</v>
      </c>
      <c r="J53" s="180">
        <f t="array" ref="J53">xlookup(B53,DATA_LEAGUE_AVG!A:A,DATA_LEAGUE_AVG!D:D)</f>
        <v>25.1</v>
      </c>
      <c r="K53" s="177">
        <f t="shared" ref="K53:L53" si="50">S53/I53</f>
        <v>1.452939304</v>
      </c>
      <c r="L53" s="177">
        <f t="shared" si="50"/>
        <v>2.19123506</v>
      </c>
      <c r="M53" s="177">
        <v>16.0</v>
      </c>
      <c r="N53" s="177">
        <v>16.0</v>
      </c>
      <c r="O53" s="181" t="s">
        <v>372</v>
      </c>
      <c r="P53" s="177">
        <v>450.0</v>
      </c>
      <c r="Q53" s="177">
        <v>659.0</v>
      </c>
      <c r="R53" s="177">
        <v>68.3</v>
      </c>
      <c r="S53" s="177">
        <v>5477.0</v>
      </c>
      <c r="T53" s="177">
        <v>55.0</v>
      </c>
      <c r="U53" s="177">
        <v>8.3</v>
      </c>
      <c r="V53" s="177">
        <v>10.0</v>
      </c>
      <c r="W53" s="177">
        <v>1.5</v>
      </c>
      <c r="X53" s="177">
        <v>291.0</v>
      </c>
      <c r="Y53" s="177">
        <v>55.2</v>
      </c>
      <c r="Z53" s="177">
        <v>78.0</v>
      </c>
      <c r="AA53" s="177">
        <v>8.3</v>
      </c>
      <c r="AB53" s="177">
        <v>9.3</v>
      </c>
      <c r="AC53" s="177">
        <v>12.2</v>
      </c>
      <c r="AD53" s="177">
        <v>342.3</v>
      </c>
      <c r="AE53" s="177">
        <v>115.1</v>
      </c>
      <c r="AF53" s="177">
        <v>18.0</v>
      </c>
      <c r="AG53" s="177">
        <v>120.0</v>
      </c>
      <c r="AH53" s="177">
        <v>2.66</v>
      </c>
      <c r="AI53" s="177">
        <v>7.91</v>
      </c>
      <c r="AJ53" s="177">
        <v>8.87</v>
      </c>
      <c r="AK53" s="177">
        <v>2.0</v>
      </c>
      <c r="AL53" s="177">
        <v>2.0</v>
      </c>
      <c r="AM53" s="177">
        <v>19.0</v>
      </c>
      <c r="AN53" s="181" t="s">
        <v>383</v>
      </c>
      <c r="AO53" s="33"/>
      <c r="AP53" s="33"/>
      <c r="AQ53" s="33"/>
      <c r="AR53" s="33"/>
      <c r="AS53" s="33"/>
    </row>
    <row r="54" hidden="1" outlineLevel="1">
      <c r="A54" s="175" t="s">
        <v>52</v>
      </c>
      <c r="B54" s="176">
        <v>2014.0</v>
      </c>
      <c r="C54" s="180">
        <f t="array" ref="C54">xlookup(B54,DATA_LEAGUE_AVG!A:A,DATA_LEAGUE_AVG!H:H)</f>
        <v>558.7</v>
      </c>
      <c r="D54" s="177" t="b">
        <f t="shared" si="1"/>
        <v>1</v>
      </c>
      <c r="E54" s="177">
        <v>38.0</v>
      </c>
      <c r="F54" s="181" t="s">
        <v>116</v>
      </c>
      <c r="G54" s="181" t="s">
        <v>369</v>
      </c>
      <c r="H54" s="181" t="s">
        <v>90</v>
      </c>
      <c r="I54" s="180">
        <f t="array" ref="I54">xlookup(B54,DATA_LEAGUE_AVG!A:A,DATA_LEAGUE_AVG!C:C)</f>
        <v>3789</v>
      </c>
      <c r="J54" s="180">
        <f t="array" ref="J54">xlookup(B54,DATA_LEAGUE_AVG!A:A,DATA_LEAGUE_AVG!D:D)</f>
        <v>25.2</v>
      </c>
      <c r="K54" s="177">
        <f t="shared" ref="K54:L54" si="51">S54/I54</f>
        <v>1.247558723</v>
      </c>
      <c r="L54" s="177">
        <f t="shared" si="51"/>
        <v>1.547619048</v>
      </c>
      <c r="M54" s="177">
        <v>16.0</v>
      </c>
      <c r="N54" s="177">
        <v>16.0</v>
      </c>
      <c r="O54" s="182">
        <v>36864.0</v>
      </c>
      <c r="P54" s="177">
        <v>395.0</v>
      </c>
      <c r="Q54" s="177">
        <v>597.0</v>
      </c>
      <c r="R54" s="177">
        <v>66.2</v>
      </c>
      <c r="S54" s="177">
        <v>4727.0</v>
      </c>
      <c r="T54" s="177">
        <v>39.0</v>
      </c>
      <c r="U54" s="177">
        <v>6.5</v>
      </c>
      <c r="V54" s="177">
        <v>15.0</v>
      </c>
      <c r="W54" s="177">
        <v>2.5</v>
      </c>
      <c r="X54" s="177">
        <v>227.0</v>
      </c>
      <c r="Y54" s="177">
        <v>51.6</v>
      </c>
      <c r="Z54" s="177">
        <v>86.0</v>
      </c>
      <c r="AA54" s="177">
        <v>7.9</v>
      </c>
      <c r="AB54" s="177">
        <v>8.09</v>
      </c>
      <c r="AC54" s="177">
        <v>12.0</v>
      </c>
      <c r="AD54" s="177">
        <v>295.4</v>
      </c>
      <c r="AE54" s="177">
        <v>101.5</v>
      </c>
      <c r="AF54" s="177">
        <v>17.0</v>
      </c>
      <c r="AG54" s="177">
        <v>118.0</v>
      </c>
      <c r="AH54" s="177">
        <v>2.77</v>
      </c>
      <c r="AI54" s="177">
        <v>7.51</v>
      </c>
      <c r="AJ54" s="177">
        <v>7.68</v>
      </c>
      <c r="AK54" s="177">
        <v>1.0</v>
      </c>
      <c r="AL54" s="177">
        <v>1.0</v>
      </c>
      <c r="AM54" s="177">
        <v>16.0</v>
      </c>
      <c r="AN54" s="181" t="s">
        <v>380</v>
      </c>
      <c r="AO54" s="33"/>
      <c r="AP54" s="33"/>
      <c r="AQ54" s="33"/>
      <c r="AR54" s="33"/>
      <c r="AS54" s="33"/>
    </row>
    <row r="55" hidden="1" outlineLevel="1">
      <c r="A55" s="175" t="s">
        <v>52</v>
      </c>
      <c r="B55" s="176">
        <v>2015.0</v>
      </c>
      <c r="C55" s="180">
        <f t="array" ref="C55">xlookup(B55,DATA_LEAGUE_AVG!A:A,DATA_LEAGUE_AVG!H:H)</f>
        <v>571.8</v>
      </c>
      <c r="D55" s="177" t="b">
        <f t="shared" si="1"/>
        <v>1</v>
      </c>
      <c r="E55" s="177">
        <v>39.0</v>
      </c>
      <c r="F55" s="181" t="s">
        <v>116</v>
      </c>
      <c r="G55" s="181" t="s">
        <v>369</v>
      </c>
      <c r="H55" s="181" t="s">
        <v>90</v>
      </c>
      <c r="I55" s="180">
        <f t="array" ref="I55">xlookup(B55,DATA_LEAGUE_AVG!A:A,DATA_LEAGUE_AVG!C:C)</f>
        <v>3901.1</v>
      </c>
      <c r="J55" s="180">
        <f t="array" ref="J55">xlookup(B55,DATA_LEAGUE_AVG!A:A,DATA_LEAGUE_AVG!D:D)</f>
        <v>26.3</v>
      </c>
      <c r="K55" s="177">
        <f t="shared" ref="K55:L55" si="52">S55/I55</f>
        <v>0.576504063</v>
      </c>
      <c r="L55" s="177">
        <f t="shared" si="52"/>
        <v>0.3422053232</v>
      </c>
      <c r="M55" s="177">
        <v>10.0</v>
      </c>
      <c r="N55" s="177">
        <v>9.0</v>
      </c>
      <c r="O55" s="182">
        <v>36709.0</v>
      </c>
      <c r="P55" s="177">
        <v>198.0</v>
      </c>
      <c r="Q55" s="177">
        <v>331.0</v>
      </c>
      <c r="R55" s="177">
        <v>59.8</v>
      </c>
      <c r="S55" s="177">
        <v>2249.0</v>
      </c>
      <c r="T55" s="177">
        <v>9.0</v>
      </c>
      <c r="U55" s="177">
        <v>2.7</v>
      </c>
      <c r="V55" s="177">
        <v>17.0</v>
      </c>
      <c r="W55" s="177">
        <v>5.1</v>
      </c>
      <c r="X55" s="177">
        <v>110.0</v>
      </c>
      <c r="Y55" s="177">
        <v>40.6</v>
      </c>
      <c r="Z55" s="177">
        <v>75.0</v>
      </c>
      <c r="AA55" s="177">
        <v>6.8</v>
      </c>
      <c r="AB55" s="177">
        <v>5.03</v>
      </c>
      <c r="AC55" s="177">
        <v>11.4</v>
      </c>
      <c r="AD55" s="177">
        <v>224.9</v>
      </c>
      <c r="AE55" s="177">
        <v>67.9</v>
      </c>
      <c r="AF55" s="177">
        <v>16.0</v>
      </c>
      <c r="AG55" s="177">
        <v>95.0</v>
      </c>
      <c r="AH55" s="177">
        <v>4.61</v>
      </c>
      <c r="AI55" s="177">
        <v>6.21</v>
      </c>
      <c r="AJ55" s="177">
        <v>4.52</v>
      </c>
      <c r="AK55" s="177">
        <v>3.0</v>
      </c>
      <c r="AL55" s="177">
        <v>3.0</v>
      </c>
      <c r="AM55" s="177">
        <v>2.0</v>
      </c>
      <c r="AN55" s="183"/>
      <c r="AO55" s="33"/>
      <c r="AP55" s="33"/>
      <c r="AQ55" s="33"/>
      <c r="AR55" s="33"/>
      <c r="AS55" s="33"/>
    </row>
    <row r="56" collapsed="1">
      <c r="A56" s="175" t="s">
        <v>58</v>
      </c>
      <c r="B56" s="176" t="s">
        <v>348</v>
      </c>
      <c r="C56" s="177" t="str">
        <f t="array" ref="C56">xlookup(B56,DATA_LEAGUE_AVG!A:A,DATA_LEAGUE_AVG!H:H)</f>
        <v>#N/A</v>
      </c>
      <c r="D56" s="177" t="str">
        <f t="shared" si="1"/>
        <v>#N/A</v>
      </c>
      <c r="E56" s="176" t="s">
        <v>351</v>
      </c>
      <c r="F56" s="176" t="s">
        <v>352</v>
      </c>
      <c r="G56" s="176" t="s">
        <v>353</v>
      </c>
      <c r="H56" s="176" t="s">
        <v>354</v>
      </c>
      <c r="I56" s="178" t="s">
        <v>355</v>
      </c>
      <c r="J56" s="178" t="s">
        <v>356</v>
      </c>
      <c r="K56" s="178" t="s">
        <v>272</v>
      </c>
      <c r="L56" s="178" t="s">
        <v>357</v>
      </c>
      <c r="M56" s="176" t="s">
        <v>358</v>
      </c>
      <c r="N56" s="176" t="s">
        <v>359</v>
      </c>
      <c r="O56" s="176" t="s">
        <v>360</v>
      </c>
      <c r="P56" s="176" t="s">
        <v>330</v>
      </c>
      <c r="Q56" s="176" t="s">
        <v>331</v>
      </c>
      <c r="R56" s="176" t="s">
        <v>332</v>
      </c>
      <c r="S56" s="176" t="s">
        <v>326</v>
      </c>
      <c r="T56" s="176" t="s">
        <v>327</v>
      </c>
      <c r="U56" s="176" t="s">
        <v>335</v>
      </c>
      <c r="V56" s="176" t="s">
        <v>336</v>
      </c>
      <c r="W56" s="176" t="s">
        <v>337</v>
      </c>
      <c r="X56" s="176" t="s">
        <v>361</v>
      </c>
      <c r="Y56" s="176" t="s">
        <v>362</v>
      </c>
      <c r="Z56" s="176" t="s">
        <v>363</v>
      </c>
      <c r="AA56" s="176" t="s">
        <v>338</v>
      </c>
      <c r="AB56" s="176" t="s">
        <v>339</v>
      </c>
      <c r="AC56" s="176" t="s">
        <v>340</v>
      </c>
      <c r="AD56" s="176" t="s">
        <v>341</v>
      </c>
      <c r="AE56" s="176" t="s">
        <v>342</v>
      </c>
      <c r="AF56" s="176" t="s">
        <v>343</v>
      </c>
      <c r="AG56" s="176" t="s">
        <v>326</v>
      </c>
      <c r="AH56" s="176" t="s">
        <v>345</v>
      </c>
      <c r="AI56" s="176" t="s">
        <v>346</v>
      </c>
      <c r="AJ56" s="176" t="s">
        <v>347</v>
      </c>
      <c r="AK56" s="176" t="s">
        <v>364</v>
      </c>
      <c r="AL56" s="176" t="s">
        <v>365</v>
      </c>
      <c r="AM56" s="176" t="s">
        <v>366</v>
      </c>
      <c r="AN56" s="176" t="s">
        <v>367</v>
      </c>
      <c r="AO56" s="33"/>
      <c r="AP56" s="33"/>
      <c r="AQ56" s="33"/>
      <c r="AR56" s="33"/>
      <c r="AS56" s="33"/>
    </row>
    <row r="57" hidden="1" outlineLevel="1">
      <c r="A57" s="175" t="s">
        <v>58</v>
      </c>
      <c r="B57" s="176">
        <v>2002.0</v>
      </c>
      <c r="C57" s="180">
        <f t="array" ref="C57">xlookup(B57,DATA_LEAGUE_AVG!A:A,DATA_LEAGUE_AVG!H:H)</f>
        <v>540.4</v>
      </c>
      <c r="D57" s="177" t="b">
        <f t="shared" si="1"/>
        <v>1</v>
      </c>
      <c r="E57" s="177">
        <v>23.0</v>
      </c>
      <c r="F57" s="181" t="s">
        <v>124</v>
      </c>
      <c r="G57" s="181" t="s">
        <v>369</v>
      </c>
      <c r="H57" s="181" t="s">
        <v>90</v>
      </c>
      <c r="I57" s="180">
        <f t="array" ref="I57">xlookup(B57,DATA_LEAGUE_AVG!A:A,DATA_LEAGUE_AVG!C:C)</f>
        <v>3395.7</v>
      </c>
      <c r="J57" s="180">
        <f t="array" ref="J57">xlookup(B57,DATA_LEAGUE_AVG!A:A,DATA_LEAGUE_AVG!D:D)</f>
        <v>21.7</v>
      </c>
      <c r="K57" s="177">
        <f t="shared" ref="K57:L57" si="53">S57/I57</f>
        <v>0.9671054569</v>
      </c>
      <c r="L57" s="177">
        <f t="shared" si="53"/>
        <v>0.7834101382</v>
      </c>
      <c r="M57" s="177">
        <v>16.0</v>
      </c>
      <c r="N57" s="177">
        <v>16.0</v>
      </c>
      <c r="O57" s="182">
        <v>36746.0</v>
      </c>
      <c r="P57" s="177">
        <v>320.0</v>
      </c>
      <c r="Q57" s="177">
        <v>526.0</v>
      </c>
      <c r="R57" s="177">
        <v>60.8</v>
      </c>
      <c r="S57" s="177">
        <v>3284.0</v>
      </c>
      <c r="T57" s="177">
        <v>17.0</v>
      </c>
      <c r="U57" s="177">
        <v>3.2</v>
      </c>
      <c r="V57" s="177">
        <v>16.0</v>
      </c>
      <c r="W57" s="177">
        <v>3.0</v>
      </c>
      <c r="X57" s="177">
        <v>164.0</v>
      </c>
      <c r="Y57" s="177">
        <v>42.7</v>
      </c>
      <c r="Z57" s="177">
        <v>52.0</v>
      </c>
      <c r="AA57" s="177">
        <v>6.2</v>
      </c>
      <c r="AB57" s="177">
        <v>5.52</v>
      </c>
      <c r="AC57" s="177">
        <v>10.3</v>
      </c>
      <c r="AD57" s="177">
        <v>205.3</v>
      </c>
      <c r="AE57" s="177">
        <v>76.9</v>
      </c>
      <c r="AF57" s="177">
        <v>24.0</v>
      </c>
      <c r="AG57" s="177">
        <v>180.0</v>
      </c>
      <c r="AH57" s="177">
        <v>4.36</v>
      </c>
      <c r="AI57" s="177">
        <v>5.64</v>
      </c>
      <c r="AJ57" s="177">
        <v>4.95</v>
      </c>
      <c r="AK57" s="177">
        <v>2.0</v>
      </c>
      <c r="AL57" s="177">
        <v>4.0</v>
      </c>
      <c r="AM57" s="177">
        <v>10.0</v>
      </c>
      <c r="AN57" s="183"/>
      <c r="AO57" s="33"/>
      <c r="AP57" s="33"/>
      <c r="AQ57" s="33"/>
      <c r="AR57" s="33"/>
      <c r="AS57" s="33"/>
    </row>
    <row r="58" hidden="1" outlineLevel="1">
      <c r="A58" s="175" t="s">
        <v>58</v>
      </c>
      <c r="B58" s="176">
        <v>2003.0</v>
      </c>
      <c r="C58" s="180">
        <f t="array" ref="C58">xlookup(B58,DATA_LEAGUE_AVG!A:A,DATA_LEAGUE_AVG!H:H)</f>
        <v>515.4</v>
      </c>
      <c r="D58" s="177" t="b">
        <f t="shared" si="1"/>
        <v>1</v>
      </c>
      <c r="E58" s="177">
        <v>24.0</v>
      </c>
      <c r="F58" s="181" t="s">
        <v>124</v>
      </c>
      <c r="G58" s="181" t="s">
        <v>369</v>
      </c>
      <c r="H58" s="181" t="s">
        <v>90</v>
      </c>
      <c r="I58" s="180">
        <f t="array" ref="I58">xlookup(B58,DATA_LEAGUE_AVG!A:A,DATA_LEAGUE_AVG!C:C)</f>
        <v>3207.1</v>
      </c>
      <c r="J58" s="180">
        <f t="array" ref="J58">xlookup(B58,DATA_LEAGUE_AVG!A:A,DATA_LEAGUE_AVG!D:D)</f>
        <v>20.4</v>
      </c>
      <c r="K58" s="177">
        <f t="shared" ref="K58:L58" si="54">S58/I58</f>
        <v>0.6572916342</v>
      </c>
      <c r="L58" s="177">
        <f t="shared" si="54"/>
        <v>0.5392156863</v>
      </c>
      <c r="M58" s="177">
        <v>11.0</v>
      </c>
      <c r="N58" s="177">
        <v>11.0</v>
      </c>
      <c r="O58" s="182">
        <v>36565.0</v>
      </c>
      <c r="P58" s="177">
        <v>205.0</v>
      </c>
      <c r="Q58" s="177">
        <v>356.0</v>
      </c>
      <c r="R58" s="177">
        <v>57.6</v>
      </c>
      <c r="S58" s="177">
        <v>2108.0</v>
      </c>
      <c r="T58" s="177">
        <v>11.0</v>
      </c>
      <c r="U58" s="177">
        <v>3.1</v>
      </c>
      <c r="V58" s="177">
        <v>15.0</v>
      </c>
      <c r="W58" s="177">
        <v>4.2</v>
      </c>
      <c r="X58" s="177">
        <v>94.0</v>
      </c>
      <c r="Y58" s="177">
        <v>35.3</v>
      </c>
      <c r="Z58" s="177">
        <v>68.0</v>
      </c>
      <c r="AA58" s="177">
        <v>5.9</v>
      </c>
      <c r="AB58" s="177">
        <v>4.64</v>
      </c>
      <c r="AC58" s="177">
        <v>10.3</v>
      </c>
      <c r="AD58" s="177">
        <v>191.6</v>
      </c>
      <c r="AE58" s="177">
        <v>67.5</v>
      </c>
      <c r="AF58" s="177">
        <v>21.0</v>
      </c>
      <c r="AG58" s="177">
        <v>178.0</v>
      </c>
      <c r="AH58" s="177">
        <v>5.57</v>
      </c>
      <c r="AI58" s="177">
        <v>5.12</v>
      </c>
      <c r="AJ58" s="177">
        <v>3.91</v>
      </c>
      <c r="AK58" s="177">
        <v>0.0</v>
      </c>
      <c r="AL58" s="177">
        <v>1.0</v>
      </c>
      <c r="AM58" s="177">
        <v>6.0</v>
      </c>
      <c r="AN58" s="183"/>
      <c r="AO58" s="33"/>
      <c r="AP58" s="33"/>
      <c r="AQ58" s="33"/>
      <c r="AR58" s="33"/>
      <c r="AS58" s="33"/>
    </row>
    <row r="59" hidden="1" outlineLevel="1">
      <c r="A59" s="175" t="s">
        <v>58</v>
      </c>
      <c r="B59" s="176">
        <v>2004.0</v>
      </c>
      <c r="C59" s="180">
        <f t="array" ref="C59">xlookup(B59,DATA_LEAGUE_AVG!A:A,DATA_LEAGUE_AVG!H:H)</f>
        <v>511.1</v>
      </c>
      <c r="D59" s="177" t="b">
        <f t="shared" si="1"/>
        <v>1</v>
      </c>
      <c r="E59" s="177">
        <v>25.0</v>
      </c>
      <c r="F59" s="181" t="s">
        <v>124</v>
      </c>
      <c r="G59" s="181" t="s">
        <v>369</v>
      </c>
      <c r="H59" s="181" t="s">
        <v>90</v>
      </c>
      <c r="I59" s="180">
        <f t="array" ref="I59">xlookup(B59,DATA_LEAGUE_AVG!A:A,DATA_LEAGUE_AVG!C:C)</f>
        <v>3368.7</v>
      </c>
      <c r="J59" s="180">
        <f t="array" ref="J59">xlookup(B59,DATA_LEAGUE_AVG!A:A,DATA_LEAGUE_AVG!D:D)</f>
        <v>22.9</v>
      </c>
      <c r="K59" s="177">
        <f t="shared" ref="K59:L59" si="55">S59/I59</f>
        <v>0.9377504675</v>
      </c>
      <c r="L59" s="177">
        <f t="shared" si="55"/>
        <v>1.179039301</v>
      </c>
      <c r="M59" s="177">
        <v>15.0</v>
      </c>
      <c r="N59" s="177">
        <v>15.0</v>
      </c>
      <c r="O59" s="182">
        <v>36834.0</v>
      </c>
      <c r="P59" s="177">
        <v>262.0</v>
      </c>
      <c r="Q59" s="177">
        <v>400.0</v>
      </c>
      <c r="R59" s="177">
        <v>65.5</v>
      </c>
      <c r="S59" s="177">
        <v>3159.0</v>
      </c>
      <c r="T59" s="177">
        <v>27.0</v>
      </c>
      <c r="U59" s="177">
        <v>6.8</v>
      </c>
      <c r="V59" s="177">
        <v>7.0</v>
      </c>
      <c r="W59" s="177">
        <v>1.8</v>
      </c>
      <c r="X59" s="177">
        <v>142.0</v>
      </c>
      <c r="Y59" s="177">
        <v>48.3</v>
      </c>
      <c r="Z59" s="177">
        <v>79.0</v>
      </c>
      <c r="AA59" s="177">
        <v>7.9</v>
      </c>
      <c r="AB59" s="177">
        <v>8.46</v>
      </c>
      <c r="AC59" s="177">
        <v>12.1</v>
      </c>
      <c r="AD59" s="177">
        <v>210.6</v>
      </c>
      <c r="AE59" s="177">
        <v>104.8</v>
      </c>
      <c r="AF59" s="177">
        <v>18.0</v>
      </c>
      <c r="AG59" s="177">
        <v>131.0</v>
      </c>
      <c r="AH59" s="177">
        <v>4.31</v>
      </c>
      <c r="AI59" s="177">
        <v>7.24</v>
      </c>
      <c r="AJ59" s="177">
        <v>7.78</v>
      </c>
      <c r="AK59" s="177">
        <v>1.0</v>
      </c>
      <c r="AL59" s="177">
        <v>2.0</v>
      </c>
      <c r="AM59" s="177">
        <v>17.0</v>
      </c>
      <c r="AN59" s="181" t="s">
        <v>392</v>
      </c>
      <c r="AO59" s="33"/>
      <c r="AP59" s="33"/>
      <c r="AQ59" s="33"/>
      <c r="AR59" s="33"/>
      <c r="AS59" s="33"/>
    </row>
    <row r="60" hidden="1" outlineLevel="1">
      <c r="A60" s="175" t="s">
        <v>58</v>
      </c>
      <c r="B60" s="176">
        <v>2005.0</v>
      </c>
      <c r="C60" s="180">
        <f t="array" ref="C60">xlookup(B60,DATA_LEAGUE_AVG!A:A,DATA_LEAGUE_AVG!H:H)</f>
        <v>514.5</v>
      </c>
      <c r="D60" s="177" t="b">
        <f t="shared" si="1"/>
        <v>1</v>
      </c>
      <c r="E60" s="177">
        <v>26.0</v>
      </c>
      <c r="F60" s="181" t="s">
        <v>124</v>
      </c>
      <c r="G60" s="181" t="s">
        <v>369</v>
      </c>
      <c r="H60" s="181" t="s">
        <v>90</v>
      </c>
      <c r="I60" s="180">
        <f t="array" ref="I60">xlookup(B60,DATA_LEAGUE_AVG!A:A,DATA_LEAGUE_AVG!C:C)</f>
        <v>3255.3</v>
      </c>
      <c r="J60" s="180">
        <f t="array" ref="J60">xlookup(B60,DATA_LEAGUE_AVG!A:A,DATA_LEAGUE_AVG!D:D)</f>
        <v>20.1</v>
      </c>
      <c r="K60" s="177">
        <f t="shared" ref="K60:L60" si="56">S60/I60</f>
        <v>1.098516266</v>
      </c>
      <c r="L60" s="177">
        <f t="shared" si="56"/>
        <v>1.194029851</v>
      </c>
      <c r="M60" s="177">
        <v>16.0</v>
      </c>
      <c r="N60" s="177">
        <v>16.0</v>
      </c>
      <c r="O60" s="182">
        <v>36776.0</v>
      </c>
      <c r="P60" s="177">
        <v>323.0</v>
      </c>
      <c r="Q60" s="177">
        <v>500.0</v>
      </c>
      <c r="R60" s="177">
        <v>64.6</v>
      </c>
      <c r="S60" s="177">
        <v>3576.0</v>
      </c>
      <c r="T60" s="177">
        <v>24.0</v>
      </c>
      <c r="U60" s="177">
        <v>4.8</v>
      </c>
      <c r="V60" s="177">
        <v>15.0</v>
      </c>
      <c r="W60" s="177">
        <v>3.0</v>
      </c>
      <c r="X60" s="177">
        <v>183.0</v>
      </c>
      <c r="Y60" s="177">
        <v>48.2</v>
      </c>
      <c r="Z60" s="177">
        <v>54.0</v>
      </c>
      <c r="AA60" s="177">
        <v>7.2</v>
      </c>
      <c r="AB60" s="177">
        <v>6.76</v>
      </c>
      <c r="AC60" s="177">
        <v>11.1</v>
      </c>
      <c r="AD60" s="177">
        <v>223.5</v>
      </c>
      <c r="AE60" s="177">
        <v>89.2</v>
      </c>
      <c r="AF60" s="177">
        <v>27.0</v>
      </c>
      <c r="AG60" s="177">
        <v>223.0</v>
      </c>
      <c r="AH60" s="177">
        <v>5.12</v>
      </c>
      <c r="AI60" s="177">
        <v>6.36</v>
      </c>
      <c r="AJ60" s="177">
        <v>5.99</v>
      </c>
      <c r="AK60" s="177">
        <v>2.0</v>
      </c>
      <c r="AL60" s="177">
        <v>2.0</v>
      </c>
      <c r="AM60" s="177">
        <v>15.0</v>
      </c>
      <c r="AN60" s="183"/>
      <c r="AO60" s="33"/>
      <c r="AP60" s="33"/>
      <c r="AQ60" s="33"/>
      <c r="AR60" s="33"/>
      <c r="AS60" s="33"/>
    </row>
    <row r="61" hidden="1" outlineLevel="1">
      <c r="A61" s="175" t="s">
        <v>58</v>
      </c>
      <c r="B61" s="176">
        <v>2006.0</v>
      </c>
      <c r="C61" s="180">
        <f t="array" ref="C61">xlookup(B61,DATA_LEAGUE_AVG!A:A,DATA_LEAGUE_AVG!H:H)</f>
        <v>512.2</v>
      </c>
      <c r="D61" s="177" t="b">
        <f t="shared" si="1"/>
        <v>1</v>
      </c>
      <c r="E61" s="177">
        <v>27.0</v>
      </c>
      <c r="F61" s="181" t="s">
        <v>393</v>
      </c>
      <c r="G61" s="181" t="s">
        <v>369</v>
      </c>
      <c r="H61" s="181" t="s">
        <v>90</v>
      </c>
      <c r="I61" s="180">
        <f t="array" ref="I61">xlookup(B61,DATA_LEAGUE_AVG!A:A,DATA_LEAGUE_AVG!C:C)</f>
        <v>3277</v>
      </c>
      <c r="J61" s="180">
        <f t="array" ref="J61">xlookup(B61,DATA_LEAGUE_AVG!A:A,DATA_LEAGUE_AVG!D:D)</f>
        <v>20.3</v>
      </c>
      <c r="K61" s="177">
        <f t="shared" ref="K61:L61" si="57">S61/I61</f>
        <v>1.348184315</v>
      </c>
      <c r="L61" s="177">
        <f t="shared" si="57"/>
        <v>1.280788177</v>
      </c>
      <c r="M61" s="177">
        <v>16.0</v>
      </c>
      <c r="N61" s="177">
        <v>16.0</v>
      </c>
      <c r="O61" s="182">
        <v>36805.0</v>
      </c>
      <c r="P61" s="177">
        <v>356.0</v>
      </c>
      <c r="Q61" s="177">
        <v>554.0</v>
      </c>
      <c r="R61" s="177">
        <v>64.3</v>
      </c>
      <c r="S61" s="177">
        <v>4418.0</v>
      </c>
      <c r="T61" s="177">
        <v>26.0</v>
      </c>
      <c r="U61" s="177">
        <v>4.7</v>
      </c>
      <c r="V61" s="177">
        <v>11.0</v>
      </c>
      <c r="W61" s="177">
        <v>2.0</v>
      </c>
      <c r="X61" s="177">
        <v>202.0</v>
      </c>
      <c r="Y61" s="177">
        <v>50.0</v>
      </c>
      <c r="Z61" s="177">
        <v>86.0</v>
      </c>
      <c r="AA61" s="177">
        <v>8.0</v>
      </c>
      <c r="AB61" s="177">
        <v>8.02</v>
      </c>
      <c r="AC61" s="177">
        <v>12.4</v>
      </c>
      <c r="AD61" s="177">
        <v>276.1</v>
      </c>
      <c r="AE61" s="177">
        <v>96.2</v>
      </c>
      <c r="AF61" s="177">
        <v>18.0</v>
      </c>
      <c r="AG61" s="177">
        <v>105.0</v>
      </c>
      <c r="AH61" s="177">
        <v>3.15</v>
      </c>
      <c r="AI61" s="177">
        <v>7.54</v>
      </c>
      <c r="AJ61" s="177">
        <v>7.58</v>
      </c>
      <c r="AK61" s="177">
        <v>1.0</v>
      </c>
      <c r="AL61" s="177">
        <v>2.0</v>
      </c>
      <c r="AM61" s="177">
        <v>15.0</v>
      </c>
      <c r="AN61" s="181" t="s">
        <v>394</v>
      </c>
      <c r="AO61" s="33"/>
      <c r="AP61" s="33"/>
      <c r="AQ61" s="33"/>
      <c r="AR61" s="33"/>
      <c r="AS61" s="33"/>
    </row>
    <row r="62" hidden="1" outlineLevel="1">
      <c r="A62" s="175" t="s">
        <v>58</v>
      </c>
      <c r="B62" s="176">
        <v>2007.0</v>
      </c>
      <c r="C62" s="180">
        <f t="array" ref="C62">xlookup(B62,DATA_LEAGUE_AVG!A:A,DATA_LEAGUE_AVG!H:H)</f>
        <v>532.7</v>
      </c>
      <c r="D62" s="177" t="b">
        <f t="shared" si="1"/>
        <v>1</v>
      </c>
      <c r="E62" s="177">
        <v>28.0</v>
      </c>
      <c r="F62" s="181" t="s">
        <v>393</v>
      </c>
      <c r="G62" s="181" t="s">
        <v>369</v>
      </c>
      <c r="H62" s="181" t="s">
        <v>90</v>
      </c>
      <c r="I62" s="180">
        <f t="array" ref="I62">xlookup(B62,DATA_LEAGUE_AVG!A:A,DATA_LEAGUE_AVG!C:C)</f>
        <v>3428.8</v>
      </c>
      <c r="J62" s="180">
        <f t="array" ref="J62">xlookup(B62,DATA_LEAGUE_AVG!A:A,DATA_LEAGUE_AVG!D:D)</f>
        <v>22.5</v>
      </c>
      <c r="K62" s="177">
        <f t="shared" ref="K62:L62" si="58">S62/I62</f>
        <v>1.28995567</v>
      </c>
      <c r="L62" s="177">
        <f t="shared" si="58"/>
        <v>1.244444444</v>
      </c>
      <c r="M62" s="177">
        <v>16.0</v>
      </c>
      <c r="N62" s="177">
        <v>16.0</v>
      </c>
      <c r="O62" s="182">
        <v>36716.0</v>
      </c>
      <c r="P62" s="177">
        <v>440.0</v>
      </c>
      <c r="Q62" s="177">
        <v>652.0</v>
      </c>
      <c r="R62" s="177">
        <v>67.5</v>
      </c>
      <c r="S62" s="177">
        <v>4423.0</v>
      </c>
      <c r="T62" s="177">
        <v>28.0</v>
      </c>
      <c r="U62" s="177">
        <v>4.3</v>
      </c>
      <c r="V62" s="177">
        <v>18.0</v>
      </c>
      <c r="W62" s="177">
        <v>2.8</v>
      </c>
      <c r="X62" s="177">
        <v>233.0</v>
      </c>
      <c r="Y62" s="177">
        <v>53.0</v>
      </c>
      <c r="Z62" s="177">
        <v>58.0</v>
      </c>
      <c r="AA62" s="177">
        <v>6.8</v>
      </c>
      <c r="AB62" s="177">
        <v>6.4</v>
      </c>
      <c r="AC62" s="177">
        <v>10.1</v>
      </c>
      <c r="AD62" s="177">
        <v>276.4</v>
      </c>
      <c r="AE62" s="177">
        <v>89.4</v>
      </c>
      <c r="AF62" s="177">
        <v>16.0</v>
      </c>
      <c r="AG62" s="177">
        <v>109.0</v>
      </c>
      <c r="AH62" s="177">
        <v>2.4</v>
      </c>
      <c r="AI62" s="177">
        <v>6.46</v>
      </c>
      <c r="AJ62" s="177">
        <v>6.08</v>
      </c>
      <c r="AK62" s="177">
        <v>1.0</v>
      </c>
      <c r="AL62" s="177">
        <v>1.0</v>
      </c>
      <c r="AM62" s="177">
        <v>14.0</v>
      </c>
      <c r="AN62" s="183"/>
      <c r="AO62" s="33"/>
      <c r="AP62" s="33"/>
      <c r="AQ62" s="33"/>
      <c r="AR62" s="33"/>
      <c r="AS62" s="33"/>
    </row>
    <row r="63" hidden="1" outlineLevel="1">
      <c r="A63" s="175" t="s">
        <v>58</v>
      </c>
      <c r="B63" s="176">
        <v>2008.0</v>
      </c>
      <c r="C63" s="180">
        <f t="array" ref="C63">xlookup(B63,DATA_LEAGUE_AVG!A:A,DATA_LEAGUE_AVG!H:H)</f>
        <v>516.4</v>
      </c>
      <c r="D63" s="177" t="b">
        <f t="shared" si="1"/>
        <v>1</v>
      </c>
      <c r="E63" s="177">
        <v>29.0</v>
      </c>
      <c r="F63" s="181" t="s">
        <v>393</v>
      </c>
      <c r="G63" s="181" t="s">
        <v>369</v>
      </c>
      <c r="H63" s="181" t="s">
        <v>90</v>
      </c>
      <c r="I63" s="180">
        <f t="array" ref="I63">xlookup(B63,DATA_LEAGUE_AVG!A:A,DATA_LEAGUE_AVG!C:C)</f>
        <v>3380.5</v>
      </c>
      <c r="J63" s="180">
        <f t="array" ref="J63">xlookup(B63,DATA_LEAGUE_AVG!A:A,DATA_LEAGUE_AVG!D:D)</f>
        <v>20.2</v>
      </c>
      <c r="K63" s="177">
        <f t="shared" ref="K63:L63" si="59">S63/I63</f>
        <v>1.499482325</v>
      </c>
      <c r="L63" s="177">
        <f t="shared" si="59"/>
        <v>1.683168317</v>
      </c>
      <c r="M63" s="177">
        <v>16.0</v>
      </c>
      <c r="N63" s="177">
        <v>16.0</v>
      </c>
      <c r="O63" s="182">
        <v>36746.0</v>
      </c>
      <c r="P63" s="177">
        <v>413.0</v>
      </c>
      <c r="Q63" s="177">
        <v>635.0</v>
      </c>
      <c r="R63" s="177">
        <v>65.0</v>
      </c>
      <c r="S63" s="177">
        <v>5069.0</v>
      </c>
      <c r="T63" s="177">
        <v>34.0</v>
      </c>
      <c r="U63" s="177">
        <v>5.4</v>
      </c>
      <c r="V63" s="177">
        <v>17.0</v>
      </c>
      <c r="W63" s="177">
        <v>2.7</v>
      </c>
      <c r="X63" s="177">
        <v>233.0</v>
      </c>
      <c r="Y63" s="177">
        <v>52.0</v>
      </c>
      <c r="Z63" s="177">
        <v>84.0</v>
      </c>
      <c r="AA63" s="177">
        <v>8.0</v>
      </c>
      <c r="AB63" s="177">
        <v>7.85</v>
      </c>
      <c r="AC63" s="177">
        <v>12.3</v>
      </c>
      <c r="AD63" s="177">
        <v>316.8</v>
      </c>
      <c r="AE63" s="177">
        <v>96.2</v>
      </c>
      <c r="AF63" s="177">
        <v>13.0</v>
      </c>
      <c r="AG63" s="177">
        <v>92.0</v>
      </c>
      <c r="AH63" s="177">
        <v>2.01</v>
      </c>
      <c r="AI63" s="177">
        <v>7.68</v>
      </c>
      <c r="AJ63" s="177">
        <v>7.55</v>
      </c>
      <c r="AK63" s="177">
        <v>2.0</v>
      </c>
      <c r="AL63" s="177">
        <v>2.0</v>
      </c>
      <c r="AM63" s="177">
        <v>17.0</v>
      </c>
      <c r="AN63" s="181" t="s">
        <v>395</v>
      </c>
      <c r="AO63" s="33"/>
      <c r="AP63" s="33"/>
      <c r="AQ63" s="33"/>
      <c r="AR63" s="33"/>
      <c r="AS63" s="33"/>
    </row>
    <row r="64" hidden="1" outlineLevel="1">
      <c r="A64" s="175" t="s">
        <v>58</v>
      </c>
      <c r="B64" s="176">
        <v>2009.0</v>
      </c>
      <c r="C64" s="180">
        <f t="array" ref="C64">xlookup(B64,DATA_LEAGUE_AVG!A:A,DATA_LEAGUE_AVG!H:H)</f>
        <v>532.3</v>
      </c>
      <c r="D64" s="177" t="b">
        <f t="shared" si="1"/>
        <v>1</v>
      </c>
      <c r="E64" s="177">
        <v>30.0</v>
      </c>
      <c r="F64" s="181" t="s">
        <v>393</v>
      </c>
      <c r="G64" s="181" t="s">
        <v>369</v>
      </c>
      <c r="H64" s="181" t="s">
        <v>90</v>
      </c>
      <c r="I64" s="180">
        <f t="array" ref="I64">xlookup(B64,DATA_LEAGUE_AVG!A:A,DATA_LEAGUE_AVG!C:C)</f>
        <v>3495.3</v>
      </c>
      <c r="J64" s="180">
        <f t="array" ref="J64">xlookup(B64,DATA_LEAGUE_AVG!A:A,DATA_LEAGUE_AVG!D:D)</f>
        <v>22.2</v>
      </c>
      <c r="K64" s="177">
        <f t="shared" ref="K64:L64" si="60">S64/I64</f>
        <v>1.255400109</v>
      </c>
      <c r="L64" s="177">
        <f t="shared" si="60"/>
        <v>1.531531532</v>
      </c>
      <c r="M64" s="177">
        <v>15.0</v>
      </c>
      <c r="N64" s="177">
        <v>15.0</v>
      </c>
      <c r="O64" s="181" t="s">
        <v>396</v>
      </c>
      <c r="P64" s="177">
        <v>363.0</v>
      </c>
      <c r="Q64" s="177">
        <v>514.0</v>
      </c>
      <c r="R64" s="177">
        <v>70.6</v>
      </c>
      <c r="S64" s="177">
        <v>4388.0</v>
      </c>
      <c r="T64" s="177">
        <v>34.0</v>
      </c>
      <c r="U64" s="177">
        <v>6.6</v>
      </c>
      <c r="V64" s="177">
        <v>11.0</v>
      </c>
      <c r="W64" s="177">
        <v>2.1</v>
      </c>
      <c r="X64" s="177">
        <v>210.0</v>
      </c>
      <c r="Y64" s="177">
        <v>53.9</v>
      </c>
      <c r="Z64" s="177">
        <v>75.0</v>
      </c>
      <c r="AA64" s="177">
        <v>8.5</v>
      </c>
      <c r="AB64" s="177">
        <v>8.9</v>
      </c>
      <c r="AC64" s="177">
        <v>12.1</v>
      </c>
      <c r="AD64" s="177">
        <v>292.5</v>
      </c>
      <c r="AE64" s="177">
        <v>109.6</v>
      </c>
      <c r="AF64" s="177">
        <v>20.0</v>
      </c>
      <c r="AG64" s="177">
        <v>135.0</v>
      </c>
      <c r="AH64" s="177">
        <v>3.75</v>
      </c>
      <c r="AI64" s="177">
        <v>7.96</v>
      </c>
      <c r="AJ64" s="177">
        <v>8.31</v>
      </c>
      <c r="AK64" s="177">
        <v>2.0</v>
      </c>
      <c r="AL64" s="177">
        <v>4.0</v>
      </c>
      <c r="AM64" s="177">
        <v>16.0</v>
      </c>
      <c r="AN64" s="181" t="s">
        <v>397</v>
      </c>
      <c r="AO64" s="33"/>
      <c r="AP64" s="33"/>
      <c r="AQ64" s="33"/>
      <c r="AR64" s="33"/>
      <c r="AS64" s="33"/>
    </row>
    <row r="65" hidden="1" outlineLevel="1">
      <c r="A65" s="175" t="s">
        <v>58</v>
      </c>
      <c r="B65" s="176">
        <v>2010.0</v>
      </c>
      <c r="C65" s="180">
        <f t="array" ref="C65">xlookup(B65,DATA_LEAGUE_AVG!A:A,DATA_LEAGUE_AVG!H:H)</f>
        <v>539.7</v>
      </c>
      <c r="D65" s="177" t="b">
        <f t="shared" si="1"/>
        <v>1</v>
      </c>
      <c r="E65" s="177">
        <v>31.0</v>
      </c>
      <c r="F65" s="181" t="s">
        <v>393</v>
      </c>
      <c r="G65" s="181" t="s">
        <v>369</v>
      </c>
      <c r="H65" s="181" t="s">
        <v>90</v>
      </c>
      <c r="I65" s="180">
        <f t="array" ref="I65">xlookup(B65,DATA_LEAGUE_AVG!A:A,DATA_LEAGUE_AVG!C:C)</f>
        <v>3544.8</v>
      </c>
      <c r="J65" s="180">
        <f t="array" ref="J65">xlookup(B65,DATA_LEAGUE_AVG!A:A,DATA_LEAGUE_AVG!D:D)</f>
        <v>23.5</v>
      </c>
      <c r="K65" s="177">
        <f t="shared" ref="K65:L65" si="61">S65/I65</f>
        <v>1.303317536</v>
      </c>
      <c r="L65" s="177">
        <f t="shared" si="61"/>
        <v>1.404255319</v>
      </c>
      <c r="M65" s="177">
        <v>16.0</v>
      </c>
      <c r="N65" s="177">
        <v>16.0</v>
      </c>
      <c r="O65" s="182">
        <v>36835.0</v>
      </c>
      <c r="P65" s="177">
        <v>448.0</v>
      </c>
      <c r="Q65" s="177">
        <v>658.0</v>
      </c>
      <c r="R65" s="177">
        <v>68.1</v>
      </c>
      <c r="S65" s="177">
        <v>4620.0</v>
      </c>
      <c r="T65" s="177">
        <v>33.0</v>
      </c>
      <c r="U65" s="177">
        <v>5.0</v>
      </c>
      <c r="V65" s="177">
        <v>22.0</v>
      </c>
      <c r="W65" s="177">
        <v>3.3</v>
      </c>
      <c r="X65" s="177">
        <v>238.0</v>
      </c>
      <c r="Y65" s="177">
        <v>51.2</v>
      </c>
      <c r="Z65" s="177">
        <v>80.0</v>
      </c>
      <c r="AA65" s="177">
        <v>7.0</v>
      </c>
      <c r="AB65" s="177">
        <v>6.52</v>
      </c>
      <c r="AC65" s="177">
        <v>10.3</v>
      </c>
      <c r="AD65" s="177">
        <v>288.8</v>
      </c>
      <c r="AE65" s="177">
        <v>90.9</v>
      </c>
      <c r="AF65" s="177">
        <v>25.0</v>
      </c>
      <c r="AG65" s="177">
        <v>185.0</v>
      </c>
      <c r="AH65" s="177">
        <v>3.66</v>
      </c>
      <c r="AI65" s="177">
        <v>6.49</v>
      </c>
      <c r="AJ65" s="177">
        <v>6.01</v>
      </c>
      <c r="AK65" s="177">
        <v>4.0</v>
      </c>
      <c r="AL65" s="177">
        <v>5.0</v>
      </c>
      <c r="AM65" s="177">
        <v>14.0</v>
      </c>
      <c r="AN65" s="181" t="s">
        <v>380</v>
      </c>
      <c r="AO65" s="33"/>
      <c r="AP65" s="33"/>
      <c r="AQ65" s="33"/>
      <c r="AR65" s="33"/>
      <c r="AS65" s="33"/>
    </row>
    <row r="66" hidden="1" outlineLevel="1">
      <c r="A66" s="175" t="s">
        <v>58</v>
      </c>
      <c r="B66" s="176">
        <v>2011.0</v>
      </c>
      <c r="C66" s="180">
        <f t="array" ref="C66">xlookup(B66,DATA_LEAGUE_AVG!A:A,DATA_LEAGUE_AVG!H:H)</f>
        <v>544.1</v>
      </c>
      <c r="D66" s="177" t="b">
        <f t="shared" si="1"/>
        <v>1</v>
      </c>
      <c r="E66" s="177">
        <v>32.0</v>
      </c>
      <c r="F66" s="181" t="s">
        <v>393</v>
      </c>
      <c r="G66" s="181" t="s">
        <v>369</v>
      </c>
      <c r="H66" s="181" t="s">
        <v>90</v>
      </c>
      <c r="I66" s="180">
        <f t="array" ref="I66">xlookup(B66,DATA_LEAGUE_AVG!A:A,DATA_LEAGUE_AVG!C:C)</f>
        <v>3675</v>
      </c>
      <c r="J66" s="180">
        <f t="array" ref="J66">xlookup(B66,DATA_LEAGUE_AVG!A:A,DATA_LEAGUE_AVG!D:D)</f>
        <v>23.3</v>
      </c>
      <c r="K66" s="177">
        <f t="shared" ref="K66:L66" si="62">S66/I66</f>
        <v>1.490068027</v>
      </c>
      <c r="L66" s="177">
        <f t="shared" si="62"/>
        <v>1.974248927</v>
      </c>
      <c r="M66" s="177">
        <v>16.0</v>
      </c>
      <c r="N66" s="177">
        <v>16.0</v>
      </c>
      <c r="O66" s="181" t="s">
        <v>372</v>
      </c>
      <c r="P66" s="177">
        <v>468.0</v>
      </c>
      <c r="Q66" s="177">
        <v>657.0</v>
      </c>
      <c r="R66" s="177">
        <v>71.2</v>
      </c>
      <c r="S66" s="177">
        <v>5476.0</v>
      </c>
      <c r="T66" s="177">
        <v>46.0</v>
      </c>
      <c r="U66" s="177">
        <v>7.0</v>
      </c>
      <c r="V66" s="177">
        <v>14.0</v>
      </c>
      <c r="W66" s="177">
        <v>2.1</v>
      </c>
      <c r="X66" s="177">
        <v>279.0</v>
      </c>
      <c r="Y66" s="177">
        <v>56.5</v>
      </c>
      <c r="Z66" s="177">
        <v>79.0</v>
      </c>
      <c r="AA66" s="177">
        <v>8.3</v>
      </c>
      <c r="AB66" s="177">
        <v>8.78</v>
      </c>
      <c r="AC66" s="177">
        <v>11.7</v>
      </c>
      <c r="AD66" s="177">
        <v>342.3</v>
      </c>
      <c r="AE66" s="177">
        <v>110.6</v>
      </c>
      <c r="AF66" s="177">
        <v>24.0</v>
      </c>
      <c r="AG66" s="177">
        <v>158.0</v>
      </c>
      <c r="AH66" s="177">
        <v>3.52</v>
      </c>
      <c r="AI66" s="177">
        <v>7.81</v>
      </c>
      <c r="AJ66" s="177">
        <v>8.23</v>
      </c>
      <c r="AK66" s="177">
        <v>3.0</v>
      </c>
      <c r="AL66" s="177">
        <v>4.0</v>
      </c>
      <c r="AM66" s="177">
        <v>20.0</v>
      </c>
      <c r="AN66" s="181" t="s">
        <v>398</v>
      </c>
      <c r="AO66" s="33"/>
      <c r="AP66" s="33"/>
      <c r="AQ66" s="33"/>
      <c r="AR66" s="33"/>
      <c r="AS66" s="33"/>
    </row>
    <row r="67" hidden="1" outlineLevel="1">
      <c r="A67" s="175" t="s">
        <v>58</v>
      </c>
      <c r="B67" s="176">
        <v>2012.0</v>
      </c>
      <c r="C67" s="180">
        <f t="array" ref="C67">xlookup(B67,DATA_LEAGUE_AVG!A:A,DATA_LEAGUE_AVG!H:H)</f>
        <v>555.9</v>
      </c>
      <c r="D67" s="177" t="b">
        <f t="shared" si="1"/>
        <v>1</v>
      </c>
      <c r="E67" s="177">
        <v>33.0</v>
      </c>
      <c r="F67" s="181" t="s">
        <v>393</v>
      </c>
      <c r="G67" s="181" t="s">
        <v>369</v>
      </c>
      <c r="H67" s="181" t="s">
        <v>90</v>
      </c>
      <c r="I67" s="180">
        <f t="array" ref="I67">xlookup(B67,DATA_LEAGUE_AVG!A:A,DATA_LEAGUE_AVG!C:C)</f>
        <v>3700.6</v>
      </c>
      <c r="J67" s="180">
        <f t="array" ref="J67">xlookup(B67,DATA_LEAGUE_AVG!A:A,DATA_LEAGUE_AVG!D:D)</f>
        <v>23.7</v>
      </c>
      <c r="K67" s="177">
        <f t="shared" ref="K67:L67" si="63">S67/I67</f>
        <v>1.39896233</v>
      </c>
      <c r="L67" s="177">
        <f t="shared" si="63"/>
        <v>1.814345992</v>
      </c>
      <c r="M67" s="177">
        <v>16.0</v>
      </c>
      <c r="N67" s="177">
        <v>16.0</v>
      </c>
      <c r="O67" s="182">
        <v>36716.0</v>
      </c>
      <c r="P67" s="177">
        <v>422.0</v>
      </c>
      <c r="Q67" s="177">
        <v>670.0</v>
      </c>
      <c r="R67" s="177">
        <v>63.0</v>
      </c>
      <c r="S67" s="177">
        <v>5177.0</v>
      </c>
      <c r="T67" s="177">
        <v>43.0</v>
      </c>
      <c r="U67" s="177">
        <v>6.4</v>
      </c>
      <c r="V67" s="177">
        <v>19.0</v>
      </c>
      <c r="W67" s="177">
        <v>2.8</v>
      </c>
      <c r="X67" s="177">
        <v>266.0</v>
      </c>
      <c r="Y67" s="177">
        <v>50.3</v>
      </c>
      <c r="Z67" s="177">
        <v>80.0</v>
      </c>
      <c r="AA67" s="177">
        <v>7.7</v>
      </c>
      <c r="AB67" s="177">
        <v>7.73</v>
      </c>
      <c r="AC67" s="177">
        <v>12.3</v>
      </c>
      <c r="AD67" s="177">
        <v>323.6</v>
      </c>
      <c r="AE67" s="177">
        <v>96.3</v>
      </c>
      <c r="AF67" s="177">
        <v>26.0</v>
      </c>
      <c r="AG67" s="177">
        <v>190.0</v>
      </c>
      <c r="AH67" s="177">
        <v>3.74</v>
      </c>
      <c r="AI67" s="177">
        <v>7.17</v>
      </c>
      <c r="AJ67" s="177">
        <v>7.17</v>
      </c>
      <c r="AK67" s="177">
        <v>1.0</v>
      </c>
      <c r="AL67" s="177">
        <v>2.0</v>
      </c>
      <c r="AM67" s="177">
        <v>15.0</v>
      </c>
      <c r="AN67" s="181" t="s">
        <v>380</v>
      </c>
      <c r="AO67" s="33"/>
      <c r="AP67" s="33"/>
      <c r="AQ67" s="33"/>
      <c r="AR67" s="33"/>
      <c r="AS67" s="33"/>
    </row>
    <row r="68" hidden="1" outlineLevel="1">
      <c r="A68" s="175" t="s">
        <v>58</v>
      </c>
      <c r="B68" s="176">
        <v>2013.0</v>
      </c>
      <c r="C68" s="180">
        <f t="array" ref="C68">xlookup(B68,DATA_LEAGUE_AVG!A:A,DATA_LEAGUE_AVG!H:H)</f>
        <v>566.8</v>
      </c>
      <c r="D68" s="177" t="b">
        <f t="shared" si="1"/>
        <v>1</v>
      </c>
      <c r="E68" s="177">
        <v>34.0</v>
      </c>
      <c r="F68" s="181" t="s">
        <v>393</v>
      </c>
      <c r="G68" s="181" t="s">
        <v>369</v>
      </c>
      <c r="H68" s="181" t="s">
        <v>90</v>
      </c>
      <c r="I68" s="180">
        <f t="array" ref="I68">xlookup(B68,DATA_LEAGUE_AVG!A:A,DATA_LEAGUE_AVG!C:C)</f>
        <v>3769.6</v>
      </c>
      <c r="J68" s="180">
        <f t="array" ref="J68">xlookup(B68,DATA_LEAGUE_AVG!A:A,DATA_LEAGUE_AVG!D:D)</f>
        <v>25.1</v>
      </c>
      <c r="K68" s="177">
        <f t="shared" ref="K68:L68" si="64">S68/I68</f>
        <v>1.369376061</v>
      </c>
      <c r="L68" s="177">
        <f t="shared" si="64"/>
        <v>1.553784861</v>
      </c>
      <c r="M68" s="177">
        <v>16.0</v>
      </c>
      <c r="N68" s="177">
        <v>16.0</v>
      </c>
      <c r="O68" s="182">
        <v>36835.0</v>
      </c>
      <c r="P68" s="177">
        <v>446.0</v>
      </c>
      <c r="Q68" s="177">
        <v>650.0</v>
      </c>
      <c r="R68" s="177">
        <v>68.6</v>
      </c>
      <c r="S68" s="177">
        <v>5162.0</v>
      </c>
      <c r="T68" s="177">
        <v>39.0</v>
      </c>
      <c r="U68" s="177">
        <v>6.0</v>
      </c>
      <c r="V68" s="177">
        <v>12.0</v>
      </c>
      <c r="W68" s="177">
        <v>1.8</v>
      </c>
      <c r="X68" s="177">
        <v>246.0</v>
      </c>
      <c r="Y68" s="177">
        <v>52.0</v>
      </c>
      <c r="Z68" s="177">
        <v>76.0</v>
      </c>
      <c r="AA68" s="177">
        <v>7.9</v>
      </c>
      <c r="AB68" s="177">
        <v>8.31</v>
      </c>
      <c r="AC68" s="177">
        <v>11.6</v>
      </c>
      <c r="AD68" s="177">
        <v>322.6</v>
      </c>
      <c r="AE68" s="177">
        <v>104.7</v>
      </c>
      <c r="AF68" s="177">
        <v>37.0</v>
      </c>
      <c r="AG68" s="177">
        <v>244.0</v>
      </c>
      <c r="AH68" s="177">
        <v>5.39</v>
      </c>
      <c r="AI68" s="177">
        <v>7.16</v>
      </c>
      <c r="AJ68" s="177">
        <v>7.51</v>
      </c>
      <c r="AK68" s="177">
        <v>2.0</v>
      </c>
      <c r="AL68" s="177">
        <v>2.0</v>
      </c>
      <c r="AM68" s="177">
        <v>17.0</v>
      </c>
      <c r="AN68" s="181" t="s">
        <v>399</v>
      </c>
      <c r="AO68" s="33"/>
      <c r="AP68" s="33"/>
      <c r="AQ68" s="33"/>
      <c r="AR68" s="33"/>
      <c r="AS68" s="33"/>
    </row>
    <row r="69" hidden="1" outlineLevel="1">
      <c r="A69" s="175" t="s">
        <v>58</v>
      </c>
      <c r="B69" s="176">
        <v>2014.0</v>
      </c>
      <c r="C69" s="180">
        <f t="array" ref="C69">xlookup(B69,DATA_LEAGUE_AVG!A:A,DATA_LEAGUE_AVG!H:H)</f>
        <v>558.7</v>
      </c>
      <c r="D69" s="177" t="b">
        <f t="shared" si="1"/>
        <v>1</v>
      </c>
      <c r="E69" s="177">
        <v>35.0</v>
      </c>
      <c r="F69" s="181" t="s">
        <v>393</v>
      </c>
      <c r="G69" s="181" t="s">
        <v>369</v>
      </c>
      <c r="H69" s="181" t="s">
        <v>90</v>
      </c>
      <c r="I69" s="180">
        <f t="array" ref="I69">xlookup(B69,DATA_LEAGUE_AVG!A:A,DATA_LEAGUE_AVG!C:C)</f>
        <v>3789</v>
      </c>
      <c r="J69" s="180">
        <f t="array" ref="J69">xlookup(B69,DATA_LEAGUE_AVG!A:A,DATA_LEAGUE_AVG!D:D)</f>
        <v>25.2</v>
      </c>
      <c r="K69" s="177">
        <f t="shared" ref="K69:L69" si="65">S69/I69</f>
        <v>1.306941145</v>
      </c>
      <c r="L69" s="177">
        <f t="shared" si="65"/>
        <v>1.30952381</v>
      </c>
      <c r="M69" s="177">
        <v>16.0</v>
      </c>
      <c r="N69" s="177">
        <v>16.0</v>
      </c>
      <c r="O69" s="182">
        <v>36716.0</v>
      </c>
      <c r="P69" s="177">
        <v>456.0</v>
      </c>
      <c r="Q69" s="177">
        <v>659.0</v>
      </c>
      <c r="R69" s="177">
        <v>69.2</v>
      </c>
      <c r="S69" s="177">
        <v>4952.0</v>
      </c>
      <c r="T69" s="177">
        <v>33.0</v>
      </c>
      <c r="U69" s="177">
        <v>5.0</v>
      </c>
      <c r="V69" s="177">
        <v>17.0</v>
      </c>
      <c r="W69" s="177">
        <v>2.6</v>
      </c>
      <c r="X69" s="177">
        <v>259.0</v>
      </c>
      <c r="Y69" s="177">
        <v>52.9</v>
      </c>
      <c r="Z69" s="177">
        <v>69.0</v>
      </c>
      <c r="AA69" s="177">
        <v>7.5</v>
      </c>
      <c r="AB69" s="177">
        <v>7.36</v>
      </c>
      <c r="AC69" s="177">
        <v>10.9</v>
      </c>
      <c r="AD69" s="177">
        <v>309.5</v>
      </c>
      <c r="AE69" s="177">
        <v>97.0</v>
      </c>
      <c r="AF69" s="177">
        <v>29.0</v>
      </c>
      <c r="AG69" s="177">
        <v>186.0</v>
      </c>
      <c r="AH69" s="177">
        <v>4.22</v>
      </c>
      <c r="AI69" s="177">
        <v>6.93</v>
      </c>
      <c r="AJ69" s="177">
        <v>6.77</v>
      </c>
      <c r="AK69" s="177">
        <v>2.0</v>
      </c>
      <c r="AL69" s="177">
        <v>2.0</v>
      </c>
      <c r="AM69" s="177">
        <v>16.0</v>
      </c>
      <c r="AN69" s="181" t="s">
        <v>380</v>
      </c>
      <c r="AO69" s="33"/>
      <c r="AP69" s="33"/>
      <c r="AQ69" s="33"/>
      <c r="AR69" s="33"/>
      <c r="AS69" s="33"/>
    </row>
    <row r="70" hidden="1" outlineLevel="1">
      <c r="A70" s="175" t="s">
        <v>58</v>
      </c>
      <c r="B70" s="176">
        <v>2015.0</v>
      </c>
      <c r="C70" s="180">
        <f t="array" ref="C70">xlookup(B70,DATA_LEAGUE_AVG!A:A,DATA_LEAGUE_AVG!H:H)</f>
        <v>571.8</v>
      </c>
      <c r="D70" s="177" t="b">
        <f t="shared" si="1"/>
        <v>1</v>
      </c>
      <c r="E70" s="177">
        <v>36.0</v>
      </c>
      <c r="F70" s="181" t="s">
        <v>393</v>
      </c>
      <c r="G70" s="181" t="s">
        <v>369</v>
      </c>
      <c r="H70" s="181" t="s">
        <v>90</v>
      </c>
      <c r="I70" s="180">
        <f t="array" ref="I70">xlookup(B70,DATA_LEAGUE_AVG!A:A,DATA_LEAGUE_AVG!C:C)</f>
        <v>3901.1</v>
      </c>
      <c r="J70" s="180">
        <f t="array" ref="J70">xlookup(B70,DATA_LEAGUE_AVG!A:A,DATA_LEAGUE_AVG!D:D)</f>
        <v>26.3</v>
      </c>
      <c r="K70" s="177">
        <f t="shared" ref="K70:L70" si="66">S70/I70</f>
        <v>1.248365846</v>
      </c>
      <c r="L70" s="177">
        <f t="shared" si="66"/>
        <v>1.216730038</v>
      </c>
      <c r="M70" s="177">
        <v>15.0</v>
      </c>
      <c r="N70" s="177">
        <v>15.0</v>
      </c>
      <c r="O70" s="182">
        <v>36715.0</v>
      </c>
      <c r="P70" s="177">
        <v>428.0</v>
      </c>
      <c r="Q70" s="177">
        <v>627.0</v>
      </c>
      <c r="R70" s="177">
        <v>68.3</v>
      </c>
      <c r="S70" s="177">
        <v>4870.0</v>
      </c>
      <c r="T70" s="177">
        <v>32.0</v>
      </c>
      <c r="U70" s="177">
        <v>5.1</v>
      </c>
      <c r="V70" s="177">
        <v>11.0</v>
      </c>
      <c r="W70" s="177">
        <v>1.8</v>
      </c>
      <c r="X70" s="177">
        <v>228.0</v>
      </c>
      <c r="Y70" s="177">
        <v>48.5</v>
      </c>
      <c r="Z70" s="177">
        <v>80.0</v>
      </c>
      <c r="AA70" s="177">
        <v>7.8</v>
      </c>
      <c r="AB70" s="177">
        <v>8.0</v>
      </c>
      <c r="AC70" s="177">
        <v>11.4</v>
      </c>
      <c r="AD70" s="177">
        <v>324.7</v>
      </c>
      <c r="AE70" s="177">
        <v>101.0</v>
      </c>
      <c r="AF70" s="177">
        <v>31.0</v>
      </c>
      <c r="AG70" s="177">
        <v>235.0</v>
      </c>
      <c r="AH70" s="177">
        <v>4.71</v>
      </c>
      <c r="AI70" s="177">
        <v>7.04</v>
      </c>
      <c r="AJ70" s="177">
        <v>7.26</v>
      </c>
      <c r="AK70" s="177">
        <v>1.0</v>
      </c>
      <c r="AL70" s="177">
        <v>2.0</v>
      </c>
      <c r="AM70" s="177">
        <v>14.0</v>
      </c>
      <c r="AN70" s="183"/>
      <c r="AO70" s="33"/>
      <c r="AP70" s="33"/>
      <c r="AQ70" s="33"/>
      <c r="AR70" s="33"/>
      <c r="AS70" s="33"/>
    </row>
    <row r="71" hidden="1" outlineLevel="1">
      <c r="A71" s="175" t="s">
        <v>58</v>
      </c>
      <c r="B71" s="176">
        <v>2016.0</v>
      </c>
      <c r="C71" s="180">
        <f t="array" ref="C71">xlookup(B71,DATA_LEAGUE_AVG!A:A,DATA_LEAGUE_AVG!H:H)</f>
        <v>571.7</v>
      </c>
      <c r="D71" s="177" t="b">
        <f t="shared" si="1"/>
        <v>1</v>
      </c>
      <c r="E71" s="177">
        <v>37.0</v>
      </c>
      <c r="F71" s="181" t="s">
        <v>393</v>
      </c>
      <c r="G71" s="181" t="s">
        <v>369</v>
      </c>
      <c r="H71" s="181" t="s">
        <v>90</v>
      </c>
      <c r="I71" s="180">
        <f t="array" ref="I71">xlookup(B71,DATA_LEAGUE_AVG!A:A,DATA_LEAGUE_AVG!C:C)</f>
        <v>3863.7</v>
      </c>
      <c r="J71" s="180">
        <f t="array" ref="J71">xlookup(B71,DATA_LEAGUE_AVG!A:A,DATA_LEAGUE_AVG!D:D)</f>
        <v>24.6</v>
      </c>
      <c r="K71" s="177">
        <f t="shared" ref="K71:L71" si="67">S71/I71</f>
        <v>1.34793074</v>
      </c>
      <c r="L71" s="177">
        <f t="shared" si="67"/>
        <v>1.504065041</v>
      </c>
      <c r="M71" s="177">
        <v>16.0</v>
      </c>
      <c r="N71" s="177">
        <v>16.0</v>
      </c>
      <c r="O71" s="182">
        <v>36716.0</v>
      </c>
      <c r="P71" s="177">
        <v>471.0</v>
      </c>
      <c r="Q71" s="177">
        <v>673.0</v>
      </c>
      <c r="R71" s="177">
        <v>70.0</v>
      </c>
      <c r="S71" s="177">
        <v>5208.0</v>
      </c>
      <c r="T71" s="177">
        <v>37.0</v>
      </c>
      <c r="U71" s="177">
        <v>5.5</v>
      </c>
      <c r="V71" s="177">
        <v>15.0</v>
      </c>
      <c r="W71" s="177">
        <v>2.2</v>
      </c>
      <c r="X71" s="177">
        <v>265.0</v>
      </c>
      <c r="Y71" s="177">
        <v>53.9</v>
      </c>
      <c r="Z71" s="177">
        <v>98.0</v>
      </c>
      <c r="AA71" s="177">
        <v>7.7</v>
      </c>
      <c r="AB71" s="177">
        <v>7.84</v>
      </c>
      <c r="AC71" s="177">
        <v>11.1</v>
      </c>
      <c r="AD71" s="177">
        <v>325.5</v>
      </c>
      <c r="AE71" s="177">
        <v>101.7</v>
      </c>
      <c r="AF71" s="177">
        <v>27.0</v>
      </c>
      <c r="AG71" s="177">
        <v>184.0</v>
      </c>
      <c r="AH71" s="177">
        <v>3.86</v>
      </c>
      <c r="AI71" s="177">
        <v>7.18</v>
      </c>
      <c r="AJ71" s="177">
        <v>7.27</v>
      </c>
      <c r="AK71" s="177">
        <v>2.0</v>
      </c>
      <c r="AL71" s="177">
        <v>4.0</v>
      </c>
      <c r="AM71" s="177">
        <v>16.0</v>
      </c>
      <c r="AN71" s="181" t="s">
        <v>400</v>
      </c>
      <c r="AO71" s="33"/>
      <c r="AP71" s="33"/>
      <c r="AQ71" s="33"/>
      <c r="AR71" s="33"/>
      <c r="AS71" s="33"/>
    </row>
    <row r="72" hidden="1" outlineLevel="1">
      <c r="A72" s="175" t="s">
        <v>58</v>
      </c>
      <c r="B72" s="176">
        <v>2017.0</v>
      </c>
      <c r="C72" s="180">
        <f t="array" ref="C72">xlookup(B72,DATA_LEAGUE_AVG!A:A,DATA_LEAGUE_AVG!H:H)</f>
        <v>546.5</v>
      </c>
      <c r="D72" s="177" t="b">
        <f t="shared" si="1"/>
        <v>1</v>
      </c>
      <c r="E72" s="177">
        <v>38.0</v>
      </c>
      <c r="F72" s="181" t="s">
        <v>393</v>
      </c>
      <c r="G72" s="181" t="s">
        <v>369</v>
      </c>
      <c r="H72" s="181" t="s">
        <v>90</v>
      </c>
      <c r="I72" s="180">
        <f t="array" ref="I72">xlookup(B72,DATA_LEAGUE_AVG!A:A,DATA_LEAGUE_AVG!C:C)</f>
        <v>3589.7</v>
      </c>
      <c r="J72" s="180">
        <f t="array" ref="J72">xlookup(B72,DATA_LEAGUE_AVG!A:A,DATA_LEAGUE_AVG!D:D)</f>
        <v>23.2</v>
      </c>
      <c r="K72" s="177">
        <f t="shared" ref="K72:L72" si="68">S72/I72</f>
        <v>1.207343232</v>
      </c>
      <c r="L72" s="177">
        <f t="shared" si="68"/>
        <v>0.9913793103</v>
      </c>
      <c r="M72" s="177">
        <v>16.0</v>
      </c>
      <c r="N72" s="177">
        <v>16.0</v>
      </c>
      <c r="O72" s="182">
        <v>36835.0</v>
      </c>
      <c r="P72" s="177">
        <v>386.0</v>
      </c>
      <c r="Q72" s="177">
        <v>536.0</v>
      </c>
      <c r="R72" s="177">
        <v>72.0</v>
      </c>
      <c r="S72" s="177">
        <v>4334.0</v>
      </c>
      <c r="T72" s="177">
        <v>23.0</v>
      </c>
      <c r="U72" s="177">
        <v>4.3</v>
      </c>
      <c r="V72" s="177">
        <v>8.0</v>
      </c>
      <c r="W72" s="177">
        <v>1.5</v>
      </c>
      <c r="X72" s="177">
        <v>203.0</v>
      </c>
      <c r="Y72" s="177">
        <v>51.6</v>
      </c>
      <c r="Z72" s="177">
        <v>54.0</v>
      </c>
      <c r="AA72" s="177">
        <v>8.1</v>
      </c>
      <c r="AB72" s="177">
        <v>8.27</v>
      </c>
      <c r="AC72" s="177">
        <v>11.2</v>
      </c>
      <c r="AD72" s="177">
        <v>270.9</v>
      </c>
      <c r="AE72" s="177">
        <v>103.9</v>
      </c>
      <c r="AF72" s="177">
        <v>20.0</v>
      </c>
      <c r="AG72" s="177">
        <v>145.0</v>
      </c>
      <c r="AH72" s="177">
        <v>3.6</v>
      </c>
      <c r="AI72" s="177">
        <v>7.53</v>
      </c>
      <c r="AJ72" s="177">
        <v>7.71</v>
      </c>
      <c r="AK72" s="177">
        <v>2.0</v>
      </c>
      <c r="AL72" s="177">
        <v>2.0</v>
      </c>
      <c r="AM72" s="177">
        <v>17.0</v>
      </c>
      <c r="AN72" s="181" t="s">
        <v>380</v>
      </c>
      <c r="AO72" s="33"/>
      <c r="AP72" s="33"/>
      <c r="AQ72" s="33"/>
      <c r="AR72" s="33"/>
      <c r="AS72" s="33"/>
    </row>
    <row r="73" hidden="1" outlineLevel="1">
      <c r="A73" s="175" t="s">
        <v>58</v>
      </c>
      <c r="B73" s="176">
        <v>2018.0</v>
      </c>
      <c r="C73" s="180">
        <f t="array" ref="C73">xlookup(B73,DATA_LEAGUE_AVG!A:A,DATA_LEAGUE_AVG!H:H)</f>
        <v>552.2</v>
      </c>
      <c r="D73" s="177" t="b">
        <f t="shared" si="1"/>
        <v>1</v>
      </c>
      <c r="E73" s="177">
        <v>39.0</v>
      </c>
      <c r="F73" s="181" t="s">
        <v>393</v>
      </c>
      <c r="G73" s="181" t="s">
        <v>369</v>
      </c>
      <c r="H73" s="181" t="s">
        <v>90</v>
      </c>
      <c r="I73" s="180">
        <f t="array" ref="I73">xlookup(B73,DATA_LEAGUE_AVG!A:A,DATA_LEAGUE_AVG!C:C)</f>
        <v>3804.3</v>
      </c>
      <c r="J73" s="180">
        <f t="array" ref="J73">xlookup(B73,DATA_LEAGUE_AVG!A:A,DATA_LEAGUE_AVG!D:D)</f>
        <v>26.5</v>
      </c>
      <c r="K73" s="177">
        <f t="shared" ref="K73:L73" si="69">S73/I73</f>
        <v>1.049338906</v>
      </c>
      <c r="L73" s="177">
        <f t="shared" si="69"/>
        <v>1.20754717</v>
      </c>
      <c r="M73" s="177">
        <v>15.0</v>
      </c>
      <c r="N73" s="177">
        <v>15.0</v>
      </c>
      <c r="O73" s="181" t="s">
        <v>396</v>
      </c>
      <c r="P73" s="177">
        <v>364.0</v>
      </c>
      <c r="Q73" s="177">
        <v>489.0</v>
      </c>
      <c r="R73" s="177">
        <v>74.4</v>
      </c>
      <c r="S73" s="177">
        <v>3992.0</v>
      </c>
      <c r="T73" s="177">
        <v>32.0</v>
      </c>
      <c r="U73" s="177">
        <v>6.5</v>
      </c>
      <c r="V73" s="177">
        <v>5.0</v>
      </c>
      <c r="W73" s="177">
        <v>1.0</v>
      </c>
      <c r="X73" s="177">
        <v>197.0</v>
      </c>
      <c r="Y73" s="177">
        <v>57.3</v>
      </c>
      <c r="Z73" s="177">
        <v>72.0</v>
      </c>
      <c r="AA73" s="177">
        <v>8.2</v>
      </c>
      <c r="AB73" s="177">
        <v>9.01</v>
      </c>
      <c r="AC73" s="177">
        <v>11.0</v>
      </c>
      <c r="AD73" s="177">
        <v>266.1</v>
      </c>
      <c r="AE73" s="177">
        <v>115.7</v>
      </c>
      <c r="AF73" s="177">
        <v>17.0</v>
      </c>
      <c r="AG73" s="177">
        <v>121.0</v>
      </c>
      <c r="AH73" s="177">
        <v>3.36</v>
      </c>
      <c r="AI73" s="177">
        <v>7.65</v>
      </c>
      <c r="AJ73" s="177">
        <v>8.47</v>
      </c>
      <c r="AK73" s="177">
        <v>6.0</v>
      </c>
      <c r="AL73" s="177">
        <v>7.0</v>
      </c>
      <c r="AM73" s="177">
        <v>16.0</v>
      </c>
      <c r="AN73" s="181" t="s">
        <v>397</v>
      </c>
      <c r="AO73" s="33"/>
      <c r="AP73" s="33"/>
      <c r="AQ73" s="33"/>
      <c r="AR73" s="33"/>
      <c r="AS73" s="33"/>
    </row>
    <row r="74" hidden="1" outlineLevel="1">
      <c r="A74" s="175" t="s">
        <v>58</v>
      </c>
      <c r="B74" s="176">
        <v>2019.0</v>
      </c>
      <c r="C74" s="180">
        <f t="array" ref="C74">xlookup(B74,DATA_LEAGUE_AVG!A:A,DATA_LEAGUE_AVG!H:H)</f>
        <v>557.9</v>
      </c>
      <c r="D74" s="177" t="b">
        <f t="shared" si="1"/>
        <v>1</v>
      </c>
      <c r="E74" s="177">
        <v>40.0</v>
      </c>
      <c r="F74" s="181" t="s">
        <v>393</v>
      </c>
      <c r="G74" s="181" t="s">
        <v>369</v>
      </c>
      <c r="H74" s="181" t="s">
        <v>90</v>
      </c>
      <c r="I74" s="180">
        <f t="array" ref="I74">xlookup(B74,DATA_LEAGUE_AVG!A:A,DATA_LEAGUE_AVG!C:C)</f>
        <v>3759.4</v>
      </c>
      <c r="J74" s="180">
        <f t="array" ref="J74">xlookup(B74,DATA_LEAGUE_AVG!A:A,DATA_LEAGUE_AVG!D:D)</f>
        <v>24.9</v>
      </c>
      <c r="K74" s="177">
        <f t="shared" ref="K74:L74" si="70">S74/I74</f>
        <v>0.792413683</v>
      </c>
      <c r="L74" s="177">
        <f t="shared" si="70"/>
        <v>1.084337349</v>
      </c>
      <c r="M74" s="177">
        <v>11.0</v>
      </c>
      <c r="N74" s="177">
        <v>11.0</v>
      </c>
      <c r="O74" s="182">
        <v>36741.0</v>
      </c>
      <c r="P74" s="177">
        <v>281.0</v>
      </c>
      <c r="Q74" s="177">
        <v>378.0</v>
      </c>
      <c r="R74" s="177">
        <v>74.3</v>
      </c>
      <c r="S74" s="177">
        <v>2979.0</v>
      </c>
      <c r="T74" s="177">
        <v>27.0</v>
      </c>
      <c r="U74" s="177">
        <v>7.1</v>
      </c>
      <c r="V74" s="177">
        <v>4.0</v>
      </c>
      <c r="W74" s="177">
        <v>1.1</v>
      </c>
      <c r="X74" s="177">
        <v>159.0</v>
      </c>
      <c r="Y74" s="177">
        <v>56.2</v>
      </c>
      <c r="Z74" s="177">
        <v>61.0</v>
      </c>
      <c r="AA74" s="177">
        <v>7.9</v>
      </c>
      <c r="AB74" s="177">
        <v>8.83</v>
      </c>
      <c r="AC74" s="177">
        <v>10.6</v>
      </c>
      <c r="AD74" s="177">
        <v>270.8</v>
      </c>
      <c r="AE74" s="177">
        <v>116.3</v>
      </c>
      <c r="AF74" s="177">
        <v>12.0</v>
      </c>
      <c r="AG74" s="177">
        <v>89.0</v>
      </c>
      <c r="AH74" s="177">
        <v>3.08</v>
      </c>
      <c r="AI74" s="177">
        <v>7.41</v>
      </c>
      <c r="AJ74" s="177">
        <v>8.33</v>
      </c>
      <c r="AK74" s="177">
        <v>1.0</v>
      </c>
      <c r="AL74" s="177">
        <v>2.0</v>
      </c>
      <c r="AM74" s="177">
        <v>11.0</v>
      </c>
      <c r="AN74" s="181" t="s">
        <v>380</v>
      </c>
      <c r="AO74" s="33"/>
      <c r="AP74" s="33"/>
      <c r="AQ74" s="33"/>
      <c r="AR74" s="33"/>
      <c r="AS74" s="33"/>
    </row>
    <row r="75" hidden="1" outlineLevel="1">
      <c r="A75" s="175" t="s">
        <v>58</v>
      </c>
      <c r="B75" s="176">
        <v>2020.0</v>
      </c>
      <c r="C75" s="180">
        <f t="array" ref="C75">xlookup(B75,DATA_LEAGUE_AVG!A:A,DATA_LEAGUE_AVG!H:H)</f>
        <v>563.1</v>
      </c>
      <c r="D75" s="177" t="b">
        <f t="shared" si="1"/>
        <v>1</v>
      </c>
      <c r="E75" s="177">
        <v>41.0</v>
      </c>
      <c r="F75" s="181" t="s">
        <v>393</v>
      </c>
      <c r="G75" s="181" t="s">
        <v>369</v>
      </c>
      <c r="H75" s="181" t="s">
        <v>90</v>
      </c>
      <c r="I75" s="180">
        <f t="array" ref="I75">xlookup(B75,DATA_LEAGUE_AVG!A:A,DATA_LEAGUE_AVG!C:C)</f>
        <v>3842.4</v>
      </c>
      <c r="J75" s="180">
        <f t="array" ref="J75">xlookup(B75,DATA_LEAGUE_AVG!A:A,DATA_LEAGUE_AVG!D:D)</f>
        <v>27.2</v>
      </c>
      <c r="K75" s="177">
        <f t="shared" ref="K75:L75" si="71">S75/I75</f>
        <v>0.7656672913</v>
      </c>
      <c r="L75" s="177">
        <f t="shared" si="71"/>
        <v>0.8823529412</v>
      </c>
      <c r="M75" s="177">
        <v>12.0</v>
      </c>
      <c r="N75" s="177">
        <v>12.0</v>
      </c>
      <c r="O75" s="182">
        <v>36772.0</v>
      </c>
      <c r="P75" s="177">
        <v>275.0</v>
      </c>
      <c r="Q75" s="177">
        <v>390.0</v>
      </c>
      <c r="R75" s="177">
        <v>70.5</v>
      </c>
      <c r="S75" s="177">
        <v>2942.0</v>
      </c>
      <c r="T75" s="177">
        <v>24.0</v>
      </c>
      <c r="U75" s="177">
        <v>6.2</v>
      </c>
      <c r="V75" s="177">
        <v>6.0</v>
      </c>
      <c r="W75" s="177">
        <v>1.5</v>
      </c>
      <c r="X75" s="177">
        <v>149.0</v>
      </c>
      <c r="Y75" s="177">
        <v>52.6</v>
      </c>
      <c r="Z75" s="177">
        <v>52.0</v>
      </c>
      <c r="AA75" s="177">
        <v>7.5</v>
      </c>
      <c r="AB75" s="177">
        <v>8.08</v>
      </c>
      <c r="AC75" s="177">
        <v>10.7</v>
      </c>
      <c r="AD75" s="177">
        <v>245.2</v>
      </c>
      <c r="AE75" s="177">
        <v>106.4</v>
      </c>
      <c r="AF75" s="177">
        <v>13.0</v>
      </c>
      <c r="AG75" s="177">
        <v>89.0</v>
      </c>
      <c r="AH75" s="177">
        <v>3.23</v>
      </c>
      <c r="AI75" s="177">
        <v>7.08</v>
      </c>
      <c r="AJ75" s="177">
        <v>7.6</v>
      </c>
      <c r="AK75" s="177">
        <v>1.0</v>
      </c>
      <c r="AL75" s="177">
        <v>3.0</v>
      </c>
      <c r="AM75" s="177">
        <v>10.0</v>
      </c>
      <c r="AN75" s="183"/>
      <c r="AO75" s="33"/>
      <c r="AP75" s="33"/>
      <c r="AQ75" s="33"/>
      <c r="AR75" s="33"/>
      <c r="AS75" s="33"/>
    </row>
    <row r="76" collapsed="1">
      <c r="A76" s="175" t="s">
        <v>66</v>
      </c>
      <c r="B76" s="176" t="s">
        <v>348</v>
      </c>
      <c r="C76" s="177" t="str">
        <f t="array" ref="C76">xlookup(B76,DATA_LEAGUE_AVG!A:A,DATA_LEAGUE_AVG!H:H)</f>
        <v>#N/A</v>
      </c>
      <c r="D76" s="177" t="str">
        <f t="shared" si="1"/>
        <v>#N/A</v>
      </c>
      <c r="E76" s="176" t="s">
        <v>351</v>
      </c>
      <c r="F76" s="176" t="s">
        <v>352</v>
      </c>
      <c r="G76" s="176" t="s">
        <v>353</v>
      </c>
      <c r="H76" s="176" t="s">
        <v>354</v>
      </c>
      <c r="I76" s="178" t="s">
        <v>355</v>
      </c>
      <c r="J76" s="178" t="s">
        <v>356</v>
      </c>
      <c r="K76" s="178" t="s">
        <v>272</v>
      </c>
      <c r="L76" s="178" t="s">
        <v>357</v>
      </c>
      <c r="M76" s="176" t="s">
        <v>358</v>
      </c>
      <c r="N76" s="176" t="s">
        <v>359</v>
      </c>
      <c r="O76" s="176" t="s">
        <v>360</v>
      </c>
      <c r="P76" s="176" t="s">
        <v>330</v>
      </c>
      <c r="Q76" s="176" t="s">
        <v>331</v>
      </c>
      <c r="R76" s="176" t="s">
        <v>332</v>
      </c>
      <c r="S76" s="176" t="s">
        <v>326</v>
      </c>
      <c r="T76" s="176" t="s">
        <v>327</v>
      </c>
      <c r="U76" s="176" t="s">
        <v>335</v>
      </c>
      <c r="V76" s="176" t="s">
        <v>336</v>
      </c>
      <c r="W76" s="176" t="s">
        <v>337</v>
      </c>
      <c r="X76" s="176" t="s">
        <v>363</v>
      </c>
      <c r="Y76" s="176" t="s">
        <v>338</v>
      </c>
      <c r="Z76" s="176" t="s">
        <v>339</v>
      </c>
      <c r="AA76" s="176" t="s">
        <v>340</v>
      </c>
      <c r="AB76" s="176" t="s">
        <v>341</v>
      </c>
      <c r="AC76" s="176" t="s">
        <v>342</v>
      </c>
      <c r="AD76" s="176" t="s">
        <v>343</v>
      </c>
      <c r="AE76" s="176" t="s">
        <v>326</v>
      </c>
      <c r="AF76" s="176" t="s">
        <v>345</v>
      </c>
      <c r="AG76" s="176" t="s">
        <v>346</v>
      </c>
      <c r="AH76" s="176" t="s">
        <v>347</v>
      </c>
      <c r="AI76" s="176" t="s">
        <v>364</v>
      </c>
      <c r="AJ76" s="176" t="s">
        <v>365</v>
      </c>
      <c r="AK76" s="176" t="s">
        <v>366</v>
      </c>
      <c r="AL76" s="176" t="s">
        <v>367</v>
      </c>
      <c r="AM76" s="33"/>
      <c r="AN76" s="33"/>
      <c r="AO76" s="33"/>
      <c r="AP76" s="33"/>
      <c r="AQ76" s="33"/>
      <c r="AR76" s="33"/>
      <c r="AS76" s="33"/>
    </row>
    <row r="77" hidden="1" outlineLevel="1">
      <c r="A77" s="175" t="s">
        <v>66</v>
      </c>
      <c r="B77" s="176">
        <v>1957.0</v>
      </c>
      <c r="C77" s="180">
        <f t="array" ref="C77">xlookup(B77,DATA_LEAGUE_AVG!A:A,DATA_LEAGUE_AVG!H:H)</f>
        <v>278.3</v>
      </c>
      <c r="D77" s="177" t="b">
        <f t="shared" si="1"/>
        <v>1</v>
      </c>
      <c r="E77" s="177">
        <v>23.0</v>
      </c>
      <c r="F77" s="181" t="s">
        <v>163</v>
      </c>
      <c r="G77" s="181" t="s">
        <v>369</v>
      </c>
      <c r="H77" s="181" t="s">
        <v>90</v>
      </c>
      <c r="I77" s="180">
        <f t="array" ref="I77">xlookup(B77,DATA_LEAGUE_AVG!A:A,DATA_LEAGUE_AVG!C:C)</f>
        <v>1841</v>
      </c>
      <c r="J77" s="180">
        <f t="array" ref="J77">xlookup(B77,DATA_LEAGUE_AVG!A:A,DATA_LEAGUE_AVG!D:D)</f>
        <v>14.2</v>
      </c>
      <c r="K77" s="177">
        <f t="shared" ref="K77:L77" si="72">S77/I77</f>
        <v>0.8087995655</v>
      </c>
      <c r="L77" s="177">
        <f t="shared" si="72"/>
        <v>0.5633802817</v>
      </c>
      <c r="M77" s="177">
        <v>12.0</v>
      </c>
      <c r="N77" s="177">
        <v>11.0</v>
      </c>
      <c r="O77" s="182">
        <v>36593.0</v>
      </c>
      <c r="P77" s="177">
        <v>117.0</v>
      </c>
      <c r="Q77" s="177">
        <v>215.0</v>
      </c>
      <c r="R77" s="177">
        <v>54.4</v>
      </c>
      <c r="S77" s="177">
        <v>1489.0</v>
      </c>
      <c r="T77" s="177">
        <v>8.0</v>
      </c>
      <c r="U77" s="177">
        <v>3.7</v>
      </c>
      <c r="V77" s="177">
        <v>10.0</v>
      </c>
      <c r="W77" s="177">
        <v>4.7</v>
      </c>
      <c r="X77" s="177">
        <v>77.0</v>
      </c>
      <c r="Y77" s="177">
        <v>6.9</v>
      </c>
      <c r="Z77" s="177">
        <v>5.58</v>
      </c>
      <c r="AA77" s="177">
        <v>12.7</v>
      </c>
      <c r="AB77" s="177">
        <v>124.1</v>
      </c>
      <c r="AC77" s="177">
        <v>69.3</v>
      </c>
      <c r="AD77" s="183"/>
      <c r="AE77" s="177">
        <v>231.0</v>
      </c>
      <c r="AF77" s="183"/>
      <c r="AG77" s="183"/>
      <c r="AH77" s="183"/>
      <c r="AI77" s="177">
        <v>0.0</v>
      </c>
      <c r="AJ77" s="177">
        <v>0.0</v>
      </c>
      <c r="AK77" s="183"/>
      <c r="AL77" s="183"/>
      <c r="AM77" s="33"/>
      <c r="AN77" s="33"/>
      <c r="AO77" s="33"/>
      <c r="AP77" s="33"/>
      <c r="AQ77" s="33"/>
      <c r="AR77" s="33"/>
      <c r="AS77" s="33"/>
    </row>
    <row r="78" hidden="1" outlineLevel="1">
      <c r="A78" s="175" t="s">
        <v>66</v>
      </c>
      <c r="B78" s="176">
        <v>1960.0</v>
      </c>
      <c r="C78" s="180">
        <f t="array" ref="C78">xlookup(B78,DATA_LEAGUE_AVG!A:A,DATA_LEAGUE_AVG!H:H)</f>
        <v>316.5</v>
      </c>
      <c r="D78" s="177" t="b">
        <f t="shared" si="1"/>
        <v>1</v>
      </c>
      <c r="E78" s="177">
        <v>26.0</v>
      </c>
      <c r="F78" s="181" t="s">
        <v>163</v>
      </c>
      <c r="G78" s="181" t="s">
        <v>369</v>
      </c>
      <c r="H78" s="181" t="s">
        <v>90</v>
      </c>
      <c r="I78" s="180">
        <f t="array" ref="I78">xlookup(B78,DATA_LEAGUE_AVG!A:A,DATA_LEAGUE_AVG!C:C)</f>
        <v>2047.5</v>
      </c>
      <c r="J78" s="180">
        <f t="array" ref="J78">xlookup(B78,DATA_LEAGUE_AVG!A:A,DATA_LEAGUE_AVG!D:D)</f>
        <v>17</v>
      </c>
      <c r="K78" s="177">
        <f t="shared" ref="K78:L78" si="73">S78/I78</f>
        <v>0.6632478632</v>
      </c>
      <c r="L78" s="177">
        <f t="shared" si="73"/>
        <v>0.2352941176</v>
      </c>
      <c r="M78" s="177">
        <v>12.0</v>
      </c>
      <c r="N78" s="177">
        <v>8.0</v>
      </c>
      <c r="O78" s="182">
        <v>36620.0</v>
      </c>
      <c r="P78" s="177">
        <v>98.0</v>
      </c>
      <c r="Q78" s="177">
        <v>172.0</v>
      </c>
      <c r="R78" s="177">
        <v>57.0</v>
      </c>
      <c r="S78" s="177">
        <v>1358.0</v>
      </c>
      <c r="T78" s="177">
        <v>4.0</v>
      </c>
      <c r="U78" s="177">
        <v>2.3</v>
      </c>
      <c r="V78" s="177">
        <v>8.0</v>
      </c>
      <c r="W78" s="177">
        <v>4.7</v>
      </c>
      <c r="X78" s="177">
        <v>91.0</v>
      </c>
      <c r="Y78" s="177">
        <v>7.9</v>
      </c>
      <c r="Z78" s="177">
        <v>6.27</v>
      </c>
      <c r="AA78" s="177">
        <v>13.9</v>
      </c>
      <c r="AB78" s="177">
        <v>113.2</v>
      </c>
      <c r="AC78" s="177">
        <v>70.8</v>
      </c>
      <c r="AD78" s="177">
        <v>7.0</v>
      </c>
      <c r="AE78" s="177">
        <v>78.0</v>
      </c>
      <c r="AF78" s="177">
        <v>3.91</v>
      </c>
      <c r="AG78" s="177">
        <v>7.15</v>
      </c>
      <c r="AH78" s="177">
        <v>5.59</v>
      </c>
      <c r="AI78" s="177">
        <v>1.0</v>
      </c>
      <c r="AJ78" s="177">
        <v>1.0</v>
      </c>
      <c r="AK78" s="177">
        <v>9.0</v>
      </c>
      <c r="AL78" s="181" t="s">
        <v>380</v>
      </c>
      <c r="AM78" s="33"/>
      <c r="AN78" s="33"/>
      <c r="AO78" s="33"/>
      <c r="AP78" s="33"/>
      <c r="AQ78" s="33"/>
      <c r="AR78" s="33"/>
      <c r="AS78" s="33"/>
    </row>
    <row r="79" hidden="1" outlineLevel="1">
      <c r="A79" s="175" t="s">
        <v>66</v>
      </c>
      <c r="B79" s="176">
        <v>1961.0</v>
      </c>
      <c r="C79" s="180">
        <f t="array" ref="C79">xlookup(B79,DATA_LEAGUE_AVG!A:A,DATA_LEAGUE_AVG!H:H)</f>
        <v>378</v>
      </c>
      <c r="D79" s="177" t="b">
        <f t="shared" si="1"/>
        <v>1</v>
      </c>
      <c r="E79" s="177">
        <v>27.0</v>
      </c>
      <c r="F79" s="181" t="s">
        <v>163</v>
      </c>
      <c r="G79" s="181" t="s">
        <v>369</v>
      </c>
      <c r="H79" s="181" t="s">
        <v>90</v>
      </c>
      <c r="I79" s="180">
        <f t="array" ref="I79">xlookup(B79,DATA_LEAGUE_AVG!A:A,DATA_LEAGUE_AVG!C:C)</f>
        <v>2526.6</v>
      </c>
      <c r="J79" s="180">
        <f t="array" ref="J79">xlookup(B79,DATA_LEAGUE_AVG!A:A,DATA_LEAGUE_AVG!D:D)</f>
        <v>20.4</v>
      </c>
      <c r="K79" s="177">
        <f t="shared" ref="K79:L79" si="74">S79/I79</f>
        <v>0.9570173355</v>
      </c>
      <c r="L79" s="177">
        <f t="shared" si="74"/>
        <v>0.7843137255</v>
      </c>
      <c r="M79" s="177">
        <v>14.0</v>
      </c>
      <c r="N79" s="177">
        <v>14.0</v>
      </c>
      <c r="O79" s="182">
        <v>36833.0</v>
      </c>
      <c r="P79" s="177">
        <v>172.0</v>
      </c>
      <c r="Q79" s="177">
        <v>295.0</v>
      </c>
      <c r="R79" s="177">
        <v>58.3</v>
      </c>
      <c r="S79" s="177">
        <v>2418.0</v>
      </c>
      <c r="T79" s="177">
        <v>16.0</v>
      </c>
      <c r="U79" s="177">
        <v>5.4</v>
      </c>
      <c r="V79" s="177">
        <v>16.0</v>
      </c>
      <c r="W79" s="177">
        <v>5.4</v>
      </c>
      <c r="X79" s="177">
        <v>78.0</v>
      </c>
      <c r="Y79" s="177">
        <v>8.2</v>
      </c>
      <c r="Z79" s="177">
        <v>6.84</v>
      </c>
      <c r="AA79" s="177">
        <v>14.1</v>
      </c>
      <c r="AB79" s="177">
        <v>172.7</v>
      </c>
      <c r="AC79" s="177">
        <v>80.3</v>
      </c>
      <c r="AD79" s="177">
        <v>15.0</v>
      </c>
      <c r="AE79" s="177">
        <v>138.0</v>
      </c>
      <c r="AF79" s="177">
        <v>4.84</v>
      </c>
      <c r="AG79" s="177">
        <v>7.35</v>
      </c>
      <c r="AH79" s="177">
        <v>6.06</v>
      </c>
      <c r="AI79" s="177">
        <v>3.0</v>
      </c>
      <c r="AJ79" s="177">
        <v>3.0</v>
      </c>
      <c r="AK79" s="177">
        <v>15.0</v>
      </c>
      <c r="AL79" s="181" t="s">
        <v>380</v>
      </c>
      <c r="AM79" s="33"/>
      <c r="AN79" s="33"/>
      <c r="AO79" s="33"/>
      <c r="AP79" s="33"/>
      <c r="AQ79" s="33"/>
      <c r="AR79" s="33"/>
      <c r="AS79" s="33"/>
    </row>
    <row r="80" hidden="1" outlineLevel="1">
      <c r="A80" s="175" t="s">
        <v>66</v>
      </c>
      <c r="B80" s="176">
        <v>1962.0</v>
      </c>
      <c r="C80" s="180">
        <f t="array" ref="C80">xlookup(B80,DATA_LEAGUE_AVG!A:A,DATA_LEAGUE_AVG!H:H)</f>
        <v>382.6</v>
      </c>
      <c r="D80" s="177" t="b">
        <f t="shared" si="1"/>
        <v>1</v>
      </c>
      <c r="E80" s="177">
        <v>28.0</v>
      </c>
      <c r="F80" s="181" t="s">
        <v>163</v>
      </c>
      <c r="G80" s="181" t="s">
        <v>369</v>
      </c>
      <c r="H80" s="181" t="s">
        <v>90</v>
      </c>
      <c r="I80" s="180">
        <f t="array" ref="I80">xlookup(B80,DATA_LEAGUE_AVG!A:A,DATA_LEAGUE_AVG!C:C)</f>
        <v>2713.4</v>
      </c>
      <c r="J80" s="180">
        <f t="array" ref="J80">xlookup(B80,DATA_LEAGUE_AVG!A:A,DATA_LEAGUE_AVG!D:D)</f>
        <v>21.4</v>
      </c>
      <c r="K80" s="177">
        <f t="shared" ref="K80:L80" si="75">S80/I80</f>
        <v>0.8985037223</v>
      </c>
      <c r="L80" s="177">
        <f t="shared" si="75"/>
        <v>0.5607476636</v>
      </c>
      <c r="M80" s="177">
        <v>14.0</v>
      </c>
      <c r="N80" s="177">
        <v>14.0</v>
      </c>
      <c r="O80" s="181" t="s">
        <v>401</v>
      </c>
      <c r="P80" s="177">
        <v>178.0</v>
      </c>
      <c r="Q80" s="177">
        <v>285.0</v>
      </c>
      <c r="R80" s="177">
        <v>62.5</v>
      </c>
      <c r="S80" s="177">
        <v>2438.0</v>
      </c>
      <c r="T80" s="177">
        <v>12.0</v>
      </c>
      <c r="U80" s="177">
        <v>4.2</v>
      </c>
      <c r="V80" s="177">
        <v>9.0</v>
      </c>
      <c r="W80" s="177">
        <v>3.2</v>
      </c>
      <c r="X80" s="177">
        <v>83.0</v>
      </c>
      <c r="Y80" s="177">
        <v>8.6</v>
      </c>
      <c r="Z80" s="177">
        <v>7.98</v>
      </c>
      <c r="AA80" s="177">
        <v>13.7</v>
      </c>
      <c r="AB80" s="177">
        <v>174.1</v>
      </c>
      <c r="AC80" s="177">
        <v>90.7</v>
      </c>
      <c r="AD80" s="177">
        <v>30.0</v>
      </c>
      <c r="AE80" s="177">
        <v>286.0</v>
      </c>
      <c r="AF80" s="177">
        <v>9.52</v>
      </c>
      <c r="AG80" s="177">
        <v>6.83</v>
      </c>
      <c r="AH80" s="177">
        <v>6.31</v>
      </c>
      <c r="AI80" s="177">
        <v>3.0</v>
      </c>
      <c r="AJ80" s="177">
        <v>3.0</v>
      </c>
      <c r="AK80" s="177">
        <v>15.0</v>
      </c>
      <c r="AL80" s="181" t="s">
        <v>379</v>
      </c>
      <c r="AM80" s="33"/>
      <c r="AN80" s="33"/>
      <c r="AO80" s="33"/>
      <c r="AP80" s="33"/>
      <c r="AQ80" s="33"/>
      <c r="AR80" s="33"/>
      <c r="AS80" s="33"/>
    </row>
    <row r="81" hidden="1" outlineLevel="1">
      <c r="A81" s="175" t="s">
        <v>66</v>
      </c>
      <c r="B81" s="176">
        <v>1963.0</v>
      </c>
      <c r="C81" s="180">
        <f t="array" ref="C81">xlookup(B81,DATA_LEAGUE_AVG!A:A,DATA_LEAGUE_AVG!H:H)</f>
        <v>386.8</v>
      </c>
      <c r="D81" s="177" t="b">
        <f t="shared" si="1"/>
        <v>1</v>
      </c>
      <c r="E81" s="177">
        <v>29.0</v>
      </c>
      <c r="F81" s="181" t="s">
        <v>163</v>
      </c>
      <c r="G81" s="181" t="s">
        <v>369</v>
      </c>
      <c r="H81" s="181" t="s">
        <v>90</v>
      </c>
      <c r="I81" s="180">
        <f t="array" ref="I81">xlookup(B81,DATA_LEAGUE_AVG!A:A,DATA_LEAGUE_AVG!C:C)</f>
        <v>2600.4</v>
      </c>
      <c r="J81" s="180">
        <f t="array" ref="J81">xlookup(B81,DATA_LEAGUE_AVG!A:A,DATA_LEAGUE_AVG!D:D)</f>
        <v>21.6</v>
      </c>
      <c r="K81" s="177">
        <f t="shared" ref="K81:L81" si="76">S81/I81</f>
        <v>0.713351792</v>
      </c>
      <c r="L81" s="177">
        <f t="shared" si="76"/>
        <v>0.6944444444</v>
      </c>
      <c r="M81" s="177">
        <v>13.0</v>
      </c>
      <c r="N81" s="177">
        <v>10.0</v>
      </c>
      <c r="O81" s="182">
        <v>37104.0</v>
      </c>
      <c r="P81" s="177">
        <v>132.0</v>
      </c>
      <c r="Q81" s="177">
        <v>244.0</v>
      </c>
      <c r="R81" s="177">
        <v>54.1</v>
      </c>
      <c r="S81" s="177">
        <v>1855.0</v>
      </c>
      <c r="T81" s="177">
        <v>15.0</v>
      </c>
      <c r="U81" s="177">
        <v>6.1</v>
      </c>
      <c r="V81" s="177">
        <v>10.0</v>
      </c>
      <c r="W81" s="177">
        <v>4.1</v>
      </c>
      <c r="X81" s="177">
        <v>53.0</v>
      </c>
      <c r="Y81" s="177">
        <v>7.6</v>
      </c>
      <c r="Z81" s="177">
        <v>6.99</v>
      </c>
      <c r="AA81" s="177">
        <v>14.1</v>
      </c>
      <c r="AB81" s="177">
        <v>142.7</v>
      </c>
      <c r="AC81" s="177">
        <v>82.3</v>
      </c>
      <c r="AD81" s="177">
        <v>11.0</v>
      </c>
      <c r="AE81" s="177">
        <v>109.0</v>
      </c>
      <c r="AF81" s="177">
        <v>4.31</v>
      </c>
      <c r="AG81" s="177">
        <v>6.85</v>
      </c>
      <c r="AH81" s="177">
        <v>6.26</v>
      </c>
      <c r="AI81" s="177">
        <v>1.0</v>
      </c>
      <c r="AJ81" s="177">
        <v>1.0</v>
      </c>
      <c r="AK81" s="177">
        <v>10.0</v>
      </c>
      <c r="AL81" s="183"/>
      <c r="AM81" s="33"/>
      <c r="AN81" s="33"/>
      <c r="AO81" s="33"/>
      <c r="AP81" s="33"/>
      <c r="AQ81" s="33"/>
      <c r="AR81" s="33"/>
      <c r="AS81" s="33"/>
    </row>
    <row r="82" hidden="1" outlineLevel="1">
      <c r="A82" s="175" t="s">
        <v>66</v>
      </c>
      <c r="B82" s="176">
        <v>1964.0</v>
      </c>
      <c r="C82" s="180">
        <f t="array" ref="C82">xlookup(B82,DATA_LEAGUE_AVG!A:A,DATA_LEAGUE_AVG!H:H)</f>
        <v>388.4</v>
      </c>
      <c r="D82" s="177" t="b">
        <f t="shared" si="1"/>
        <v>1</v>
      </c>
      <c r="E82" s="177">
        <v>30.0</v>
      </c>
      <c r="F82" s="181" t="s">
        <v>163</v>
      </c>
      <c r="G82" s="181" t="s">
        <v>369</v>
      </c>
      <c r="H82" s="181" t="s">
        <v>90</v>
      </c>
      <c r="I82" s="180">
        <f t="array" ref="I82">xlookup(B82,DATA_LEAGUE_AVG!A:A,DATA_LEAGUE_AVG!C:C)</f>
        <v>2431</v>
      </c>
      <c r="J82" s="180">
        <f t="array" ref="J82">xlookup(B82,DATA_LEAGUE_AVG!A:A,DATA_LEAGUE_AVG!D:D)</f>
        <v>19.9</v>
      </c>
      <c r="K82" s="177">
        <f t="shared" ref="K82:L82" si="77">S82/I82</f>
        <v>0.8819415878</v>
      </c>
      <c r="L82" s="177">
        <f t="shared" si="77"/>
        <v>0.7537688442</v>
      </c>
      <c r="M82" s="177">
        <v>14.0</v>
      </c>
      <c r="N82" s="177">
        <v>14.0</v>
      </c>
      <c r="O82" s="182">
        <v>37108.0</v>
      </c>
      <c r="P82" s="177">
        <v>163.0</v>
      </c>
      <c r="Q82" s="177">
        <v>272.0</v>
      </c>
      <c r="R82" s="177">
        <v>59.9</v>
      </c>
      <c r="S82" s="177">
        <v>2144.0</v>
      </c>
      <c r="T82" s="177">
        <v>15.0</v>
      </c>
      <c r="U82" s="177">
        <v>5.5</v>
      </c>
      <c r="V82" s="177">
        <v>4.0</v>
      </c>
      <c r="W82" s="177">
        <v>1.5</v>
      </c>
      <c r="X82" s="177">
        <v>73.0</v>
      </c>
      <c r="Y82" s="177">
        <v>7.9</v>
      </c>
      <c r="Z82" s="177">
        <v>8.32</v>
      </c>
      <c r="AA82" s="177">
        <v>13.2</v>
      </c>
      <c r="AB82" s="177">
        <v>153.1</v>
      </c>
      <c r="AC82" s="177">
        <v>97.1</v>
      </c>
      <c r="AD82" s="177">
        <v>42.0</v>
      </c>
      <c r="AE82" s="177">
        <v>323.0</v>
      </c>
      <c r="AF82" s="177">
        <v>13.38</v>
      </c>
      <c r="AG82" s="177">
        <v>5.8</v>
      </c>
      <c r="AH82" s="177">
        <v>6.18</v>
      </c>
      <c r="AI82" s="177">
        <v>2.0</v>
      </c>
      <c r="AJ82" s="177">
        <v>1.0</v>
      </c>
      <c r="AK82" s="177">
        <v>13.0</v>
      </c>
      <c r="AL82" s="181" t="s">
        <v>402</v>
      </c>
      <c r="AM82" s="33"/>
      <c r="AN82" s="33"/>
      <c r="AO82" s="33"/>
      <c r="AP82" s="33"/>
      <c r="AQ82" s="33"/>
      <c r="AR82" s="33"/>
      <c r="AS82" s="33"/>
    </row>
    <row r="83" hidden="1" outlineLevel="1">
      <c r="A83" s="175" t="s">
        <v>66</v>
      </c>
      <c r="B83" s="176">
        <v>1965.0</v>
      </c>
      <c r="C83" s="180">
        <f t="array" ref="C83">xlookup(B83,DATA_LEAGUE_AVG!A:A,DATA_LEAGUE_AVG!H:H)</f>
        <v>386.2</v>
      </c>
      <c r="D83" s="177" t="b">
        <f t="shared" si="1"/>
        <v>1</v>
      </c>
      <c r="E83" s="177">
        <v>31.0</v>
      </c>
      <c r="F83" s="181" t="s">
        <v>163</v>
      </c>
      <c r="G83" s="181" t="s">
        <v>369</v>
      </c>
      <c r="H83" s="181" t="s">
        <v>90</v>
      </c>
      <c r="I83" s="180">
        <f t="array" ref="I83">xlookup(B83,DATA_LEAGUE_AVG!A:A,DATA_LEAGUE_AVG!C:C)</f>
        <v>2573.4</v>
      </c>
      <c r="J83" s="180">
        <f t="array" ref="J83">xlookup(B83,DATA_LEAGUE_AVG!A:A,DATA_LEAGUE_AVG!D:D)</f>
        <v>21.9</v>
      </c>
      <c r="K83" s="177">
        <f t="shared" ref="K83:L83" si="78">S83/I83</f>
        <v>0.7985544416</v>
      </c>
      <c r="L83" s="177">
        <f t="shared" si="78"/>
        <v>0.7305936073</v>
      </c>
      <c r="M83" s="177">
        <v>14.0</v>
      </c>
      <c r="N83" s="177">
        <v>14.0</v>
      </c>
      <c r="O83" s="182">
        <v>37167.0</v>
      </c>
      <c r="P83" s="177">
        <v>140.0</v>
      </c>
      <c r="Q83" s="177">
        <v>251.0</v>
      </c>
      <c r="R83" s="177">
        <v>55.8</v>
      </c>
      <c r="S83" s="177">
        <v>2055.0</v>
      </c>
      <c r="T83" s="177">
        <v>16.0</v>
      </c>
      <c r="U83" s="177">
        <v>6.4</v>
      </c>
      <c r="V83" s="177">
        <v>9.0</v>
      </c>
      <c r="W83" s="177">
        <v>3.6</v>
      </c>
      <c r="X83" s="177">
        <v>77.0</v>
      </c>
      <c r="Y83" s="177">
        <v>8.2</v>
      </c>
      <c r="Z83" s="177">
        <v>7.85</v>
      </c>
      <c r="AA83" s="177">
        <v>14.7</v>
      </c>
      <c r="AB83" s="177">
        <v>146.8</v>
      </c>
      <c r="AC83" s="177">
        <v>89.0</v>
      </c>
      <c r="AD83" s="177">
        <v>34.0</v>
      </c>
      <c r="AE83" s="177">
        <v>303.0</v>
      </c>
      <c r="AF83" s="177">
        <v>11.93</v>
      </c>
      <c r="AG83" s="177">
        <v>6.15</v>
      </c>
      <c r="AH83" s="177">
        <v>5.85</v>
      </c>
      <c r="AI83" s="177">
        <v>2.0</v>
      </c>
      <c r="AJ83" s="177">
        <v>1.0</v>
      </c>
      <c r="AK83" s="177">
        <v>12.0</v>
      </c>
      <c r="AL83" s="183"/>
      <c r="AM83" s="33"/>
      <c r="AN83" s="33"/>
      <c r="AO83" s="33"/>
      <c r="AP83" s="33"/>
      <c r="AQ83" s="33"/>
      <c r="AR83" s="33"/>
      <c r="AS83" s="33"/>
    </row>
    <row r="84" hidden="1" outlineLevel="1">
      <c r="A84" s="175" t="s">
        <v>66</v>
      </c>
      <c r="B84" s="176">
        <v>1966.0</v>
      </c>
      <c r="C84" s="180">
        <f t="array" ref="C84">xlookup(B84,DATA_LEAGUE_AVG!A:A,DATA_LEAGUE_AVG!H:H)</f>
        <v>407.2</v>
      </c>
      <c r="D84" s="177" t="b">
        <f t="shared" si="1"/>
        <v>1</v>
      </c>
      <c r="E84" s="177">
        <v>32.0</v>
      </c>
      <c r="F84" s="181" t="s">
        <v>163</v>
      </c>
      <c r="G84" s="181" t="s">
        <v>369</v>
      </c>
      <c r="H84" s="181" t="s">
        <v>90</v>
      </c>
      <c r="I84" s="180">
        <f t="array" ref="I84">xlookup(B84,DATA_LEAGUE_AVG!A:A,DATA_LEAGUE_AVG!C:C)</f>
        <v>2495.7</v>
      </c>
      <c r="J84" s="180">
        <f t="array" ref="J84">xlookup(B84,DATA_LEAGUE_AVG!A:A,DATA_LEAGUE_AVG!D:D)</f>
        <v>18.7</v>
      </c>
      <c r="K84" s="177">
        <f t="shared" ref="K84:L84" si="79">S84/I84</f>
        <v>0.9043554914</v>
      </c>
      <c r="L84" s="177">
        <f t="shared" si="79"/>
        <v>0.7486631016</v>
      </c>
      <c r="M84" s="177">
        <v>14.0</v>
      </c>
      <c r="N84" s="177">
        <v>13.0</v>
      </c>
      <c r="O84" s="182">
        <v>36832.0</v>
      </c>
      <c r="P84" s="177">
        <v>156.0</v>
      </c>
      <c r="Q84" s="177">
        <v>251.0</v>
      </c>
      <c r="R84" s="177">
        <v>62.2</v>
      </c>
      <c r="S84" s="177">
        <v>2257.0</v>
      </c>
      <c r="T84" s="177">
        <v>14.0</v>
      </c>
      <c r="U84" s="177">
        <v>5.6</v>
      </c>
      <c r="V84" s="177">
        <v>3.0</v>
      </c>
      <c r="W84" s="177">
        <v>1.2</v>
      </c>
      <c r="X84" s="177">
        <v>83.0</v>
      </c>
      <c r="Y84" s="177">
        <v>9.0</v>
      </c>
      <c r="Z84" s="177">
        <v>9.57</v>
      </c>
      <c r="AA84" s="177">
        <v>14.5</v>
      </c>
      <c r="AB84" s="177">
        <v>161.2</v>
      </c>
      <c r="AC84" s="177">
        <v>105.0</v>
      </c>
      <c r="AD84" s="177">
        <v>26.0</v>
      </c>
      <c r="AE84" s="177">
        <v>183.0</v>
      </c>
      <c r="AF84" s="177">
        <v>9.39</v>
      </c>
      <c r="AG84" s="177">
        <v>7.49</v>
      </c>
      <c r="AH84" s="177">
        <v>8.01</v>
      </c>
      <c r="AI84" s="177">
        <v>1.0</v>
      </c>
      <c r="AJ84" s="177">
        <v>1.0</v>
      </c>
      <c r="AK84" s="177">
        <v>12.0</v>
      </c>
      <c r="AL84" s="181" t="s">
        <v>403</v>
      </c>
      <c r="AM84" s="33"/>
      <c r="AN84" s="33"/>
      <c r="AO84" s="33"/>
      <c r="AP84" s="33"/>
      <c r="AQ84" s="33"/>
      <c r="AR84" s="33"/>
      <c r="AS84" s="33"/>
    </row>
    <row r="85" hidden="1" outlineLevel="1">
      <c r="A85" s="175" t="s">
        <v>66</v>
      </c>
      <c r="B85" s="176">
        <v>1967.0</v>
      </c>
      <c r="C85" s="180">
        <f t="array" ref="C85">xlookup(B85,DATA_LEAGUE_AVG!A:A,DATA_LEAGUE_AVG!H:H)</f>
        <v>403.2</v>
      </c>
      <c r="D85" s="177" t="b">
        <f t="shared" si="1"/>
        <v>1</v>
      </c>
      <c r="E85" s="177">
        <v>33.0</v>
      </c>
      <c r="F85" s="181" t="s">
        <v>163</v>
      </c>
      <c r="G85" s="181" t="s">
        <v>369</v>
      </c>
      <c r="H85" s="181" t="s">
        <v>90</v>
      </c>
      <c r="I85" s="180">
        <f t="array" ref="I85">xlookup(B85,DATA_LEAGUE_AVG!A:A,DATA_LEAGUE_AVG!C:C)</f>
        <v>2513.7</v>
      </c>
      <c r="J85" s="180">
        <f t="array" ref="J85">xlookup(B85,DATA_LEAGUE_AVG!A:A,DATA_LEAGUE_AVG!D:D)</f>
        <v>20.3</v>
      </c>
      <c r="K85" s="177">
        <f t="shared" ref="K85:L85" si="80">S85/I85</f>
        <v>0.7252257628</v>
      </c>
      <c r="L85" s="177">
        <f t="shared" si="80"/>
        <v>0.4433497537</v>
      </c>
      <c r="M85" s="177">
        <v>14.0</v>
      </c>
      <c r="N85" s="177">
        <v>12.0</v>
      </c>
      <c r="O85" s="182">
        <v>37106.0</v>
      </c>
      <c r="P85" s="177">
        <v>115.0</v>
      </c>
      <c r="Q85" s="177">
        <v>210.0</v>
      </c>
      <c r="R85" s="177">
        <v>54.8</v>
      </c>
      <c r="S85" s="177">
        <v>1823.0</v>
      </c>
      <c r="T85" s="177">
        <v>9.0</v>
      </c>
      <c r="U85" s="177">
        <v>4.3</v>
      </c>
      <c r="V85" s="177">
        <v>17.0</v>
      </c>
      <c r="W85" s="177">
        <v>8.1</v>
      </c>
      <c r="X85" s="177">
        <v>84.0</v>
      </c>
      <c r="Y85" s="177">
        <v>8.7</v>
      </c>
      <c r="Z85" s="177">
        <v>5.9</v>
      </c>
      <c r="AA85" s="177">
        <v>15.9</v>
      </c>
      <c r="AB85" s="177">
        <v>130.2</v>
      </c>
      <c r="AC85" s="177">
        <v>64.4</v>
      </c>
      <c r="AD85" s="177">
        <v>34.0</v>
      </c>
      <c r="AE85" s="177">
        <v>322.0</v>
      </c>
      <c r="AF85" s="177">
        <v>13.93</v>
      </c>
      <c r="AG85" s="177">
        <v>6.15</v>
      </c>
      <c r="AH85" s="177">
        <v>3.75</v>
      </c>
      <c r="AI85" s="177">
        <v>1.0</v>
      </c>
      <c r="AJ85" s="177">
        <v>2.0</v>
      </c>
      <c r="AK85" s="177">
        <v>8.0</v>
      </c>
      <c r="AL85" s="183"/>
      <c r="AM85" s="33"/>
      <c r="AN85" s="33"/>
      <c r="AO85" s="33"/>
      <c r="AP85" s="33"/>
      <c r="AQ85" s="33"/>
      <c r="AR85" s="33"/>
      <c r="AS85" s="33"/>
    </row>
    <row r="86" hidden="1" outlineLevel="1">
      <c r="A86" s="175" t="s">
        <v>66</v>
      </c>
      <c r="B86" s="176">
        <v>1970.0</v>
      </c>
      <c r="C86" s="180">
        <f t="array" ref="C86">xlookup(B86,DATA_LEAGUE_AVG!A:A,DATA_LEAGUE_AVG!H:H)</f>
        <v>376.8</v>
      </c>
      <c r="D86" s="177" t="b">
        <f t="shared" si="1"/>
        <v>1</v>
      </c>
      <c r="E86" s="177">
        <v>36.0</v>
      </c>
      <c r="F86" s="181" t="s">
        <v>163</v>
      </c>
      <c r="G86" s="181" t="s">
        <v>369</v>
      </c>
      <c r="H86" s="181" t="s">
        <v>90</v>
      </c>
      <c r="I86" s="180">
        <f t="array" ref="I86">xlookup(B86,DATA_LEAGUE_AVG!A:A,DATA_LEAGUE_AVG!C:C)</f>
        <v>2259.4</v>
      </c>
      <c r="J86" s="180">
        <f t="array" ref="J86">xlookup(B86,DATA_LEAGUE_AVG!A:A,DATA_LEAGUE_AVG!D:D)</f>
        <v>16.4</v>
      </c>
      <c r="K86" s="177">
        <f t="shared" ref="K86:L86" si="81">S86/I86</f>
        <v>0.728069399</v>
      </c>
      <c r="L86" s="177">
        <f t="shared" si="81"/>
        <v>0.487804878</v>
      </c>
      <c r="M86" s="177">
        <v>14.0</v>
      </c>
      <c r="N86" s="177">
        <v>13.0</v>
      </c>
      <c r="O86" s="182">
        <v>36684.0</v>
      </c>
      <c r="P86" s="177">
        <v>140.0</v>
      </c>
      <c r="Q86" s="177">
        <v>255.0</v>
      </c>
      <c r="R86" s="177">
        <v>54.9</v>
      </c>
      <c r="S86" s="177">
        <v>1645.0</v>
      </c>
      <c r="T86" s="177">
        <v>8.0</v>
      </c>
      <c r="U86" s="177">
        <v>3.1</v>
      </c>
      <c r="V86" s="177">
        <v>13.0</v>
      </c>
      <c r="W86" s="177">
        <v>5.1</v>
      </c>
      <c r="X86" s="177">
        <v>65.0</v>
      </c>
      <c r="Y86" s="177">
        <v>6.5</v>
      </c>
      <c r="Z86" s="177">
        <v>4.78</v>
      </c>
      <c r="AA86" s="177">
        <v>11.8</v>
      </c>
      <c r="AB86" s="177">
        <v>117.5</v>
      </c>
      <c r="AC86" s="177">
        <v>63.9</v>
      </c>
      <c r="AD86" s="177">
        <v>29.0</v>
      </c>
      <c r="AE86" s="177">
        <v>252.0</v>
      </c>
      <c r="AF86" s="177">
        <v>10.21</v>
      </c>
      <c r="AG86" s="177">
        <v>4.9</v>
      </c>
      <c r="AH86" s="177">
        <v>3.41</v>
      </c>
      <c r="AI86" s="177">
        <v>2.0</v>
      </c>
      <c r="AJ86" s="177">
        <v>2.0</v>
      </c>
      <c r="AK86" s="177">
        <v>5.0</v>
      </c>
      <c r="AL86" s="183"/>
      <c r="AM86" s="33"/>
      <c r="AN86" s="33"/>
      <c r="AO86" s="33"/>
      <c r="AP86" s="33"/>
      <c r="AQ86" s="33"/>
      <c r="AR86" s="33"/>
      <c r="AS86" s="33"/>
    </row>
    <row r="87" collapsed="1">
      <c r="A87" s="184" t="s">
        <v>54</v>
      </c>
      <c r="B87" s="176" t="s">
        <v>348</v>
      </c>
      <c r="C87" s="177" t="str">
        <f t="array" ref="C87">xlookup(B87,DATA_LEAGUE_AVG!A:A,DATA_LEAGUE_AVG!H:H)</f>
        <v>#N/A</v>
      </c>
      <c r="D87" s="177" t="str">
        <f t="shared" si="1"/>
        <v>#N/A</v>
      </c>
      <c r="E87" s="176" t="s">
        <v>351</v>
      </c>
      <c r="F87" s="176" t="s">
        <v>352</v>
      </c>
      <c r="G87" s="176" t="s">
        <v>353</v>
      </c>
      <c r="H87" s="176" t="s">
        <v>354</v>
      </c>
      <c r="I87" s="178" t="s">
        <v>355</v>
      </c>
      <c r="J87" s="178" t="s">
        <v>356</v>
      </c>
      <c r="K87" s="178" t="s">
        <v>272</v>
      </c>
      <c r="L87" s="178" t="s">
        <v>357</v>
      </c>
      <c r="M87" s="176" t="s">
        <v>358</v>
      </c>
      <c r="N87" s="176" t="s">
        <v>359</v>
      </c>
      <c r="O87" s="176" t="s">
        <v>360</v>
      </c>
      <c r="P87" s="176" t="s">
        <v>330</v>
      </c>
      <c r="Q87" s="176" t="s">
        <v>331</v>
      </c>
      <c r="R87" s="176" t="s">
        <v>332</v>
      </c>
      <c r="S87" s="176" t="s">
        <v>326</v>
      </c>
      <c r="T87" s="176" t="s">
        <v>327</v>
      </c>
      <c r="U87" s="176" t="s">
        <v>335</v>
      </c>
      <c r="V87" s="176" t="s">
        <v>336</v>
      </c>
      <c r="W87" s="176" t="s">
        <v>337</v>
      </c>
      <c r="X87" s="176" t="s">
        <v>361</v>
      </c>
      <c r="Y87" s="176" t="s">
        <v>362</v>
      </c>
      <c r="Z87" s="176" t="s">
        <v>363</v>
      </c>
      <c r="AA87" s="176" t="s">
        <v>338</v>
      </c>
      <c r="AB87" s="176" t="s">
        <v>339</v>
      </c>
      <c r="AC87" s="176" t="s">
        <v>340</v>
      </c>
      <c r="AD87" s="176" t="s">
        <v>341</v>
      </c>
      <c r="AE87" s="176" t="s">
        <v>342</v>
      </c>
      <c r="AF87" s="176" t="s">
        <v>404</v>
      </c>
      <c r="AG87" s="176" t="s">
        <v>343</v>
      </c>
      <c r="AH87" s="176" t="s">
        <v>326</v>
      </c>
      <c r="AI87" s="176" t="s">
        <v>345</v>
      </c>
      <c r="AJ87" s="176" t="s">
        <v>346</v>
      </c>
      <c r="AK87" s="176" t="s">
        <v>347</v>
      </c>
      <c r="AL87" s="176" t="s">
        <v>364</v>
      </c>
      <c r="AM87" s="176" t="s">
        <v>365</v>
      </c>
      <c r="AN87" s="176" t="s">
        <v>366</v>
      </c>
      <c r="AO87" s="176" t="s">
        <v>367</v>
      </c>
      <c r="AP87" s="33"/>
      <c r="AQ87" s="33"/>
      <c r="AR87" s="33"/>
      <c r="AS87" s="33"/>
    </row>
    <row r="88" hidden="1" outlineLevel="1">
      <c r="A88" s="184" t="s">
        <v>54</v>
      </c>
      <c r="B88" s="176">
        <v>2008.0</v>
      </c>
      <c r="C88" s="180">
        <f t="array" ref="C88">xlookup(B88,DATA_LEAGUE_AVG!A:A,DATA_LEAGUE_AVG!H:H)</f>
        <v>516.4</v>
      </c>
      <c r="D88" s="177" t="b">
        <f t="shared" si="1"/>
        <v>1</v>
      </c>
      <c r="E88" s="177">
        <v>25.0</v>
      </c>
      <c r="F88" s="181" t="s">
        <v>163</v>
      </c>
      <c r="G88" s="181" t="s">
        <v>369</v>
      </c>
      <c r="H88" s="181" t="s">
        <v>90</v>
      </c>
      <c r="I88" s="180">
        <f t="array" ref="I88">xlookup(B88,DATA_LEAGUE_AVG!A:A,DATA_LEAGUE_AVG!C:C)</f>
        <v>3380.5</v>
      </c>
      <c r="J88" s="180">
        <f t="array" ref="J88">xlookup(B88,DATA_LEAGUE_AVG!A:A,DATA_LEAGUE_AVG!D:D)</f>
        <v>20.2</v>
      </c>
      <c r="K88" s="177">
        <f t="shared" ref="K88:L88" si="82">S88/I88</f>
        <v>1.194497855</v>
      </c>
      <c r="L88" s="177">
        <f t="shared" si="82"/>
        <v>1.386138614</v>
      </c>
      <c r="M88" s="177">
        <v>16.0</v>
      </c>
      <c r="N88" s="177">
        <v>16.0</v>
      </c>
      <c r="O88" s="182">
        <v>36687.0</v>
      </c>
      <c r="P88" s="177">
        <v>341.0</v>
      </c>
      <c r="Q88" s="177">
        <v>536.0</v>
      </c>
      <c r="R88" s="177">
        <v>63.6</v>
      </c>
      <c r="S88" s="177">
        <v>4038.0</v>
      </c>
      <c r="T88" s="177">
        <v>28.0</v>
      </c>
      <c r="U88" s="177">
        <v>5.2</v>
      </c>
      <c r="V88" s="177">
        <v>13.0</v>
      </c>
      <c r="W88" s="177">
        <v>2.4</v>
      </c>
      <c r="X88" s="177">
        <v>184.0</v>
      </c>
      <c r="Y88" s="177">
        <v>45.8</v>
      </c>
      <c r="Z88" s="177">
        <v>71.0</v>
      </c>
      <c r="AA88" s="177">
        <v>7.5</v>
      </c>
      <c r="AB88" s="177">
        <v>7.49</v>
      </c>
      <c r="AC88" s="177">
        <v>11.8</v>
      </c>
      <c r="AD88" s="177">
        <v>252.4</v>
      </c>
      <c r="AE88" s="177">
        <v>93.8</v>
      </c>
      <c r="AF88" s="177">
        <v>62.9</v>
      </c>
      <c r="AG88" s="177">
        <v>34.0</v>
      </c>
      <c r="AH88" s="177">
        <v>231.0</v>
      </c>
      <c r="AI88" s="177">
        <v>5.96</v>
      </c>
      <c r="AJ88" s="177">
        <v>6.68</v>
      </c>
      <c r="AK88" s="177">
        <v>6.64</v>
      </c>
      <c r="AL88" s="177">
        <v>1.0</v>
      </c>
      <c r="AM88" s="177">
        <v>2.0</v>
      </c>
      <c r="AN88" s="177">
        <v>15.0</v>
      </c>
      <c r="AO88" s="183"/>
      <c r="AP88" s="33"/>
      <c r="AQ88" s="33"/>
      <c r="AR88" s="33"/>
      <c r="AS88" s="33"/>
    </row>
    <row r="89" hidden="1" outlineLevel="1">
      <c r="A89" s="184" t="s">
        <v>54</v>
      </c>
      <c r="B89" s="176">
        <v>2009.0</v>
      </c>
      <c r="C89" s="180">
        <f t="array" ref="C89">xlookup(B89,DATA_LEAGUE_AVG!A:A,DATA_LEAGUE_AVG!H:H)</f>
        <v>532.3</v>
      </c>
      <c r="D89" s="177" t="b">
        <f t="shared" si="1"/>
        <v>1</v>
      </c>
      <c r="E89" s="177">
        <v>26.0</v>
      </c>
      <c r="F89" s="181" t="s">
        <v>163</v>
      </c>
      <c r="G89" s="181" t="s">
        <v>369</v>
      </c>
      <c r="H89" s="181" t="s">
        <v>90</v>
      </c>
      <c r="I89" s="180">
        <f t="array" ref="I89">xlookup(B89,DATA_LEAGUE_AVG!A:A,DATA_LEAGUE_AVG!C:C)</f>
        <v>3495.3</v>
      </c>
      <c r="J89" s="180">
        <f t="array" ref="J89">xlookup(B89,DATA_LEAGUE_AVG!A:A,DATA_LEAGUE_AVG!D:D)</f>
        <v>22.2</v>
      </c>
      <c r="K89" s="177">
        <f t="shared" ref="K89:L89" si="83">S89/I89</f>
        <v>1.268560639</v>
      </c>
      <c r="L89" s="177">
        <f t="shared" si="83"/>
        <v>1.351351351</v>
      </c>
      <c r="M89" s="177">
        <v>16.0</v>
      </c>
      <c r="N89" s="177">
        <v>16.0</v>
      </c>
      <c r="O89" s="182">
        <v>36835.0</v>
      </c>
      <c r="P89" s="177">
        <v>350.0</v>
      </c>
      <c r="Q89" s="177">
        <v>541.0</v>
      </c>
      <c r="R89" s="177">
        <v>64.7</v>
      </c>
      <c r="S89" s="177">
        <v>4434.0</v>
      </c>
      <c r="T89" s="177">
        <v>30.0</v>
      </c>
      <c r="U89" s="177">
        <v>5.5</v>
      </c>
      <c r="V89" s="177">
        <v>7.0</v>
      </c>
      <c r="W89" s="177">
        <v>1.3</v>
      </c>
      <c r="X89" s="177">
        <v>198.0</v>
      </c>
      <c r="Y89" s="177">
        <v>47.4</v>
      </c>
      <c r="Z89" s="177">
        <v>83.0</v>
      </c>
      <c r="AA89" s="177">
        <v>8.2</v>
      </c>
      <c r="AB89" s="177">
        <v>8.72</v>
      </c>
      <c r="AC89" s="177">
        <v>12.7</v>
      </c>
      <c r="AD89" s="177">
        <v>277.1</v>
      </c>
      <c r="AE89" s="177">
        <v>103.2</v>
      </c>
      <c r="AF89" s="177">
        <v>69.1</v>
      </c>
      <c r="AG89" s="177">
        <v>50.0</v>
      </c>
      <c r="AH89" s="177">
        <v>306.0</v>
      </c>
      <c r="AI89" s="177">
        <v>8.46</v>
      </c>
      <c r="AJ89" s="177">
        <v>6.98</v>
      </c>
      <c r="AK89" s="177">
        <v>7.47</v>
      </c>
      <c r="AL89" s="177">
        <v>2.0</v>
      </c>
      <c r="AM89" s="177">
        <v>2.0</v>
      </c>
      <c r="AN89" s="177">
        <v>19.0</v>
      </c>
      <c r="AO89" s="181" t="s">
        <v>380</v>
      </c>
      <c r="AP89" s="33"/>
      <c r="AQ89" s="33"/>
      <c r="AR89" s="33"/>
      <c r="AS89" s="33"/>
    </row>
    <row r="90" hidden="1" outlineLevel="1">
      <c r="A90" s="184" t="s">
        <v>54</v>
      </c>
      <c r="B90" s="176">
        <v>2010.0</v>
      </c>
      <c r="C90" s="180">
        <f t="array" ref="C90">xlookup(B90,DATA_LEAGUE_AVG!A:A,DATA_LEAGUE_AVG!H:H)</f>
        <v>539.7</v>
      </c>
      <c r="D90" s="177" t="b">
        <f t="shared" si="1"/>
        <v>1</v>
      </c>
      <c r="E90" s="177">
        <v>27.0</v>
      </c>
      <c r="F90" s="181" t="s">
        <v>163</v>
      </c>
      <c r="G90" s="181" t="s">
        <v>369</v>
      </c>
      <c r="H90" s="181" t="s">
        <v>90</v>
      </c>
      <c r="I90" s="180">
        <f t="array" ref="I90">xlookup(B90,DATA_LEAGUE_AVG!A:A,DATA_LEAGUE_AVG!C:C)</f>
        <v>3544.8</v>
      </c>
      <c r="J90" s="180">
        <f t="array" ref="J90">xlookup(B90,DATA_LEAGUE_AVG!A:A,DATA_LEAGUE_AVG!D:D)</f>
        <v>23.5</v>
      </c>
      <c r="K90" s="177">
        <f t="shared" ref="K90:L90" si="84">S90/I90</f>
        <v>1.106409388</v>
      </c>
      <c r="L90" s="177">
        <f t="shared" si="84"/>
        <v>1.191489362</v>
      </c>
      <c r="M90" s="177">
        <v>15.0</v>
      </c>
      <c r="N90" s="177">
        <v>15.0</v>
      </c>
      <c r="O90" s="182">
        <v>36804.0</v>
      </c>
      <c r="P90" s="177">
        <v>312.0</v>
      </c>
      <c r="Q90" s="177">
        <v>475.0</v>
      </c>
      <c r="R90" s="177">
        <v>65.7</v>
      </c>
      <c r="S90" s="177">
        <v>3922.0</v>
      </c>
      <c r="T90" s="177">
        <v>28.0</v>
      </c>
      <c r="U90" s="177">
        <v>5.9</v>
      </c>
      <c r="V90" s="177">
        <v>11.0</v>
      </c>
      <c r="W90" s="177">
        <v>2.3</v>
      </c>
      <c r="X90" s="177">
        <v>183.0</v>
      </c>
      <c r="Y90" s="177">
        <v>51.4</v>
      </c>
      <c r="Z90" s="177">
        <v>86.0</v>
      </c>
      <c r="AA90" s="177">
        <v>8.3</v>
      </c>
      <c r="AB90" s="177">
        <v>8.39</v>
      </c>
      <c r="AC90" s="177">
        <v>12.6</v>
      </c>
      <c r="AD90" s="177">
        <v>261.5</v>
      </c>
      <c r="AE90" s="177">
        <v>101.2</v>
      </c>
      <c r="AF90" s="177">
        <v>69.6</v>
      </c>
      <c r="AG90" s="177">
        <v>31.0</v>
      </c>
      <c r="AH90" s="177">
        <v>193.0</v>
      </c>
      <c r="AI90" s="177">
        <v>6.13</v>
      </c>
      <c r="AJ90" s="177">
        <v>7.37</v>
      </c>
      <c r="AK90" s="177">
        <v>7.5</v>
      </c>
      <c r="AL90" s="177">
        <v>0.0</v>
      </c>
      <c r="AM90" s="177">
        <v>1.0</v>
      </c>
      <c r="AN90" s="177">
        <v>15.0</v>
      </c>
      <c r="AO90" s="181" t="s">
        <v>405</v>
      </c>
      <c r="AP90" s="33"/>
      <c r="AQ90" s="33"/>
      <c r="AR90" s="33"/>
      <c r="AS90" s="33"/>
    </row>
    <row r="91" hidden="1" outlineLevel="1">
      <c r="A91" s="184" t="s">
        <v>54</v>
      </c>
      <c r="B91" s="176">
        <v>2011.0</v>
      </c>
      <c r="C91" s="180">
        <f t="array" ref="C91">xlookup(B91,DATA_LEAGUE_AVG!A:A,DATA_LEAGUE_AVG!H:H)</f>
        <v>544.1</v>
      </c>
      <c r="D91" s="177" t="b">
        <f t="shared" si="1"/>
        <v>1</v>
      </c>
      <c r="E91" s="177">
        <v>28.0</v>
      </c>
      <c r="F91" s="181" t="s">
        <v>163</v>
      </c>
      <c r="G91" s="181" t="s">
        <v>369</v>
      </c>
      <c r="H91" s="181" t="s">
        <v>90</v>
      </c>
      <c r="I91" s="180">
        <f t="array" ref="I91">xlookup(B91,DATA_LEAGUE_AVG!A:A,DATA_LEAGUE_AVG!C:C)</f>
        <v>3675</v>
      </c>
      <c r="J91" s="180">
        <f t="array" ref="J91">xlookup(B91,DATA_LEAGUE_AVG!A:A,DATA_LEAGUE_AVG!D:D)</f>
        <v>23.3</v>
      </c>
      <c r="K91" s="177">
        <f t="shared" ref="K91:L91" si="85">S91/I91</f>
        <v>1.263401361</v>
      </c>
      <c r="L91" s="177">
        <f t="shared" si="85"/>
        <v>1.931330472</v>
      </c>
      <c r="M91" s="177">
        <v>15.0</v>
      </c>
      <c r="N91" s="177">
        <v>15.0</v>
      </c>
      <c r="O91" s="181" t="s">
        <v>378</v>
      </c>
      <c r="P91" s="177">
        <v>343.0</v>
      </c>
      <c r="Q91" s="177">
        <v>502.0</v>
      </c>
      <c r="R91" s="177">
        <v>68.3</v>
      </c>
      <c r="S91" s="177">
        <v>4643.0</v>
      </c>
      <c r="T91" s="177">
        <v>45.0</v>
      </c>
      <c r="U91" s="177">
        <v>9.0</v>
      </c>
      <c r="V91" s="177">
        <v>6.0</v>
      </c>
      <c r="W91" s="177">
        <v>1.2</v>
      </c>
      <c r="X91" s="177">
        <v>209.0</v>
      </c>
      <c r="Y91" s="177">
        <v>53.0</v>
      </c>
      <c r="Z91" s="177">
        <v>93.0</v>
      </c>
      <c r="AA91" s="177">
        <v>9.2</v>
      </c>
      <c r="AB91" s="177">
        <v>10.5</v>
      </c>
      <c r="AC91" s="177">
        <v>13.5</v>
      </c>
      <c r="AD91" s="177">
        <v>309.5</v>
      </c>
      <c r="AE91" s="177">
        <v>122.5</v>
      </c>
      <c r="AF91" s="177">
        <v>83.8</v>
      </c>
      <c r="AG91" s="177">
        <v>36.0</v>
      </c>
      <c r="AH91" s="177">
        <v>219.0</v>
      </c>
      <c r="AI91" s="177">
        <v>6.69</v>
      </c>
      <c r="AJ91" s="177">
        <v>8.22</v>
      </c>
      <c r="AK91" s="177">
        <v>9.39</v>
      </c>
      <c r="AL91" s="177">
        <v>0.0</v>
      </c>
      <c r="AM91" s="177">
        <v>1.0</v>
      </c>
      <c r="AN91" s="177">
        <v>23.0</v>
      </c>
      <c r="AO91" s="181" t="s">
        <v>390</v>
      </c>
      <c r="AP91" s="33"/>
      <c r="AQ91" s="33"/>
      <c r="AR91" s="33"/>
      <c r="AS91" s="33"/>
    </row>
    <row r="92" hidden="1" outlineLevel="1">
      <c r="A92" s="184" t="s">
        <v>54</v>
      </c>
      <c r="B92" s="176">
        <v>2012.0</v>
      </c>
      <c r="C92" s="180">
        <f t="array" ref="C92">xlookup(B92,DATA_LEAGUE_AVG!A:A,DATA_LEAGUE_AVG!H:H)</f>
        <v>555.9</v>
      </c>
      <c r="D92" s="177" t="b">
        <f t="shared" si="1"/>
        <v>1</v>
      </c>
      <c r="E92" s="177">
        <v>29.0</v>
      </c>
      <c r="F92" s="181" t="s">
        <v>163</v>
      </c>
      <c r="G92" s="181" t="s">
        <v>369</v>
      </c>
      <c r="H92" s="181" t="s">
        <v>90</v>
      </c>
      <c r="I92" s="180">
        <f t="array" ref="I92">xlookup(B92,DATA_LEAGUE_AVG!A:A,DATA_LEAGUE_AVG!C:C)</f>
        <v>3700.6</v>
      </c>
      <c r="J92" s="180">
        <f t="array" ref="J92">xlookup(B92,DATA_LEAGUE_AVG!A:A,DATA_LEAGUE_AVG!D:D)</f>
        <v>23.7</v>
      </c>
      <c r="K92" s="177">
        <f t="shared" ref="K92:L92" si="86">S92/I92</f>
        <v>1.160622602</v>
      </c>
      <c r="L92" s="177">
        <f t="shared" si="86"/>
        <v>1.64556962</v>
      </c>
      <c r="M92" s="177">
        <v>16.0</v>
      </c>
      <c r="N92" s="177">
        <v>16.0</v>
      </c>
      <c r="O92" s="182">
        <v>36835.0</v>
      </c>
      <c r="P92" s="177">
        <v>371.0</v>
      </c>
      <c r="Q92" s="177">
        <v>552.0</v>
      </c>
      <c r="R92" s="177">
        <v>67.2</v>
      </c>
      <c r="S92" s="177">
        <v>4295.0</v>
      </c>
      <c r="T92" s="177">
        <v>39.0</v>
      </c>
      <c r="U92" s="177">
        <v>7.1</v>
      </c>
      <c r="V92" s="177">
        <v>8.0</v>
      </c>
      <c r="W92" s="177">
        <v>1.4</v>
      </c>
      <c r="X92" s="177">
        <v>215.0</v>
      </c>
      <c r="Y92" s="177">
        <v>49.8</v>
      </c>
      <c r="Z92" s="177">
        <v>73.0</v>
      </c>
      <c r="AA92" s="177">
        <v>7.8</v>
      </c>
      <c r="AB92" s="177">
        <v>8.54</v>
      </c>
      <c r="AC92" s="177">
        <v>11.6</v>
      </c>
      <c r="AD92" s="177">
        <v>268.4</v>
      </c>
      <c r="AE92" s="177">
        <v>108.0</v>
      </c>
      <c r="AF92" s="177">
        <v>71.2</v>
      </c>
      <c r="AG92" s="177">
        <v>51.0</v>
      </c>
      <c r="AH92" s="177">
        <v>293.0</v>
      </c>
      <c r="AI92" s="177">
        <v>8.46</v>
      </c>
      <c r="AJ92" s="177">
        <v>6.64</v>
      </c>
      <c r="AK92" s="177">
        <v>7.33</v>
      </c>
      <c r="AL92" s="177">
        <v>2.0</v>
      </c>
      <c r="AM92" s="177">
        <v>3.0</v>
      </c>
      <c r="AN92" s="177">
        <v>16.0</v>
      </c>
      <c r="AO92" s="181" t="s">
        <v>406</v>
      </c>
      <c r="AP92" s="33"/>
      <c r="AQ92" s="33"/>
      <c r="AR92" s="33"/>
      <c r="AS92" s="33"/>
    </row>
    <row r="93" hidden="1" outlineLevel="1">
      <c r="A93" s="184" t="s">
        <v>54</v>
      </c>
      <c r="B93" s="176">
        <v>2013.0</v>
      </c>
      <c r="C93" s="180">
        <f t="array" ref="C93">xlookup(B93,DATA_LEAGUE_AVG!A:A,DATA_LEAGUE_AVG!H:H)</f>
        <v>566.8</v>
      </c>
      <c r="D93" s="177" t="b">
        <f t="shared" si="1"/>
        <v>1</v>
      </c>
      <c r="E93" s="177">
        <v>30.0</v>
      </c>
      <c r="F93" s="181" t="s">
        <v>163</v>
      </c>
      <c r="G93" s="181" t="s">
        <v>369</v>
      </c>
      <c r="H93" s="181" t="s">
        <v>90</v>
      </c>
      <c r="I93" s="180">
        <f t="array" ref="I93">xlookup(B93,DATA_LEAGUE_AVG!A:A,DATA_LEAGUE_AVG!C:C)</f>
        <v>3769.6</v>
      </c>
      <c r="J93" s="180">
        <f t="array" ref="J93">xlookup(B93,DATA_LEAGUE_AVG!A:A,DATA_LEAGUE_AVG!D:D)</f>
        <v>25.1</v>
      </c>
      <c r="K93" s="177">
        <f t="shared" ref="K93:L93" si="87">S93/I93</f>
        <v>0.6727504244</v>
      </c>
      <c r="L93" s="177">
        <f t="shared" si="87"/>
        <v>0.6772908367</v>
      </c>
      <c r="M93" s="177">
        <v>9.0</v>
      </c>
      <c r="N93" s="177">
        <v>9.0</v>
      </c>
      <c r="O93" s="182">
        <v>36680.0</v>
      </c>
      <c r="P93" s="177">
        <v>193.0</v>
      </c>
      <c r="Q93" s="177">
        <v>290.0</v>
      </c>
      <c r="R93" s="177">
        <v>66.6</v>
      </c>
      <c r="S93" s="177">
        <v>2536.0</v>
      </c>
      <c r="T93" s="177">
        <v>17.0</v>
      </c>
      <c r="U93" s="177">
        <v>5.9</v>
      </c>
      <c r="V93" s="177">
        <v>6.0</v>
      </c>
      <c r="W93" s="177">
        <v>2.1</v>
      </c>
      <c r="X93" s="177">
        <v>108.0</v>
      </c>
      <c r="Y93" s="177">
        <v>50.2</v>
      </c>
      <c r="Z93" s="177">
        <v>83.0</v>
      </c>
      <c r="AA93" s="177">
        <v>8.7</v>
      </c>
      <c r="AB93" s="177">
        <v>8.99</v>
      </c>
      <c r="AC93" s="177">
        <v>13.1</v>
      </c>
      <c r="AD93" s="177">
        <v>281.8</v>
      </c>
      <c r="AE93" s="177">
        <v>104.9</v>
      </c>
      <c r="AF93" s="177">
        <v>61.6</v>
      </c>
      <c r="AG93" s="177">
        <v>21.0</v>
      </c>
      <c r="AH93" s="177">
        <v>117.0</v>
      </c>
      <c r="AI93" s="177">
        <v>6.75</v>
      </c>
      <c r="AJ93" s="177">
        <v>7.78</v>
      </c>
      <c r="AK93" s="177">
        <v>8.0</v>
      </c>
      <c r="AL93" s="177">
        <v>1.0</v>
      </c>
      <c r="AM93" s="177">
        <v>1.0</v>
      </c>
      <c r="AN93" s="177">
        <v>9.0</v>
      </c>
      <c r="AO93" s="183"/>
      <c r="AP93" s="33"/>
      <c r="AQ93" s="33"/>
      <c r="AR93" s="33"/>
      <c r="AS93" s="33"/>
    </row>
    <row r="94" hidden="1" outlineLevel="1">
      <c r="A94" s="184" t="s">
        <v>54</v>
      </c>
      <c r="B94" s="176">
        <v>2014.0</v>
      </c>
      <c r="C94" s="180">
        <f t="array" ref="C94">xlookup(B94,DATA_LEAGUE_AVG!A:A,DATA_LEAGUE_AVG!H:H)</f>
        <v>558.7</v>
      </c>
      <c r="D94" s="177" t="b">
        <f t="shared" si="1"/>
        <v>1</v>
      </c>
      <c r="E94" s="177">
        <v>31.0</v>
      </c>
      <c r="F94" s="181" t="s">
        <v>163</v>
      </c>
      <c r="G94" s="181" t="s">
        <v>369</v>
      </c>
      <c r="H94" s="181" t="s">
        <v>90</v>
      </c>
      <c r="I94" s="180">
        <f t="array" ref="I94">xlookup(B94,DATA_LEAGUE_AVG!A:A,DATA_LEAGUE_AVG!C:C)</f>
        <v>3789</v>
      </c>
      <c r="J94" s="180">
        <f t="array" ref="J94">xlookup(B94,DATA_LEAGUE_AVG!A:A,DATA_LEAGUE_AVG!D:D)</f>
        <v>25.2</v>
      </c>
      <c r="K94" s="177">
        <f t="shared" ref="K94:L94" si="88">S94/I94</f>
        <v>1.156241752</v>
      </c>
      <c r="L94" s="177">
        <f t="shared" si="88"/>
        <v>1.507936508</v>
      </c>
      <c r="M94" s="177">
        <v>16.0</v>
      </c>
      <c r="N94" s="177">
        <v>16.0</v>
      </c>
      <c r="O94" s="182">
        <v>36864.0</v>
      </c>
      <c r="P94" s="177">
        <v>341.0</v>
      </c>
      <c r="Q94" s="177">
        <v>520.0</v>
      </c>
      <c r="R94" s="177">
        <v>65.6</v>
      </c>
      <c r="S94" s="177">
        <v>4381.0</v>
      </c>
      <c r="T94" s="177">
        <v>38.0</v>
      </c>
      <c r="U94" s="177">
        <v>7.3</v>
      </c>
      <c r="V94" s="177">
        <v>5.0</v>
      </c>
      <c r="W94" s="177">
        <v>1.0</v>
      </c>
      <c r="X94" s="177">
        <v>221.0</v>
      </c>
      <c r="Y94" s="177">
        <v>52.4</v>
      </c>
      <c r="Z94" s="177">
        <v>80.0</v>
      </c>
      <c r="AA94" s="177">
        <v>8.4</v>
      </c>
      <c r="AB94" s="177">
        <v>9.45</v>
      </c>
      <c r="AC94" s="177">
        <v>12.8</v>
      </c>
      <c r="AD94" s="177">
        <v>273.8</v>
      </c>
      <c r="AE94" s="177">
        <v>112.2</v>
      </c>
      <c r="AF94" s="177">
        <v>77.8</v>
      </c>
      <c r="AG94" s="177">
        <v>28.0</v>
      </c>
      <c r="AH94" s="177">
        <v>174.0</v>
      </c>
      <c r="AI94" s="177">
        <v>5.11</v>
      </c>
      <c r="AJ94" s="177">
        <v>7.68</v>
      </c>
      <c r="AK94" s="177">
        <v>8.65</v>
      </c>
      <c r="AL94" s="177">
        <v>1.0</v>
      </c>
      <c r="AM94" s="177">
        <v>1.0</v>
      </c>
      <c r="AN94" s="177">
        <v>22.0</v>
      </c>
      <c r="AO94" s="181" t="s">
        <v>390</v>
      </c>
      <c r="AP94" s="33"/>
      <c r="AQ94" s="33"/>
      <c r="AR94" s="33"/>
      <c r="AS94" s="33"/>
    </row>
    <row r="95" hidden="1" outlineLevel="1">
      <c r="A95" s="184" t="s">
        <v>54</v>
      </c>
      <c r="B95" s="176">
        <v>2015.0</v>
      </c>
      <c r="C95" s="180">
        <f t="array" ref="C95">xlookup(B95,DATA_LEAGUE_AVG!A:A,DATA_LEAGUE_AVG!H:H)</f>
        <v>571.8</v>
      </c>
      <c r="D95" s="177" t="b">
        <f t="shared" si="1"/>
        <v>1</v>
      </c>
      <c r="E95" s="177">
        <v>32.0</v>
      </c>
      <c r="F95" s="181" t="s">
        <v>163</v>
      </c>
      <c r="G95" s="181" t="s">
        <v>369</v>
      </c>
      <c r="H95" s="181" t="s">
        <v>90</v>
      </c>
      <c r="I95" s="180">
        <f t="array" ref="I95">xlookup(B95,DATA_LEAGUE_AVG!A:A,DATA_LEAGUE_AVG!C:C)</f>
        <v>3901.1</v>
      </c>
      <c r="J95" s="180">
        <f t="array" ref="J95">xlookup(B95,DATA_LEAGUE_AVG!A:A,DATA_LEAGUE_AVG!D:D)</f>
        <v>26.3</v>
      </c>
      <c r="K95" s="177">
        <f t="shared" ref="K95:L95" si="89">S95/I95</f>
        <v>0.9794673297</v>
      </c>
      <c r="L95" s="177">
        <f t="shared" si="89"/>
        <v>1.178707224</v>
      </c>
      <c r="M95" s="177">
        <v>16.0</v>
      </c>
      <c r="N95" s="177">
        <v>16.0</v>
      </c>
      <c r="O95" s="182">
        <v>36805.0</v>
      </c>
      <c r="P95" s="177">
        <v>347.0</v>
      </c>
      <c r="Q95" s="177">
        <v>572.0</v>
      </c>
      <c r="R95" s="177">
        <v>60.7</v>
      </c>
      <c r="S95" s="177">
        <v>3821.0</v>
      </c>
      <c r="T95" s="177">
        <v>31.0</v>
      </c>
      <c r="U95" s="177">
        <v>5.4</v>
      </c>
      <c r="V95" s="177">
        <v>8.0</v>
      </c>
      <c r="W95" s="177">
        <v>1.4</v>
      </c>
      <c r="X95" s="177">
        <v>177.0</v>
      </c>
      <c r="Y95" s="177">
        <v>43.0</v>
      </c>
      <c r="Z95" s="177">
        <v>65.0</v>
      </c>
      <c r="AA95" s="177">
        <v>6.7</v>
      </c>
      <c r="AB95" s="177">
        <v>7.13</v>
      </c>
      <c r="AC95" s="177">
        <v>11.0</v>
      </c>
      <c r="AD95" s="177">
        <v>238.8</v>
      </c>
      <c r="AE95" s="177">
        <v>92.7</v>
      </c>
      <c r="AF95" s="177">
        <v>60.0</v>
      </c>
      <c r="AG95" s="177">
        <v>46.0</v>
      </c>
      <c r="AH95" s="177">
        <v>314.0</v>
      </c>
      <c r="AI95" s="177">
        <v>7.44</v>
      </c>
      <c r="AJ95" s="177">
        <v>5.67</v>
      </c>
      <c r="AK95" s="177">
        <v>6.1</v>
      </c>
      <c r="AL95" s="177">
        <v>2.0</v>
      </c>
      <c r="AM95" s="177">
        <v>2.0</v>
      </c>
      <c r="AN95" s="177">
        <v>14.0</v>
      </c>
      <c r="AO95" s="181" t="s">
        <v>380</v>
      </c>
      <c r="AP95" s="33"/>
      <c r="AQ95" s="33"/>
      <c r="AR95" s="33"/>
      <c r="AS95" s="33"/>
    </row>
    <row r="96" hidden="1" outlineLevel="1">
      <c r="A96" s="184" t="s">
        <v>54</v>
      </c>
      <c r="B96" s="176">
        <v>2016.0</v>
      </c>
      <c r="C96" s="180">
        <f t="array" ref="C96">xlookup(B96,DATA_LEAGUE_AVG!A:A,DATA_LEAGUE_AVG!H:H)</f>
        <v>571.7</v>
      </c>
      <c r="D96" s="177" t="b">
        <f t="shared" si="1"/>
        <v>1</v>
      </c>
      <c r="E96" s="177">
        <v>33.0</v>
      </c>
      <c r="F96" s="181" t="s">
        <v>163</v>
      </c>
      <c r="G96" s="181" t="s">
        <v>369</v>
      </c>
      <c r="H96" s="181" t="s">
        <v>90</v>
      </c>
      <c r="I96" s="180">
        <f t="array" ref="I96">xlookup(B96,DATA_LEAGUE_AVG!A:A,DATA_LEAGUE_AVG!C:C)</f>
        <v>3863.7</v>
      </c>
      <c r="J96" s="180">
        <f t="array" ref="J96">xlookup(B96,DATA_LEAGUE_AVG!A:A,DATA_LEAGUE_AVG!D:D)</f>
        <v>24.6</v>
      </c>
      <c r="K96" s="177">
        <f t="shared" ref="K96:L96" si="90">S96/I96</f>
        <v>1.146051712</v>
      </c>
      <c r="L96" s="177">
        <f t="shared" si="90"/>
        <v>1.62601626</v>
      </c>
      <c r="M96" s="177">
        <v>16.0</v>
      </c>
      <c r="N96" s="177">
        <v>16.0</v>
      </c>
      <c r="O96" s="182">
        <v>36805.0</v>
      </c>
      <c r="P96" s="177">
        <v>401.0</v>
      </c>
      <c r="Q96" s="177">
        <v>610.0</v>
      </c>
      <c r="R96" s="177">
        <v>65.7</v>
      </c>
      <c r="S96" s="177">
        <v>4428.0</v>
      </c>
      <c r="T96" s="177">
        <v>40.0</v>
      </c>
      <c r="U96" s="177">
        <v>6.6</v>
      </c>
      <c r="V96" s="177">
        <v>7.0</v>
      </c>
      <c r="W96" s="177">
        <v>1.1</v>
      </c>
      <c r="X96" s="177">
        <v>226.0</v>
      </c>
      <c r="Y96" s="177">
        <v>49.6</v>
      </c>
      <c r="Z96" s="177">
        <v>66.0</v>
      </c>
      <c r="AA96" s="177">
        <v>7.3</v>
      </c>
      <c r="AB96" s="177">
        <v>8.05</v>
      </c>
      <c r="AC96" s="177">
        <v>11.0</v>
      </c>
      <c r="AD96" s="177">
        <v>276.8</v>
      </c>
      <c r="AE96" s="177">
        <v>104.2</v>
      </c>
      <c r="AF96" s="177">
        <v>72.4</v>
      </c>
      <c r="AG96" s="177">
        <v>35.0</v>
      </c>
      <c r="AH96" s="177">
        <v>246.0</v>
      </c>
      <c r="AI96" s="177">
        <v>5.43</v>
      </c>
      <c r="AJ96" s="177">
        <v>6.48</v>
      </c>
      <c r="AK96" s="177">
        <v>7.24</v>
      </c>
      <c r="AL96" s="177">
        <v>0.0</v>
      </c>
      <c r="AM96" s="177">
        <v>2.0</v>
      </c>
      <c r="AN96" s="177">
        <v>18.0</v>
      </c>
      <c r="AO96" s="181" t="s">
        <v>407</v>
      </c>
      <c r="AP96" s="33"/>
      <c r="AQ96" s="33"/>
      <c r="AR96" s="33"/>
      <c r="AS96" s="33"/>
    </row>
    <row r="97" hidden="1" outlineLevel="1">
      <c r="A97" s="184" t="s">
        <v>54</v>
      </c>
      <c r="B97" s="176">
        <v>2018.0</v>
      </c>
      <c r="C97" s="180">
        <f t="array" ref="C97">xlookup(B97,DATA_LEAGUE_AVG!A:A,DATA_LEAGUE_AVG!H:H)</f>
        <v>552.2</v>
      </c>
      <c r="D97" s="177" t="b">
        <f t="shared" si="1"/>
        <v>1</v>
      </c>
      <c r="E97" s="177">
        <v>35.0</v>
      </c>
      <c r="F97" s="181" t="s">
        <v>163</v>
      </c>
      <c r="G97" s="181" t="s">
        <v>369</v>
      </c>
      <c r="H97" s="181" t="s">
        <v>90</v>
      </c>
      <c r="I97" s="180">
        <f t="array" ref="I97">xlookup(B97,DATA_LEAGUE_AVG!A:A,DATA_LEAGUE_AVG!C:C)</f>
        <v>3804.3</v>
      </c>
      <c r="J97" s="180">
        <f t="array" ref="J97">xlookup(B97,DATA_LEAGUE_AVG!A:A,DATA_LEAGUE_AVG!D:D)</f>
        <v>26.5</v>
      </c>
      <c r="K97" s="177">
        <f t="shared" ref="K97:L97" si="91">S97/I97</f>
        <v>1.167626107</v>
      </c>
      <c r="L97" s="177">
        <f t="shared" si="91"/>
        <v>0.9433962264</v>
      </c>
      <c r="M97" s="177">
        <v>16.0</v>
      </c>
      <c r="N97" s="177">
        <v>16.0</v>
      </c>
      <c r="O97" s="182">
        <v>37051.0</v>
      </c>
      <c r="P97" s="177">
        <v>372.0</v>
      </c>
      <c r="Q97" s="177">
        <v>597.0</v>
      </c>
      <c r="R97" s="177">
        <v>62.3</v>
      </c>
      <c r="S97" s="177">
        <v>4442.0</v>
      </c>
      <c r="T97" s="177">
        <v>25.0</v>
      </c>
      <c r="U97" s="177">
        <v>4.2</v>
      </c>
      <c r="V97" s="177">
        <v>2.0</v>
      </c>
      <c r="W97" s="177">
        <v>0.3</v>
      </c>
      <c r="X97" s="177">
        <v>200.0</v>
      </c>
      <c r="Y97" s="177">
        <v>45.8</v>
      </c>
      <c r="Z97" s="177">
        <v>75.0</v>
      </c>
      <c r="AA97" s="177">
        <v>7.4</v>
      </c>
      <c r="AB97" s="177">
        <v>8.13</v>
      </c>
      <c r="AC97" s="177">
        <v>11.9</v>
      </c>
      <c r="AD97" s="177">
        <v>277.6</v>
      </c>
      <c r="AE97" s="177">
        <v>97.6</v>
      </c>
      <c r="AF97" s="177">
        <v>58.0</v>
      </c>
      <c r="AG97" s="177">
        <v>49.0</v>
      </c>
      <c r="AH97" s="177">
        <v>353.0</v>
      </c>
      <c r="AI97" s="177">
        <v>7.59</v>
      </c>
      <c r="AJ97" s="177">
        <v>6.33</v>
      </c>
      <c r="AK97" s="177">
        <v>6.96</v>
      </c>
      <c r="AL97" s="177">
        <v>3.0</v>
      </c>
      <c r="AM97" s="177">
        <v>3.0</v>
      </c>
      <c r="AN97" s="177">
        <v>13.0</v>
      </c>
      <c r="AO97" s="181" t="s">
        <v>380</v>
      </c>
      <c r="AP97" s="33"/>
      <c r="AQ97" s="33"/>
      <c r="AR97" s="33"/>
      <c r="AS97" s="33"/>
    </row>
    <row r="98" hidden="1" outlineLevel="1">
      <c r="A98" s="184" t="s">
        <v>54</v>
      </c>
      <c r="B98" s="176">
        <v>2019.0</v>
      </c>
      <c r="C98" s="180">
        <f t="array" ref="C98">xlookup(B98,DATA_LEAGUE_AVG!A:A,DATA_LEAGUE_AVG!H:H)</f>
        <v>557.9</v>
      </c>
      <c r="D98" s="177" t="b">
        <f t="shared" si="1"/>
        <v>1</v>
      </c>
      <c r="E98" s="177">
        <v>36.0</v>
      </c>
      <c r="F98" s="181" t="s">
        <v>163</v>
      </c>
      <c r="G98" s="181" t="s">
        <v>369</v>
      </c>
      <c r="H98" s="181" t="s">
        <v>90</v>
      </c>
      <c r="I98" s="180">
        <f t="array" ref="I98">xlookup(B98,DATA_LEAGUE_AVG!A:A,DATA_LEAGUE_AVG!C:C)</f>
        <v>3759.4</v>
      </c>
      <c r="J98" s="180">
        <f t="array" ref="J98">xlookup(B98,DATA_LEAGUE_AVG!A:A,DATA_LEAGUE_AVG!D:D)</f>
        <v>24.9</v>
      </c>
      <c r="K98" s="177">
        <f t="shared" ref="K98:L98" si="92">S98/I98</f>
        <v>1.064531574</v>
      </c>
      <c r="L98" s="177">
        <f t="shared" si="92"/>
        <v>1.044176707</v>
      </c>
      <c r="M98" s="177">
        <v>16.0</v>
      </c>
      <c r="N98" s="177">
        <v>16.0</v>
      </c>
      <c r="O98" s="181" t="s">
        <v>372</v>
      </c>
      <c r="P98" s="177">
        <v>353.0</v>
      </c>
      <c r="Q98" s="177">
        <v>569.0</v>
      </c>
      <c r="R98" s="177">
        <v>62.0</v>
      </c>
      <c r="S98" s="177">
        <v>4002.0</v>
      </c>
      <c r="T98" s="177">
        <v>26.0</v>
      </c>
      <c r="U98" s="177">
        <v>4.6</v>
      </c>
      <c r="V98" s="177">
        <v>4.0</v>
      </c>
      <c r="W98" s="177">
        <v>0.7</v>
      </c>
      <c r="X98" s="177">
        <v>189.0</v>
      </c>
      <c r="Y98" s="177">
        <v>44.0</v>
      </c>
      <c r="Z98" s="177">
        <v>74.0</v>
      </c>
      <c r="AA98" s="177">
        <v>7.0</v>
      </c>
      <c r="AB98" s="177">
        <v>7.63</v>
      </c>
      <c r="AC98" s="177">
        <v>11.3</v>
      </c>
      <c r="AD98" s="177">
        <v>250.1</v>
      </c>
      <c r="AE98" s="177">
        <v>95.4</v>
      </c>
      <c r="AF98" s="177">
        <v>52.5</v>
      </c>
      <c r="AG98" s="177">
        <v>36.0</v>
      </c>
      <c r="AH98" s="177">
        <v>284.0</v>
      </c>
      <c r="AI98" s="177">
        <v>5.95</v>
      </c>
      <c r="AJ98" s="177">
        <v>6.15</v>
      </c>
      <c r="AK98" s="177">
        <v>6.71</v>
      </c>
      <c r="AL98" s="177">
        <v>2.0</v>
      </c>
      <c r="AM98" s="177">
        <v>3.0</v>
      </c>
      <c r="AN98" s="177">
        <v>14.0</v>
      </c>
      <c r="AO98" s="181" t="s">
        <v>380</v>
      </c>
      <c r="AP98" s="33"/>
      <c r="AQ98" s="33"/>
      <c r="AR98" s="33"/>
      <c r="AS98" s="33"/>
    </row>
    <row r="99" hidden="1" outlineLevel="1">
      <c r="A99" s="184" t="s">
        <v>54</v>
      </c>
      <c r="B99" s="176">
        <v>2020.0</v>
      </c>
      <c r="C99" s="180">
        <f t="array" ref="C99">xlookup(B99,DATA_LEAGUE_AVG!A:A,DATA_LEAGUE_AVG!H:H)</f>
        <v>563.1</v>
      </c>
      <c r="D99" s="177" t="b">
        <f t="shared" si="1"/>
        <v>1</v>
      </c>
      <c r="E99" s="177">
        <v>37.0</v>
      </c>
      <c r="F99" s="181" t="s">
        <v>163</v>
      </c>
      <c r="G99" s="181" t="s">
        <v>369</v>
      </c>
      <c r="H99" s="181" t="s">
        <v>90</v>
      </c>
      <c r="I99" s="180">
        <f t="array" ref="I99">xlookup(B99,DATA_LEAGUE_AVG!A:A,DATA_LEAGUE_AVG!C:C)</f>
        <v>3842.4</v>
      </c>
      <c r="J99" s="180">
        <f t="array" ref="J99">xlookup(B99,DATA_LEAGUE_AVG!A:A,DATA_LEAGUE_AVG!D:D)</f>
        <v>27.2</v>
      </c>
      <c r="K99" s="177">
        <f t="shared" ref="K99:L99" si="93">S99/I99</f>
        <v>1.11883198</v>
      </c>
      <c r="L99" s="177">
        <f t="shared" si="93"/>
        <v>1.764705882</v>
      </c>
      <c r="M99" s="177">
        <v>16.0</v>
      </c>
      <c r="N99" s="177">
        <v>16.0</v>
      </c>
      <c r="O99" s="181" t="s">
        <v>372</v>
      </c>
      <c r="P99" s="177">
        <v>372.0</v>
      </c>
      <c r="Q99" s="177">
        <v>526.0</v>
      </c>
      <c r="R99" s="177">
        <v>70.7</v>
      </c>
      <c r="S99" s="177">
        <v>4299.0</v>
      </c>
      <c r="T99" s="177">
        <v>48.0</v>
      </c>
      <c r="U99" s="177">
        <v>9.1</v>
      </c>
      <c r="V99" s="177">
        <v>5.0</v>
      </c>
      <c r="W99" s="177">
        <v>1.0</v>
      </c>
      <c r="X99" s="177">
        <v>216.0</v>
      </c>
      <c r="Y99" s="177">
        <v>55.3</v>
      </c>
      <c r="Z99" s="177">
        <v>78.0</v>
      </c>
      <c r="AA99" s="177">
        <v>8.2</v>
      </c>
      <c r="AB99" s="177">
        <v>9.57</v>
      </c>
      <c r="AC99" s="177">
        <v>11.6</v>
      </c>
      <c r="AD99" s="177">
        <v>268.7</v>
      </c>
      <c r="AE99" s="177">
        <v>121.5</v>
      </c>
      <c r="AF99" s="177">
        <v>79.8</v>
      </c>
      <c r="AG99" s="177">
        <v>20.0</v>
      </c>
      <c r="AH99" s="177">
        <v>182.0</v>
      </c>
      <c r="AI99" s="177">
        <v>3.66</v>
      </c>
      <c r="AJ99" s="177">
        <v>7.54</v>
      </c>
      <c r="AK99" s="177">
        <v>8.89</v>
      </c>
      <c r="AL99" s="177">
        <v>1.0</v>
      </c>
      <c r="AM99" s="177">
        <v>2.0</v>
      </c>
      <c r="AN99" s="177">
        <v>18.0</v>
      </c>
      <c r="AO99" s="181" t="s">
        <v>390</v>
      </c>
      <c r="AP99" s="33"/>
      <c r="AQ99" s="33"/>
      <c r="AR99" s="33"/>
      <c r="AS99" s="33"/>
    </row>
    <row r="100" hidden="1" outlineLevel="1">
      <c r="A100" s="184" t="s">
        <v>54</v>
      </c>
      <c r="B100" s="176">
        <v>2021.0</v>
      </c>
      <c r="C100" s="180">
        <f t="array" ref="C100">xlookup(B100,DATA_LEAGUE_AVG!A:A,DATA_LEAGUE_AVG!H:H)</f>
        <v>584.8</v>
      </c>
      <c r="D100" s="177" t="b">
        <f t="shared" si="1"/>
        <v>1</v>
      </c>
      <c r="E100" s="177">
        <v>38.0</v>
      </c>
      <c r="F100" s="181" t="s">
        <v>163</v>
      </c>
      <c r="G100" s="181" t="s">
        <v>369</v>
      </c>
      <c r="H100" s="181" t="s">
        <v>90</v>
      </c>
      <c r="I100" s="180">
        <f t="array" ref="I100">xlookup(B100,DATA_LEAGUE_AVG!A:A,DATA_LEAGUE_AVG!C:C)</f>
        <v>3881.3</v>
      </c>
      <c r="J100" s="180">
        <f t="array" ref="J100">xlookup(B100,DATA_LEAGUE_AVG!A:A,DATA_LEAGUE_AVG!D:D)</f>
        <v>26.3</v>
      </c>
      <c r="K100" s="177">
        <f t="shared" ref="K100:L100" si="94">S100/I100</f>
        <v>1.060211785</v>
      </c>
      <c r="L100" s="177">
        <f t="shared" si="94"/>
        <v>1.406844106</v>
      </c>
      <c r="M100" s="177">
        <v>16.0</v>
      </c>
      <c r="N100" s="177">
        <v>16.0</v>
      </c>
      <c r="O100" s="181" t="s">
        <v>372</v>
      </c>
      <c r="P100" s="177">
        <v>366.0</v>
      </c>
      <c r="Q100" s="177">
        <v>531.0</v>
      </c>
      <c r="R100" s="177">
        <v>68.9</v>
      </c>
      <c r="S100" s="177">
        <v>4115.0</v>
      </c>
      <c r="T100" s="177">
        <v>37.0</v>
      </c>
      <c r="U100" s="177">
        <v>7.0</v>
      </c>
      <c r="V100" s="177">
        <v>4.0</v>
      </c>
      <c r="W100" s="177">
        <v>0.8</v>
      </c>
      <c r="X100" s="177">
        <v>213.0</v>
      </c>
      <c r="Y100" s="177">
        <v>50.6</v>
      </c>
      <c r="Z100" s="177">
        <v>75.0</v>
      </c>
      <c r="AA100" s="177">
        <v>7.7</v>
      </c>
      <c r="AB100" s="177">
        <v>8.8</v>
      </c>
      <c r="AC100" s="177">
        <v>11.2</v>
      </c>
      <c r="AD100" s="177">
        <v>257.2</v>
      </c>
      <c r="AE100" s="177">
        <v>111.9</v>
      </c>
      <c r="AF100" s="177">
        <v>74.1</v>
      </c>
      <c r="AG100" s="177">
        <v>30.0</v>
      </c>
      <c r="AH100" s="177">
        <v>188.0</v>
      </c>
      <c r="AI100" s="177">
        <v>5.35</v>
      </c>
      <c r="AJ100" s="177">
        <v>7.0</v>
      </c>
      <c r="AK100" s="177">
        <v>8.0</v>
      </c>
      <c r="AL100" s="177">
        <v>1.0</v>
      </c>
      <c r="AM100" s="177">
        <v>2.0</v>
      </c>
      <c r="AN100" s="177">
        <v>15.0</v>
      </c>
      <c r="AO100" s="181" t="s">
        <v>408</v>
      </c>
      <c r="AP100" s="33"/>
      <c r="AQ100" s="33"/>
      <c r="AR100" s="33"/>
      <c r="AS100" s="33"/>
    </row>
    <row r="101" hidden="1" outlineLevel="1">
      <c r="A101" s="184" t="s">
        <v>54</v>
      </c>
      <c r="B101" s="176">
        <v>2022.0</v>
      </c>
      <c r="C101" s="180">
        <f t="array" ref="C101">xlookup(B101,DATA_LEAGUE_AVG!A:A,DATA_LEAGUE_AVG!H:H)</f>
        <v>564.7</v>
      </c>
      <c r="D101" s="177" t="b">
        <f t="shared" si="1"/>
        <v>1</v>
      </c>
      <c r="E101" s="177">
        <v>39.0</v>
      </c>
      <c r="F101" s="181" t="s">
        <v>163</v>
      </c>
      <c r="G101" s="181" t="s">
        <v>369</v>
      </c>
      <c r="H101" s="181" t="s">
        <v>90</v>
      </c>
      <c r="I101" s="180">
        <f t="array" ref="I101">xlookup(B101,DATA_LEAGUE_AVG!A:A,DATA_LEAGUE_AVG!C:C)</f>
        <v>3701.2</v>
      </c>
      <c r="J101" s="180">
        <f t="array" ref="J101">xlookup(B101,DATA_LEAGUE_AVG!A:A,DATA_LEAGUE_AVG!D:D)</f>
        <v>23.4</v>
      </c>
      <c r="K101" s="177">
        <f t="shared" ref="K101:L101" si="95">S101/I101</f>
        <v>0.9983248676</v>
      </c>
      <c r="L101" s="177">
        <f t="shared" si="95"/>
        <v>1.111111111</v>
      </c>
      <c r="M101" s="177">
        <v>17.0</v>
      </c>
      <c r="N101" s="177">
        <v>17.0</v>
      </c>
      <c r="O101" s="182">
        <v>36747.0</v>
      </c>
      <c r="P101" s="177">
        <v>350.0</v>
      </c>
      <c r="Q101" s="177">
        <v>542.0</v>
      </c>
      <c r="R101" s="177">
        <v>64.6</v>
      </c>
      <c r="S101" s="177">
        <v>3695.0</v>
      </c>
      <c r="T101" s="177">
        <v>26.0</v>
      </c>
      <c r="U101" s="177">
        <v>4.8</v>
      </c>
      <c r="V101" s="177">
        <v>12.0</v>
      </c>
      <c r="W101" s="177">
        <v>2.2</v>
      </c>
      <c r="X101" s="177">
        <v>177.0</v>
      </c>
      <c r="Y101" s="177">
        <v>45.1</v>
      </c>
      <c r="Z101" s="177">
        <v>58.0</v>
      </c>
      <c r="AA101" s="177">
        <v>6.8</v>
      </c>
      <c r="AB101" s="177">
        <v>6.78</v>
      </c>
      <c r="AC101" s="177">
        <v>10.6</v>
      </c>
      <c r="AD101" s="177">
        <v>217.4</v>
      </c>
      <c r="AE101" s="177">
        <v>91.1</v>
      </c>
      <c r="AF101" s="177">
        <v>41.3</v>
      </c>
      <c r="AG101" s="177">
        <v>32.0</v>
      </c>
      <c r="AH101" s="177">
        <v>258.0</v>
      </c>
      <c r="AI101" s="177">
        <v>5.57</v>
      </c>
      <c r="AJ101" s="177">
        <v>5.99</v>
      </c>
      <c r="AK101" s="177">
        <v>5.95</v>
      </c>
      <c r="AL101" s="177">
        <v>3.0</v>
      </c>
      <c r="AM101" s="177">
        <v>4.0</v>
      </c>
      <c r="AN101" s="177">
        <v>13.0</v>
      </c>
      <c r="AO101" s="183"/>
      <c r="AP101" s="33"/>
      <c r="AQ101" s="33"/>
      <c r="AR101" s="33"/>
      <c r="AS101" s="33"/>
    </row>
    <row r="102" hidden="1" outlineLevel="1">
      <c r="A102" s="184" t="s">
        <v>54</v>
      </c>
      <c r="B102" s="176">
        <v>2024.0</v>
      </c>
      <c r="C102" s="180">
        <f t="array" ref="C102">xlookup(B102,DATA_LEAGUE_AVG!A:A,DATA_LEAGUE_AVG!H:H)</f>
        <v>556.6</v>
      </c>
      <c r="D102" s="177" t="b">
        <f t="shared" si="1"/>
        <v>1</v>
      </c>
      <c r="E102" s="177">
        <v>41.0</v>
      </c>
      <c r="F102" s="181" t="s">
        <v>409</v>
      </c>
      <c r="G102" s="181" t="s">
        <v>369</v>
      </c>
      <c r="H102" s="181" t="s">
        <v>90</v>
      </c>
      <c r="I102" s="180">
        <f t="array" ref="I102">xlookup(B102,DATA_LEAGUE_AVG!A:A,DATA_LEAGUE_AVG!C:C)</f>
        <v>3699.5</v>
      </c>
      <c r="J102" s="180">
        <f t="array" ref="J102">xlookup(B102,DATA_LEAGUE_AVG!A:A,DATA_LEAGUE_AVG!D:D)</f>
        <v>25.3</v>
      </c>
      <c r="K102" s="177">
        <f t="shared" ref="K102:L102" si="96">S102/I102</f>
        <v>1.053385593</v>
      </c>
      <c r="L102" s="177">
        <f t="shared" si="96"/>
        <v>1.106719368</v>
      </c>
      <c r="M102" s="177">
        <v>17.0</v>
      </c>
      <c r="N102" s="177">
        <v>17.0</v>
      </c>
      <c r="O102" s="182">
        <v>36658.0</v>
      </c>
      <c r="P102" s="177">
        <v>368.0</v>
      </c>
      <c r="Q102" s="177">
        <v>584.0</v>
      </c>
      <c r="R102" s="177">
        <v>63.0</v>
      </c>
      <c r="S102" s="177">
        <v>3897.0</v>
      </c>
      <c r="T102" s="177">
        <v>28.0</v>
      </c>
      <c r="U102" s="177">
        <v>4.8</v>
      </c>
      <c r="V102" s="177">
        <v>11.0</v>
      </c>
      <c r="W102" s="177">
        <v>1.9</v>
      </c>
      <c r="X102" s="177">
        <v>192.0</v>
      </c>
      <c r="Y102" s="177">
        <v>43.9</v>
      </c>
      <c r="Z102" s="177">
        <v>71.0</v>
      </c>
      <c r="AA102" s="177">
        <v>6.7</v>
      </c>
      <c r="AB102" s="177">
        <v>6.78</v>
      </c>
      <c r="AC102" s="177">
        <v>10.6</v>
      </c>
      <c r="AD102" s="177">
        <v>229.2</v>
      </c>
      <c r="AE102" s="177">
        <v>90.5</v>
      </c>
      <c r="AF102" s="177">
        <v>44.7</v>
      </c>
      <c r="AG102" s="177">
        <v>40.0</v>
      </c>
      <c r="AH102" s="177">
        <v>302.0</v>
      </c>
      <c r="AI102" s="177">
        <v>6.41</v>
      </c>
      <c r="AJ102" s="177">
        <v>5.76</v>
      </c>
      <c r="AK102" s="177">
        <v>5.87</v>
      </c>
      <c r="AL102" s="177">
        <v>2.0</v>
      </c>
      <c r="AM102" s="177">
        <v>3.0</v>
      </c>
      <c r="AN102" s="177">
        <v>12.0</v>
      </c>
      <c r="AO102" s="181" t="s">
        <v>410</v>
      </c>
      <c r="AP102" s="33"/>
      <c r="AQ102" s="33"/>
      <c r="AR102" s="33"/>
      <c r="AS102" s="33"/>
    </row>
    <row r="103" hidden="1" outlineLevel="1">
      <c r="A103" s="184" t="s">
        <v>54</v>
      </c>
      <c r="B103" s="176">
        <v>2025.0</v>
      </c>
      <c r="C103" s="180">
        <f t="array" ref="C103">xlookup(B103,DATA_LEAGUE_AVG!A:A,DATA_LEAGUE_AVG!H:H)</f>
        <v>545</v>
      </c>
      <c r="D103" s="177" t="b">
        <f t="shared" si="1"/>
        <v>1</v>
      </c>
      <c r="E103" s="177">
        <v>42.0</v>
      </c>
      <c r="F103" s="181" t="s">
        <v>105</v>
      </c>
      <c r="G103" s="181" t="s">
        <v>369</v>
      </c>
      <c r="H103" s="181" t="s">
        <v>90</v>
      </c>
      <c r="I103" s="180">
        <f t="array" ref="I103">xlookup(B103,DATA_LEAGUE_AVG!A:A,DATA_LEAGUE_AVG!C:C)</f>
        <v>3564.9</v>
      </c>
      <c r="J103" s="180">
        <f t="array" ref="J103">xlookup(B103,DATA_LEAGUE_AVG!A:A,DATA_LEAGUE_AVG!D:D)</f>
        <v>25.3</v>
      </c>
      <c r="K103" s="177">
        <f t="shared" ref="K103:L103" si="97">S103/I103</f>
        <v>0.9318634464</v>
      </c>
      <c r="L103" s="177">
        <f t="shared" si="97"/>
        <v>0.9486166008</v>
      </c>
      <c r="M103" s="177">
        <v>16.0</v>
      </c>
      <c r="N103" s="177">
        <v>16.0</v>
      </c>
      <c r="O103" s="182">
        <v>36805.0</v>
      </c>
      <c r="P103" s="177">
        <v>327.0</v>
      </c>
      <c r="Q103" s="177">
        <v>498.0</v>
      </c>
      <c r="R103" s="177">
        <v>65.7</v>
      </c>
      <c r="S103" s="177">
        <v>3322.0</v>
      </c>
      <c r="T103" s="177">
        <v>24.0</v>
      </c>
      <c r="U103" s="177">
        <v>4.8</v>
      </c>
      <c r="V103" s="177">
        <v>7.0</v>
      </c>
      <c r="W103" s="177">
        <v>1.4</v>
      </c>
      <c r="X103" s="177">
        <v>143.0</v>
      </c>
      <c r="Y103" s="177">
        <v>42.9</v>
      </c>
      <c r="Z103" s="177">
        <v>80.0</v>
      </c>
      <c r="AA103" s="177">
        <v>6.7</v>
      </c>
      <c r="AB103" s="177">
        <v>7.0</v>
      </c>
      <c r="AC103" s="177">
        <v>10.2</v>
      </c>
      <c r="AD103" s="177">
        <v>207.6</v>
      </c>
      <c r="AE103" s="177">
        <v>94.8</v>
      </c>
      <c r="AF103" s="177">
        <v>44.3</v>
      </c>
      <c r="AG103" s="177">
        <v>29.0</v>
      </c>
      <c r="AH103" s="177">
        <v>180.0</v>
      </c>
      <c r="AI103" s="177">
        <v>5.5</v>
      </c>
      <c r="AJ103" s="177">
        <v>5.96</v>
      </c>
      <c r="AK103" s="177">
        <v>6.28</v>
      </c>
      <c r="AL103" s="177">
        <v>2.0</v>
      </c>
      <c r="AM103" s="177">
        <v>3.0</v>
      </c>
      <c r="AN103" s="177">
        <v>12.0</v>
      </c>
      <c r="AO103" s="183"/>
      <c r="AP103" s="33"/>
      <c r="AQ103" s="33"/>
      <c r="AR103" s="33"/>
      <c r="AS103" s="33"/>
    </row>
    <row r="104" collapsed="1">
      <c r="A104" s="184" t="s">
        <v>62</v>
      </c>
      <c r="B104" s="176" t="s">
        <v>348</v>
      </c>
      <c r="C104" s="177" t="str">
        <f t="array" ref="C104">xlookup(B104,DATA_LEAGUE_AVG!A:A,DATA_LEAGUE_AVG!H:H)</f>
        <v>#N/A</v>
      </c>
      <c r="D104" s="177" t="str">
        <f t="shared" si="1"/>
        <v>#N/A</v>
      </c>
      <c r="E104" s="176" t="s">
        <v>351</v>
      </c>
      <c r="F104" s="176" t="s">
        <v>352</v>
      </c>
      <c r="G104" s="176" t="s">
        <v>353</v>
      </c>
      <c r="H104" s="176" t="s">
        <v>354</v>
      </c>
      <c r="I104" s="178" t="s">
        <v>355</v>
      </c>
      <c r="J104" s="178" t="s">
        <v>356</v>
      </c>
      <c r="K104" s="178" t="s">
        <v>272</v>
      </c>
      <c r="L104" s="178" t="s">
        <v>357</v>
      </c>
      <c r="M104" s="176" t="s">
        <v>358</v>
      </c>
      <c r="N104" s="176" t="s">
        <v>359</v>
      </c>
      <c r="O104" s="176" t="s">
        <v>360</v>
      </c>
      <c r="P104" s="176" t="s">
        <v>330</v>
      </c>
      <c r="Q104" s="176" t="s">
        <v>331</v>
      </c>
      <c r="R104" s="176" t="s">
        <v>332</v>
      </c>
      <c r="S104" s="176" t="s">
        <v>326</v>
      </c>
      <c r="T104" s="176" t="s">
        <v>327</v>
      </c>
      <c r="U104" s="176" t="s">
        <v>335</v>
      </c>
      <c r="V104" s="176" t="s">
        <v>336</v>
      </c>
      <c r="W104" s="176" t="s">
        <v>337</v>
      </c>
      <c r="X104" s="176" t="s">
        <v>363</v>
      </c>
      <c r="Y104" s="176" t="s">
        <v>338</v>
      </c>
      <c r="Z104" s="176" t="s">
        <v>339</v>
      </c>
      <c r="AA104" s="176" t="s">
        <v>340</v>
      </c>
      <c r="AB104" s="176" t="s">
        <v>341</v>
      </c>
      <c r="AC104" s="176" t="s">
        <v>342</v>
      </c>
      <c r="AD104" s="176" t="s">
        <v>343</v>
      </c>
      <c r="AE104" s="176" t="s">
        <v>326</v>
      </c>
      <c r="AF104" s="176" t="s">
        <v>345</v>
      </c>
      <c r="AG104" s="176" t="s">
        <v>346</v>
      </c>
      <c r="AH104" s="176" t="s">
        <v>347</v>
      </c>
      <c r="AI104" s="176" t="s">
        <v>364</v>
      </c>
      <c r="AJ104" s="176" t="s">
        <v>365</v>
      </c>
      <c r="AK104" s="176" t="s">
        <v>366</v>
      </c>
      <c r="AL104" s="176" t="s">
        <v>367</v>
      </c>
      <c r="AM104" s="33"/>
      <c r="AN104" s="33"/>
      <c r="AO104" s="33"/>
      <c r="AP104" s="33"/>
      <c r="AQ104" s="33"/>
      <c r="AR104" s="33"/>
      <c r="AS104" s="33"/>
    </row>
    <row r="105" hidden="1" outlineLevel="1">
      <c r="A105" s="184" t="s">
        <v>62</v>
      </c>
      <c r="B105" s="176">
        <v>1956.0</v>
      </c>
      <c r="C105" s="180">
        <f t="array" ref="C105">xlookup(B105,DATA_LEAGUE_AVG!A:A,DATA_LEAGUE_AVG!H:H)</f>
        <v>273.5</v>
      </c>
      <c r="D105" s="177" t="b">
        <f t="shared" si="1"/>
        <v>1</v>
      </c>
      <c r="E105" s="177">
        <v>23.0</v>
      </c>
      <c r="F105" s="181" t="s">
        <v>132</v>
      </c>
      <c r="G105" s="181" t="s">
        <v>369</v>
      </c>
      <c r="H105" s="181" t="s">
        <v>90</v>
      </c>
      <c r="I105" s="180">
        <f t="array" ref="I105">xlookup(B105,DATA_LEAGUE_AVG!A:A,DATA_LEAGUE_AVG!C:C)</f>
        <v>1770.9</v>
      </c>
      <c r="J105" s="180">
        <f t="array" ref="J105">xlookup(B105,DATA_LEAGUE_AVG!A:A,DATA_LEAGUE_AVG!D:D)</f>
        <v>13.5</v>
      </c>
      <c r="K105" s="177">
        <f t="shared" ref="K105:L105" si="98">S105/I105</f>
        <v>0.8458975662</v>
      </c>
      <c r="L105" s="177">
        <f t="shared" si="98"/>
        <v>0.6666666667</v>
      </c>
      <c r="M105" s="177">
        <v>12.0</v>
      </c>
      <c r="N105" s="177">
        <v>7.0</v>
      </c>
      <c r="O105" s="182">
        <v>36589.0</v>
      </c>
      <c r="P105" s="177">
        <v>110.0</v>
      </c>
      <c r="Q105" s="177">
        <v>198.0</v>
      </c>
      <c r="R105" s="177">
        <v>55.6</v>
      </c>
      <c r="S105" s="177">
        <v>1498.0</v>
      </c>
      <c r="T105" s="177">
        <v>9.0</v>
      </c>
      <c r="U105" s="177">
        <v>4.5</v>
      </c>
      <c r="V105" s="177">
        <v>10.0</v>
      </c>
      <c r="W105" s="177">
        <v>5.1</v>
      </c>
      <c r="X105" s="177">
        <v>54.0</v>
      </c>
      <c r="Y105" s="177">
        <v>7.6</v>
      </c>
      <c r="Z105" s="177">
        <v>6.2</v>
      </c>
      <c r="AA105" s="177">
        <v>13.6</v>
      </c>
      <c r="AB105" s="177">
        <v>124.8</v>
      </c>
      <c r="AC105" s="177">
        <v>74.0</v>
      </c>
      <c r="AD105" s="183"/>
      <c r="AE105" s="177">
        <v>202.0</v>
      </c>
      <c r="AF105" s="183"/>
      <c r="AG105" s="183"/>
      <c r="AH105" s="183"/>
      <c r="AI105" s="177">
        <v>1.0</v>
      </c>
      <c r="AJ105" s="177">
        <v>3.0</v>
      </c>
      <c r="AK105" s="183"/>
      <c r="AL105" s="183"/>
      <c r="AM105" s="33"/>
      <c r="AN105" s="33"/>
      <c r="AO105" s="33"/>
      <c r="AP105" s="33"/>
      <c r="AQ105" s="33"/>
      <c r="AR105" s="33"/>
      <c r="AS105" s="33"/>
    </row>
    <row r="106" hidden="1" outlineLevel="1">
      <c r="A106" s="184" t="s">
        <v>62</v>
      </c>
      <c r="B106" s="176">
        <v>1957.0</v>
      </c>
      <c r="C106" s="180">
        <f t="array" ref="C106">xlookup(B106,DATA_LEAGUE_AVG!A:A,DATA_LEAGUE_AVG!H:H)</f>
        <v>278.3</v>
      </c>
      <c r="D106" s="177" t="b">
        <f t="shared" si="1"/>
        <v>1</v>
      </c>
      <c r="E106" s="177">
        <v>24.0</v>
      </c>
      <c r="F106" s="181" t="s">
        <v>132</v>
      </c>
      <c r="G106" s="181" t="s">
        <v>369</v>
      </c>
      <c r="H106" s="181" t="s">
        <v>90</v>
      </c>
      <c r="I106" s="180">
        <f t="array" ref="I106">xlookup(B106,DATA_LEAGUE_AVG!A:A,DATA_LEAGUE_AVG!C:C)</f>
        <v>1841</v>
      </c>
      <c r="J106" s="180">
        <f t="array" ref="J106">xlookup(B106,DATA_LEAGUE_AVG!A:A,DATA_LEAGUE_AVG!D:D)</f>
        <v>14.2</v>
      </c>
      <c r="K106" s="177">
        <f t="shared" ref="K106:L106" si="99">S106/I106</f>
        <v>1.385116784</v>
      </c>
      <c r="L106" s="177">
        <f t="shared" si="99"/>
        <v>1.690140845</v>
      </c>
      <c r="M106" s="177">
        <v>12.0</v>
      </c>
      <c r="N106" s="177">
        <v>12.0</v>
      </c>
      <c r="O106" s="182">
        <v>36712.0</v>
      </c>
      <c r="P106" s="177">
        <v>172.0</v>
      </c>
      <c r="Q106" s="177">
        <v>301.0</v>
      </c>
      <c r="R106" s="177">
        <v>57.1</v>
      </c>
      <c r="S106" s="177">
        <v>2550.0</v>
      </c>
      <c r="T106" s="177">
        <v>24.0</v>
      </c>
      <c r="U106" s="177">
        <v>8.0</v>
      </c>
      <c r="V106" s="177">
        <v>17.0</v>
      </c>
      <c r="W106" s="177">
        <v>5.6</v>
      </c>
      <c r="X106" s="177">
        <v>82.0</v>
      </c>
      <c r="Y106" s="177">
        <v>8.5</v>
      </c>
      <c r="Z106" s="177">
        <v>7.52</v>
      </c>
      <c r="AA106" s="177">
        <v>14.8</v>
      </c>
      <c r="AB106" s="177">
        <v>212.5</v>
      </c>
      <c r="AC106" s="177">
        <v>88.0</v>
      </c>
      <c r="AD106" s="183"/>
      <c r="AE106" s="177">
        <v>212.0</v>
      </c>
      <c r="AF106" s="183"/>
      <c r="AG106" s="183"/>
      <c r="AH106" s="183"/>
      <c r="AI106" s="177">
        <v>3.0</v>
      </c>
      <c r="AJ106" s="177">
        <v>3.0</v>
      </c>
      <c r="AK106" s="183"/>
      <c r="AL106" s="181" t="s">
        <v>411</v>
      </c>
      <c r="AM106" s="33"/>
      <c r="AN106" s="33"/>
      <c r="AO106" s="33"/>
      <c r="AP106" s="33"/>
      <c r="AQ106" s="33"/>
      <c r="AR106" s="33"/>
      <c r="AS106" s="33"/>
    </row>
    <row r="107" hidden="1" outlineLevel="1">
      <c r="A107" s="184" t="s">
        <v>62</v>
      </c>
      <c r="B107" s="176">
        <v>1958.0</v>
      </c>
      <c r="C107" s="180">
        <f t="array" ref="C107">xlookup(B107,DATA_LEAGUE_AVG!A:A,DATA_LEAGUE_AVG!H:H)</f>
        <v>329.3</v>
      </c>
      <c r="D107" s="177" t="b">
        <f t="shared" si="1"/>
        <v>1</v>
      </c>
      <c r="E107" s="177">
        <v>25.0</v>
      </c>
      <c r="F107" s="181" t="s">
        <v>132</v>
      </c>
      <c r="G107" s="181" t="s">
        <v>369</v>
      </c>
      <c r="H107" s="181" t="s">
        <v>90</v>
      </c>
      <c r="I107" s="180">
        <f t="array" ref="I107">xlookup(B107,DATA_LEAGUE_AVG!A:A,DATA_LEAGUE_AVG!C:C)</f>
        <v>2164.3</v>
      </c>
      <c r="J107" s="180">
        <f t="array" ref="J107">xlookup(B107,DATA_LEAGUE_AVG!A:A,DATA_LEAGUE_AVG!D:D)</f>
        <v>17.6</v>
      </c>
      <c r="K107" s="177">
        <f t="shared" ref="K107:L107" si="100">S107/I107</f>
        <v>0.9273206117</v>
      </c>
      <c r="L107" s="177">
        <f t="shared" si="100"/>
        <v>1.079545455</v>
      </c>
      <c r="M107" s="177">
        <v>10.0</v>
      </c>
      <c r="N107" s="177">
        <v>9.0</v>
      </c>
      <c r="O107" s="182">
        <v>36739.0</v>
      </c>
      <c r="P107" s="177">
        <v>136.0</v>
      </c>
      <c r="Q107" s="177">
        <v>263.0</v>
      </c>
      <c r="R107" s="177">
        <v>51.7</v>
      </c>
      <c r="S107" s="177">
        <v>2007.0</v>
      </c>
      <c r="T107" s="177">
        <v>19.0</v>
      </c>
      <c r="U107" s="177">
        <v>7.2</v>
      </c>
      <c r="V107" s="177">
        <v>7.0</v>
      </c>
      <c r="W107" s="177">
        <v>2.7</v>
      </c>
      <c r="X107" s="177">
        <v>77.0</v>
      </c>
      <c r="Y107" s="177">
        <v>7.6</v>
      </c>
      <c r="Z107" s="177">
        <v>7.88</v>
      </c>
      <c r="AA107" s="177">
        <v>14.8</v>
      </c>
      <c r="AB107" s="177">
        <v>200.7</v>
      </c>
      <c r="AC107" s="177">
        <v>90.0</v>
      </c>
      <c r="AD107" s="183"/>
      <c r="AE107" s="177">
        <v>120.0</v>
      </c>
      <c r="AF107" s="183"/>
      <c r="AG107" s="183"/>
      <c r="AH107" s="183"/>
      <c r="AI107" s="177">
        <v>3.0</v>
      </c>
      <c r="AJ107" s="177">
        <v>2.0</v>
      </c>
      <c r="AK107" s="183"/>
      <c r="AL107" s="181" t="s">
        <v>412</v>
      </c>
      <c r="AM107" s="33"/>
      <c r="AN107" s="33"/>
      <c r="AO107" s="33"/>
      <c r="AP107" s="33"/>
      <c r="AQ107" s="33"/>
      <c r="AR107" s="33"/>
      <c r="AS107" s="33"/>
    </row>
    <row r="108" hidden="1" outlineLevel="1">
      <c r="A108" s="184" t="s">
        <v>62</v>
      </c>
      <c r="B108" s="176">
        <v>1959.0</v>
      </c>
      <c r="C108" s="180">
        <f t="array" ref="C108">xlookup(B108,DATA_LEAGUE_AVG!A:A,DATA_LEAGUE_AVG!H:H)</f>
        <v>309.5</v>
      </c>
      <c r="D108" s="177" t="b">
        <f t="shared" si="1"/>
        <v>1</v>
      </c>
      <c r="E108" s="177">
        <v>26.0</v>
      </c>
      <c r="F108" s="181" t="s">
        <v>132</v>
      </c>
      <c r="G108" s="181" t="s">
        <v>369</v>
      </c>
      <c r="H108" s="181" t="s">
        <v>90</v>
      </c>
      <c r="I108" s="180">
        <f t="array" ref="I108">xlookup(B108,DATA_LEAGUE_AVG!A:A,DATA_LEAGUE_AVG!C:C)</f>
        <v>2037.7</v>
      </c>
      <c r="J108" s="180">
        <f t="array" ref="J108">xlookup(B108,DATA_LEAGUE_AVG!A:A,DATA_LEAGUE_AVG!D:D)</f>
        <v>16.4</v>
      </c>
      <c r="K108" s="177">
        <f t="shared" ref="K108:L108" si="101">S108/I108</f>
        <v>1.422682436</v>
      </c>
      <c r="L108" s="177">
        <f t="shared" si="101"/>
        <v>1.951219512</v>
      </c>
      <c r="M108" s="177">
        <v>12.0</v>
      </c>
      <c r="N108" s="177">
        <v>12.0</v>
      </c>
      <c r="O108" s="182">
        <v>36772.0</v>
      </c>
      <c r="P108" s="177">
        <v>193.0</v>
      </c>
      <c r="Q108" s="177">
        <v>367.0</v>
      </c>
      <c r="R108" s="177">
        <v>52.6</v>
      </c>
      <c r="S108" s="177">
        <v>2899.0</v>
      </c>
      <c r="T108" s="177">
        <v>32.0</v>
      </c>
      <c r="U108" s="177">
        <v>8.7</v>
      </c>
      <c r="V108" s="177">
        <v>14.0</v>
      </c>
      <c r="W108" s="177">
        <v>3.8</v>
      </c>
      <c r="X108" s="177">
        <v>71.0</v>
      </c>
      <c r="Y108" s="177">
        <v>7.9</v>
      </c>
      <c r="Z108" s="177">
        <v>7.93</v>
      </c>
      <c r="AA108" s="177">
        <v>15.0</v>
      </c>
      <c r="AB108" s="177">
        <v>241.6</v>
      </c>
      <c r="AC108" s="177">
        <v>92.0</v>
      </c>
      <c r="AD108" s="183"/>
      <c r="AE108" s="177">
        <v>185.0</v>
      </c>
      <c r="AF108" s="183"/>
      <c r="AG108" s="183"/>
      <c r="AH108" s="183"/>
      <c r="AI108" s="177">
        <v>2.0</v>
      </c>
      <c r="AJ108" s="177">
        <v>3.0</v>
      </c>
      <c r="AK108" s="183"/>
      <c r="AL108" s="181" t="s">
        <v>403</v>
      </c>
      <c r="AM108" s="33"/>
      <c r="AN108" s="33"/>
      <c r="AO108" s="33"/>
      <c r="AP108" s="33"/>
      <c r="AQ108" s="33"/>
      <c r="AR108" s="33"/>
      <c r="AS108" s="33"/>
    </row>
    <row r="109" hidden="1" outlineLevel="1">
      <c r="A109" s="184" t="s">
        <v>62</v>
      </c>
      <c r="B109" s="176">
        <v>1960.0</v>
      </c>
      <c r="C109" s="180">
        <f t="array" ref="C109">xlookup(B109,DATA_LEAGUE_AVG!A:A,DATA_LEAGUE_AVG!H:H)</f>
        <v>316.5</v>
      </c>
      <c r="D109" s="177" t="b">
        <f t="shared" si="1"/>
        <v>1</v>
      </c>
      <c r="E109" s="177">
        <v>27.0</v>
      </c>
      <c r="F109" s="181" t="s">
        <v>132</v>
      </c>
      <c r="G109" s="181" t="s">
        <v>369</v>
      </c>
      <c r="H109" s="181" t="s">
        <v>90</v>
      </c>
      <c r="I109" s="180">
        <f t="array" ref="I109">xlookup(B109,DATA_LEAGUE_AVG!A:A,DATA_LEAGUE_AVG!C:C)</f>
        <v>2047.5</v>
      </c>
      <c r="J109" s="180">
        <f t="array" ref="J109">xlookup(B109,DATA_LEAGUE_AVG!A:A,DATA_LEAGUE_AVG!D:D)</f>
        <v>17</v>
      </c>
      <c r="K109" s="177">
        <f t="shared" ref="K109:L109" si="102">S109/I109</f>
        <v>1.513553114</v>
      </c>
      <c r="L109" s="177">
        <f t="shared" si="102"/>
        <v>1.470588235</v>
      </c>
      <c r="M109" s="177">
        <v>12.0</v>
      </c>
      <c r="N109" s="177">
        <v>12.0</v>
      </c>
      <c r="O109" s="182">
        <v>36683.0</v>
      </c>
      <c r="P109" s="177">
        <v>190.0</v>
      </c>
      <c r="Q109" s="177">
        <v>378.0</v>
      </c>
      <c r="R109" s="177">
        <v>50.3</v>
      </c>
      <c r="S109" s="177">
        <v>3099.0</v>
      </c>
      <c r="T109" s="177">
        <v>25.0</v>
      </c>
      <c r="U109" s="177">
        <v>6.6</v>
      </c>
      <c r="V109" s="177">
        <v>24.0</v>
      </c>
      <c r="W109" s="177">
        <v>6.3</v>
      </c>
      <c r="X109" s="177">
        <v>80.0</v>
      </c>
      <c r="Y109" s="177">
        <v>8.2</v>
      </c>
      <c r="Z109" s="177">
        <v>6.66</v>
      </c>
      <c r="AA109" s="177">
        <v>16.3</v>
      </c>
      <c r="AB109" s="177">
        <v>258.3</v>
      </c>
      <c r="AC109" s="177">
        <v>73.7</v>
      </c>
      <c r="AD109" s="177">
        <v>18.0</v>
      </c>
      <c r="AE109" s="177">
        <v>190.0</v>
      </c>
      <c r="AF109" s="177">
        <v>4.55</v>
      </c>
      <c r="AG109" s="177">
        <v>7.35</v>
      </c>
      <c r="AH109" s="177">
        <v>5.88</v>
      </c>
      <c r="AI109" s="177">
        <v>1.0</v>
      </c>
      <c r="AJ109" s="177">
        <v>2.0</v>
      </c>
      <c r="AK109" s="177">
        <v>16.0</v>
      </c>
      <c r="AL109" s="181" t="s">
        <v>380</v>
      </c>
      <c r="AM109" s="33"/>
      <c r="AN109" s="33"/>
      <c r="AO109" s="33"/>
      <c r="AP109" s="33"/>
      <c r="AQ109" s="33"/>
      <c r="AR109" s="33"/>
      <c r="AS109" s="33"/>
    </row>
    <row r="110" hidden="1" outlineLevel="1">
      <c r="A110" s="184" t="s">
        <v>62</v>
      </c>
      <c r="B110" s="176">
        <v>1961.0</v>
      </c>
      <c r="C110" s="180">
        <f t="array" ref="C110">xlookup(B110,DATA_LEAGUE_AVG!A:A,DATA_LEAGUE_AVG!H:H)</f>
        <v>378</v>
      </c>
      <c r="D110" s="177" t="b">
        <f t="shared" si="1"/>
        <v>1</v>
      </c>
      <c r="E110" s="177">
        <v>28.0</v>
      </c>
      <c r="F110" s="181" t="s">
        <v>132</v>
      </c>
      <c r="G110" s="181" t="s">
        <v>369</v>
      </c>
      <c r="H110" s="181" t="s">
        <v>90</v>
      </c>
      <c r="I110" s="180">
        <f t="array" ref="I110">xlookup(B110,DATA_LEAGUE_AVG!A:A,DATA_LEAGUE_AVG!C:C)</f>
        <v>2526.6</v>
      </c>
      <c r="J110" s="180">
        <f t="array" ref="J110">xlookup(B110,DATA_LEAGUE_AVG!A:A,DATA_LEAGUE_AVG!D:D)</f>
        <v>20.4</v>
      </c>
      <c r="K110" s="177">
        <f t="shared" ref="K110:L110" si="103">S110/I110</f>
        <v>1.183408533</v>
      </c>
      <c r="L110" s="177">
        <f t="shared" si="103"/>
        <v>0.7843137255</v>
      </c>
      <c r="M110" s="177">
        <v>14.0</v>
      </c>
      <c r="N110" s="177">
        <v>14.0</v>
      </c>
      <c r="O110" s="182">
        <v>36744.0</v>
      </c>
      <c r="P110" s="177">
        <v>229.0</v>
      </c>
      <c r="Q110" s="177">
        <v>420.0</v>
      </c>
      <c r="R110" s="177">
        <v>54.5</v>
      </c>
      <c r="S110" s="177">
        <v>2990.0</v>
      </c>
      <c r="T110" s="177">
        <v>16.0</v>
      </c>
      <c r="U110" s="177">
        <v>3.8</v>
      </c>
      <c r="V110" s="177">
        <v>24.0</v>
      </c>
      <c r="W110" s="177">
        <v>5.7</v>
      </c>
      <c r="X110" s="177">
        <v>72.0</v>
      </c>
      <c r="Y110" s="177">
        <v>7.1</v>
      </c>
      <c r="Z110" s="177">
        <v>5.31</v>
      </c>
      <c r="AA110" s="177">
        <v>13.1</v>
      </c>
      <c r="AB110" s="177">
        <v>213.6</v>
      </c>
      <c r="AC110" s="177">
        <v>66.1</v>
      </c>
      <c r="AD110" s="177">
        <v>28.0</v>
      </c>
      <c r="AE110" s="177">
        <v>204.0</v>
      </c>
      <c r="AF110" s="177">
        <v>6.25</v>
      </c>
      <c r="AG110" s="177">
        <v>6.22</v>
      </c>
      <c r="AH110" s="177">
        <v>4.52</v>
      </c>
      <c r="AI110" s="177">
        <v>3.0</v>
      </c>
      <c r="AJ110" s="177">
        <v>4.0</v>
      </c>
      <c r="AK110" s="177">
        <v>13.0</v>
      </c>
      <c r="AL110" s="181" t="s">
        <v>380</v>
      </c>
      <c r="AM110" s="33"/>
      <c r="AN110" s="33"/>
      <c r="AO110" s="33"/>
      <c r="AP110" s="33"/>
      <c r="AQ110" s="33"/>
      <c r="AR110" s="33"/>
      <c r="AS110" s="33"/>
    </row>
    <row r="111" hidden="1" outlineLevel="1">
      <c r="A111" s="184" t="s">
        <v>62</v>
      </c>
      <c r="B111" s="176">
        <v>1962.0</v>
      </c>
      <c r="C111" s="180">
        <f t="array" ref="C111">xlookup(B111,DATA_LEAGUE_AVG!A:A,DATA_LEAGUE_AVG!H:H)</f>
        <v>382.6</v>
      </c>
      <c r="D111" s="177" t="b">
        <f t="shared" si="1"/>
        <v>1</v>
      </c>
      <c r="E111" s="177">
        <v>29.0</v>
      </c>
      <c r="F111" s="181" t="s">
        <v>132</v>
      </c>
      <c r="G111" s="181" t="s">
        <v>369</v>
      </c>
      <c r="H111" s="181" t="s">
        <v>90</v>
      </c>
      <c r="I111" s="180">
        <f t="array" ref="I111">xlookup(B111,DATA_LEAGUE_AVG!A:A,DATA_LEAGUE_AVG!C:C)</f>
        <v>2713.4</v>
      </c>
      <c r="J111" s="180">
        <f t="array" ref="J111">xlookup(B111,DATA_LEAGUE_AVG!A:A,DATA_LEAGUE_AVG!D:D)</f>
        <v>21.4</v>
      </c>
      <c r="K111" s="177">
        <f t="shared" ref="K111:L111" si="104">S111/I111</f>
        <v>1.093462077</v>
      </c>
      <c r="L111" s="177">
        <f t="shared" si="104"/>
        <v>1.074766355</v>
      </c>
      <c r="M111" s="177">
        <v>14.0</v>
      </c>
      <c r="N111" s="177">
        <v>14.0</v>
      </c>
      <c r="O111" s="182">
        <v>36714.0</v>
      </c>
      <c r="P111" s="177">
        <v>222.0</v>
      </c>
      <c r="Q111" s="177">
        <v>389.0</v>
      </c>
      <c r="R111" s="177">
        <v>57.1</v>
      </c>
      <c r="S111" s="177">
        <v>2967.0</v>
      </c>
      <c r="T111" s="177">
        <v>23.0</v>
      </c>
      <c r="U111" s="177">
        <v>5.9</v>
      </c>
      <c r="V111" s="177">
        <v>23.0</v>
      </c>
      <c r="W111" s="177">
        <v>5.9</v>
      </c>
      <c r="X111" s="177">
        <v>80.0</v>
      </c>
      <c r="Y111" s="177">
        <v>7.6</v>
      </c>
      <c r="Z111" s="177">
        <v>6.15</v>
      </c>
      <c r="AA111" s="177">
        <v>13.4</v>
      </c>
      <c r="AB111" s="177">
        <v>211.9</v>
      </c>
      <c r="AC111" s="177">
        <v>76.5</v>
      </c>
      <c r="AD111" s="177">
        <v>31.0</v>
      </c>
      <c r="AE111" s="177">
        <v>255.0</v>
      </c>
      <c r="AF111" s="177">
        <v>7.38</v>
      </c>
      <c r="AG111" s="177">
        <v>6.46</v>
      </c>
      <c r="AH111" s="177">
        <v>5.09</v>
      </c>
      <c r="AI111" s="177">
        <v>3.0</v>
      </c>
      <c r="AJ111" s="177">
        <v>3.0</v>
      </c>
      <c r="AK111" s="177">
        <v>11.0</v>
      </c>
      <c r="AL111" s="181" t="s">
        <v>380</v>
      </c>
      <c r="AM111" s="33"/>
      <c r="AN111" s="33"/>
      <c r="AO111" s="33"/>
      <c r="AP111" s="33"/>
      <c r="AQ111" s="33"/>
      <c r="AR111" s="33"/>
      <c r="AS111" s="33"/>
    </row>
    <row r="112" hidden="1" outlineLevel="1">
      <c r="A112" s="184" t="s">
        <v>62</v>
      </c>
      <c r="B112" s="176">
        <v>1963.0</v>
      </c>
      <c r="C112" s="180">
        <f t="array" ref="C112">xlookup(B112,DATA_LEAGUE_AVG!A:A,DATA_LEAGUE_AVG!H:H)</f>
        <v>386.8</v>
      </c>
      <c r="D112" s="177" t="b">
        <f t="shared" si="1"/>
        <v>1</v>
      </c>
      <c r="E112" s="177">
        <v>30.0</v>
      </c>
      <c r="F112" s="181" t="s">
        <v>132</v>
      </c>
      <c r="G112" s="181" t="s">
        <v>369</v>
      </c>
      <c r="H112" s="181" t="s">
        <v>90</v>
      </c>
      <c r="I112" s="180">
        <f t="array" ref="I112">xlookup(B112,DATA_LEAGUE_AVG!A:A,DATA_LEAGUE_AVG!C:C)</f>
        <v>2600.4</v>
      </c>
      <c r="J112" s="180">
        <f t="array" ref="J112">xlookup(B112,DATA_LEAGUE_AVG!A:A,DATA_LEAGUE_AVG!D:D)</f>
        <v>21.6</v>
      </c>
      <c r="K112" s="177">
        <f t="shared" ref="K112:L112" si="105">S112/I112</f>
        <v>1.338640209</v>
      </c>
      <c r="L112" s="177">
        <f t="shared" si="105"/>
        <v>0.9259259259</v>
      </c>
      <c r="M112" s="177">
        <v>14.0</v>
      </c>
      <c r="N112" s="177">
        <v>14.0</v>
      </c>
      <c r="O112" s="182">
        <v>36744.0</v>
      </c>
      <c r="P112" s="177">
        <v>237.0</v>
      </c>
      <c r="Q112" s="177">
        <v>410.0</v>
      </c>
      <c r="R112" s="177">
        <v>57.8</v>
      </c>
      <c r="S112" s="177">
        <v>3481.0</v>
      </c>
      <c r="T112" s="177">
        <v>20.0</v>
      </c>
      <c r="U112" s="177">
        <v>4.9</v>
      </c>
      <c r="V112" s="177">
        <v>12.0</v>
      </c>
      <c r="W112" s="177">
        <v>2.9</v>
      </c>
      <c r="X112" s="177">
        <v>64.0</v>
      </c>
      <c r="Y112" s="177">
        <v>8.5</v>
      </c>
      <c r="Z112" s="177">
        <v>8.15</v>
      </c>
      <c r="AA112" s="177">
        <v>14.7</v>
      </c>
      <c r="AB112" s="177">
        <v>248.6</v>
      </c>
      <c r="AC112" s="177">
        <v>89.7</v>
      </c>
      <c r="AD112" s="177">
        <v>42.0</v>
      </c>
      <c r="AE112" s="177">
        <v>298.0</v>
      </c>
      <c r="AF112" s="177">
        <v>9.29</v>
      </c>
      <c r="AG112" s="177">
        <v>7.04</v>
      </c>
      <c r="AH112" s="177">
        <v>6.73</v>
      </c>
      <c r="AI112" s="177">
        <v>3.0</v>
      </c>
      <c r="AJ112" s="177">
        <v>3.0</v>
      </c>
      <c r="AK112" s="177">
        <v>14.0</v>
      </c>
      <c r="AL112" s="181" t="s">
        <v>379</v>
      </c>
      <c r="AM112" s="33"/>
      <c r="AN112" s="33"/>
      <c r="AO112" s="33"/>
      <c r="AP112" s="33"/>
      <c r="AQ112" s="33"/>
      <c r="AR112" s="33"/>
      <c r="AS112" s="33"/>
    </row>
    <row r="113" hidden="1" outlineLevel="1">
      <c r="A113" s="184" t="s">
        <v>62</v>
      </c>
      <c r="B113" s="176">
        <v>1964.0</v>
      </c>
      <c r="C113" s="180">
        <f t="array" ref="C113">xlookup(B113,DATA_LEAGUE_AVG!A:A,DATA_LEAGUE_AVG!H:H)</f>
        <v>388.4</v>
      </c>
      <c r="D113" s="177" t="b">
        <f t="shared" si="1"/>
        <v>1</v>
      </c>
      <c r="E113" s="177">
        <v>31.0</v>
      </c>
      <c r="F113" s="181" t="s">
        <v>132</v>
      </c>
      <c r="G113" s="181" t="s">
        <v>369</v>
      </c>
      <c r="H113" s="181" t="s">
        <v>90</v>
      </c>
      <c r="I113" s="180">
        <f t="array" ref="I113">xlookup(B113,DATA_LEAGUE_AVG!A:A,DATA_LEAGUE_AVG!C:C)</f>
        <v>2431</v>
      </c>
      <c r="J113" s="180">
        <f t="array" ref="J113">xlookup(B113,DATA_LEAGUE_AVG!A:A,DATA_LEAGUE_AVG!D:D)</f>
        <v>19.9</v>
      </c>
      <c r="K113" s="177">
        <f t="shared" ref="K113:L113" si="106">S113/I113</f>
        <v>1.161661868</v>
      </c>
      <c r="L113" s="177">
        <f t="shared" si="106"/>
        <v>0.9547738693</v>
      </c>
      <c r="M113" s="177">
        <v>14.0</v>
      </c>
      <c r="N113" s="177">
        <v>14.0</v>
      </c>
      <c r="O113" s="182">
        <v>36862.0</v>
      </c>
      <c r="P113" s="177">
        <v>158.0</v>
      </c>
      <c r="Q113" s="177">
        <v>305.0</v>
      </c>
      <c r="R113" s="177">
        <v>51.8</v>
      </c>
      <c r="S113" s="177">
        <v>2824.0</v>
      </c>
      <c r="T113" s="177">
        <v>19.0</v>
      </c>
      <c r="U113" s="177">
        <v>6.2</v>
      </c>
      <c r="V113" s="177">
        <v>6.0</v>
      </c>
      <c r="W113" s="177">
        <v>2.0</v>
      </c>
      <c r="X113" s="177">
        <v>74.0</v>
      </c>
      <c r="Y113" s="177">
        <v>9.3</v>
      </c>
      <c r="Z113" s="177">
        <v>9.62</v>
      </c>
      <c r="AA113" s="177">
        <v>17.9</v>
      </c>
      <c r="AB113" s="177">
        <v>201.7</v>
      </c>
      <c r="AC113" s="177">
        <v>96.4</v>
      </c>
      <c r="AD113" s="177">
        <v>37.0</v>
      </c>
      <c r="AE113" s="177">
        <v>254.0</v>
      </c>
      <c r="AF113" s="177">
        <v>10.82</v>
      </c>
      <c r="AG113" s="177">
        <v>7.51</v>
      </c>
      <c r="AH113" s="177">
        <v>7.84</v>
      </c>
      <c r="AI113" s="177">
        <v>2.0</v>
      </c>
      <c r="AJ113" s="177">
        <v>2.0</v>
      </c>
      <c r="AK113" s="177">
        <v>17.0</v>
      </c>
      <c r="AL113" s="181" t="s">
        <v>403</v>
      </c>
      <c r="AM113" s="33"/>
      <c r="AN113" s="33"/>
      <c r="AO113" s="33"/>
      <c r="AP113" s="33"/>
      <c r="AQ113" s="33"/>
      <c r="AR113" s="33"/>
      <c r="AS113" s="33"/>
    </row>
    <row r="114" hidden="1" outlineLevel="1">
      <c r="A114" s="184" t="s">
        <v>62</v>
      </c>
      <c r="B114" s="176">
        <v>1965.0</v>
      </c>
      <c r="C114" s="180">
        <f t="array" ref="C114">xlookup(B114,DATA_LEAGUE_AVG!A:A,DATA_LEAGUE_AVG!H:H)</f>
        <v>386.2</v>
      </c>
      <c r="D114" s="177" t="b">
        <f t="shared" si="1"/>
        <v>1</v>
      </c>
      <c r="E114" s="177">
        <v>32.0</v>
      </c>
      <c r="F114" s="181" t="s">
        <v>132</v>
      </c>
      <c r="G114" s="181" t="s">
        <v>369</v>
      </c>
      <c r="H114" s="181" t="s">
        <v>90</v>
      </c>
      <c r="I114" s="180">
        <f t="array" ref="I114">xlookup(B114,DATA_LEAGUE_AVG!A:A,DATA_LEAGUE_AVG!C:C)</f>
        <v>2573.4</v>
      </c>
      <c r="J114" s="180">
        <f t="array" ref="J114">xlookup(B114,DATA_LEAGUE_AVG!A:A,DATA_LEAGUE_AVG!D:D)</f>
        <v>21.9</v>
      </c>
      <c r="K114" s="177">
        <f t="shared" ref="K114:L114" si="107">S114/I114</f>
        <v>0.9831351519</v>
      </c>
      <c r="L114" s="177">
        <f t="shared" si="107"/>
        <v>1.050228311</v>
      </c>
      <c r="M114" s="177">
        <v>11.0</v>
      </c>
      <c r="N114" s="177">
        <v>11.0</v>
      </c>
      <c r="O114" s="182">
        <v>37105.0</v>
      </c>
      <c r="P114" s="177">
        <v>164.0</v>
      </c>
      <c r="Q114" s="177">
        <v>282.0</v>
      </c>
      <c r="R114" s="177">
        <v>58.2</v>
      </c>
      <c r="S114" s="177">
        <v>2530.0</v>
      </c>
      <c r="T114" s="177">
        <v>23.0</v>
      </c>
      <c r="U114" s="177">
        <v>8.2</v>
      </c>
      <c r="V114" s="177">
        <v>12.0</v>
      </c>
      <c r="W114" s="177">
        <v>4.3</v>
      </c>
      <c r="X114" s="177">
        <v>61.0</v>
      </c>
      <c r="Y114" s="177">
        <v>9.0</v>
      </c>
      <c r="Z114" s="177">
        <v>8.69</v>
      </c>
      <c r="AA114" s="177">
        <v>15.4</v>
      </c>
      <c r="AB114" s="177">
        <v>230.0</v>
      </c>
      <c r="AC114" s="177">
        <v>97.4</v>
      </c>
      <c r="AD114" s="177">
        <v>29.0</v>
      </c>
      <c r="AE114" s="177">
        <v>221.0</v>
      </c>
      <c r="AF114" s="177">
        <v>9.32</v>
      </c>
      <c r="AG114" s="177">
        <v>7.42</v>
      </c>
      <c r="AH114" s="177">
        <v>7.17</v>
      </c>
      <c r="AI114" s="177">
        <v>3.0</v>
      </c>
      <c r="AJ114" s="177">
        <v>2.0</v>
      </c>
      <c r="AK114" s="177">
        <v>14.0</v>
      </c>
      <c r="AL114" s="181" t="s">
        <v>413</v>
      </c>
      <c r="AM114" s="33"/>
      <c r="AN114" s="33"/>
      <c r="AO114" s="33"/>
      <c r="AP114" s="33"/>
      <c r="AQ114" s="33"/>
      <c r="AR114" s="33"/>
      <c r="AS114" s="33"/>
    </row>
    <row r="115" hidden="1" outlineLevel="1">
      <c r="A115" s="184" t="s">
        <v>62</v>
      </c>
      <c r="B115" s="176">
        <v>1966.0</v>
      </c>
      <c r="C115" s="180">
        <f t="array" ref="C115">xlookup(B115,DATA_LEAGUE_AVG!A:A,DATA_LEAGUE_AVG!H:H)</f>
        <v>407.2</v>
      </c>
      <c r="D115" s="177" t="b">
        <f t="shared" si="1"/>
        <v>1</v>
      </c>
      <c r="E115" s="177">
        <v>33.0</v>
      </c>
      <c r="F115" s="181" t="s">
        <v>132</v>
      </c>
      <c r="G115" s="181" t="s">
        <v>369</v>
      </c>
      <c r="H115" s="181" t="s">
        <v>90</v>
      </c>
      <c r="I115" s="180">
        <f t="array" ref="I115">xlookup(B115,DATA_LEAGUE_AVG!A:A,DATA_LEAGUE_AVG!C:C)</f>
        <v>2495.7</v>
      </c>
      <c r="J115" s="180">
        <f t="array" ref="J115">xlookup(B115,DATA_LEAGUE_AVG!A:A,DATA_LEAGUE_AVG!D:D)</f>
        <v>18.7</v>
      </c>
      <c r="K115" s="177">
        <f t="shared" ref="K115:L115" si="108">S115/I115</f>
        <v>1.101093881</v>
      </c>
      <c r="L115" s="177">
        <f t="shared" si="108"/>
        <v>1.176470588</v>
      </c>
      <c r="M115" s="177">
        <v>14.0</v>
      </c>
      <c r="N115" s="177">
        <v>13.0</v>
      </c>
      <c r="O115" s="182">
        <v>36773.0</v>
      </c>
      <c r="P115" s="177">
        <v>195.0</v>
      </c>
      <c r="Q115" s="177">
        <v>348.0</v>
      </c>
      <c r="R115" s="177">
        <v>56.0</v>
      </c>
      <c r="S115" s="177">
        <v>2748.0</v>
      </c>
      <c r="T115" s="177">
        <v>22.0</v>
      </c>
      <c r="U115" s="177">
        <v>6.3</v>
      </c>
      <c r="V115" s="177">
        <v>24.0</v>
      </c>
      <c r="W115" s="177">
        <v>6.9</v>
      </c>
      <c r="X115" s="177">
        <v>89.0</v>
      </c>
      <c r="Y115" s="177">
        <v>7.9</v>
      </c>
      <c r="Z115" s="177">
        <v>6.06</v>
      </c>
      <c r="AA115" s="177">
        <v>14.1</v>
      </c>
      <c r="AB115" s="177">
        <v>196.3</v>
      </c>
      <c r="AC115" s="177">
        <v>74.0</v>
      </c>
      <c r="AD115" s="177">
        <v>21.0</v>
      </c>
      <c r="AE115" s="177">
        <v>146.0</v>
      </c>
      <c r="AF115" s="177">
        <v>5.69</v>
      </c>
      <c r="AG115" s="177">
        <v>7.05</v>
      </c>
      <c r="AH115" s="177">
        <v>5.32</v>
      </c>
      <c r="AI115" s="177">
        <v>1.0</v>
      </c>
      <c r="AJ115" s="177">
        <v>1.0</v>
      </c>
      <c r="AK115" s="177">
        <v>12.0</v>
      </c>
      <c r="AL115" s="181" t="s">
        <v>380</v>
      </c>
      <c r="AM115" s="33"/>
      <c r="AN115" s="33"/>
      <c r="AO115" s="33"/>
      <c r="AP115" s="33"/>
      <c r="AQ115" s="33"/>
      <c r="AR115" s="33"/>
      <c r="AS115" s="33"/>
    </row>
    <row r="116" hidden="1" outlineLevel="1">
      <c r="A116" s="184" t="s">
        <v>62</v>
      </c>
      <c r="B116" s="176">
        <v>1967.0</v>
      </c>
      <c r="C116" s="180">
        <f t="array" ref="C116">xlookup(B116,DATA_LEAGUE_AVG!A:A,DATA_LEAGUE_AVG!H:H)</f>
        <v>403.2</v>
      </c>
      <c r="D116" s="177" t="b">
        <f t="shared" si="1"/>
        <v>1</v>
      </c>
      <c r="E116" s="177">
        <v>34.0</v>
      </c>
      <c r="F116" s="181" t="s">
        <v>132</v>
      </c>
      <c r="G116" s="181" t="s">
        <v>369</v>
      </c>
      <c r="H116" s="181" t="s">
        <v>90</v>
      </c>
      <c r="I116" s="180">
        <f t="array" ref="I116">xlookup(B116,DATA_LEAGUE_AVG!A:A,DATA_LEAGUE_AVG!C:C)</f>
        <v>2513.7</v>
      </c>
      <c r="J116" s="180">
        <f t="array" ref="J116">xlookup(B116,DATA_LEAGUE_AVG!A:A,DATA_LEAGUE_AVG!D:D)</f>
        <v>20.3</v>
      </c>
      <c r="K116" s="177">
        <f t="shared" ref="K116:L116" si="109">S116/I116</f>
        <v>1.363726777</v>
      </c>
      <c r="L116" s="177">
        <f t="shared" si="109"/>
        <v>0.9852216749</v>
      </c>
      <c r="M116" s="177">
        <v>14.0</v>
      </c>
      <c r="N116" s="177">
        <v>14.0</v>
      </c>
      <c r="O116" s="182">
        <v>37561.0</v>
      </c>
      <c r="P116" s="177">
        <v>255.0</v>
      </c>
      <c r="Q116" s="177">
        <v>436.0</v>
      </c>
      <c r="R116" s="177">
        <v>58.5</v>
      </c>
      <c r="S116" s="177">
        <v>3428.0</v>
      </c>
      <c r="T116" s="177">
        <v>20.0</v>
      </c>
      <c r="U116" s="177">
        <v>4.6</v>
      </c>
      <c r="V116" s="177">
        <v>16.0</v>
      </c>
      <c r="W116" s="177">
        <v>3.7</v>
      </c>
      <c r="X116" s="177">
        <v>88.0</v>
      </c>
      <c r="Y116" s="177">
        <v>7.9</v>
      </c>
      <c r="Z116" s="177">
        <v>7.13</v>
      </c>
      <c r="AA116" s="177">
        <v>13.4</v>
      </c>
      <c r="AB116" s="177">
        <v>244.9</v>
      </c>
      <c r="AC116" s="177">
        <v>83.6</v>
      </c>
      <c r="AD116" s="177">
        <v>25.0</v>
      </c>
      <c r="AE116" s="177">
        <v>198.0</v>
      </c>
      <c r="AF116" s="177">
        <v>5.42</v>
      </c>
      <c r="AG116" s="177">
        <v>7.01</v>
      </c>
      <c r="AH116" s="177">
        <v>6.31</v>
      </c>
      <c r="AI116" s="177">
        <v>4.0</v>
      </c>
      <c r="AJ116" s="177">
        <v>3.0</v>
      </c>
      <c r="AK116" s="177">
        <v>19.0</v>
      </c>
      <c r="AL116" s="181" t="s">
        <v>403</v>
      </c>
      <c r="AM116" s="33"/>
      <c r="AN116" s="33"/>
      <c r="AO116" s="33"/>
      <c r="AP116" s="33"/>
      <c r="AQ116" s="33"/>
      <c r="AR116" s="33"/>
      <c r="AS116" s="33"/>
    </row>
    <row r="117" hidden="1" outlineLevel="1">
      <c r="A117" s="184" t="s">
        <v>62</v>
      </c>
      <c r="B117" s="176">
        <v>1969.0</v>
      </c>
      <c r="C117" s="180">
        <f t="array" ref="C117">xlookup(B117,DATA_LEAGUE_AVG!A:A,DATA_LEAGUE_AVG!H:H)</f>
        <v>396.6</v>
      </c>
      <c r="D117" s="177" t="b">
        <f t="shared" si="1"/>
        <v>1</v>
      </c>
      <c r="E117" s="177">
        <v>36.0</v>
      </c>
      <c r="F117" s="181" t="s">
        <v>132</v>
      </c>
      <c r="G117" s="181" t="s">
        <v>369</v>
      </c>
      <c r="H117" s="181" t="s">
        <v>90</v>
      </c>
      <c r="I117" s="180">
        <f t="array" ref="I117">xlookup(B117,DATA_LEAGUE_AVG!A:A,DATA_LEAGUE_AVG!C:C)</f>
        <v>2484.7</v>
      </c>
      <c r="J117" s="180">
        <f t="array" ref="J117">xlookup(B117,DATA_LEAGUE_AVG!A:A,DATA_LEAGUE_AVG!D:D)</f>
        <v>20.2</v>
      </c>
      <c r="K117" s="177">
        <f t="shared" ref="K117:L117" si="110">S117/I117</f>
        <v>0.9425685193</v>
      </c>
      <c r="L117" s="177">
        <f t="shared" si="110"/>
        <v>0.5940594059</v>
      </c>
      <c r="M117" s="177">
        <v>13.0</v>
      </c>
      <c r="N117" s="177">
        <v>12.0</v>
      </c>
      <c r="O117" s="182">
        <v>36712.0</v>
      </c>
      <c r="P117" s="177">
        <v>178.0</v>
      </c>
      <c r="Q117" s="177">
        <v>327.0</v>
      </c>
      <c r="R117" s="177">
        <v>54.4</v>
      </c>
      <c r="S117" s="177">
        <v>2342.0</v>
      </c>
      <c r="T117" s="177">
        <v>12.0</v>
      </c>
      <c r="U117" s="177">
        <v>3.7</v>
      </c>
      <c r="V117" s="177">
        <v>20.0</v>
      </c>
      <c r="W117" s="177">
        <v>6.1</v>
      </c>
      <c r="X117" s="177">
        <v>52.0</v>
      </c>
      <c r="Y117" s="177">
        <v>7.2</v>
      </c>
      <c r="Z117" s="177">
        <v>5.14</v>
      </c>
      <c r="AA117" s="177">
        <v>13.2</v>
      </c>
      <c r="AB117" s="177">
        <v>180.2</v>
      </c>
      <c r="AC117" s="177">
        <v>64.0</v>
      </c>
      <c r="AD117" s="177">
        <v>12.0</v>
      </c>
      <c r="AE117" s="177">
        <v>93.0</v>
      </c>
      <c r="AF117" s="177">
        <v>3.54</v>
      </c>
      <c r="AG117" s="177">
        <v>6.63</v>
      </c>
      <c r="AH117" s="177">
        <v>4.69</v>
      </c>
      <c r="AI117" s="177">
        <v>2.0</v>
      </c>
      <c r="AJ117" s="177">
        <v>3.0</v>
      </c>
      <c r="AK117" s="177">
        <v>9.0</v>
      </c>
      <c r="AL117" s="183"/>
      <c r="AM117" s="33"/>
      <c r="AN117" s="33"/>
      <c r="AO117" s="33"/>
      <c r="AP117" s="33"/>
      <c r="AQ117" s="33"/>
      <c r="AR117" s="33"/>
      <c r="AS117" s="33"/>
    </row>
    <row r="118" hidden="1" outlineLevel="1">
      <c r="A118" s="184" t="s">
        <v>62</v>
      </c>
      <c r="B118" s="176">
        <v>1970.0</v>
      </c>
      <c r="C118" s="180">
        <f t="array" ref="C118">xlookup(B118,DATA_LEAGUE_AVG!A:A,DATA_LEAGUE_AVG!H:H)</f>
        <v>376.8</v>
      </c>
      <c r="D118" s="177" t="b">
        <f t="shared" si="1"/>
        <v>1</v>
      </c>
      <c r="E118" s="177">
        <v>37.0</v>
      </c>
      <c r="F118" s="181" t="s">
        <v>132</v>
      </c>
      <c r="G118" s="181" t="s">
        <v>369</v>
      </c>
      <c r="H118" s="181" t="s">
        <v>90</v>
      </c>
      <c r="I118" s="180">
        <f t="array" ref="I118">xlookup(B118,DATA_LEAGUE_AVG!A:A,DATA_LEAGUE_AVG!C:C)</f>
        <v>2259.4</v>
      </c>
      <c r="J118" s="180">
        <f t="array" ref="J118">xlookup(B118,DATA_LEAGUE_AVG!A:A,DATA_LEAGUE_AVG!D:D)</f>
        <v>16.4</v>
      </c>
      <c r="K118" s="177">
        <f t="shared" ref="K118:L118" si="111">S118/I118</f>
        <v>0.9794635744</v>
      </c>
      <c r="L118" s="177">
        <f t="shared" si="111"/>
        <v>0.8536585366</v>
      </c>
      <c r="M118" s="177">
        <v>14.0</v>
      </c>
      <c r="N118" s="177">
        <v>13.0</v>
      </c>
      <c r="O118" s="182">
        <v>37166.0</v>
      </c>
      <c r="P118" s="177">
        <v>166.0</v>
      </c>
      <c r="Q118" s="177">
        <v>321.0</v>
      </c>
      <c r="R118" s="177">
        <v>51.7</v>
      </c>
      <c r="S118" s="177">
        <v>2213.0</v>
      </c>
      <c r="T118" s="177">
        <v>14.0</v>
      </c>
      <c r="U118" s="177">
        <v>4.4</v>
      </c>
      <c r="V118" s="177">
        <v>18.0</v>
      </c>
      <c r="W118" s="177">
        <v>5.6</v>
      </c>
      <c r="X118" s="177">
        <v>55.0</v>
      </c>
      <c r="Y118" s="177">
        <v>6.9</v>
      </c>
      <c r="Z118" s="177">
        <v>5.24</v>
      </c>
      <c r="AA118" s="177">
        <v>13.3</v>
      </c>
      <c r="AB118" s="177">
        <v>158.1</v>
      </c>
      <c r="AC118" s="177">
        <v>65.1</v>
      </c>
      <c r="AD118" s="177">
        <v>19.0</v>
      </c>
      <c r="AE118" s="177">
        <v>158.0</v>
      </c>
      <c r="AF118" s="177">
        <v>5.59</v>
      </c>
      <c r="AG118" s="177">
        <v>6.04</v>
      </c>
      <c r="AH118" s="177">
        <v>4.49</v>
      </c>
      <c r="AI118" s="177">
        <v>3.0</v>
      </c>
      <c r="AJ118" s="177">
        <v>3.0</v>
      </c>
      <c r="AK118" s="177">
        <v>10.0</v>
      </c>
      <c r="AL118" s="183"/>
      <c r="AM118" s="33"/>
      <c r="AN118" s="33"/>
      <c r="AO118" s="33"/>
      <c r="AP118" s="33"/>
      <c r="AQ118" s="33"/>
      <c r="AR118" s="33"/>
      <c r="AS118" s="33"/>
    </row>
    <row r="119" collapsed="1">
      <c r="A119" s="184" t="s">
        <v>55</v>
      </c>
      <c r="B119" s="176" t="s">
        <v>348</v>
      </c>
      <c r="C119" s="177" t="str">
        <f t="array" ref="C119">xlookup(B119,DATA_LEAGUE_AVG!A:A,DATA_LEAGUE_AVG!H:H)</f>
        <v>#N/A</v>
      </c>
      <c r="D119" s="177" t="str">
        <f t="shared" si="1"/>
        <v>#N/A</v>
      </c>
      <c r="E119" s="176" t="s">
        <v>351</v>
      </c>
      <c r="F119" s="176" t="s">
        <v>352</v>
      </c>
      <c r="G119" s="176" t="s">
        <v>353</v>
      </c>
      <c r="H119" s="176" t="s">
        <v>354</v>
      </c>
      <c r="I119" s="178" t="s">
        <v>355</v>
      </c>
      <c r="J119" s="178" t="s">
        <v>356</v>
      </c>
      <c r="K119" s="178" t="s">
        <v>272</v>
      </c>
      <c r="L119" s="178" t="s">
        <v>357</v>
      </c>
      <c r="M119" s="176" t="s">
        <v>358</v>
      </c>
      <c r="N119" s="176" t="s">
        <v>359</v>
      </c>
      <c r="O119" s="176" t="s">
        <v>360</v>
      </c>
      <c r="P119" s="176" t="s">
        <v>330</v>
      </c>
      <c r="Q119" s="176" t="s">
        <v>331</v>
      </c>
      <c r="R119" s="176" t="s">
        <v>332</v>
      </c>
      <c r="S119" s="176" t="s">
        <v>326</v>
      </c>
      <c r="T119" s="176" t="s">
        <v>327</v>
      </c>
      <c r="U119" s="176" t="s">
        <v>335</v>
      </c>
      <c r="V119" s="176" t="s">
        <v>336</v>
      </c>
      <c r="W119" s="176" t="s">
        <v>337</v>
      </c>
      <c r="X119" s="176" t="s">
        <v>361</v>
      </c>
      <c r="Y119" s="176" t="s">
        <v>362</v>
      </c>
      <c r="Z119" s="176" t="s">
        <v>363</v>
      </c>
      <c r="AA119" s="176" t="s">
        <v>338</v>
      </c>
      <c r="AB119" s="176" t="s">
        <v>339</v>
      </c>
      <c r="AC119" s="176" t="s">
        <v>340</v>
      </c>
      <c r="AD119" s="176" t="s">
        <v>341</v>
      </c>
      <c r="AE119" s="176" t="s">
        <v>342</v>
      </c>
      <c r="AF119" s="176" t="s">
        <v>404</v>
      </c>
      <c r="AG119" s="176" t="s">
        <v>343</v>
      </c>
      <c r="AH119" s="176" t="s">
        <v>326</v>
      </c>
      <c r="AI119" s="176" t="s">
        <v>345</v>
      </c>
      <c r="AJ119" s="176" t="s">
        <v>346</v>
      </c>
      <c r="AK119" s="176" t="s">
        <v>347</v>
      </c>
      <c r="AL119" s="176" t="s">
        <v>364</v>
      </c>
      <c r="AM119" s="176" t="s">
        <v>365</v>
      </c>
      <c r="AN119" s="176" t="s">
        <v>366</v>
      </c>
      <c r="AO119" s="176" t="s">
        <v>367</v>
      </c>
      <c r="AP119" s="33"/>
      <c r="AQ119" s="33"/>
      <c r="AR119" s="33"/>
      <c r="AS119" s="33"/>
    </row>
    <row r="120" hidden="1" outlineLevel="1">
      <c r="A120" s="184" t="s">
        <v>55</v>
      </c>
      <c r="B120" s="176">
        <v>2018.0</v>
      </c>
      <c r="C120" s="180">
        <f t="array" ref="C120">xlookup(B120,DATA_LEAGUE_AVG!A:A,DATA_LEAGUE_AVG!H:H)</f>
        <v>552.2</v>
      </c>
      <c r="D120" s="177" t="b">
        <f t="shared" si="1"/>
        <v>1</v>
      </c>
      <c r="E120" s="177">
        <v>23.0</v>
      </c>
      <c r="F120" s="181" t="s">
        <v>138</v>
      </c>
      <c r="G120" s="181" t="s">
        <v>369</v>
      </c>
      <c r="H120" s="181" t="s">
        <v>90</v>
      </c>
      <c r="I120" s="180">
        <f t="array" ref="I120">xlookup(B120,DATA_LEAGUE_AVG!A:A,DATA_LEAGUE_AVG!C:C)</f>
        <v>3804.3</v>
      </c>
      <c r="J120" s="180">
        <f t="array" ref="J120">xlookup(B120,DATA_LEAGUE_AVG!A:A,DATA_LEAGUE_AVG!D:D)</f>
        <v>26.5</v>
      </c>
      <c r="K120" s="177">
        <f t="shared" ref="K120:L120" si="112">S120/I120</f>
        <v>1.3397997</v>
      </c>
      <c r="L120" s="177">
        <f t="shared" si="112"/>
        <v>1.886792453</v>
      </c>
      <c r="M120" s="177">
        <v>16.0</v>
      </c>
      <c r="N120" s="177">
        <v>16.0</v>
      </c>
      <c r="O120" s="182">
        <v>36864.0</v>
      </c>
      <c r="P120" s="177">
        <v>383.0</v>
      </c>
      <c r="Q120" s="177">
        <v>580.0</v>
      </c>
      <c r="R120" s="177">
        <v>66.0</v>
      </c>
      <c r="S120" s="177">
        <v>5097.0</v>
      </c>
      <c r="T120" s="177">
        <v>50.0</v>
      </c>
      <c r="U120" s="177">
        <v>8.6</v>
      </c>
      <c r="V120" s="177">
        <v>12.0</v>
      </c>
      <c r="W120" s="177">
        <v>2.1</v>
      </c>
      <c r="X120" s="177">
        <v>237.0</v>
      </c>
      <c r="Y120" s="177">
        <v>54.1</v>
      </c>
      <c r="Z120" s="177">
        <v>89.0</v>
      </c>
      <c r="AA120" s="177">
        <v>8.8</v>
      </c>
      <c r="AB120" s="177">
        <v>9.58</v>
      </c>
      <c r="AC120" s="177">
        <v>13.3</v>
      </c>
      <c r="AD120" s="177">
        <v>318.6</v>
      </c>
      <c r="AE120" s="177">
        <v>113.8</v>
      </c>
      <c r="AF120" s="177">
        <v>80.3</v>
      </c>
      <c r="AG120" s="177">
        <v>26.0</v>
      </c>
      <c r="AH120" s="177">
        <v>171.0</v>
      </c>
      <c r="AI120" s="177">
        <v>4.29</v>
      </c>
      <c r="AJ120" s="177">
        <v>8.13</v>
      </c>
      <c r="AK120" s="177">
        <v>8.89</v>
      </c>
      <c r="AL120" s="177">
        <v>2.0</v>
      </c>
      <c r="AM120" s="177">
        <v>2.0</v>
      </c>
      <c r="AN120" s="177">
        <v>22.0</v>
      </c>
      <c r="AO120" s="181" t="s">
        <v>383</v>
      </c>
      <c r="AP120" s="33"/>
      <c r="AQ120" s="33"/>
      <c r="AR120" s="33"/>
      <c r="AS120" s="33"/>
    </row>
    <row r="121" hidden="1" outlineLevel="1">
      <c r="A121" s="184" t="s">
        <v>55</v>
      </c>
      <c r="B121" s="176">
        <v>2019.0</v>
      </c>
      <c r="C121" s="180">
        <f t="array" ref="C121">xlookup(B121,DATA_LEAGUE_AVG!A:A,DATA_LEAGUE_AVG!H:H)</f>
        <v>557.9</v>
      </c>
      <c r="D121" s="177" t="b">
        <f t="shared" si="1"/>
        <v>1</v>
      </c>
      <c r="E121" s="177">
        <v>24.0</v>
      </c>
      <c r="F121" s="181" t="s">
        <v>138</v>
      </c>
      <c r="G121" s="181" t="s">
        <v>369</v>
      </c>
      <c r="H121" s="181" t="s">
        <v>90</v>
      </c>
      <c r="I121" s="180">
        <f t="array" ref="I121">xlookup(B121,DATA_LEAGUE_AVG!A:A,DATA_LEAGUE_AVG!C:C)</f>
        <v>3759.4</v>
      </c>
      <c r="J121" s="180">
        <f t="array" ref="J121">xlookup(B121,DATA_LEAGUE_AVG!A:A,DATA_LEAGUE_AVG!D:D)</f>
        <v>24.9</v>
      </c>
      <c r="K121" s="177">
        <f t="shared" ref="K121:L121" si="113">S121/I121</f>
        <v>1.072245571</v>
      </c>
      <c r="L121" s="177">
        <f t="shared" si="113"/>
        <v>1.044176707</v>
      </c>
      <c r="M121" s="177">
        <v>14.0</v>
      </c>
      <c r="N121" s="177">
        <v>14.0</v>
      </c>
      <c r="O121" s="182">
        <v>36833.0</v>
      </c>
      <c r="P121" s="177">
        <v>319.0</v>
      </c>
      <c r="Q121" s="177">
        <v>484.0</v>
      </c>
      <c r="R121" s="177">
        <v>65.9</v>
      </c>
      <c r="S121" s="177">
        <v>4031.0</v>
      </c>
      <c r="T121" s="177">
        <v>26.0</v>
      </c>
      <c r="U121" s="177">
        <v>5.4</v>
      </c>
      <c r="V121" s="177">
        <v>5.0</v>
      </c>
      <c r="W121" s="177">
        <v>1.0</v>
      </c>
      <c r="X121" s="177">
        <v>176.0</v>
      </c>
      <c r="Y121" s="177">
        <v>50.9</v>
      </c>
      <c r="Z121" s="177">
        <v>83.0</v>
      </c>
      <c r="AA121" s="177">
        <v>8.3</v>
      </c>
      <c r="AB121" s="177">
        <v>8.94</v>
      </c>
      <c r="AC121" s="177">
        <v>12.6</v>
      </c>
      <c r="AD121" s="177">
        <v>287.9</v>
      </c>
      <c r="AE121" s="177">
        <v>105.3</v>
      </c>
      <c r="AF121" s="177">
        <v>77.7</v>
      </c>
      <c r="AG121" s="177">
        <v>17.0</v>
      </c>
      <c r="AH121" s="177">
        <v>127.0</v>
      </c>
      <c r="AI121" s="177">
        <v>3.39</v>
      </c>
      <c r="AJ121" s="177">
        <v>7.79</v>
      </c>
      <c r="AK121" s="177">
        <v>8.38</v>
      </c>
      <c r="AL121" s="177">
        <v>1.0</v>
      </c>
      <c r="AM121" s="177">
        <v>1.0</v>
      </c>
      <c r="AN121" s="177">
        <v>17.0</v>
      </c>
      <c r="AO121" s="181" t="s">
        <v>399</v>
      </c>
      <c r="AP121" s="33"/>
      <c r="AQ121" s="33"/>
      <c r="AR121" s="33"/>
      <c r="AS121" s="33"/>
    </row>
    <row r="122" hidden="1" outlineLevel="1">
      <c r="A122" s="184" t="s">
        <v>55</v>
      </c>
      <c r="B122" s="176">
        <v>2020.0</v>
      </c>
      <c r="C122" s="180">
        <f t="array" ref="C122">xlookup(B122,DATA_LEAGUE_AVG!A:A,DATA_LEAGUE_AVG!H:H)</f>
        <v>563.1</v>
      </c>
      <c r="D122" s="177" t="b">
        <f t="shared" si="1"/>
        <v>1</v>
      </c>
      <c r="E122" s="177">
        <v>25.0</v>
      </c>
      <c r="F122" s="181" t="s">
        <v>138</v>
      </c>
      <c r="G122" s="181" t="s">
        <v>369</v>
      </c>
      <c r="H122" s="181" t="s">
        <v>90</v>
      </c>
      <c r="I122" s="180">
        <f t="array" ref="I122">xlookup(B122,DATA_LEAGUE_AVG!A:A,DATA_LEAGUE_AVG!C:C)</f>
        <v>3842.4</v>
      </c>
      <c r="J122" s="180">
        <f t="array" ref="J122">xlookup(B122,DATA_LEAGUE_AVG!A:A,DATA_LEAGUE_AVG!D:D)</f>
        <v>27.2</v>
      </c>
      <c r="K122" s="177">
        <f t="shared" ref="K122:L122" si="114">S122/I122</f>
        <v>1.233603998</v>
      </c>
      <c r="L122" s="177">
        <f t="shared" si="114"/>
        <v>1.397058824</v>
      </c>
      <c r="M122" s="177">
        <v>15.0</v>
      </c>
      <c r="N122" s="177">
        <v>15.0</v>
      </c>
      <c r="O122" s="181" t="s">
        <v>378</v>
      </c>
      <c r="P122" s="177">
        <v>390.0</v>
      </c>
      <c r="Q122" s="177">
        <v>588.0</v>
      </c>
      <c r="R122" s="177">
        <v>66.3</v>
      </c>
      <c r="S122" s="177">
        <v>4740.0</v>
      </c>
      <c r="T122" s="177">
        <v>38.0</v>
      </c>
      <c r="U122" s="177">
        <v>6.5</v>
      </c>
      <c r="V122" s="177">
        <v>6.0</v>
      </c>
      <c r="W122" s="177">
        <v>1.0</v>
      </c>
      <c r="X122" s="177">
        <v>238.0</v>
      </c>
      <c r="Y122" s="177">
        <v>54.1</v>
      </c>
      <c r="Z122" s="177">
        <v>75.0</v>
      </c>
      <c r="AA122" s="177">
        <v>8.1</v>
      </c>
      <c r="AB122" s="177">
        <v>8.89</v>
      </c>
      <c r="AC122" s="177">
        <v>12.2</v>
      </c>
      <c r="AD122" s="177">
        <v>316.0</v>
      </c>
      <c r="AE122" s="177">
        <v>108.2</v>
      </c>
      <c r="AF122" s="177">
        <v>78.1</v>
      </c>
      <c r="AG122" s="177">
        <v>22.0</v>
      </c>
      <c r="AH122" s="177">
        <v>147.0</v>
      </c>
      <c r="AI122" s="177">
        <v>3.61</v>
      </c>
      <c r="AJ122" s="177">
        <v>7.53</v>
      </c>
      <c r="AK122" s="177">
        <v>8.33</v>
      </c>
      <c r="AL122" s="177">
        <v>3.0</v>
      </c>
      <c r="AM122" s="177">
        <v>3.0</v>
      </c>
      <c r="AN122" s="177">
        <v>17.0</v>
      </c>
      <c r="AO122" s="181" t="s">
        <v>414</v>
      </c>
      <c r="AP122" s="33"/>
      <c r="AQ122" s="33"/>
      <c r="AR122" s="33"/>
      <c r="AS122" s="33"/>
    </row>
    <row r="123" hidden="1" outlineLevel="1">
      <c r="A123" s="184" t="s">
        <v>55</v>
      </c>
      <c r="B123" s="176">
        <v>2021.0</v>
      </c>
      <c r="C123" s="180">
        <f t="array" ref="C123">xlookup(B123,DATA_LEAGUE_AVG!A:A,DATA_LEAGUE_AVG!H:H)</f>
        <v>584.8</v>
      </c>
      <c r="D123" s="177" t="b">
        <f t="shared" si="1"/>
        <v>1</v>
      </c>
      <c r="E123" s="177">
        <v>26.0</v>
      </c>
      <c r="F123" s="181" t="s">
        <v>138</v>
      </c>
      <c r="G123" s="181" t="s">
        <v>369</v>
      </c>
      <c r="H123" s="181" t="s">
        <v>90</v>
      </c>
      <c r="I123" s="180">
        <f t="array" ref="I123">xlookup(B123,DATA_LEAGUE_AVG!A:A,DATA_LEAGUE_AVG!C:C)</f>
        <v>3881.3</v>
      </c>
      <c r="J123" s="180">
        <f t="array" ref="J123">xlookup(B123,DATA_LEAGUE_AVG!A:A,DATA_LEAGUE_AVG!D:D)</f>
        <v>26.3</v>
      </c>
      <c r="K123" s="177">
        <f t="shared" ref="K123:L123" si="115">S123/I123</f>
        <v>1.246747224</v>
      </c>
      <c r="L123" s="177">
        <f t="shared" si="115"/>
        <v>1.406844106</v>
      </c>
      <c r="M123" s="177">
        <v>17.0</v>
      </c>
      <c r="N123" s="177">
        <v>17.0</v>
      </c>
      <c r="O123" s="182">
        <v>36865.0</v>
      </c>
      <c r="P123" s="177">
        <v>436.0</v>
      </c>
      <c r="Q123" s="177">
        <v>658.0</v>
      </c>
      <c r="R123" s="177">
        <v>66.3</v>
      </c>
      <c r="S123" s="177">
        <v>4839.0</v>
      </c>
      <c r="T123" s="177">
        <v>37.0</v>
      </c>
      <c r="U123" s="177">
        <v>5.6</v>
      </c>
      <c r="V123" s="177">
        <v>13.0</v>
      </c>
      <c r="W123" s="177">
        <v>2.0</v>
      </c>
      <c r="X123" s="177">
        <v>260.0</v>
      </c>
      <c r="Y123" s="177">
        <v>53.2</v>
      </c>
      <c r="Z123" s="177">
        <v>75.0</v>
      </c>
      <c r="AA123" s="177">
        <v>7.4</v>
      </c>
      <c r="AB123" s="177">
        <v>7.59</v>
      </c>
      <c r="AC123" s="177">
        <v>11.1</v>
      </c>
      <c r="AD123" s="177">
        <v>284.6</v>
      </c>
      <c r="AE123" s="177">
        <v>98.5</v>
      </c>
      <c r="AF123" s="177">
        <v>67.7</v>
      </c>
      <c r="AG123" s="177">
        <v>28.0</v>
      </c>
      <c r="AH123" s="177">
        <v>146.0</v>
      </c>
      <c r="AI123" s="177">
        <v>4.08</v>
      </c>
      <c r="AJ123" s="177">
        <v>6.84</v>
      </c>
      <c r="AK123" s="177">
        <v>7.07</v>
      </c>
      <c r="AL123" s="177">
        <v>3.0</v>
      </c>
      <c r="AM123" s="177">
        <v>3.0</v>
      </c>
      <c r="AN123" s="177">
        <v>18.0</v>
      </c>
      <c r="AO123" s="181" t="s">
        <v>380</v>
      </c>
      <c r="AP123" s="33"/>
      <c r="AQ123" s="33"/>
      <c r="AR123" s="33"/>
      <c r="AS123" s="33"/>
    </row>
    <row r="124" hidden="1" outlineLevel="1">
      <c r="A124" s="184" t="s">
        <v>55</v>
      </c>
      <c r="B124" s="176">
        <v>2022.0</v>
      </c>
      <c r="C124" s="180">
        <f t="array" ref="C124">xlookup(B124,DATA_LEAGUE_AVG!A:A,DATA_LEAGUE_AVG!H:H)</f>
        <v>564.7</v>
      </c>
      <c r="D124" s="177" t="b">
        <f t="shared" si="1"/>
        <v>1</v>
      </c>
      <c r="E124" s="177">
        <v>27.0</v>
      </c>
      <c r="F124" s="181" t="s">
        <v>138</v>
      </c>
      <c r="G124" s="181" t="s">
        <v>369</v>
      </c>
      <c r="H124" s="181" t="s">
        <v>90</v>
      </c>
      <c r="I124" s="180">
        <f t="array" ref="I124">xlookup(B124,DATA_LEAGUE_AVG!A:A,DATA_LEAGUE_AVG!C:C)</f>
        <v>3701.2</v>
      </c>
      <c r="J124" s="180">
        <f t="array" ref="J124">xlookup(B124,DATA_LEAGUE_AVG!A:A,DATA_LEAGUE_AVG!D:D)</f>
        <v>23.4</v>
      </c>
      <c r="K124" s="177">
        <f t="shared" ref="K124:L124" si="116">S124/I124</f>
        <v>1.418458878</v>
      </c>
      <c r="L124" s="177">
        <f t="shared" si="116"/>
        <v>1.752136752</v>
      </c>
      <c r="M124" s="177">
        <v>17.0</v>
      </c>
      <c r="N124" s="177">
        <v>17.0</v>
      </c>
      <c r="O124" s="181" t="s">
        <v>415</v>
      </c>
      <c r="P124" s="177">
        <v>435.0</v>
      </c>
      <c r="Q124" s="177">
        <v>648.0</v>
      </c>
      <c r="R124" s="177">
        <v>67.1</v>
      </c>
      <c r="S124" s="177">
        <v>5250.0</v>
      </c>
      <c r="T124" s="177">
        <v>41.0</v>
      </c>
      <c r="U124" s="177">
        <v>6.3</v>
      </c>
      <c r="V124" s="177">
        <v>12.0</v>
      </c>
      <c r="W124" s="177">
        <v>1.9</v>
      </c>
      <c r="X124" s="177">
        <v>272.0</v>
      </c>
      <c r="Y124" s="177">
        <v>54.6</v>
      </c>
      <c r="Z124" s="177">
        <v>67.0</v>
      </c>
      <c r="AA124" s="177">
        <v>8.1</v>
      </c>
      <c r="AB124" s="177">
        <v>8.53</v>
      </c>
      <c r="AC124" s="177">
        <v>12.1</v>
      </c>
      <c r="AD124" s="177">
        <v>308.8</v>
      </c>
      <c r="AE124" s="177">
        <v>105.2</v>
      </c>
      <c r="AF124" s="177">
        <v>79.0</v>
      </c>
      <c r="AG124" s="177">
        <v>26.0</v>
      </c>
      <c r="AH124" s="177">
        <v>188.0</v>
      </c>
      <c r="AI124" s="177">
        <v>3.86</v>
      </c>
      <c r="AJ124" s="177">
        <v>7.51</v>
      </c>
      <c r="AK124" s="177">
        <v>7.93</v>
      </c>
      <c r="AL124" s="177">
        <v>4.0</v>
      </c>
      <c r="AM124" s="177">
        <v>4.0</v>
      </c>
      <c r="AN124" s="177">
        <v>19.0</v>
      </c>
      <c r="AO124" s="181" t="s">
        <v>390</v>
      </c>
      <c r="AP124" s="33"/>
      <c r="AQ124" s="33"/>
      <c r="AR124" s="33"/>
      <c r="AS124" s="33"/>
    </row>
    <row r="125" hidden="1" outlineLevel="1">
      <c r="A125" s="184" t="s">
        <v>55</v>
      </c>
      <c r="B125" s="176">
        <v>2023.0</v>
      </c>
      <c r="C125" s="180">
        <f t="array" ref="C125">xlookup(B125,DATA_LEAGUE_AVG!A:A,DATA_LEAGUE_AVG!H:H)</f>
        <v>572.3</v>
      </c>
      <c r="D125" s="177" t="b">
        <f t="shared" si="1"/>
        <v>1</v>
      </c>
      <c r="E125" s="177">
        <v>28.0</v>
      </c>
      <c r="F125" s="181" t="s">
        <v>138</v>
      </c>
      <c r="G125" s="181" t="s">
        <v>369</v>
      </c>
      <c r="H125" s="181" t="s">
        <v>90</v>
      </c>
      <c r="I125" s="180">
        <f t="array" ref="I125">xlookup(B125,DATA_LEAGUE_AVG!A:A,DATA_LEAGUE_AVG!C:C)</f>
        <v>3721.7</v>
      </c>
      <c r="J125" s="180">
        <f t="array" ref="J125">xlookup(B125,DATA_LEAGUE_AVG!A:A,DATA_LEAGUE_AVG!D:D)</f>
        <v>23.6</v>
      </c>
      <c r="K125" s="177">
        <f t="shared" ref="K125:L125" si="117">S125/I125</f>
        <v>1.123948733</v>
      </c>
      <c r="L125" s="177">
        <f t="shared" si="117"/>
        <v>1.144067797</v>
      </c>
      <c r="M125" s="177">
        <v>16.0</v>
      </c>
      <c r="N125" s="177">
        <v>16.0</v>
      </c>
      <c r="O125" s="182">
        <v>36805.0</v>
      </c>
      <c r="P125" s="177">
        <v>401.0</v>
      </c>
      <c r="Q125" s="177">
        <v>597.0</v>
      </c>
      <c r="R125" s="177">
        <v>67.2</v>
      </c>
      <c r="S125" s="177">
        <v>4183.0</v>
      </c>
      <c r="T125" s="177">
        <v>27.0</v>
      </c>
      <c r="U125" s="177">
        <v>4.5</v>
      </c>
      <c r="V125" s="177">
        <v>14.0</v>
      </c>
      <c r="W125" s="177">
        <v>2.3</v>
      </c>
      <c r="X125" s="177">
        <v>206.0</v>
      </c>
      <c r="Y125" s="177">
        <v>48.2</v>
      </c>
      <c r="Z125" s="177">
        <v>67.0</v>
      </c>
      <c r="AA125" s="177">
        <v>7.0</v>
      </c>
      <c r="AB125" s="177">
        <v>6.86</v>
      </c>
      <c r="AC125" s="177">
        <v>10.4</v>
      </c>
      <c r="AD125" s="177">
        <v>261.4</v>
      </c>
      <c r="AE125" s="177">
        <v>92.6</v>
      </c>
      <c r="AF125" s="177">
        <v>63.9</v>
      </c>
      <c r="AG125" s="177">
        <v>27.0</v>
      </c>
      <c r="AH125" s="177">
        <v>186.0</v>
      </c>
      <c r="AI125" s="177">
        <v>4.33</v>
      </c>
      <c r="AJ125" s="177">
        <v>6.41</v>
      </c>
      <c r="AK125" s="177">
        <v>6.26</v>
      </c>
      <c r="AL125" s="177">
        <v>1.0</v>
      </c>
      <c r="AM125" s="177">
        <v>2.0</v>
      </c>
      <c r="AN125" s="177">
        <v>15.0</v>
      </c>
      <c r="AO125" s="181" t="s">
        <v>416</v>
      </c>
      <c r="AP125" s="33"/>
      <c r="AQ125" s="33"/>
      <c r="AR125" s="33"/>
      <c r="AS125" s="33"/>
    </row>
    <row r="126" hidden="1" outlineLevel="1">
      <c r="A126" s="184" t="s">
        <v>55</v>
      </c>
      <c r="B126" s="176">
        <v>2024.0</v>
      </c>
      <c r="C126" s="180">
        <f t="array" ref="C126">xlookup(B126,DATA_LEAGUE_AVG!A:A,DATA_LEAGUE_AVG!H:H)</f>
        <v>556.6</v>
      </c>
      <c r="D126" s="177" t="b">
        <f t="shared" si="1"/>
        <v>1</v>
      </c>
      <c r="E126" s="177">
        <v>29.0</v>
      </c>
      <c r="F126" s="181" t="s">
        <v>138</v>
      </c>
      <c r="G126" s="181" t="s">
        <v>369</v>
      </c>
      <c r="H126" s="181" t="s">
        <v>90</v>
      </c>
      <c r="I126" s="180">
        <f t="array" ref="I126">xlookup(B126,DATA_LEAGUE_AVG!A:A,DATA_LEAGUE_AVG!C:C)</f>
        <v>3699.5</v>
      </c>
      <c r="J126" s="180">
        <f t="array" ref="J126">xlookup(B126,DATA_LEAGUE_AVG!A:A,DATA_LEAGUE_AVG!D:D)</f>
        <v>25.3</v>
      </c>
      <c r="K126" s="177">
        <f t="shared" ref="K126:L126" si="118">S126/I126</f>
        <v>1.061765103</v>
      </c>
      <c r="L126" s="177">
        <f t="shared" si="118"/>
        <v>1.027667984</v>
      </c>
      <c r="M126" s="177">
        <v>16.0</v>
      </c>
      <c r="N126" s="177">
        <v>16.0</v>
      </c>
      <c r="O126" s="181" t="s">
        <v>417</v>
      </c>
      <c r="P126" s="177">
        <v>392.0</v>
      </c>
      <c r="Q126" s="177">
        <v>581.0</v>
      </c>
      <c r="R126" s="177">
        <v>67.5</v>
      </c>
      <c r="S126" s="177">
        <v>3928.0</v>
      </c>
      <c r="T126" s="177">
        <v>26.0</v>
      </c>
      <c r="U126" s="177">
        <v>4.5</v>
      </c>
      <c r="V126" s="177">
        <v>11.0</v>
      </c>
      <c r="W126" s="177">
        <v>1.9</v>
      </c>
      <c r="X126" s="177">
        <v>214.0</v>
      </c>
      <c r="Y126" s="177">
        <v>50.7</v>
      </c>
      <c r="Z126" s="177">
        <v>54.0</v>
      </c>
      <c r="AA126" s="177">
        <v>6.8</v>
      </c>
      <c r="AB126" s="177">
        <v>6.8</v>
      </c>
      <c r="AC126" s="177">
        <v>10.0</v>
      </c>
      <c r="AD126" s="177">
        <v>245.5</v>
      </c>
      <c r="AE126" s="177">
        <v>93.5</v>
      </c>
      <c r="AF126" s="177">
        <v>64.6</v>
      </c>
      <c r="AG126" s="177">
        <v>36.0</v>
      </c>
      <c r="AH126" s="177">
        <v>239.0</v>
      </c>
      <c r="AI126" s="177">
        <v>5.83</v>
      </c>
      <c r="AJ126" s="177">
        <v>5.98</v>
      </c>
      <c r="AK126" s="177">
        <v>6.02</v>
      </c>
      <c r="AL126" s="177">
        <v>5.0</v>
      </c>
      <c r="AM126" s="177">
        <v>7.0</v>
      </c>
      <c r="AN126" s="177">
        <v>14.0</v>
      </c>
      <c r="AO126" s="181" t="s">
        <v>418</v>
      </c>
      <c r="AP126" s="33"/>
      <c r="AQ126" s="33"/>
      <c r="AR126" s="33"/>
      <c r="AS126" s="33"/>
    </row>
    <row r="127" hidden="1" outlineLevel="1">
      <c r="A127" s="184" t="s">
        <v>55</v>
      </c>
      <c r="B127" s="176">
        <v>2025.0</v>
      </c>
      <c r="C127" s="180">
        <f t="array" ref="C127">xlookup(B127,DATA_LEAGUE_AVG!A:A,DATA_LEAGUE_AVG!H:H)</f>
        <v>545</v>
      </c>
      <c r="D127" s="177" t="b">
        <f t="shared" si="1"/>
        <v>1</v>
      </c>
      <c r="E127" s="177">
        <v>30.0</v>
      </c>
      <c r="F127" s="181" t="s">
        <v>138</v>
      </c>
      <c r="G127" s="181" t="s">
        <v>369</v>
      </c>
      <c r="H127" s="181" t="s">
        <v>90</v>
      </c>
      <c r="I127" s="180">
        <f t="array" ref="I127">xlookup(B127,DATA_LEAGUE_AVG!A:A,DATA_LEAGUE_AVG!C:C)</f>
        <v>3564.9</v>
      </c>
      <c r="J127" s="180">
        <f t="array" ref="J127">xlookup(B127,DATA_LEAGUE_AVG!A:A,DATA_LEAGUE_AVG!D:D)</f>
        <v>25.3</v>
      </c>
      <c r="K127" s="177">
        <f t="shared" ref="K127:L127" si="119">S127/I127</f>
        <v>1.006199332</v>
      </c>
      <c r="L127" s="177">
        <f t="shared" si="119"/>
        <v>0.8695652174</v>
      </c>
      <c r="M127" s="177">
        <v>14.0</v>
      </c>
      <c r="N127" s="177">
        <v>14.0</v>
      </c>
      <c r="O127" s="182">
        <v>36685.0</v>
      </c>
      <c r="P127" s="177">
        <v>315.0</v>
      </c>
      <c r="Q127" s="177">
        <v>502.0</v>
      </c>
      <c r="R127" s="177">
        <v>62.7</v>
      </c>
      <c r="S127" s="177">
        <v>3587.0</v>
      </c>
      <c r="T127" s="177">
        <v>22.0</v>
      </c>
      <c r="U127" s="177">
        <v>4.4</v>
      </c>
      <c r="V127" s="177">
        <v>11.0</v>
      </c>
      <c r="W127" s="177">
        <v>2.2</v>
      </c>
      <c r="X127" s="177">
        <v>173.0</v>
      </c>
      <c r="Y127" s="177">
        <v>47.9</v>
      </c>
      <c r="Z127" s="177">
        <v>61.0</v>
      </c>
      <c r="AA127" s="177">
        <v>7.1</v>
      </c>
      <c r="AB127" s="177">
        <v>7.04</v>
      </c>
      <c r="AC127" s="177">
        <v>11.4</v>
      </c>
      <c r="AD127" s="177">
        <v>256.2</v>
      </c>
      <c r="AE127" s="177">
        <v>89.6</v>
      </c>
      <c r="AF127" s="177">
        <v>68.6</v>
      </c>
      <c r="AG127" s="177">
        <v>34.0</v>
      </c>
      <c r="AH127" s="177">
        <v>193.0</v>
      </c>
      <c r="AI127" s="177">
        <v>6.34</v>
      </c>
      <c r="AJ127" s="177">
        <v>6.33</v>
      </c>
      <c r="AK127" s="177">
        <v>6.23</v>
      </c>
      <c r="AL127" s="177">
        <v>1.0</v>
      </c>
      <c r="AM127" s="177">
        <v>1.0</v>
      </c>
      <c r="AN127" s="177">
        <v>14.0</v>
      </c>
      <c r="AO127" s="183"/>
      <c r="AP127" s="33"/>
      <c r="AQ127" s="33"/>
      <c r="AR127" s="33"/>
      <c r="AS127" s="33"/>
    </row>
    <row r="128" collapsed="1">
      <c r="A128" s="184" t="s">
        <v>59</v>
      </c>
      <c r="B128" s="176" t="s">
        <v>348</v>
      </c>
      <c r="C128" s="177" t="str">
        <f t="array" ref="C128">xlookup(B128,DATA_LEAGUE_AVG!A:A,DATA_LEAGUE_AVG!H:H)</f>
        <v>#N/A</v>
      </c>
      <c r="D128" s="177" t="str">
        <f t="shared" si="1"/>
        <v>#N/A</v>
      </c>
      <c r="E128" s="176" t="s">
        <v>351</v>
      </c>
      <c r="F128" s="176" t="s">
        <v>352</v>
      </c>
      <c r="G128" s="176" t="s">
        <v>353</v>
      </c>
      <c r="H128" s="176" t="s">
        <v>354</v>
      </c>
      <c r="I128" s="178" t="s">
        <v>355</v>
      </c>
      <c r="J128" s="178" t="s">
        <v>356</v>
      </c>
      <c r="K128" s="178" t="s">
        <v>272</v>
      </c>
      <c r="L128" s="178" t="s">
        <v>357</v>
      </c>
      <c r="M128" s="176" t="s">
        <v>358</v>
      </c>
      <c r="N128" s="176" t="s">
        <v>359</v>
      </c>
      <c r="O128" s="176" t="s">
        <v>360</v>
      </c>
      <c r="P128" s="176" t="s">
        <v>330</v>
      </c>
      <c r="Q128" s="176" t="s">
        <v>331</v>
      </c>
      <c r="R128" s="176" t="s">
        <v>332</v>
      </c>
      <c r="S128" s="176" t="s">
        <v>326</v>
      </c>
      <c r="T128" s="176" t="s">
        <v>327</v>
      </c>
      <c r="U128" s="176" t="s">
        <v>335</v>
      </c>
      <c r="V128" s="176" t="s">
        <v>336</v>
      </c>
      <c r="W128" s="176" t="s">
        <v>337</v>
      </c>
      <c r="X128" s="176" t="s">
        <v>361</v>
      </c>
      <c r="Y128" s="176" t="s">
        <v>362</v>
      </c>
      <c r="Z128" s="176" t="s">
        <v>363</v>
      </c>
      <c r="AA128" s="176" t="s">
        <v>338</v>
      </c>
      <c r="AB128" s="176" t="s">
        <v>339</v>
      </c>
      <c r="AC128" s="176" t="s">
        <v>340</v>
      </c>
      <c r="AD128" s="176" t="s">
        <v>341</v>
      </c>
      <c r="AE128" s="176" t="s">
        <v>342</v>
      </c>
      <c r="AF128" s="176" t="s">
        <v>343</v>
      </c>
      <c r="AG128" s="176" t="s">
        <v>326</v>
      </c>
      <c r="AH128" s="176" t="s">
        <v>345</v>
      </c>
      <c r="AI128" s="176" t="s">
        <v>346</v>
      </c>
      <c r="AJ128" s="176" t="s">
        <v>347</v>
      </c>
      <c r="AK128" s="176" t="s">
        <v>364</v>
      </c>
      <c r="AL128" s="176" t="s">
        <v>365</v>
      </c>
      <c r="AM128" s="176" t="s">
        <v>366</v>
      </c>
      <c r="AN128" s="176" t="s">
        <v>367</v>
      </c>
      <c r="AO128" s="33"/>
      <c r="AP128" s="33"/>
      <c r="AQ128" s="33"/>
      <c r="AR128" s="33"/>
      <c r="AS128" s="33"/>
    </row>
    <row r="129" hidden="1" outlineLevel="1">
      <c r="A129" s="184" t="s">
        <v>59</v>
      </c>
      <c r="B129" s="176">
        <v>1983.0</v>
      </c>
      <c r="C129" s="180">
        <f t="array" ref="C129">xlookup(B129,DATA_LEAGUE_AVG!A:A,DATA_LEAGUE_AVG!H:H)</f>
        <v>501.7</v>
      </c>
      <c r="D129" s="177" t="b">
        <f t="shared" si="1"/>
        <v>1</v>
      </c>
      <c r="E129" s="177">
        <v>22.0</v>
      </c>
      <c r="F129" s="181" t="s">
        <v>143</v>
      </c>
      <c r="G129" s="181" t="s">
        <v>369</v>
      </c>
      <c r="H129" s="181" t="s">
        <v>90</v>
      </c>
      <c r="I129" s="180">
        <f t="array" ref="I129">xlookup(B129,DATA_LEAGUE_AVG!A:A,DATA_LEAGUE_AVG!C:C)</f>
        <v>3274</v>
      </c>
      <c r="J129" s="180">
        <f t="array" ref="J129">xlookup(B129,DATA_LEAGUE_AVG!A:A,DATA_LEAGUE_AVG!D:D)</f>
        <v>22.3</v>
      </c>
      <c r="K129" s="177">
        <f t="shared" ref="K129:L129" si="120">S129/I129</f>
        <v>0.6750152718</v>
      </c>
      <c r="L129" s="177">
        <f t="shared" si="120"/>
        <v>0.8968609865</v>
      </c>
      <c r="M129" s="177">
        <v>11.0</v>
      </c>
      <c r="N129" s="177">
        <v>9.0</v>
      </c>
      <c r="O129" s="182">
        <v>36709.0</v>
      </c>
      <c r="P129" s="177">
        <v>173.0</v>
      </c>
      <c r="Q129" s="177">
        <v>296.0</v>
      </c>
      <c r="R129" s="177">
        <v>58.4</v>
      </c>
      <c r="S129" s="177">
        <v>2210.0</v>
      </c>
      <c r="T129" s="177">
        <v>20.0</v>
      </c>
      <c r="U129" s="177">
        <v>6.8</v>
      </c>
      <c r="V129" s="177">
        <v>6.0</v>
      </c>
      <c r="W129" s="177">
        <v>2.0</v>
      </c>
      <c r="X129" s="177">
        <v>105.0</v>
      </c>
      <c r="Y129" s="177">
        <v>47.1</v>
      </c>
      <c r="Z129" s="177">
        <v>85.0</v>
      </c>
      <c r="AA129" s="177">
        <v>7.5</v>
      </c>
      <c r="AB129" s="177">
        <v>7.91</v>
      </c>
      <c r="AC129" s="177">
        <v>12.8</v>
      </c>
      <c r="AD129" s="177">
        <v>200.9</v>
      </c>
      <c r="AE129" s="177">
        <v>96.0</v>
      </c>
      <c r="AF129" s="177">
        <v>10.0</v>
      </c>
      <c r="AG129" s="177">
        <v>80.0</v>
      </c>
      <c r="AH129" s="177">
        <v>3.27</v>
      </c>
      <c r="AI129" s="177">
        <v>6.96</v>
      </c>
      <c r="AJ129" s="177">
        <v>7.39</v>
      </c>
      <c r="AK129" s="177">
        <v>1.0</v>
      </c>
      <c r="AL129" s="177">
        <v>2.0</v>
      </c>
      <c r="AM129" s="177">
        <v>10.0</v>
      </c>
      <c r="AN129" s="181" t="s">
        <v>419</v>
      </c>
      <c r="AO129" s="33"/>
      <c r="AP129" s="33"/>
      <c r="AQ129" s="33"/>
      <c r="AR129" s="33"/>
      <c r="AS129" s="33"/>
    </row>
    <row r="130" hidden="1" outlineLevel="1">
      <c r="A130" s="184" t="s">
        <v>59</v>
      </c>
      <c r="B130" s="176">
        <v>1984.0</v>
      </c>
      <c r="C130" s="180">
        <f t="array" ref="C130">xlookup(B130,DATA_LEAGUE_AVG!A:A,DATA_LEAGUE_AVG!H:H)</f>
        <v>511.6</v>
      </c>
      <c r="D130" s="177" t="b">
        <f t="shared" si="1"/>
        <v>1</v>
      </c>
      <c r="E130" s="177">
        <v>23.0</v>
      </c>
      <c r="F130" s="181" t="s">
        <v>143</v>
      </c>
      <c r="G130" s="181" t="s">
        <v>369</v>
      </c>
      <c r="H130" s="181" t="s">
        <v>90</v>
      </c>
      <c r="I130" s="180">
        <f t="array" ref="I130">xlookup(B130,DATA_LEAGUE_AVG!A:A,DATA_LEAGUE_AVG!C:C)</f>
        <v>3294.2</v>
      </c>
      <c r="J130" s="180">
        <f t="array" ref="J130">xlookup(B130,DATA_LEAGUE_AVG!A:A,DATA_LEAGUE_AVG!D:D)</f>
        <v>22</v>
      </c>
      <c r="K130" s="177">
        <f t="shared" ref="K130:L130" si="121">S130/I130</f>
        <v>1.54331856</v>
      </c>
      <c r="L130" s="177">
        <f t="shared" si="121"/>
        <v>2.181818182</v>
      </c>
      <c r="M130" s="177">
        <v>16.0</v>
      </c>
      <c r="N130" s="177">
        <v>16.0</v>
      </c>
      <c r="O130" s="181" t="s">
        <v>370</v>
      </c>
      <c r="P130" s="177">
        <v>362.0</v>
      </c>
      <c r="Q130" s="177">
        <v>564.0</v>
      </c>
      <c r="R130" s="177">
        <v>64.2</v>
      </c>
      <c r="S130" s="177">
        <v>5084.0</v>
      </c>
      <c r="T130" s="177">
        <v>48.0</v>
      </c>
      <c r="U130" s="177">
        <v>8.5</v>
      </c>
      <c r="V130" s="177">
        <v>17.0</v>
      </c>
      <c r="W130" s="177">
        <v>3.0</v>
      </c>
      <c r="X130" s="177">
        <v>239.0</v>
      </c>
      <c r="Y130" s="177">
        <v>54.9</v>
      </c>
      <c r="Z130" s="177">
        <v>80.0</v>
      </c>
      <c r="AA130" s="177">
        <v>9.0</v>
      </c>
      <c r="AB130" s="177">
        <v>9.36</v>
      </c>
      <c r="AC130" s="177">
        <v>14.0</v>
      </c>
      <c r="AD130" s="177">
        <v>317.8</v>
      </c>
      <c r="AE130" s="177">
        <v>108.9</v>
      </c>
      <c r="AF130" s="177">
        <v>13.0</v>
      </c>
      <c r="AG130" s="177">
        <v>120.0</v>
      </c>
      <c r="AH130" s="177">
        <v>2.25</v>
      </c>
      <c r="AI130" s="177">
        <v>8.6</v>
      </c>
      <c r="AJ130" s="177">
        <v>8.94</v>
      </c>
      <c r="AK130" s="177">
        <v>2.0</v>
      </c>
      <c r="AL130" s="177">
        <v>3.0</v>
      </c>
      <c r="AM130" s="177">
        <v>21.0</v>
      </c>
      <c r="AN130" s="181" t="s">
        <v>383</v>
      </c>
      <c r="AO130" s="33"/>
      <c r="AP130" s="33"/>
      <c r="AQ130" s="33"/>
      <c r="AR130" s="33"/>
      <c r="AS130" s="33"/>
    </row>
    <row r="131" hidden="1" outlineLevel="1">
      <c r="A131" s="184" t="s">
        <v>59</v>
      </c>
      <c r="B131" s="176">
        <v>1985.0</v>
      </c>
      <c r="C131" s="180">
        <f t="array" ref="C131">xlookup(B131,DATA_LEAGUE_AVG!A:A,DATA_LEAGUE_AVG!H:H)</f>
        <v>515.1</v>
      </c>
      <c r="D131" s="177" t="b">
        <f t="shared" si="1"/>
        <v>1</v>
      </c>
      <c r="E131" s="177">
        <v>24.0</v>
      </c>
      <c r="F131" s="181" t="s">
        <v>143</v>
      </c>
      <c r="G131" s="181" t="s">
        <v>369</v>
      </c>
      <c r="H131" s="181" t="s">
        <v>90</v>
      </c>
      <c r="I131" s="180">
        <f t="array" ref="I131">xlookup(B131,DATA_LEAGUE_AVG!A:A,DATA_LEAGUE_AVG!C:C)</f>
        <v>3272.2</v>
      </c>
      <c r="J131" s="180">
        <f t="array" ref="J131">xlookup(B131,DATA_LEAGUE_AVG!A:A,DATA_LEAGUE_AVG!D:D)</f>
        <v>21.4</v>
      </c>
      <c r="K131" s="177">
        <f t="shared" ref="K131:L131" si="122">S131/I131</f>
        <v>1.264287024</v>
      </c>
      <c r="L131" s="177">
        <f t="shared" si="122"/>
        <v>1.401869159</v>
      </c>
      <c r="M131" s="177">
        <v>16.0</v>
      </c>
      <c r="N131" s="177">
        <v>16.0</v>
      </c>
      <c r="O131" s="182">
        <v>36864.0</v>
      </c>
      <c r="P131" s="177">
        <v>336.0</v>
      </c>
      <c r="Q131" s="177">
        <v>567.0</v>
      </c>
      <c r="R131" s="177">
        <v>59.3</v>
      </c>
      <c r="S131" s="177">
        <v>4137.0</v>
      </c>
      <c r="T131" s="177">
        <v>30.0</v>
      </c>
      <c r="U131" s="177">
        <v>5.3</v>
      </c>
      <c r="V131" s="177">
        <v>21.0</v>
      </c>
      <c r="W131" s="177">
        <v>3.7</v>
      </c>
      <c r="X131" s="177">
        <v>214.0</v>
      </c>
      <c r="Y131" s="177">
        <v>50.9</v>
      </c>
      <c r="Z131" s="177">
        <v>73.0</v>
      </c>
      <c r="AA131" s="177">
        <v>7.3</v>
      </c>
      <c r="AB131" s="177">
        <v>6.69</v>
      </c>
      <c r="AC131" s="177">
        <v>12.3</v>
      </c>
      <c r="AD131" s="177">
        <v>258.6</v>
      </c>
      <c r="AE131" s="177">
        <v>84.1</v>
      </c>
      <c r="AF131" s="177">
        <v>18.0</v>
      </c>
      <c r="AG131" s="177">
        <v>157.0</v>
      </c>
      <c r="AH131" s="177">
        <v>3.08</v>
      </c>
      <c r="AI131" s="177">
        <v>6.8</v>
      </c>
      <c r="AJ131" s="177">
        <v>6.21</v>
      </c>
      <c r="AK131" s="177">
        <v>3.0</v>
      </c>
      <c r="AL131" s="177">
        <v>5.0</v>
      </c>
      <c r="AM131" s="177">
        <v>15.0</v>
      </c>
      <c r="AN131" s="181" t="s">
        <v>420</v>
      </c>
      <c r="AO131" s="33"/>
      <c r="AP131" s="33"/>
      <c r="AQ131" s="33"/>
      <c r="AR131" s="33"/>
      <c r="AS131" s="33"/>
    </row>
    <row r="132" hidden="1" outlineLevel="1">
      <c r="A132" s="184" t="s">
        <v>59</v>
      </c>
      <c r="B132" s="176">
        <v>1986.0</v>
      </c>
      <c r="C132" s="180">
        <f t="array" ref="C132">xlookup(B132,DATA_LEAGUE_AVG!A:A,DATA_LEAGUE_AVG!H:H)</f>
        <v>516.8</v>
      </c>
      <c r="D132" s="177" t="b">
        <f t="shared" si="1"/>
        <v>1</v>
      </c>
      <c r="E132" s="177">
        <v>25.0</v>
      </c>
      <c r="F132" s="181" t="s">
        <v>143</v>
      </c>
      <c r="G132" s="181" t="s">
        <v>369</v>
      </c>
      <c r="H132" s="181" t="s">
        <v>90</v>
      </c>
      <c r="I132" s="180">
        <f t="array" ref="I132">xlookup(B132,DATA_LEAGUE_AVG!A:A,DATA_LEAGUE_AVG!C:C)</f>
        <v>3288.6</v>
      </c>
      <c r="J132" s="180">
        <f t="array" ref="J132">xlookup(B132,DATA_LEAGUE_AVG!A:A,DATA_LEAGUE_AVG!D:D)</f>
        <v>20.9</v>
      </c>
      <c r="K132" s="177">
        <f t="shared" ref="K132:L132" si="123">S132/I132</f>
        <v>1.443167305</v>
      </c>
      <c r="L132" s="177">
        <f t="shared" si="123"/>
        <v>2.105263158</v>
      </c>
      <c r="M132" s="177">
        <v>16.0</v>
      </c>
      <c r="N132" s="177">
        <v>16.0</v>
      </c>
      <c r="O132" s="182">
        <v>36746.0</v>
      </c>
      <c r="P132" s="177">
        <v>378.0</v>
      </c>
      <c r="Q132" s="177">
        <v>623.0</v>
      </c>
      <c r="R132" s="177">
        <v>60.7</v>
      </c>
      <c r="S132" s="177">
        <v>4746.0</v>
      </c>
      <c r="T132" s="177">
        <v>44.0</v>
      </c>
      <c r="U132" s="177">
        <v>7.1</v>
      </c>
      <c r="V132" s="177">
        <v>23.0</v>
      </c>
      <c r="W132" s="177">
        <v>3.7</v>
      </c>
      <c r="X132" s="177">
        <v>245.0</v>
      </c>
      <c r="Y132" s="177">
        <v>50.6</v>
      </c>
      <c r="Z132" s="177">
        <v>85.0</v>
      </c>
      <c r="AA132" s="177">
        <v>7.6</v>
      </c>
      <c r="AB132" s="177">
        <v>7.37</v>
      </c>
      <c r="AC132" s="177">
        <v>12.6</v>
      </c>
      <c r="AD132" s="177">
        <v>296.6</v>
      </c>
      <c r="AE132" s="177">
        <v>92.5</v>
      </c>
      <c r="AF132" s="177">
        <v>17.0</v>
      </c>
      <c r="AG132" s="177">
        <v>119.0</v>
      </c>
      <c r="AH132" s="177">
        <v>2.66</v>
      </c>
      <c r="AI132" s="177">
        <v>7.23</v>
      </c>
      <c r="AJ132" s="177">
        <v>6.99</v>
      </c>
      <c r="AK132" s="177">
        <v>1.0</v>
      </c>
      <c r="AL132" s="177">
        <v>2.0</v>
      </c>
      <c r="AM132" s="177">
        <v>19.0</v>
      </c>
      <c r="AN132" s="181" t="s">
        <v>382</v>
      </c>
      <c r="AO132" s="33"/>
      <c r="AP132" s="33"/>
      <c r="AQ132" s="33"/>
      <c r="AR132" s="33"/>
      <c r="AS132" s="33"/>
    </row>
    <row r="133" hidden="1" outlineLevel="1">
      <c r="A133" s="184" t="s">
        <v>59</v>
      </c>
      <c r="B133" s="176">
        <v>1987.0</v>
      </c>
      <c r="C133" s="180">
        <f t="array" ref="C133">xlookup(B133,DATA_LEAGUE_AVG!A:A,DATA_LEAGUE_AVG!H:H)</f>
        <v>481.8</v>
      </c>
      <c r="D133" s="177" t="b">
        <f t="shared" si="1"/>
        <v>1</v>
      </c>
      <c r="E133" s="177">
        <v>26.0</v>
      </c>
      <c r="F133" s="181" t="s">
        <v>143</v>
      </c>
      <c r="G133" s="181" t="s">
        <v>369</v>
      </c>
      <c r="H133" s="181" t="s">
        <v>90</v>
      </c>
      <c r="I133" s="180">
        <f t="array" ref="I133">xlookup(B133,DATA_LEAGUE_AVG!A:A,DATA_LEAGUE_AVG!C:C)</f>
        <v>3058.8</v>
      </c>
      <c r="J133" s="180">
        <f t="array" ref="J133">xlookup(B133,DATA_LEAGUE_AVG!A:A,DATA_LEAGUE_AVG!D:D)</f>
        <v>21.8</v>
      </c>
      <c r="K133" s="177">
        <f t="shared" ref="K133:L133" si="124">S133/I133</f>
        <v>1.060873545</v>
      </c>
      <c r="L133" s="177">
        <f t="shared" si="124"/>
        <v>1.19266055</v>
      </c>
      <c r="M133" s="177">
        <v>12.0</v>
      </c>
      <c r="N133" s="177">
        <v>12.0</v>
      </c>
      <c r="O133" s="182">
        <v>36712.0</v>
      </c>
      <c r="P133" s="177">
        <v>263.0</v>
      </c>
      <c r="Q133" s="177">
        <v>444.0</v>
      </c>
      <c r="R133" s="177">
        <v>59.2</v>
      </c>
      <c r="S133" s="177">
        <v>3245.0</v>
      </c>
      <c r="T133" s="177">
        <v>26.0</v>
      </c>
      <c r="U133" s="177">
        <v>5.9</v>
      </c>
      <c r="V133" s="177">
        <v>13.0</v>
      </c>
      <c r="W133" s="177">
        <v>2.9</v>
      </c>
      <c r="X133" s="177">
        <v>158.0</v>
      </c>
      <c r="Y133" s="177">
        <v>50.1</v>
      </c>
      <c r="Z133" s="177">
        <v>59.0</v>
      </c>
      <c r="AA133" s="177">
        <v>7.3</v>
      </c>
      <c r="AB133" s="177">
        <v>7.16</v>
      </c>
      <c r="AC133" s="177">
        <v>12.3</v>
      </c>
      <c r="AD133" s="177">
        <v>270.4</v>
      </c>
      <c r="AE133" s="177">
        <v>89.2</v>
      </c>
      <c r="AF133" s="177">
        <v>9.0</v>
      </c>
      <c r="AG133" s="177">
        <v>77.0</v>
      </c>
      <c r="AH133" s="177">
        <v>1.99</v>
      </c>
      <c r="AI133" s="177">
        <v>6.99</v>
      </c>
      <c r="AJ133" s="177">
        <v>6.85</v>
      </c>
      <c r="AK133" s="177">
        <v>2.0</v>
      </c>
      <c r="AL133" s="177">
        <v>2.0</v>
      </c>
      <c r="AM133" s="177">
        <v>12.0</v>
      </c>
      <c r="AN133" s="181" t="s">
        <v>380</v>
      </c>
      <c r="AO133" s="33"/>
      <c r="AP133" s="33"/>
      <c r="AQ133" s="33"/>
      <c r="AR133" s="33"/>
      <c r="AS133" s="33"/>
    </row>
    <row r="134" hidden="1" outlineLevel="1">
      <c r="A134" s="184" t="s">
        <v>59</v>
      </c>
      <c r="B134" s="176">
        <v>1988.0</v>
      </c>
      <c r="C134" s="180">
        <f t="array" ref="C134">xlookup(B134,DATA_LEAGUE_AVG!A:A,DATA_LEAGUE_AVG!H:H)</f>
        <v>504.7</v>
      </c>
      <c r="D134" s="177" t="b">
        <f t="shared" si="1"/>
        <v>1</v>
      </c>
      <c r="E134" s="177">
        <v>27.0</v>
      </c>
      <c r="F134" s="181" t="s">
        <v>143</v>
      </c>
      <c r="G134" s="181" t="s">
        <v>369</v>
      </c>
      <c r="H134" s="181" t="s">
        <v>90</v>
      </c>
      <c r="I134" s="180">
        <f t="array" ref="I134">xlookup(B134,DATA_LEAGUE_AVG!A:A,DATA_LEAGUE_AVG!C:C)</f>
        <v>3210.5</v>
      </c>
      <c r="J134" s="180">
        <f t="array" ref="J134">xlookup(B134,DATA_LEAGUE_AVG!A:A,DATA_LEAGUE_AVG!D:D)</f>
        <v>19.9</v>
      </c>
      <c r="K134" s="177">
        <f t="shared" ref="K134:L134" si="125">S134/I134</f>
        <v>1.381093288</v>
      </c>
      <c r="L134" s="177">
        <f t="shared" si="125"/>
        <v>1.407035176</v>
      </c>
      <c r="M134" s="177">
        <v>16.0</v>
      </c>
      <c r="N134" s="177">
        <v>16.0</v>
      </c>
      <c r="O134" s="182">
        <v>36687.0</v>
      </c>
      <c r="P134" s="177">
        <v>354.0</v>
      </c>
      <c r="Q134" s="177">
        <v>606.0</v>
      </c>
      <c r="R134" s="177">
        <v>58.4</v>
      </c>
      <c r="S134" s="177">
        <v>4434.0</v>
      </c>
      <c r="T134" s="177">
        <v>28.0</v>
      </c>
      <c r="U134" s="177">
        <v>4.6</v>
      </c>
      <c r="V134" s="177">
        <v>23.0</v>
      </c>
      <c r="W134" s="177">
        <v>3.8</v>
      </c>
      <c r="X134" s="177">
        <v>212.0</v>
      </c>
      <c r="Y134" s="177">
        <v>50.0</v>
      </c>
      <c r="Z134" s="177">
        <v>80.0</v>
      </c>
      <c r="AA134" s="177">
        <v>7.3</v>
      </c>
      <c r="AB134" s="177">
        <v>6.53</v>
      </c>
      <c r="AC134" s="177">
        <v>12.5</v>
      </c>
      <c r="AD134" s="177">
        <v>277.1</v>
      </c>
      <c r="AE134" s="177">
        <v>80.8</v>
      </c>
      <c r="AF134" s="177">
        <v>6.0</v>
      </c>
      <c r="AG134" s="177">
        <v>31.0</v>
      </c>
      <c r="AH134" s="177">
        <v>0.98</v>
      </c>
      <c r="AI134" s="177">
        <v>7.19</v>
      </c>
      <c r="AJ134" s="177">
        <v>6.42</v>
      </c>
      <c r="AK134" s="177">
        <v>1.0</v>
      </c>
      <c r="AL134" s="177">
        <v>2.0</v>
      </c>
      <c r="AM134" s="177">
        <v>14.0</v>
      </c>
      <c r="AN134" s="181" t="s">
        <v>421</v>
      </c>
      <c r="AO134" s="33"/>
      <c r="AP134" s="33"/>
      <c r="AQ134" s="33"/>
      <c r="AR134" s="33"/>
      <c r="AS134" s="33"/>
    </row>
    <row r="135" hidden="1" outlineLevel="1">
      <c r="A135" s="184" t="s">
        <v>59</v>
      </c>
      <c r="B135" s="176">
        <v>1989.0</v>
      </c>
      <c r="C135" s="180">
        <f t="array" ref="C135">xlookup(B135,DATA_LEAGUE_AVG!A:A,DATA_LEAGUE_AVG!H:H)</f>
        <v>512.1</v>
      </c>
      <c r="D135" s="177" t="b">
        <f t="shared" si="1"/>
        <v>1</v>
      </c>
      <c r="E135" s="177">
        <v>28.0</v>
      </c>
      <c r="F135" s="181" t="s">
        <v>143</v>
      </c>
      <c r="G135" s="181" t="s">
        <v>369</v>
      </c>
      <c r="H135" s="181" t="s">
        <v>90</v>
      </c>
      <c r="I135" s="180">
        <f t="array" ref="I135">xlookup(B135,DATA_LEAGUE_AVG!A:A,DATA_LEAGUE_AVG!C:C)</f>
        <v>3374.1</v>
      </c>
      <c r="J135" s="180">
        <f t="array" ref="J135">xlookup(B135,DATA_LEAGUE_AVG!A:A,DATA_LEAGUE_AVG!D:D)</f>
        <v>20.8</v>
      </c>
      <c r="K135" s="177">
        <f t="shared" ref="K135:L135" si="126">S135/I135</f>
        <v>1.184612193</v>
      </c>
      <c r="L135" s="177">
        <f t="shared" si="126"/>
        <v>1.153846154</v>
      </c>
      <c r="M135" s="177">
        <v>16.0</v>
      </c>
      <c r="N135" s="177">
        <v>16.0</v>
      </c>
      <c r="O135" s="182">
        <v>36746.0</v>
      </c>
      <c r="P135" s="177">
        <v>308.0</v>
      </c>
      <c r="Q135" s="177">
        <v>550.0</v>
      </c>
      <c r="R135" s="177">
        <v>56.0</v>
      </c>
      <c r="S135" s="177">
        <v>3997.0</v>
      </c>
      <c r="T135" s="177">
        <v>24.0</v>
      </c>
      <c r="U135" s="177">
        <v>4.4</v>
      </c>
      <c r="V135" s="177">
        <v>22.0</v>
      </c>
      <c r="W135" s="177">
        <v>4.0</v>
      </c>
      <c r="X135" s="177">
        <v>186.0</v>
      </c>
      <c r="Y135" s="177">
        <v>47.5</v>
      </c>
      <c r="Z135" s="177">
        <v>78.0</v>
      </c>
      <c r="AA135" s="177">
        <v>7.3</v>
      </c>
      <c r="AB135" s="177">
        <v>6.34</v>
      </c>
      <c r="AC135" s="177">
        <v>13.0</v>
      </c>
      <c r="AD135" s="177">
        <v>249.8</v>
      </c>
      <c r="AE135" s="177">
        <v>76.9</v>
      </c>
      <c r="AF135" s="177">
        <v>10.0</v>
      </c>
      <c r="AG135" s="177">
        <v>86.0</v>
      </c>
      <c r="AH135" s="177">
        <v>1.79</v>
      </c>
      <c r="AI135" s="177">
        <v>6.98</v>
      </c>
      <c r="AJ135" s="177">
        <v>6.07</v>
      </c>
      <c r="AK135" s="177">
        <v>2.0</v>
      </c>
      <c r="AL135" s="177">
        <v>4.0</v>
      </c>
      <c r="AM135" s="177">
        <v>12.0</v>
      </c>
      <c r="AN135" s="183"/>
      <c r="AO135" s="33"/>
      <c r="AP135" s="33"/>
      <c r="AQ135" s="33"/>
      <c r="AR135" s="33"/>
      <c r="AS135" s="33"/>
    </row>
    <row r="136" hidden="1" outlineLevel="1">
      <c r="A136" s="184" t="s">
        <v>59</v>
      </c>
      <c r="B136" s="176">
        <v>1990.0</v>
      </c>
      <c r="C136" s="180">
        <f t="array" ref="C136">xlookup(B136,DATA_LEAGUE_AVG!A:A,DATA_LEAGUE_AVG!H:H)</f>
        <v>482.7</v>
      </c>
      <c r="D136" s="177" t="b">
        <f t="shared" si="1"/>
        <v>1</v>
      </c>
      <c r="E136" s="177">
        <v>29.0</v>
      </c>
      <c r="F136" s="181" t="s">
        <v>143</v>
      </c>
      <c r="G136" s="181" t="s">
        <v>369</v>
      </c>
      <c r="H136" s="181" t="s">
        <v>90</v>
      </c>
      <c r="I136" s="180">
        <f t="array" ref="I136">xlookup(B136,DATA_LEAGUE_AVG!A:A,DATA_LEAGUE_AVG!C:C)</f>
        <v>3116</v>
      </c>
      <c r="J136" s="180">
        <f t="array" ref="J136">xlookup(B136,DATA_LEAGUE_AVG!A:A,DATA_LEAGUE_AVG!D:D)</f>
        <v>20.5</v>
      </c>
      <c r="K136" s="177">
        <f t="shared" ref="K136:L136" si="127">S136/I136</f>
        <v>1.143453145</v>
      </c>
      <c r="L136" s="177">
        <f t="shared" si="127"/>
        <v>1.024390244</v>
      </c>
      <c r="M136" s="177">
        <v>16.0</v>
      </c>
      <c r="N136" s="177">
        <v>16.0</v>
      </c>
      <c r="O136" s="182">
        <v>36864.0</v>
      </c>
      <c r="P136" s="177">
        <v>306.0</v>
      </c>
      <c r="Q136" s="177">
        <v>531.0</v>
      </c>
      <c r="R136" s="177">
        <v>57.6</v>
      </c>
      <c r="S136" s="177">
        <v>3563.0</v>
      </c>
      <c r="T136" s="177">
        <v>21.0</v>
      </c>
      <c r="U136" s="177">
        <v>4.0</v>
      </c>
      <c r="V136" s="177">
        <v>11.0</v>
      </c>
      <c r="W136" s="177">
        <v>2.1</v>
      </c>
      <c r="X136" s="177">
        <v>187.0</v>
      </c>
      <c r="Y136" s="177">
        <v>46.2</v>
      </c>
      <c r="Z136" s="177">
        <v>69.0</v>
      </c>
      <c r="AA136" s="177">
        <v>6.7</v>
      </c>
      <c r="AB136" s="177">
        <v>6.57</v>
      </c>
      <c r="AC136" s="177">
        <v>11.6</v>
      </c>
      <c r="AD136" s="177">
        <v>222.7</v>
      </c>
      <c r="AE136" s="177">
        <v>82.6</v>
      </c>
      <c r="AF136" s="177">
        <v>15.0</v>
      </c>
      <c r="AG136" s="177">
        <v>90.0</v>
      </c>
      <c r="AH136" s="177">
        <v>2.75</v>
      </c>
      <c r="AI136" s="177">
        <v>6.36</v>
      </c>
      <c r="AJ136" s="177">
        <v>6.22</v>
      </c>
      <c r="AK136" s="177">
        <v>3.0</v>
      </c>
      <c r="AL136" s="177">
        <v>3.0</v>
      </c>
      <c r="AM136" s="177">
        <v>12.0</v>
      </c>
      <c r="AN136" s="183"/>
      <c r="AO136" s="33"/>
      <c r="AP136" s="33"/>
      <c r="AQ136" s="33"/>
      <c r="AR136" s="33"/>
      <c r="AS136" s="33"/>
    </row>
    <row r="137" hidden="1" outlineLevel="1">
      <c r="A137" s="184" t="s">
        <v>59</v>
      </c>
      <c r="B137" s="176">
        <v>1991.0</v>
      </c>
      <c r="C137" s="180">
        <f t="array" ref="C137">xlookup(B137,DATA_LEAGUE_AVG!A:A,DATA_LEAGUE_AVG!H:H)</f>
        <v>498.2</v>
      </c>
      <c r="D137" s="177" t="b">
        <f t="shared" si="1"/>
        <v>1</v>
      </c>
      <c r="E137" s="177">
        <v>30.0</v>
      </c>
      <c r="F137" s="181" t="s">
        <v>143</v>
      </c>
      <c r="G137" s="181" t="s">
        <v>369</v>
      </c>
      <c r="H137" s="181" t="s">
        <v>90</v>
      </c>
      <c r="I137" s="180">
        <f t="array" ref="I137">xlookup(B137,DATA_LEAGUE_AVG!A:A,DATA_LEAGUE_AVG!C:C)</f>
        <v>3185.8</v>
      </c>
      <c r="J137" s="180">
        <f t="array" ref="J137">xlookup(B137,DATA_LEAGUE_AVG!A:A,DATA_LEAGUE_AVG!D:D)</f>
        <v>18.3</v>
      </c>
      <c r="K137" s="177">
        <f t="shared" ref="K137:L137" si="128">S137/I137</f>
        <v>1.246154812</v>
      </c>
      <c r="L137" s="177">
        <f t="shared" si="128"/>
        <v>1.366120219</v>
      </c>
      <c r="M137" s="177">
        <v>16.0</v>
      </c>
      <c r="N137" s="177">
        <v>16.0</v>
      </c>
      <c r="O137" s="182">
        <v>36746.0</v>
      </c>
      <c r="P137" s="177">
        <v>318.0</v>
      </c>
      <c r="Q137" s="177">
        <v>549.0</v>
      </c>
      <c r="R137" s="177">
        <v>57.9</v>
      </c>
      <c r="S137" s="177">
        <v>3970.0</v>
      </c>
      <c r="T137" s="177">
        <v>25.0</v>
      </c>
      <c r="U137" s="177">
        <v>4.6</v>
      </c>
      <c r="V137" s="177">
        <v>13.0</v>
      </c>
      <c r="W137" s="177">
        <v>2.4</v>
      </c>
      <c r="X137" s="177">
        <v>199.0</v>
      </c>
      <c r="Y137" s="177">
        <v>49.1</v>
      </c>
      <c r="Z137" s="177">
        <v>54.0</v>
      </c>
      <c r="AA137" s="177">
        <v>7.2</v>
      </c>
      <c r="AB137" s="177">
        <v>7.08</v>
      </c>
      <c r="AC137" s="177">
        <v>12.5</v>
      </c>
      <c r="AD137" s="177">
        <v>248.1</v>
      </c>
      <c r="AE137" s="177">
        <v>85.8</v>
      </c>
      <c r="AF137" s="177">
        <v>27.0</v>
      </c>
      <c r="AG137" s="177">
        <v>182.0</v>
      </c>
      <c r="AH137" s="177">
        <v>4.69</v>
      </c>
      <c r="AI137" s="177">
        <v>6.58</v>
      </c>
      <c r="AJ137" s="177">
        <v>6.43</v>
      </c>
      <c r="AK137" s="177">
        <v>1.0</v>
      </c>
      <c r="AL137" s="177">
        <v>3.0</v>
      </c>
      <c r="AM137" s="177">
        <v>15.0</v>
      </c>
      <c r="AN137" s="181" t="s">
        <v>380</v>
      </c>
      <c r="AO137" s="33"/>
      <c r="AP137" s="33"/>
      <c r="AQ137" s="33"/>
      <c r="AR137" s="33"/>
      <c r="AS137" s="33"/>
    </row>
    <row r="138" hidden="1" outlineLevel="1">
      <c r="A138" s="184" t="s">
        <v>59</v>
      </c>
      <c r="B138" s="176">
        <v>1992.0</v>
      </c>
      <c r="C138" s="180">
        <f t="array" ref="C138">xlookup(B138,DATA_LEAGUE_AVG!A:A,DATA_LEAGUE_AVG!H:H)</f>
        <v>478.9</v>
      </c>
      <c r="D138" s="177" t="b">
        <f t="shared" si="1"/>
        <v>1</v>
      </c>
      <c r="E138" s="177">
        <v>31.0</v>
      </c>
      <c r="F138" s="181" t="s">
        <v>143</v>
      </c>
      <c r="G138" s="181" t="s">
        <v>369</v>
      </c>
      <c r="H138" s="181" t="s">
        <v>90</v>
      </c>
      <c r="I138" s="180">
        <f t="array" ref="I138">xlookup(B138,DATA_LEAGUE_AVG!A:A,DATA_LEAGUE_AVG!C:C)</f>
        <v>3002.3</v>
      </c>
      <c r="J138" s="180">
        <f t="array" ref="J138">xlookup(B138,DATA_LEAGUE_AVG!A:A,DATA_LEAGUE_AVG!D:D)</f>
        <v>18.4</v>
      </c>
      <c r="K138" s="177">
        <f t="shared" ref="K138:L138" si="129">S138/I138</f>
        <v>1.370948939</v>
      </c>
      <c r="L138" s="177">
        <f t="shared" si="129"/>
        <v>1.304347826</v>
      </c>
      <c r="M138" s="177">
        <v>16.0</v>
      </c>
      <c r="N138" s="177">
        <v>16.0</v>
      </c>
      <c r="O138" s="182">
        <v>36835.0</v>
      </c>
      <c r="P138" s="177">
        <v>330.0</v>
      </c>
      <c r="Q138" s="177">
        <v>554.0</v>
      </c>
      <c r="R138" s="177">
        <v>59.6</v>
      </c>
      <c r="S138" s="177">
        <v>4116.0</v>
      </c>
      <c r="T138" s="177">
        <v>24.0</v>
      </c>
      <c r="U138" s="177">
        <v>4.3</v>
      </c>
      <c r="V138" s="177">
        <v>16.0</v>
      </c>
      <c r="W138" s="177">
        <v>2.9</v>
      </c>
      <c r="X138" s="177">
        <v>192.0</v>
      </c>
      <c r="Y138" s="177">
        <v>48.1</v>
      </c>
      <c r="Z138" s="177">
        <v>62.0</v>
      </c>
      <c r="AA138" s="177">
        <v>7.4</v>
      </c>
      <c r="AB138" s="177">
        <v>7.0</v>
      </c>
      <c r="AC138" s="177">
        <v>12.5</v>
      </c>
      <c r="AD138" s="177">
        <v>257.3</v>
      </c>
      <c r="AE138" s="177">
        <v>85.1</v>
      </c>
      <c r="AF138" s="177">
        <v>28.0</v>
      </c>
      <c r="AG138" s="177">
        <v>173.0</v>
      </c>
      <c r="AH138" s="177">
        <v>4.81</v>
      </c>
      <c r="AI138" s="177">
        <v>6.77</v>
      </c>
      <c r="AJ138" s="177">
        <v>6.36</v>
      </c>
      <c r="AK138" s="177">
        <v>6.0</v>
      </c>
      <c r="AL138" s="177">
        <v>6.0</v>
      </c>
      <c r="AM138" s="177">
        <v>15.0</v>
      </c>
      <c r="AN138" s="181" t="s">
        <v>380</v>
      </c>
      <c r="AO138" s="33"/>
      <c r="AP138" s="33"/>
      <c r="AQ138" s="33"/>
      <c r="AR138" s="33"/>
      <c r="AS138" s="33"/>
    </row>
    <row r="139" hidden="1" outlineLevel="1">
      <c r="A139" s="184" t="s">
        <v>59</v>
      </c>
      <c r="B139" s="176">
        <v>1994.0</v>
      </c>
      <c r="C139" s="180">
        <f t="array" ref="C139">xlookup(B139,DATA_LEAGUE_AVG!A:A,DATA_LEAGUE_AVG!H:H)</f>
        <v>537.7</v>
      </c>
      <c r="D139" s="177" t="b">
        <f t="shared" si="1"/>
        <v>1</v>
      </c>
      <c r="E139" s="177">
        <v>33.0</v>
      </c>
      <c r="F139" s="181" t="s">
        <v>143</v>
      </c>
      <c r="G139" s="181" t="s">
        <v>369</v>
      </c>
      <c r="H139" s="181" t="s">
        <v>90</v>
      </c>
      <c r="I139" s="180">
        <f t="array" ref="I139">xlookup(B139,DATA_LEAGUE_AVG!A:A,DATA_LEAGUE_AVG!C:C)</f>
        <v>3417.6</v>
      </c>
      <c r="J139" s="180">
        <f t="array" ref="J139">xlookup(B139,DATA_LEAGUE_AVG!A:A,DATA_LEAGUE_AVG!D:D)</f>
        <v>20.8</v>
      </c>
      <c r="K139" s="177">
        <f t="shared" ref="K139:L139" si="130">S139/I139</f>
        <v>1.302961142</v>
      </c>
      <c r="L139" s="177">
        <f t="shared" si="130"/>
        <v>1.442307692</v>
      </c>
      <c r="M139" s="177">
        <v>16.0</v>
      </c>
      <c r="N139" s="177">
        <v>16.0</v>
      </c>
      <c r="O139" s="182">
        <v>36805.0</v>
      </c>
      <c r="P139" s="177">
        <v>385.0</v>
      </c>
      <c r="Q139" s="177">
        <v>615.0</v>
      </c>
      <c r="R139" s="177">
        <v>62.6</v>
      </c>
      <c r="S139" s="177">
        <v>4453.0</v>
      </c>
      <c r="T139" s="177">
        <v>30.0</v>
      </c>
      <c r="U139" s="177">
        <v>4.9</v>
      </c>
      <c r="V139" s="177">
        <v>17.0</v>
      </c>
      <c r="W139" s="177">
        <v>2.8</v>
      </c>
      <c r="X139" s="177">
        <v>214.0</v>
      </c>
      <c r="Y139" s="177">
        <v>49.0</v>
      </c>
      <c r="Z139" s="177">
        <v>64.0</v>
      </c>
      <c r="AA139" s="177">
        <v>7.2</v>
      </c>
      <c r="AB139" s="177">
        <v>6.97</v>
      </c>
      <c r="AC139" s="177">
        <v>11.6</v>
      </c>
      <c r="AD139" s="177">
        <v>278.3</v>
      </c>
      <c r="AE139" s="177">
        <v>89.2</v>
      </c>
      <c r="AF139" s="177">
        <v>18.0</v>
      </c>
      <c r="AG139" s="177">
        <v>113.0</v>
      </c>
      <c r="AH139" s="177">
        <v>2.84</v>
      </c>
      <c r="AI139" s="177">
        <v>6.86</v>
      </c>
      <c r="AJ139" s="177">
        <v>6.6</v>
      </c>
      <c r="AK139" s="177">
        <v>4.0</v>
      </c>
      <c r="AL139" s="177">
        <v>4.0</v>
      </c>
      <c r="AM139" s="177">
        <v>15.0</v>
      </c>
      <c r="AN139" s="181" t="s">
        <v>379</v>
      </c>
      <c r="AO139" s="33"/>
      <c r="AP139" s="33"/>
      <c r="AQ139" s="33"/>
      <c r="AR139" s="33"/>
      <c r="AS139" s="33"/>
    </row>
    <row r="140" hidden="1" outlineLevel="1">
      <c r="A140" s="184" t="s">
        <v>59</v>
      </c>
      <c r="B140" s="176">
        <v>1995.0</v>
      </c>
      <c r="C140" s="180">
        <f t="array" ref="C140">xlookup(B140,DATA_LEAGUE_AVG!A:A,DATA_LEAGUE_AVG!H:H)</f>
        <v>556.6</v>
      </c>
      <c r="D140" s="177" t="b">
        <f t="shared" si="1"/>
        <v>1</v>
      </c>
      <c r="E140" s="177">
        <v>34.0</v>
      </c>
      <c r="F140" s="181" t="s">
        <v>143</v>
      </c>
      <c r="G140" s="181" t="s">
        <v>369</v>
      </c>
      <c r="H140" s="181" t="s">
        <v>90</v>
      </c>
      <c r="I140" s="180">
        <f t="array" ref="I140">xlookup(B140,DATA_LEAGUE_AVG!A:A,DATA_LEAGUE_AVG!C:C)</f>
        <v>3532.5</v>
      </c>
      <c r="J140" s="180">
        <f t="array" ref="J140">xlookup(B140,DATA_LEAGUE_AVG!A:A,DATA_LEAGUE_AVG!D:D)</f>
        <v>22.1</v>
      </c>
      <c r="K140" s="177">
        <f t="shared" ref="K140:L140" si="131">S140/I140</f>
        <v>1.038358103</v>
      </c>
      <c r="L140" s="177">
        <f t="shared" si="131"/>
        <v>1.085972851</v>
      </c>
      <c r="M140" s="177">
        <v>14.0</v>
      </c>
      <c r="N140" s="177">
        <v>14.0</v>
      </c>
      <c r="O140" s="182">
        <v>36774.0</v>
      </c>
      <c r="P140" s="177">
        <v>309.0</v>
      </c>
      <c r="Q140" s="177">
        <v>482.0</v>
      </c>
      <c r="R140" s="177">
        <v>64.1</v>
      </c>
      <c r="S140" s="177">
        <v>3668.0</v>
      </c>
      <c r="T140" s="177">
        <v>24.0</v>
      </c>
      <c r="U140" s="177">
        <v>5.0</v>
      </c>
      <c r="V140" s="177">
        <v>15.0</v>
      </c>
      <c r="W140" s="177">
        <v>3.1</v>
      </c>
      <c r="X140" s="177">
        <v>189.0</v>
      </c>
      <c r="Y140" s="177">
        <v>49.8</v>
      </c>
      <c r="Z140" s="177">
        <v>67.0</v>
      </c>
      <c r="AA140" s="177">
        <v>7.6</v>
      </c>
      <c r="AB140" s="177">
        <v>7.21</v>
      </c>
      <c r="AC140" s="177">
        <v>11.9</v>
      </c>
      <c r="AD140" s="177">
        <v>262.0</v>
      </c>
      <c r="AE140" s="177">
        <v>90.8</v>
      </c>
      <c r="AF140" s="177">
        <v>22.0</v>
      </c>
      <c r="AG140" s="177">
        <v>153.0</v>
      </c>
      <c r="AH140" s="177">
        <v>4.37</v>
      </c>
      <c r="AI140" s="177">
        <v>6.97</v>
      </c>
      <c r="AJ140" s="177">
        <v>6.59</v>
      </c>
      <c r="AK140" s="177">
        <v>2.0</v>
      </c>
      <c r="AL140" s="177">
        <v>3.0</v>
      </c>
      <c r="AM140" s="177">
        <v>12.0</v>
      </c>
      <c r="AN140" s="181" t="s">
        <v>379</v>
      </c>
      <c r="AO140" s="33"/>
      <c r="AP140" s="33"/>
      <c r="AQ140" s="33"/>
      <c r="AR140" s="33"/>
      <c r="AS140" s="33"/>
    </row>
    <row r="141" hidden="1" outlineLevel="1">
      <c r="A141" s="184" t="s">
        <v>59</v>
      </c>
      <c r="B141" s="176">
        <v>1996.0</v>
      </c>
      <c r="C141" s="180">
        <f t="array" ref="C141">xlookup(B141,DATA_LEAGUE_AVG!A:A,DATA_LEAGUE_AVG!H:H)</f>
        <v>532.2</v>
      </c>
      <c r="D141" s="177" t="b">
        <f t="shared" si="1"/>
        <v>1</v>
      </c>
      <c r="E141" s="177">
        <v>35.0</v>
      </c>
      <c r="F141" s="181" t="s">
        <v>143</v>
      </c>
      <c r="G141" s="181" t="s">
        <v>369</v>
      </c>
      <c r="H141" s="181" t="s">
        <v>90</v>
      </c>
      <c r="I141" s="180">
        <f t="array" ref="I141">xlookup(B141,DATA_LEAGUE_AVG!A:A,DATA_LEAGUE_AVG!C:C)</f>
        <v>3318.9</v>
      </c>
      <c r="J141" s="180">
        <f t="array" ref="J141">xlookup(B141,DATA_LEAGUE_AVG!A:A,DATA_LEAGUE_AVG!D:D)</f>
        <v>20.9</v>
      </c>
      <c r="K141" s="177">
        <f t="shared" ref="K141:L141" si="132">S141/I141</f>
        <v>0.8421464943</v>
      </c>
      <c r="L141" s="177">
        <f t="shared" si="132"/>
        <v>0.8133971292</v>
      </c>
      <c r="M141" s="177">
        <v>13.0</v>
      </c>
      <c r="N141" s="177">
        <v>13.0</v>
      </c>
      <c r="O141" s="182">
        <v>36713.0</v>
      </c>
      <c r="P141" s="177">
        <v>221.0</v>
      </c>
      <c r="Q141" s="177">
        <v>373.0</v>
      </c>
      <c r="R141" s="177">
        <v>59.2</v>
      </c>
      <c r="S141" s="177">
        <v>2795.0</v>
      </c>
      <c r="T141" s="177">
        <v>17.0</v>
      </c>
      <c r="U141" s="177">
        <v>4.6</v>
      </c>
      <c r="V141" s="177">
        <v>9.0</v>
      </c>
      <c r="W141" s="177">
        <v>2.4</v>
      </c>
      <c r="X141" s="177">
        <v>127.0</v>
      </c>
      <c r="Y141" s="177">
        <v>44.0</v>
      </c>
      <c r="Z141" s="177">
        <v>74.0</v>
      </c>
      <c r="AA141" s="177">
        <v>7.5</v>
      </c>
      <c r="AB141" s="177">
        <v>7.32</v>
      </c>
      <c r="AC141" s="177">
        <v>12.6</v>
      </c>
      <c r="AD141" s="177">
        <v>215.0</v>
      </c>
      <c r="AE141" s="177">
        <v>87.8</v>
      </c>
      <c r="AF141" s="177">
        <v>18.0</v>
      </c>
      <c r="AG141" s="177">
        <v>131.0</v>
      </c>
      <c r="AH141" s="177">
        <v>4.6</v>
      </c>
      <c r="AI141" s="177">
        <v>6.81</v>
      </c>
      <c r="AJ141" s="177">
        <v>6.65</v>
      </c>
      <c r="AK141" s="177">
        <v>0.0</v>
      </c>
      <c r="AL141" s="177">
        <v>1.0</v>
      </c>
      <c r="AM141" s="177">
        <v>9.0</v>
      </c>
      <c r="AN141" s="183"/>
      <c r="AO141" s="33"/>
      <c r="AP141" s="33"/>
      <c r="AQ141" s="33"/>
      <c r="AR141" s="33"/>
      <c r="AS141" s="33"/>
    </row>
    <row r="142" hidden="1" outlineLevel="1">
      <c r="A142" s="184" t="s">
        <v>59</v>
      </c>
      <c r="B142" s="176">
        <v>1997.0</v>
      </c>
      <c r="C142" s="180">
        <f t="array" ref="C142">xlookup(B142,DATA_LEAGUE_AVG!A:A,DATA_LEAGUE_AVG!H:H)</f>
        <v>524.3</v>
      </c>
      <c r="D142" s="177" t="b">
        <f t="shared" si="1"/>
        <v>1</v>
      </c>
      <c r="E142" s="177">
        <v>36.0</v>
      </c>
      <c r="F142" s="181" t="s">
        <v>143</v>
      </c>
      <c r="G142" s="181" t="s">
        <v>369</v>
      </c>
      <c r="H142" s="181" t="s">
        <v>90</v>
      </c>
      <c r="I142" s="180">
        <f t="array" ref="I142">xlookup(B142,DATA_LEAGUE_AVG!A:A,DATA_LEAGUE_AVG!C:C)</f>
        <v>3229.2</v>
      </c>
      <c r="J142" s="180">
        <f t="array" ref="J142">xlookup(B142,DATA_LEAGUE_AVG!A:A,DATA_LEAGUE_AVG!D:D)</f>
        <v>20.6</v>
      </c>
      <c r="K142" s="177">
        <f t="shared" ref="K142:L142" si="133">S142/I142</f>
        <v>1.170568562</v>
      </c>
      <c r="L142" s="177">
        <f t="shared" si="133"/>
        <v>0.7766990291</v>
      </c>
      <c r="M142" s="177">
        <v>16.0</v>
      </c>
      <c r="N142" s="177">
        <v>16.0</v>
      </c>
      <c r="O142" s="182">
        <v>36776.0</v>
      </c>
      <c r="P142" s="177">
        <v>319.0</v>
      </c>
      <c r="Q142" s="177">
        <v>548.0</v>
      </c>
      <c r="R142" s="177">
        <v>58.2</v>
      </c>
      <c r="S142" s="177">
        <v>3780.0</v>
      </c>
      <c r="T142" s="177">
        <v>16.0</v>
      </c>
      <c r="U142" s="177">
        <v>2.9</v>
      </c>
      <c r="V142" s="177">
        <v>11.0</v>
      </c>
      <c r="W142" s="177">
        <v>2.0</v>
      </c>
      <c r="X142" s="177">
        <v>190.0</v>
      </c>
      <c r="Y142" s="177">
        <v>46.8</v>
      </c>
      <c r="Z142" s="177">
        <v>55.0</v>
      </c>
      <c r="AA142" s="177">
        <v>6.9</v>
      </c>
      <c r="AB142" s="177">
        <v>6.58</v>
      </c>
      <c r="AC142" s="177">
        <v>11.8</v>
      </c>
      <c r="AD142" s="177">
        <v>236.3</v>
      </c>
      <c r="AE142" s="177">
        <v>80.7</v>
      </c>
      <c r="AF142" s="177">
        <v>20.0</v>
      </c>
      <c r="AG142" s="177">
        <v>132.0</v>
      </c>
      <c r="AH142" s="177">
        <v>3.52</v>
      </c>
      <c r="AI142" s="177">
        <v>6.42</v>
      </c>
      <c r="AJ142" s="177">
        <v>6.11</v>
      </c>
      <c r="AK142" s="177">
        <v>1.0</v>
      </c>
      <c r="AL142" s="177">
        <v>3.0</v>
      </c>
      <c r="AM142" s="177">
        <v>13.0</v>
      </c>
      <c r="AN142" s="183"/>
      <c r="AO142" s="33"/>
      <c r="AP142" s="33"/>
      <c r="AQ142" s="33"/>
      <c r="AR142" s="33"/>
      <c r="AS142" s="33"/>
    </row>
    <row r="143" hidden="1" outlineLevel="1">
      <c r="A143" s="184" t="s">
        <v>59</v>
      </c>
      <c r="B143" s="176">
        <v>1998.0</v>
      </c>
      <c r="C143" s="180">
        <f t="array" ref="C143">xlookup(B143,DATA_LEAGUE_AVG!A:A,DATA_LEAGUE_AVG!H:H)</f>
        <v>516.3</v>
      </c>
      <c r="D143" s="177" t="b">
        <f t="shared" si="1"/>
        <v>1</v>
      </c>
      <c r="E143" s="177">
        <v>37.0</v>
      </c>
      <c r="F143" s="181" t="s">
        <v>143</v>
      </c>
      <c r="G143" s="181" t="s">
        <v>369</v>
      </c>
      <c r="H143" s="181" t="s">
        <v>90</v>
      </c>
      <c r="I143" s="180">
        <f t="array" ref="I143">xlookup(B143,DATA_LEAGUE_AVG!A:A,DATA_LEAGUE_AVG!C:C)</f>
        <v>3279.5</v>
      </c>
      <c r="J143" s="180">
        <f t="array" ref="J143">xlookup(B143,DATA_LEAGUE_AVG!A:A,DATA_LEAGUE_AVG!D:D)</f>
        <v>21.9</v>
      </c>
      <c r="K143" s="177">
        <f t="shared" ref="K143:L143" si="134">S143/I143</f>
        <v>1.066321086</v>
      </c>
      <c r="L143" s="177">
        <f t="shared" si="134"/>
        <v>1.050228311</v>
      </c>
      <c r="M143" s="177">
        <v>16.0</v>
      </c>
      <c r="N143" s="177">
        <v>16.0</v>
      </c>
      <c r="O143" s="182">
        <v>36805.0</v>
      </c>
      <c r="P143" s="177">
        <v>310.0</v>
      </c>
      <c r="Q143" s="177">
        <v>537.0</v>
      </c>
      <c r="R143" s="177">
        <v>57.7</v>
      </c>
      <c r="S143" s="177">
        <v>3497.0</v>
      </c>
      <c r="T143" s="177">
        <v>23.0</v>
      </c>
      <c r="U143" s="177">
        <v>4.3</v>
      </c>
      <c r="V143" s="177">
        <v>15.0</v>
      </c>
      <c r="W143" s="177">
        <v>2.8</v>
      </c>
      <c r="X143" s="177">
        <v>173.0</v>
      </c>
      <c r="Y143" s="177">
        <v>43.4</v>
      </c>
      <c r="Z143" s="177">
        <v>61.0</v>
      </c>
      <c r="AA143" s="177">
        <v>6.5</v>
      </c>
      <c r="AB143" s="177">
        <v>6.11</v>
      </c>
      <c r="AC143" s="177">
        <v>11.3</v>
      </c>
      <c r="AD143" s="177">
        <v>218.6</v>
      </c>
      <c r="AE143" s="177">
        <v>80.0</v>
      </c>
      <c r="AF143" s="177">
        <v>23.0</v>
      </c>
      <c r="AG143" s="177">
        <v>178.0</v>
      </c>
      <c r="AH143" s="177">
        <v>4.11</v>
      </c>
      <c r="AI143" s="177">
        <v>5.93</v>
      </c>
      <c r="AJ143" s="177">
        <v>5.54</v>
      </c>
      <c r="AK143" s="177">
        <v>1.0</v>
      </c>
      <c r="AL143" s="177">
        <v>1.0</v>
      </c>
      <c r="AM143" s="177">
        <v>10.0</v>
      </c>
      <c r="AN143" s="183"/>
      <c r="AO143" s="33"/>
      <c r="AP143" s="33"/>
      <c r="AQ143" s="33"/>
      <c r="AR143" s="33"/>
      <c r="AS143" s="33"/>
    </row>
    <row r="144" hidden="1" outlineLevel="1">
      <c r="A144" s="184" t="s">
        <v>59</v>
      </c>
      <c r="B144" s="176">
        <v>1999.0</v>
      </c>
      <c r="C144" s="180">
        <f t="array" ref="C144">xlookup(B144,DATA_LEAGUE_AVG!A:A,DATA_LEAGUE_AVG!H:H)</f>
        <v>540.6</v>
      </c>
      <c r="D144" s="177" t="b">
        <f t="shared" si="1"/>
        <v>1</v>
      </c>
      <c r="E144" s="177">
        <v>38.0</v>
      </c>
      <c r="F144" s="181" t="s">
        <v>143</v>
      </c>
      <c r="G144" s="181" t="s">
        <v>369</v>
      </c>
      <c r="H144" s="181" t="s">
        <v>90</v>
      </c>
      <c r="I144" s="180">
        <f t="array" ref="I144">xlookup(B144,DATA_LEAGUE_AVG!A:A,DATA_LEAGUE_AVG!C:C)</f>
        <v>3396.4</v>
      </c>
      <c r="J144" s="180">
        <f t="array" ref="J144">xlookup(B144,DATA_LEAGUE_AVG!A:A,DATA_LEAGUE_AVG!D:D)</f>
        <v>21.5</v>
      </c>
      <c r="K144" s="177">
        <f t="shared" ref="K144:L144" si="135">S144/I144</f>
        <v>0.720763161</v>
      </c>
      <c r="L144" s="177">
        <f t="shared" si="135"/>
        <v>0.5581395349</v>
      </c>
      <c r="M144" s="177">
        <v>11.0</v>
      </c>
      <c r="N144" s="177">
        <v>11.0</v>
      </c>
      <c r="O144" s="182">
        <v>36652.0</v>
      </c>
      <c r="P144" s="177">
        <v>204.0</v>
      </c>
      <c r="Q144" s="177">
        <v>369.0</v>
      </c>
      <c r="R144" s="177">
        <v>55.3</v>
      </c>
      <c r="S144" s="177">
        <v>2448.0</v>
      </c>
      <c r="T144" s="177">
        <v>12.0</v>
      </c>
      <c r="U144" s="177">
        <v>3.3</v>
      </c>
      <c r="V144" s="177">
        <v>17.0</v>
      </c>
      <c r="W144" s="177">
        <v>4.6</v>
      </c>
      <c r="X144" s="177">
        <v>122.0</v>
      </c>
      <c r="Y144" s="177">
        <v>44.4</v>
      </c>
      <c r="Z144" s="177">
        <v>62.0</v>
      </c>
      <c r="AA144" s="177">
        <v>6.6</v>
      </c>
      <c r="AB144" s="177">
        <v>5.21</v>
      </c>
      <c r="AC144" s="177">
        <v>12.0</v>
      </c>
      <c r="AD144" s="177">
        <v>222.5</v>
      </c>
      <c r="AE144" s="177">
        <v>67.4</v>
      </c>
      <c r="AF144" s="177">
        <v>9.0</v>
      </c>
      <c r="AG144" s="177">
        <v>66.0</v>
      </c>
      <c r="AH144" s="177">
        <v>2.38</v>
      </c>
      <c r="AI144" s="177">
        <v>6.3</v>
      </c>
      <c r="AJ144" s="177">
        <v>4.91</v>
      </c>
      <c r="AK144" s="177">
        <v>2.0</v>
      </c>
      <c r="AL144" s="177">
        <v>2.0</v>
      </c>
      <c r="AM144" s="177">
        <v>7.0</v>
      </c>
      <c r="AN144" s="183"/>
      <c r="AO144" s="33"/>
      <c r="AP144" s="33"/>
      <c r="AQ144" s="33"/>
      <c r="AR144" s="33"/>
      <c r="AS144" s="33"/>
    </row>
    <row r="145" collapsed="1">
      <c r="A145" s="184" t="s">
        <v>68</v>
      </c>
      <c r="B145" s="176" t="s">
        <v>348</v>
      </c>
      <c r="C145" s="177" t="str">
        <f t="array" ref="C145">xlookup(B145,DATA_LEAGUE_AVG!A:A,DATA_LEAGUE_AVG!H:H)</f>
        <v>#N/A</v>
      </c>
      <c r="D145" s="177" t="str">
        <f t="shared" si="1"/>
        <v>#N/A</v>
      </c>
      <c r="E145" s="176" t="s">
        <v>351</v>
      </c>
      <c r="F145" s="176" t="s">
        <v>352</v>
      </c>
      <c r="G145" s="176" t="s">
        <v>353</v>
      </c>
      <c r="H145" s="176" t="s">
        <v>354</v>
      </c>
      <c r="I145" s="178" t="s">
        <v>355</v>
      </c>
      <c r="J145" s="178" t="s">
        <v>356</v>
      </c>
      <c r="K145" s="178" t="s">
        <v>272</v>
      </c>
      <c r="L145" s="178" t="s">
        <v>357</v>
      </c>
      <c r="M145" s="176" t="s">
        <v>358</v>
      </c>
      <c r="N145" s="176" t="s">
        <v>359</v>
      </c>
      <c r="O145" s="176" t="s">
        <v>360</v>
      </c>
      <c r="P145" s="176" t="s">
        <v>330</v>
      </c>
      <c r="Q145" s="176" t="s">
        <v>331</v>
      </c>
      <c r="R145" s="176" t="s">
        <v>332</v>
      </c>
      <c r="S145" s="176" t="s">
        <v>326</v>
      </c>
      <c r="T145" s="176" t="s">
        <v>327</v>
      </c>
      <c r="U145" s="176" t="s">
        <v>335</v>
      </c>
      <c r="V145" s="176" t="s">
        <v>336</v>
      </c>
      <c r="W145" s="176" t="s">
        <v>337</v>
      </c>
      <c r="X145" s="176" t="s">
        <v>361</v>
      </c>
      <c r="Y145" s="176" t="s">
        <v>362</v>
      </c>
      <c r="Z145" s="176" t="s">
        <v>363</v>
      </c>
      <c r="AA145" s="176" t="s">
        <v>338</v>
      </c>
      <c r="AB145" s="176" t="s">
        <v>339</v>
      </c>
      <c r="AC145" s="176" t="s">
        <v>340</v>
      </c>
      <c r="AD145" s="176" t="s">
        <v>341</v>
      </c>
      <c r="AE145" s="176" t="s">
        <v>342</v>
      </c>
      <c r="AF145" s="176" t="s">
        <v>343</v>
      </c>
      <c r="AG145" s="176" t="s">
        <v>326</v>
      </c>
      <c r="AH145" s="176" t="s">
        <v>345</v>
      </c>
      <c r="AI145" s="176" t="s">
        <v>346</v>
      </c>
      <c r="AJ145" s="176" t="s">
        <v>347</v>
      </c>
      <c r="AK145" s="176" t="s">
        <v>364</v>
      </c>
      <c r="AL145" s="176" t="s">
        <v>365</v>
      </c>
      <c r="AM145" s="176" t="s">
        <v>366</v>
      </c>
      <c r="AN145" s="176" t="s">
        <v>367</v>
      </c>
      <c r="AO145" s="33"/>
      <c r="AP145" s="33"/>
      <c r="AQ145" s="33"/>
      <c r="AR145" s="33"/>
      <c r="AS145" s="33"/>
    </row>
    <row r="146" hidden="1" outlineLevel="1">
      <c r="A146" s="184" t="s">
        <v>68</v>
      </c>
      <c r="B146" s="176">
        <v>1983.0</v>
      </c>
      <c r="C146" s="180">
        <f t="array" ref="C146">xlookup(B146,DATA_LEAGUE_AVG!A:A,DATA_LEAGUE_AVG!H:H)</f>
        <v>501.7</v>
      </c>
      <c r="D146" s="177" t="b">
        <f t="shared" si="1"/>
        <v>1</v>
      </c>
      <c r="E146" s="177">
        <v>23.0</v>
      </c>
      <c r="F146" s="181" t="s">
        <v>116</v>
      </c>
      <c r="G146" s="181" t="s">
        <v>369</v>
      </c>
      <c r="H146" s="181" t="s">
        <v>90</v>
      </c>
      <c r="I146" s="180">
        <f t="array" ref="I146">xlookup(B146,DATA_LEAGUE_AVG!A:A,DATA_LEAGUE_AVG!C:C)</f>
        <v>3274</v>
      </c>
      <c r="J146" s="180">
        <f t="array" ref="J146">xlookup(B146,DATA_LEAGUE_AVG!A:A,DATA_LEAGUE_AVG!D:D)</f>
        <v>22.3</v>
      </c>
      <c r="K146" s="177">
        <f t="shared" ref="K146:L146" si="136">S146/I146</f>
        <v>0.5079413561</v>
      </c>
      <c r="L146" s="177">
        <f t="shared" si="136"/>
        <v>0.3139013453</v>
      </c>
      <c r="M146" s="177">
        <v>11.0</v>
      </c>
      <c r="N146" s="177">
        <v>10.0</v>
      </c>
      <c r="O146" s="182">
        <v>36622.0</v>
      </c>
      <c r="P146" s="177">
        <v>123.0</v>
      </c>
      <c r="Q146" s="177">
        <v>259.0</v>
      </c>
      <c r="R146" s="177">
        <v>47.5</v>
      </c>
      <c r="S146" s="177">
        <v>1663.0</v>
      </c>
      <c r="T146" s="177">
        <v>7.0</v>
      </c>
      <c r="U146" s="177">
        <v>2.7</v>
      </c>
      <c r="V146" s="177">
        <v>14.0</v>
      </c>
      <c r="W146" s="177">
        <v>5.4</v>
      </c>
      <c r="X146" s="177">
        <v>74.0</v>
      </c>
      <c r="Y146" s="177">
        <v>35.5</v>
      </c>
      <c r="Z146" s="177">
        <v>49.0</v>
      </c>
      <c r="AA146" s="177">
        <v>6.4</v>
      </c>
      <c r="AB146" s="177">
        <v>4.53</v>
      </c>
      <c r="AC146" s="177">
        <v>13.5</v>
      </c>
      <c r="AD146" s="177">
        <v>151.2</v>
      </c>
      <c r="AE146" s="177">
        <v>54.9</v>
      </c>
      <c r="AF146" s="177">
        <v>28.0</v>
      </c>
      <c r="AG146" s="177">
        <v>218.0</v>
      </c>
      <c r="AH146" s="177">
        <v>9.76</v>
      </c>
      <c r="AI146" s="177">
        <v>5.03</v>
      </c>
      <c r="AJ146" s="177">
        <v>3.33</v>
      </c>
      <c r="AK146" s="177">
        <v>1.0</v>
      </c>
      <c r="AL146" s="177">
        <v>1.0</v>
      </c>
      <c r="AM146" s="177">
        <v>4.0</v>
      </c>
      <c r="AN146" s="183"/>
      <c r="AO146" s="33"/>
      <c r="AP146" s="33"/>
      <c r="AQ146" s="33"/>
      <c r="AR146" s="33"/>
      <c r="AS146" s="33"/>
    </row>
    <row r="147" hidden="1" outlineLevel="1">
      <c r="A147" s="184" t="s">
        <v>68</v>
      </c>
      <c r="B147" s="176">
        <v>1984.0</v>
      </c>
      <c r="C147" s="180">
        <f t="array" ref="C147">xlookup(B147,DATA_LEAGUE_AVG!A:A,DATA_LEAGUE_AVG!H:H)</f>
        <v>511.6</v>
      </c>
      <c r="D147" s="177" t="b">
        <f t="shared" si="1"/>
        <v>1</v>
      </c>
      <c r="E147" s="177">
        <v>24.0</v>
      </c>
      <c r="F147" s="181" t="s">
        <v>116</v>
      </c>
      <c r="G147" s="181" t="s">
        <v>369</v>
      </c>
      <c r="H147" s="181" t="s">
        <v>90</v>
      </c>
      <c r="I147" s="180">
        <f t="array" ref="I147">xlookup(B147,DATA_LEAGUE_AVG!A:A,DATA_LEAGUE_AVG!C:C)</f>
        <v>3294.2</v>
      </c>
      <c r="J147" s="180">
        <f t="array" ref="J147">xlookup(B147,DATA_LEAGUE_AVG!A:A,DATA_LEAGUE_AVG!D:D)</f>
        <v>22</v>
      </c>
      <c r="K147" s="177">
        <f t="shared" ref="K147:L147" si="137">S147/I147</f>
        <v>0.788658855</v>
      </c>
      <c r="L147" s="177">
        <f t="shared" si="137"/>
        <v>0.8181818182</v>
      </c>
      <c r="M147" s="177">
        <v>15.0</v>
      </c>
      <c r="N147" s="177">
        <v>14.0</v>
      </c>
      <c r="O147" s="182">
        <v>36862.0</v>
      </c>
      <c r="P147" s="177">
        <v>214.0</v>
      </c>
      <c r="Q147" s="177">
        <v>380.0</v>
      </c>
      <c r="R147" s="177">
        <v>56.3</v>
      </c>
      <c r="S147" s="177">
        <v>2598.0</v>
      </c>
      <c r="T147" s="177">
        <v>18.0</v>
      </c>
      <c r="U147" s="177">
        <v>4.7</v>
      </c>
      <c r="V147" s="177">
        <v>15.0</v>
      </c>
      <c r="W147" s="177">
        <v>3.9</v>
      </c>
      <c r="X147" s="177">
        <v>125.0</v>
      </c>
      <c r="Y147" s="177">
        <v>40.8</v>
      </c>
      <c r="Z147" s="177">
        <v>73.0</v>
      </c>
      <c r="AA147" s="177">
        <v>6.8</v>
      </c>
      <c r="AB147" s="177">
        <v>6.01</v>
      </c>
      <c r="AC147" s="177">
        <v>12.1</v>
      </c>
      <c r="AD147" s="177">
        <v>173.2</v>
      </c>
      <c r="AE147" s="177">
        <v>76.8</v>
      </c>
      <c r="AF147" s="177">
        <v>24.0</v>
      </c>
      <c r="AG147" s="177">
        <v>158.0</v>
      </c>
      <c r="AH147" s="177">
        <v>5.94</v>
      </c>
      <c r="AI147" s="177">
        <v>6.04</v>
      </c>
      <c r="AJ147" s="177">
        <v>5.26</v>
      </c>
      <c r="AK147" s="177">
        <v>2.0</v>
      </c>
      <c r="AL147" s="177">
        <v>2.0</v>
      </c>
      <c r="AM147" s="177">
        <v>10.0</v>
      </c>
      <c r="AN147" s="183"/>
      <c r="AO147" s="33"/>
      <c r="AP147" s="33"/>
      <c r="AQ147" s="33"/>
      <c r="AR147" s="33"/>
      <c r="AS147" s="33"/>
    </row>
    <row r="148" hidden="1" outlineLevel="1">
      <c r="A148" s="184" t="s">
        <v>68</v>
      </c>
      <c r="B148" s="176">
        <v>1985.0</v>
      </c>
      <c r="C148" s="180">
        <f t="array" ref="C148">xlookup(B148,DATA_LEAGUE_AVG!A:A,DATA_LEAGUE_AVG!H:H)</f>
        <v>515.1</v>
      </c>
      <c r="D148" s="177" t="b">
        <f t="shared" si="1"/>
        <v>1</v>
      </c>
      <c r="E148" s="177">
        <v>25.0</v>
      </c>
      <c r="F148" s="181" t="s">
        <v>116</v>
      </c>
      <c r="G148" s="181" t="s">
        <v>369</v>
      </c>
      <c r="H148" s="181" t="s">
        <v>90</v>
      </c>
      <c r="I148" s="180">
        <f t="array" ref="I148">xlookup(B148,DATA_LEAGUE_AVG!A:A,DATA_LEAGUE_AVG!C:C)</f>
        <v>3272.2</v>
      </c>
      <c r="J148" s="180">
        <f t="array" ref="J148">xlookup(B148,DATA_LEAGUE_AVG!A:A,DATA_LEAGUE_AVG!D:D)</f>
        <v>21.4</v>
      </c>
      <c r="K148" s="177">
        <f t="shared" ref="K148:L148" si="138">S148/I148</f>
        <v>1.189108245</v>
      </c>
      <c r="L148" s="177">
        <f t="shared" si="138"/>
        <v>1.028037383</v>
      </c>
      <c r="M148" s="177">
        <v>16.0</v>
      </c>
      <c r="N148" s="177">
        <v>16.0</v>
      </c>
      <c r="O148" s="182">
        <v>36835.0</v>
      </c>
      <c r="P148" s="177">
        <v>327.0</v>
      </c>
      <c r="Q148" s="177">
        <v>605.0</v>
      </c>
      <c r="R148" s="177">
        <v>54.0</v>
      </c>
      <c r="S148" s="177">
        <v>3891.0</v>
      </c>
      <c r="T148" s="177">
        <v>22.0</v>
      </c>
      <c r="U148" s="177">
        <v>3.6</v>
      </c>
      <c r="V148" s="177">
        <v>23.0</v>
      </c>
      <c r="W148" s="177">
        <v>3.8</v>
      </c>
      <c r="X148" s="177">
        <v>190.0</v>
      </c>
      <c r="Y148" s="177">
        <v>41.2</v>
      </c>
      <c r="Z148" s="177">
        <v>65.0</v>
      </c>
      <c r="AA148" s="177">
        <v>6.4</v>
      </c>
      <c r="AB148" s="177">
        <v>5.45</v>
      </c>
      <c r="AC148" s="177">
        <v>11.9</v>
      </c>
      <c r="AD148" s="177">
        <v>243.2</v>
      </c>
      <c r="AE148" s="177">
        <v>70.2</v>
      </c>
      <c r="AF148" s="177">
        <v>38.0</v>
      </c>
      <c r="AG148" s="177">
        <v>307.0</v>
      </c>
      <c r="AH148" s="177">
        <v>5.91</v>
      </c>
      <c r="AI148" s="177">
        <v>5.57</v>
      </c>
      <c r="AJ148" s="177">
        <v>4.65</v>
      </c>
      <c r="AK148" s="177">
        <v>6.0</v>
      </c>
      <c r="AL148" s="177">
        <v>6.0</v>
      </c>
      <c r="AM148" s="177">
        <v>13.0</v>
      </c>
      <c r="AN148" s="183"/>
      <c r="AO148" s="33"/>
      <c r="AP148" s="33"/>
      <c r="AQ148" s="33"/>
      <c r="AR148" s="33"/>
      <c r="AS148" s="33"/>
    </row>
    <row r="149" hidden="1" outlineLevel="1">
      <c r="A149" s="184" t="s">
        <v>68</v>
      </c>
      <c r="B149" s="176">
        <v>1986.0</v>
      </c>
      <c r="C149" s="180">
        <f t="array" ref="C149">xlookup(B149,DATA_LEAGUE_AVG!A:A,DATA_LEAGUE_AVG!H:H)</f>
        <v>516.8</v>
      </c>
      <c r="D149" s="177" t="b">
        <f t="shared" si="1"/>
        <v>1</v>
      </c>
      <c r="E149" s="177">
        <v>26.0</v>
      </c>
      <c r="F149" s="181" t="s">
        <v>116</v>
      </c>
      <c r="G149" s="181" t="s">
        <v>369</v>
      </c>
      <c r="H149" s="181" t="s">
        <v>90</v>
      </c>
      <c r="I149" s="180">
        <f t="array" ref="I149">xlookup(B149,DATA_LEAGUE_AVG!A:A,DATA_LEAGUE_AVG!C:C)</f>
        <v>3288.6</v>
      </c>
      <c r="J149" s="180">
        <f t="array" ref="J149">xlookup(B149,DATA_LEAGUE_AVG!A:A,DATA_LEAGUE_AVG!D:D)</f>
        <v>20.9</v>
      </c>
      <c r="K149" s="177">
        <f t="shared" ref="K149:L149" si="139">S149/I149</f>
        <v>1.059721462</v>
      </c>
      <c r="L149" s="177">
        <f t="shared" si="139"/>
        <v>0.9090909091</v>
      </c>
      <c r="M149" s="177">
        <v>16.0</v>
      </c>
      <c r="N149" s="177">
        <v>16.0</v>
      </c>
      <c r="O149" s="182">
        <v>36835.0</v>
      </c>
      <c r="P149" s="177">
        <v>280.0</v>
      </c>
      <c r="Q149" s="177">
        <v>504.0</v>
      </c>
      <c r="R149" s="177">
        <v>55.6</v>
      </c>
      <c r="S149" s="177">
        <v>3485.0</v>
      </c>
      <c r="T149" s="177">
        <v>19.0</v>
      </c>
      <c r="U149" s="177">
        <v>3.8</v>
      </c>
      <c r="V149" s="177">
        <v>13.0</v>
      </c>
      <c r="W149" s="177">
        <v>2.6</v>
      </c>
      <c r="X149" s="177">
        <v>168.0</v>
      </c>
      <c r="Y149" s="177">
        <v>40.9</v>
      </c>
      <c r="Z149" s="177">
        <v>53.0</v>
      </c>
      <c r="AA149" s="177">
        <v>6.9</v>
      </c>
      <c r="AB149" s="177">
        <v>6.51</v>
      </c>
      <c r="AC149" s="177">
        <v>12.4</v>
      </c>
      <c r="AD149" s="177">
        <v>217.8</v>
      </c>
      <c r="AE149" s="177">
        <v>79.0</v>
      </c>
      <c r="AF149" s="177">
        <v>32.0</v>
      </c>
      <c r="AG149" s="177">
        <v>233.0</v>
      </c>
      <c r="AH149" s="177">
        <v>5.97</v>
      </c>
      <c r="AI149" s="177">
        <v>6.07</v>
      </c>
      <c r="AJ149" s="177">
        <v>5.68</v>
      </c>
      <c r="AK149" s="177">
        <v>1.0</v>
      </c>
      <c r="AL149" s="177">
        <v>1.0</v>
      </c>
      <c r="AM149" s="177">
        <v>14.0</v>
      </c>
      <c r="AN149" s="181" t="s">
        <v>377</v>
      </c>
      <c r="AO149" s="33"/>
      <c r="AP149" s="33"/>
      <c r="AQ149" s="33"/>
      <c r="AR149" s="33"/>
      <c r="AS149" s="33"/>
    </row>
    <row r="150" hidden="1" outlineLevel="1">
      <c r="A150" s="184" t="s">
        <v>68</v>
      </c>
      <c r="B150" s="176">
        <v>1987.0</v>
      </c>
      <c r="C150" s="180">
        <f t="array" ref="C150">xlookup(B150,DATA_LEAGUE_AVG!A:A,DATA_LEAGUE_AVG!H:H)</f>
        <v>481.8</v>
      </c>
      <c r="D150" s="177" t="b">
        <f t="shared" si="1"/>
        <v>1</v>
      </c>
      <c r="E150" s="177">
        <v>27.0</v>
      </c>
      <c r="F150" s="181" t="s">
        <v>116</v>
      </c>
      <c r="G150" s="181" t="s">
        <v>369</v>
      </c>
      <c r="H150" s="181" t="s">
        <v>90</v>
      </c>
      <c r="I150" s="180">
        <f t="array" ref="I150">xlookup(B150,DATA_LEAGUE_AVG!A:A,DATA_LEAGUE_AVG!C:C)</f>
        <v>3058.8</v>
      </c>
      <c r="J150" s="180">
        <f t="array" ref="J150">xlookup(B150,DATA_LEAGUE_AVG!A:A,DATA_LEAGUE_AVG!D:D)</f>
        <v>21.8</v>
      </c>
      <c r="K150" s="177">
        <f t="shared" ref="K150:L150" si="140">S150/I150</f>
        <v>1.045508042</v>
      </c>
      <c r="L150" s="177">
        <f t="shared" si="140"/>
        <v>0.871559633</v>
      </c>
      <c r="M150" s="177">
        <v>12.0</v>
      </c>
      <c r="N150" s="177">
        <v>12.0</v>
      </c>
      <c r="O150" s="182">
        <v>37106.0</v>
      </c>
      <c r="P150" s="177">
        <v>224.0</v>
      </c>
      <c r="Q150" s="177">
        <v>410.0</v>
      </c>
      <c r="R150" s="177">
        <v>54.6</v>
      </c>
      <c r="S150" s="177">
        <v>3198.0</v>
      </c>
      <c r="T150" s="177">
        <v>19.0</v>
      </c>
      <c r="U150" s="177">
        <v>4.6</v>
      </c>
      <c r="V150" s="177">
        <v>12.0</v>
      </c>
      <c r="W150" s="177">
        <v>2.9</v>
      </c>
      <c r="X150" s="177">
        <v>144.0</v>
      </c>
      <c r="Y150" s="177">
        <v>43.5</v>
      </c>
      <c r="Z150" s="177">
        <v>72.0</v>
      </c>
      <c r="AA150" s="177">
        <v>7.8</v>
      </c>
      <c r="AB150" s="177">
        <v>7.41</v>
      </c>
      <c r="AC150" s="177">
        <v>14.3</v>
      </c>
      <c r="AD150" s="177">
        <v>266.5</v>
      </c>
      <c r="AE150" s="177">
        <v>83.4</v>
      </c>
      <c r="AF150" s="177">
        <v>20.0</v>
      </c>
      <c r="AG150" s="177">
        <v>138.0</v>
      </c>
      <c r="AH150" s="177">
        <v>4.65</v>
      </c>
      <c r="AI150" s="177">
        <v>7.12</v>
      </c>
      <c r="AJ150" s="177">
        <v>6.74</v>
      </c>
      <c r="AK150" s="177">
        <v>3.0</v>
      </c>
      <c r="AL150" s="177">
        <v>2.0</v>
      </c>
      <c r="AM150" s="177">
        <v>14.0</v>
      </c>
      <c r="AN150" s="181" t="s">
        <v>422</v>
      </c>
      <c r="AO150" s="33"/>
      <c r="AP150" s="33"/>
      <c r="AQ150" s="33"/>
      <c r="AR150" s="33"/>
      <c r="AS150" s="33"/>
    </row>
    <row r="151" hidden="1" outlineLevel="1">
      <c r="A151" s="184" t="s">
        <v>68</v>
      </c>
      <c r="B151" s="176">
        <v>1988.0</v>
      </c>
      <c r="C151" s="180">
        <f t="array" ref="C151">xlookup(B151,DATA_LEAGUE_AVG!A:A,DATA_LEAGUE_AVG!H:H)</f>
        <v>504.7</v>
      </c>
      <c r="D151" s="177" t="b">
        <f t="shared" si="1"/>
        <v>1</v>
      </c>
      <c r="E151" s="177">
        <v>28.0</v>
      </c>
      <c r="F151" s="181" t="s">
        <v>116</v>
      </c>
      <c r="G151" s="181" t="s">
        <v>369</v>
      </c>
      <c r="H151" s="181" t="s">
        <v>90</v>
      </c>
      <c r="I151" s="180">
        <f t="array" ref="I151">xlookup(B151,DATA_LEAGUE_AVG!A:A,DATA_LEAGUE_AVG!C:C)</f>
        <v>3210.5</v>
      </c>
      <c r="J151" s="180">
        <f t="array" ref="J151">xlookup(B151,DATA_LEAGUE_AVG!A:A,DATA_LEAGUE_AVG!D:D)</f>
        <v>19.9</v>
      </c>
      <c r="K151" s="177">
        <f t="shared" ref="K151:L151" si="141">S151/I151</f>
        <v>1.030680579</v>
      </c>
      <c r="L151" s="177">
        <f t="shared" si="141"/>
        <v>0.8542713568</v>
      </c>
      <c r="M151" s="177">
        <v>15.0</v>
      </c>
      <c r="N151" s="177">
        <v>15.0</v>
      </c>
      <c r="O151" s="182">
        <v>36745.0</v>
      </c>
      <c r="P151" s="177">
        <v>274.0</v>
      </c>
      <c r="Q151" s="177">
        <v>496.0</v>
      </c>
      <c r="R151" s="177">
        <v>55.2</v>
      </c>
      <c r="S151" s="177">
        <v>3309.0</v>
      </c>
      <c r="T151" s="177">
        <v>17.0</v>
      </c>
      <c r="U151" s="177">
        <v>3.4</v>
      </c>
      <c r="V151" s="177">
        <v>19.0</v>
      </c>
      <c r="W151" s="177">
        <v>3.8</v>
      </c>
      <c r="X151" s="177">
        <v>171.0</v>
      </c>
      <c r="Y151" s="177">
        <v>44.5</v>
      </c>
      <c r="Z151" s="177">
        <v>86.0</v>
      </c>
      <c r="AA151" s="177">
        <v>6.7</v>
      </c>
      <c r="AB151" s="177">
        <v>5.63</v>
      </c>
      <c r="AC151" s="177">
        <v>12.1</v>
      </c>
      <c r="AD151" s="177">
        <v>220.6</v>
      </c>
      <c r="AE151" s="177">
        <v>71.4</v>
      </c>
      <c r="AF151" s="177">
        <v>30.0</v>
      </c>
      <c r="AG151" s="177">
        <v>237.0</v>
      </c>
      <c r="AH151" s="177">
        <v>5.7</v>
      </c>
      <c r="AI151" s="177">
        <v>5.84</v>
      </c>
      <c r="AJ151" s="177">
        <v>4.86</v>
      </c>
      <c r="AK151" s="177">
        <v>1.0</v>
      </c>
      <c r="AL151" s="177">
        <v>1.0</v>
      </c>
      <c r="AM151" s="177">
        <v>12.0</v>
      </c>
      <c r="AN151" s="183"/>
      <c r="AO151" s="33"/>
      <c r="AP151" s="33"/>
      <c r="AQ151" s="33"/>
      <c r="AR151" s="33"/>
      <c r="AS151" s="33"/>
    </row>
    <row r="152" hidden="1" outlineLevel="1">
      <c r="A152" s="184" t="s">
        <v>68</v>
      </c>
      <c r="B152" s="176">
        <v>1989.0</v>
      </c>
      <c r="C152" s="180">
        <f t="array" ref="C152">xlookup(B152,DATA_LEAGUE_AVG!A:A,DATA_LEAGUE_AVG!H:H)</f>
        <v>512.1</v>
      </c>
      <c r="D152" s="177" t="b">
        <f t="shared" si="1"/>
        <v>1</v>
      </c>
      <c r="E152" s="177">
        <v>29.0</v>
      </c>
      <c r="F152" s="181" t="s">
        <v>116</v>
      </c>
      <c r="G152" s="181" t="s">
        <v>369</v>
      </c>
      <c r="H152" s="181" t="s">
        <v>90</v>
      </c>
      <c r="I152" s="180">
        <f t="array" ref="I152">xlookup(B152,DATA_LEAGUE_AVG!A:A,DATA_LEAGUE_AVG!C:C)</f>
        <v>3374.1</v>
      </c>
      <c r="J152" s="180">
        <f t="array" ref="J152">xlookup(B152,DATA_LEAGUE_AVG!A:A,DATA_LEAGUE_AVG!D:D)</f>
        <v>20.8</v>
      </c>
      <c r="K152" s="177">
        <f t="shared" ref="K152:L152" si="142">S152/I152</f>
        <v>0.904241131</v>
      </c>
      <c r="L152" s="177">
        <f t="shared" si="142"/>
        <v>0.8653846154</v>
      </c>
      <c r="M152" s="177">
        <v>15.0</v>
      </c>
      <c r="N152" s="177">
        <v>15.0</v>
      </c>
      <c r="O152" s="182">
        <v>36804.0</v>
      </c>
      <c r="P152" s="177">
        <v>223.0</v>
      </c>
      <c r="Q152" s="177">
        <v>416.0</v>
      </c>
      <c r="R152" s="177">
        <v>53.6</v>
      </c>
      <c r="S152" s="177">
        <v>3051.0</v>
      </c>
      <c r="T152" s="177">
        <v>18.0</v>
      </c>
      <c r="U152" s="177">
        <v>4.3</v>
      </c>
      <c r="V152" s="177">
        <v>18.0</v>
      </c>
      <c r="W152" s="177">
        <v>4.3</v>
      </c>
      <c r="X152" s="177">
        <v>145.0</v>
      </c>
      <c r="Y152" s="177">
        <v>42.1</v>
      </c>
      <c r="Z152" s="177">
        <v>69.0</v>
      </c>
      <c r="AA152" s="177">
        <v>7.3</v>
      </c>
      <c r="AB152" s="177">
        <v>6.25</v>
      </c>
      <c r="AC152" s="177">
        <v>13.7</v>
      </c>
      <c r="AD152" s="177">
        <v>203.4</v>
      </c>
      <c r="AE152" s="177">
        <v>73.7</v>
      </c>
      <c r="AF152" s="177">
        <v>35.0</v>
      </c>
      <c r="AG152" s="177">
        <v>298.0</v>
      </c>
      <c r="AH152" s="177">
        <v>7.76</v>
      </c>
      <c r="AI152" s="177">
        <v>6.1</v>
      </c>
      <c r="AJ152" s="177">
        <v>5.11</v>
      </c>
      <c r="AK152" s="177">
        <v>2.0</v>
      </c>
      <c r="AL152" s="177">
        <v>2.0</v>
      </c>
      <c r="AM152" s="177">
        <v>12.0</v>
      </c>
      <c r="AN152" s="181" t="s">
        <v>380</v>
      </c>
      <c r="AO152" s="33"/>
      <c r="AP152" s="33"/>
      <c r="AQ152" s="33"/>
      <c r="AR152" s="33"/>
      <c r="AS152" s="33"/>
    </row>
    <row r="153" hidden="1" outlineLevel="1">
      <c r="A153" s="184" t="s">
        <v>68</v>
      </c>
      <c r="B153" s="176">
        <v>1990.0</v>
      </c>
      <c r="C153" s="180">
        <f t="array" ref="C153">xlookup(B153,DATA_LEAGUE_AVG!A:A,DATA_LEAGUE_AVG!H:H)</f>
        <v>482.7</v>
      </c>
      <c r="D153" s="177" t="b">
        <f t="shared" si="1"/>
        <v>1</v>
      </c>
      <c r="E153" s="177">
        <v>30.0</v>
      </c>
      <c r="F153" s="181" t="s">
        <v>116</v>
      </c>
      <c r="G153" s="181" t="s">
        <v>369</v>
      </c>
      <c r="H153" s="181" t="s">
        <v>90</v>
      </c>
      <c r="I153" s="180">
        <f t="array" ref="I153">xlookup(B153,DATA_LEAGUE_AVG!A:A,DATA_LEAGUE_AVG!C:C)</f>
        <v>3116</v>
      </c>
      <c r="J153" s="180">
        <f t="array" ref="J153">xlookup(B153,DATA_LEAGUE_AVG!A:A,DATA_LEAGUE_AVG!D:D)</f>
        <v>20.5</v>
      </c>
      <c r="K153" s="177">
        <f t="shared" ref="K153:L153" si="143">S153/I153</f>
        <v>1.131578947</v>
      </c>
      <c r="L153" s="177">
        <f t="shared" si="143"/>
        <v>0.7317073171</v>
      </c>
      <c r="M153" s="177">
        <v>16.0</v>
      </c>
      <c r="N153" s="177">
        <v>16.0</v>
      </c>
      <c r="O153" s="182">
        <v>36657.0</v>
      </c>
      <c r="P153" s="177">
        <v>294.0</v>
      </c>
      <c r="Q153" s="177">
        <v>502.0</v>
      </c>
      <c r="R153" s="177">
        <v>58.6</v>
      </c>
      <c r="S153" s="177">
        <v>3526.0</v>
      </c>
      <c r="T153" s="177">
        <v>15.0</v>
      </c>
      <c r="U153" s="177">
        <v>3.0</v>
      </c>
      <c r="V153" s="177">
        <v>14.0</v>
      </c>
      <c r="W153" s="177">
        <v>2.8</v>
      </c>
      <c r="X153" s="177">
        <v>165.0</v>
      </c>
      <c r="Y153" s="177">
        <v>43.9</v>
      </c>
      <c r="Z153" s="177">
        <v>66.0</v>
      </c>
      <c r="AA153" s="177">
        <v>7.0</v>
      </c>
      <c r="AB153" s="177">
        <v>6.37</v>
      </c>
      <c r="AC153" s="177">
        <v>12.0</v>
      </c>
      <c r="AD153" s="177">
        <v>220.4</v>
      </c>
      <c r="AE153" s="177">
        <v>78.5</v>
      </c>
      <c r="AF153" s="177">
        <v>43.0</v>
      </c>
      <c r="AG153" s="177">
        <v>311.0</v>
      </c>
      <c r="AH153" s="177">
        <v>7.89</v>
      </c>
      <c r="AI153" s="177">
        <v>5.9</v>
      </c>
      <c r="AJ153" s="177">
        <v>5.29</v>
      </c>
      <c r="AK153" s="177">
        <v>1.0</v>
      </c>
      <c r="AL153" s="177">
        <v>3.0</v>
      </c>
      <c r="AM153" s="177">
        <v>14.0</v>
      </c>
      <c r="AN153" s="183"/>
      <c r="AO153" s="33"/>
      <c r="AP153" s="33"/>
      <c r="AQ153" s="33"/>
      <c r="AR153" s="33"/>
      <c r="AS153" s="33"/>
    </row>
    <row r="154" hidden="1" outlineLevel="1">
      <c r="A154" s="184" t="s">
        <v>68</v>
      </c>
      <c r="B154" s="176">
        <v>1991.0</v>
      </c>
      <c r="C154" s="180">
        <f t="array" ref="C154">xlookup(B154,DATA_LEAGUE_AVG!A:A,DATA_LEAGUE_AVG!H:H)</f>
        <v>498.2</v>
      </c>
      <c r="D154" s="177" t="b">
        <f t="shared" si="1"/>
        <v>1</v>
      </c>
      <c r="E154" s="177">
        <v>31.0</v>
      </c>
      <c r="F154" s="181" t="s">
        <v>116</v>
      </c>
      <c r="G154" s="181" t="s">
        <v>369</v>
      </c>
      <c r="H154" s="181" t="s">
        <v>90</v>
      </c>
      <c r="I154" s="180">
        <f t="array" ref="I154">xlookup(B154,DATA_LEAGUE_AVG!A:A,DATA_LEAGUE_AVG!C:C)</f>
        <v>3185.8</v>
      </c>
      <c r="J154" s="180">
        <f t="array" ref="J154">xlookup(B154,DATA_LEAGUE_AVG!A:A,DATA_LEAGUE_AVG!D:D)</f>
        <v>18.3</v>
      </c>
      <c r="K154" s="177">
        <f t="shared" ref="K154:L154" si="144">S154/I154</f>
        <v>1.021093603</v>
      </c>
      <c r="L154" s="177">
        <f t="shared" si="144"/>
        <v>0.7103825137</v>
      </c>
      <c r="M154" s="177">
        <v>16.0</v>
      </c>
      <c r="N154" s="177">
        <v>16.0</v>
      </c>
      <c r="O154" s="182">
        <v>36864.0</v>
      </c>
      <c r="P154" s="177">
        <v>242.0</v>
      </c>
      <c r="Q154" s="177">
        <v>451.0</v>
      </c>
      <c r="R154" s="177">
        <v>53.7</v>
      </c>
      <c r="S154" s="177">
        <v>3253.0</v>
      </c>
      <c r="T154" s="177">
        <v>13.0</v>
      </c>
      <c r="U154" s="177">
        <v>2.9</v>
      </c>
      <c r="V154" s="177">
        <v>12.0</v>
      </c>
      <c r="W154" s="177">
        <v>2.7</v>
      </c>
      <c r="X154" s="177">
        <v>147.0</v>
      </c>
      <c r="Y154" s="177">
        <v>39.9</v>
      </c>
      <c r="Z154" s="177">
        <v>71.0</v>
      </c>
      <c r="AA154" s="177">
        <v>7.2</v>
      </c>
      <c r="AB154" s="177">
        <v>6.59</v>
      </c>
      <c r="AC154" s="177">
        <v>13.4</v>
      </c>
      <c r="AD154" s="177">
        <v>203.3</v>
      </c>
      <c r="AE154" s="177">
        <v>75.4</v>
      </c>
      <c r="AF154" s="177">
        <v>45.0</v>
      </c>
      <c r="AG154" s="177">
        <v>305.0</v>
      </c>
      <c r="AH154" s="177">
        <v>9.07</v>
      </c>
      <c r="AI154" s="177">
        <v>5.94</v>
      </c>
      <c r="AJ154" s="177">
        <v>5.38</v>
      </c>
      <c r="AK154" s="177">
        <v>1.0</v>
      </c>
      <c r="AL154" s="177">
        <v>4.0</v>
      </c>
      <c r="AM154" s="177">
        <v>14.0</v>
      </c>
      <c r="AN154" s="181" t="s">
        <v>380</v>
      </c>
      <c r="AO154" s="33"/>
      <c r="AP154" s="33"/>
      <c r="AQ154" s="33"/>
      <c r="AR154" s="33"/>
      <c r="AS154" s="33"/>
    </row>
    <row r="155" hidden="1" outlineLevel="1">
      <c r="A155" s="184" t="s">
        <v>68</v>
      </c>
      <c r="B155" s="176">
        <v>1992.0</v>
      </c>
      <c r="C155" s="180">
        <f t="array" ref="C155">xlookup(B155,DATA_LEAGUE_AVG!A:A,DATA_LEAGUE_AVG!H:H)</f>
        <v>478.9</v>
      </c>
      <c r="D155" s="177" t="b">
        <f t="shared" si="1"/>
        <v>1</v>
      </c>
      <c r="E155" s="177">
        <v>32.0</v>
      </c>
      <c r="F155" s="181" t="s">
        <v>116</v>
      </c>
      <c r="G155" s="181" t="s">
        <v>369</v>
      </c>
      <c r="H155" s="181" t="s">
        <v>90</v>
      </c>
      <c r="I155" s="180">
        <f t="array" ref="I155">xlookup(B155,DATA_LEAGUE_AVG!A:A,DATA_LEAGUE_AVG!C:C)</f>
        <v>3002.3</v>
      </c>
      <c r="J155" s="180">
        <f t="array" ref="J155">xlookup(B155,DATA_LEAGUE_AVG!A:A,DATA_LEAGUE_AVG!D:D)</f>
        <v>18.4</v>
      </c>
      <c r="K155" s="177">
        <f t="shared" ref="K155:L155" si="145">S155/I155</f>
        <v>0.7467608167</v>
      </c>
      <c r="L155" s="177">
        <f t="shared" si="145"/>
        <v>0.5434782609</v>
      </c>
      <c r="M155" s="177">
        <v>12.0</v>
      </c>
      <c r="N155" s="177">
        <v>12.0</v>
      </c>
      <c r="O155" s="182">
        <v>36742.0</v>
      </c>
      <c r="P155" s="177">
        <v>174.0</v>
      </c>
      <c r="Q155" s="177">
        <v>316.0</v>
      </c>
      <c r="R155" s="177">
        <v>55.1</v>
      </c>
      <c r="S155" s="177">
        <v>2242.0</v>
      </c>
      <c r="T155" s="177">
        <v>10.0</v>
      </c>
      <c r="U155" s="177">
        <v>3.2</v>
      </c>
      <c r="V155" s="177">
        <v>17.0</v>
      </c>
      <c r="W155" s="177">
        <v>5.4</v>
      </c>
      <c r="X155" s="177">
        <v>90.0</v>
      </c>
      <c r="Y155" s="177">
        <v>37.8</v>
      </c>
      <c r="Z155" s="177">
        <v>80.0</v>
      </c>
      <c r="AA155" s="177">
        <v>7.1</v>
      </c>
      <c r="AB155" s="177">
        <v>5.31</v>
      </c>
      <c r="AC155" s="177">
        <v>12.9</v>
      </c>
      <c r="AD155" s="177">
        <v>186.8</v>
      </c>
      <c r="AE155" s="177">
        <v>65.7</v>
      </c>
      <c r="AF155" s="177">
        <v>36.0</v>
      </c>
      <c r="AG155" s="177">
        <v>272.0</v>
      </c>
      <c r="AH155" s="177">
        <v>10.23</v>
      </c>
      <c r="AI155" s="177">
        <v>5.6</v>
      </c>
      <c r="AJ155" s="177">
        <v>3.99</v>
      </c>
      <c r="AK155" s="177">
        <v>3.0</v>
      </c>
      <c r="AL155" s="177">
        <v>3.0</v>
      </c>
      <c r="AM155" s="177">
        <v>7.0</v>
      </c>
      <c r="AN155" s="183"/>
      <c r="AO155" s="33"/>
      <c r="AP155" s="33"/>
      <c r="AQ155" s="33"/>
      <c r="AR155" s="33"/>
      <c r="AS155" s="33"/>
    </row>
    <row r="156" hidden="1" outlineLevel="1">
      <c r="A156" s="184" t="s">
        <v>68</v>
      </c>
      <c r="B156" s="176">
        <v>1993.0</v>
      </c>
      <c r="C156" s="180">
        <f t="array" ref="C156">xlookup(B156,DATA_LEAGUE_AVG!A:A,DATA_LEAGUE_AVG!H:H)</f>
        <v>514.8</v>
      </c>
      <c r="D156" s="177" t="b">
        <f t="shared" si="1"/>
        <v>1</v>
      </c>
      <c r="E156" s="177">
        <v>33.0</v>
      </c>
      <c r="F156" s="181" t="s">
        <v>116</v>
      </c>
      <c r="G156" s="181" t="s">
        <v>369</v>
      </c>
      <c r="H156" s="181" t="s">
        <v>90</v>
      </c>
      <c r="I156" s="180">
        <f t="array" ref="I156">xlookup(B156,DATA_LEAGUE_AVG!A:A,DATA_LEAGUE_AVG!C:C)</f>
        <v>3209.8</v>
      </c>
      <c r="J156" s="180">
        <f t="array" ref="J156">xlookup(B156,DATA_LEAGUE_AVG!A:A,DATA_LEAGUE_AVG!D:D)</f>
        <v>18.5</v>
      </c>
      <c r="K156" s="177">
        <f t="shared" ref="K156:L156" si="146">S156/I156</f>
        <v>1.25552994</v>
      </c>
      <c r="L156" s="177">
        <f t="shared" si="146"/>
        <v>1.351351351</v>
      </c>
      <c r="M156" s="177">
        <v>16.0</v>
      </c>
      <c r="N156" s="177">
        <v>16.0</v>
      </c>
      <c r="O156" s="182">
        <v>36776.0</v>
      </c>
      <c r="P156" s="177">
        <v>348.0</v>
      </c>
      <c r="Q156" s="177">
        <v>551.0</v>
      </c>
      <c r="R156" s="177">
        <v>63.2</v>
      </c>
      <c r="S156" s="177">
        <v>4030.0</v>
      </c>
      <c r="T156" s="177">
        <v>25.0</v>
      </c>
      <c r="U156" s="177">
        <v>4.5</v>
      </c>
      <c r="V156" s="177">
        <v>10.0</v>
      </c>
      <c r="W156" s="177">
        <v>1.8</v>
      </c>
      <c r="X156" s="177">
        <v>184.0</v>
      </c>
      <c r="Y156" s="177">
        <v>45.3</v>
      </c>
      <c r="Z156" s="177">
        <v>63.0</v>
      </c>
      <c r="AA156" s="177">
        <v>7.3</v>
      </c>
      <c r="AB156" s="177">
        <v>7.4</v>
      </c>
      <c r="AC156" s="177">
        <v>11.6</v>
      </c>
      <c r="AD156" s="177">
        <v>251.9</v>
      </c>
      <c r="AE156" s="177">
        <v>92.8</v>
      </c>
      <c r="AF156" s="177">
        <v>39.0</v>
      </c>
      <c r="AG156" s="177">
        <v>293.0</v>
      </c>
      <c r="AH156" s="177">
        <v>6.61</v>
      </c>
      <c r="AI156" s="177">
        <v>6.33</v>
      </c>
      <c r="AJ156" s="177">
        <v>6.42</v>
      </c>
      <c r="AK156" s="177">
        <v>1.0</v>
      </c>
      <c r="AL156" s="177">
        <v>1.0</v>
      </c>
      <c r="AM156" s="177">
        <v>17.0</v>
      </c>
      <c r="AN156" s="181" t="s">
        <v>423</v>
      </c>
      <c r="AO156" s="33"/>
      <c r="AP156" s="33"/>
      <c r="AQ156" s="33"/>
      <c r="AR156" s="33"/>
      <c r="AS156" s="33"/>
    </row>
    <row r="157" hidden="1" outlineLevel="1">
      <c r="A157" s="184" t="s">
        <v>68</v>
      </c>
      <c r="B157" s="176">
        <v>1994.0</v>
      </c>
      <c r="C157" s="180">
        <f t="array" ref="C157">xlookup(B157,DATA_LEAGUE_AVG!A:A,DATA_LEAGUE_AVG!H:H)</f>
        <v>537.7</v>
      </c>
      <c r="D157" s="177" t="b">
        <f t="shared" si="1"/>
        <v>1</v>
      </c>
      <c r="E157" s="177">
        <v>34.0</v>
      </c>
      <c r="F157" s="181" t="s">
        <v>116</v>
      </c>
      <c r="G157" s="181" t="s">
        <v>369</v>
      </c>
      <c r="H157" s="181" t="s">
        <v>90</v>
      </c>
      <c r="I157" s="180">
        <f t="array" ref="I157">xlookup(B157,DATA_LEAGUE_AVG!A:A,DATA_LEAGUE_AVG!C:C)</f>
        <v>3417.6</v>
      </c>
      <c r="J157" s="180">
        <f t="array" ref="J157">xlookup(B157,DATA_LEAGUE_AVG!A:A,DATA_LEAGUE_AVG!D:D)</f>
        <v>20.8</v>
      </c>
      <c r="K157" s="177">
        <f t="shared" ref="K157:L157" si="147">S157/I157</f>
        <v>1.021184457</v>
      </c>
      <c r="L157" s="177">
        <f t="shared" si="147"/>
        <v>0.7692307692</v>
      </c>
      <c r="M157" s="177">
        <v>14.0</v>
      </c>
      <c r="N157" s="177">
        <v>14.0</v>
      </c>
      <c r="O157" s="182">
        <v>36714.0</v>
      </c>
      <c r="P157" s="177">
        <v>307.0</v>
      </c>
      <c r="Q157" s="177">
        <v>494.0</v>
      </c>
      <c r="R157" s="177">
        <v>62.1</v>
      </c>
      <c r="S157" s="177">
        <v>3490.0</v>
      </c>
      <c r="T157" s="177">
        <v>16.0</v>
      </c>
      <c r="U157" s="177">
        <v>3.2</v>
      </c>
      <c r="V157" s="177">
        <v>10.0</v>
      </c>
      <c r="W157" s="177">
        <v>2.0</v>
      </c>
      <c r="X157" s="177">
        <v>162.0</v>
      </c>
      <c r="Y157" s="177">
        <v>45.2</v>
      </c>
      <c r="Z157" s="177">
        <v>63.0</v>
      </c>
      <c r="AA157" s="177">
        <v>7.1</v>
      </c>
      <c r="AB157" s="177">
        <v>6.8</v>
      </c>
      <c r="AC157" s="177">
        <v>11.4</v>
      </c>
      <c r="AD157" s="177">
        <v>249.3</v>
      </c>
      <c r="AE157" s="177">
        <v>85.7</v>
      </c>
      <c r="AF157" s="177">
        <v>46.0</v>
      </c>
      <c r="AG157" s="177">
        <v>303.0</v>
      </c>
      <c r="AH157" s="177">
        <v>8.52</v>
      </c>
      <c r="AI157" s="177">
        <v>5.9</v>
      </c>
      <c r="AJ157" s="177">
        <v>5.66</v>
      </c>
      <c r="AK157" s="177">
        <v>2.0</v>
      </c>
      <c r="AL157" s="177">
        <v>3.0</v>
      </c>
      <c r="AM157" s="177">
        <v>13.0</v>
      </c>
      <c r="AN157" s="181" t="s">
        <v>380</v>
      </c>
      <c r="AO157" s="33"/>
      <c r="AP157" s="33"/>
      <c r="AQ157" s="33"/>
      <c r="AR157" s="33"/>
      <c r="AS157" s="33"/>
    </row>
    <row r="158" hidden="1" outlineLevel="1">
      <c r="A158" s="184" t="s">
        <v>68</v>
      </c>
      <c r="B158" s="176">
        <v>1995.0</v>
      </c>
      <c r="C158" s="180">
        <f t="array" ref="C158">xlookup(B158,DATA_LEAGUE_AVG!A:A,DATA_LEAGUE_AVG!H:H)</f>
        <v>556.6</v>
      </c>
      <c r="D158" s="177" t="b">
        <f t="shared" si="1"/>
        <v>1</v>
      </c>
      <c r="E158" s="177">
        <v>35.0</v>
      </c>
      <c r="F158" s="181" t="s">
        <v>116</v>
      </c>
      <c r="G158" s="181" t="s">
        <v>369</v>
      </c>
      <c r="H158" s="181" t="s">
        <v>90</v>
      </c>
      <c r="I158" s="180">
        <f t="array" ref="I158">xlookup(B158,DATA_LEAGUE_AVG!A:A,DATA_LEAGUE_AVG!C:C)</f>
        <v>3532.5</v>
      </c>
      <c r="J158" s="180">
        <f t="array" ref="J158">xlookup(B158,DATA_LEAGUE_AVG!A:A,DATA_LEAGUE_AVG!D:D)</f>
        <v>22.1</v>
      </c>
      <c r="K158" s="177">
        <f t="shared" ref="K158:L158" si="148">S158/I158</f>
        <v>1.123849965</v>
      </c>
      <c r="L158" s="177">
        <f t="shared" si="148"/>
        <v>1.176470588</v>
      </c>
      <c r="M158" s="177">
        <v>16.0</v>
      </c>
      <c r="N158" s="177">
        <v>16.0</v>
      </c>
      <c r="O158" s="182">
        <v>36746.0</v>
      </c>
      <c r="P158" s="177">
        <v>316.0</v>
      </c>
      <c r="Q158" s="177">
        <v>542.0</v>
      </c>
      <c r="R158" s="177">
        <v>58.3</v>
      </c>
      <c r="S158" s="177">
        <v>3970.0</v>
      </c>
      <c r="T158" s="177">
        <v>26.0</v>
      </c>
      <c r="U158" s="177">
        <v>4.8</v>
      </c>
      <c r="V158" s="177">
        <v>14.0</v>
      </c>
      <c r="W158" s="177">
        <v>2.6</v>
      </c>
      <c r="X158" s="177">
        <v>190.0</v>
      </c>
      <c r="Y158" s="177">
        <v>46.1</v>
      </c>
      <c r="Z158" s="177">
        <v>62.0</v>
      </c>
      <c r="AA158" s="177">
        <v>7.3</v>
      </c>
      <c r="AB158" s="177">
        <v>7.12</v>
      </c>
      <c r="AC158" s="177">
        <v>12.6</v>
      </c>
      <c r="AD158" s="177">
        <v>248.1</v>
      </c>
      <c r="AE158" s="177">
        <v>86.4</v>
      </c>
      <c r="AF158" s="177">
        <v>22.0</v>
      </c>
      <c r="AG158" s="177">
        <v>180.0</v>
      </c>
      <c r="AH158" s="177">
        <v>3.9</v>
      </c>
      <c r="AI158" s="177">
        <v>6.72</v>
      </c>
      <c r="AJ158" s="177">
        <v>6.52</v>
      </c>
      <c r="AK158" s="177">
        <v>1.0</v>
      </c>
      <c r="AL158" s="177">
        <v>3.0</v>
      </c>
      <c r="AM158" s="177">
        <v>15.0</v>
      </c>
      <c r="AN158" s="183"/>
      <c r="AO158" s="33"/>
      <c r="AP158" s="33"/>
      <c r="AQ158" s="33"/>
      <c r="AR158" s="33"/>
      <c r="AS158" s="33"/>
    </row>
    <row r="159" hidden="1" outlineLevel="1">
      <c r="A159" s="184" t="s">
        <v>68</v>
      </c>
      <c r="B159" s="176">
        <v>1996.0</v>
      </c>
      <c r="C159" s="180">
        <f t="array" ref="C159">xlookup(B159,DATA_LEAGUE_AVG!A:A,DATA_LEAGUE_AVG!H:H)</f>
        <v>532.2</v>
      </c>
      <c r="D159" s="177" t="b">
        <f t="shared" si="1"/>
        <v>1</v>
      </c>
      <c r="E159" s="177">
        <v>36.0</v>
      </c>
      <c r="F159" s="181" t="s">
        <v>116</v>
      </c>
      <c r="G159" s="181" t="s">
        <v>369</v>
      </c>
      <c r="H159" s="181" t="s">
        <v>90</v>
      </c>
      <c r="I159" s="180">
        <f t="array" ref="I159">xlookup(B159,DATA_LEAGUE_AVG!A:A,DATA_LEAGUE_AVG!C:C)</f>
        <v>3318.9</v>
      </c>
      <c r="J159" s="180">
        <f t="array" ref="J159">xlookup(B159,DATA_LEAGUE_AVG!A:A,DATA_LEAGUE_AVG!D:D)</f>
        <v>20.9</v>
      </c>
      <c r="K159" s="177">
        <f t="shared" ref="K159:L159" si="149">S159/I159</f>
        <v>1.002741872</v>
      </c>
      <c r="L159" s="177">
        <f t="shared" si="149"/>
        <v>1.244019139</v>
      </c>
      <c r="M159" s="177">
        <v>15.0</v>
      </c>
      <c r="N159" s="177">
        <v>15.0</v>
      </c>
      <c r="O159" s="181" t="s">
        <v>396</v>
      </c>
      <c r="P159" s="177">
        <v>287.0</v>
      </c>
      <c r="Q159" s="177">
        <v>466.0</v>
      </c>
      <c r="R159" s="177">
        <v>61.6</v>
      </c>
      <c r="S159" s="177">
        <v>3328.0</v>
      </c>
      <c r="T159" s="177">
        <v>26.0</v>
      </c>
      <c r="U159" s="177">
        <v>5.6</v>
      </c>
      <c r="V159" s="177">
        <v>14.0</v>
      </c>
      <c r="W159" s="177">
        <v>3.0</v>
      </c>
      <c r="X159" s="177">
        <v>165.0</v>
      </c>
      <c r="Y159" s="177">
        <v>48.2</v>
      </c>
      <c r="Z159" s="177">
        <v>51.0</v>
      </c>
      <c r="AA159" s="177">
        <v>7.1</v>
      </c>
      <c r="AB159" s="177">
        <v>6.91</v>
      </c>
      <c r="AC159" s="177">
        <v>11.6</v>
      </c>
      <c r="AD159" s="177">
        <v>221.9</v>
      </c>
      <c r="AE159" s="177">
        <v>89.2</v>
      </c>
      <c r="AF159" s="177">
        <v>26.0</v>
      </c>
      <c r="AG159" s="177">
        <v>194.0</v>
      </c>
      <c r="AH159" s="177">
        <v>5.28</v>
      </c>
      <c r="AI159" s="177">
        <v>6.37</v>
      </c>
      <c r="AJ159" s="177">
        <v>6.15</v>
      </c>
      <c r="AK159" s="177">
        <v>4.0</v>
      </c>
      <c r="AL159" s="177">
        <v>4.0</v>
      </c>
      <c r="AM159" s="177">
        <v>15.0</v>
      </c>
      <c r="AN159" s="181" t="s">
        <v>376</v>
      </c>
      <c r="AO159" s="33"/>
      <c r="AP159" s="33"/>
      <c r="AQ159" s="33"/>
      <c r="AR159" s="33"/>
      <c r="AS159" s="33"/>
    </row>
    <row r="160" hidden="1" outlineLevel="1">
      <c r="A160" s="184" t="s">
        <v>68</v>
      </c>
      <c r="B160" s="176">
        <v>1997.0</v>
      </c>
      <c r="C160" s="180">
        <f t="array" ref="C160">xlookup(B160,DATA_LEAGUE_AVG!A:A,DATA_LEAGUE_AVG!H:H)</f>
        <v>524.3</v>
      </c>
      <c r="D160" s="177" t="b">
        <f t="shared" si="1"/>
        <v>1</v>
      </c>
      <c r="E160" s="177">
        <v>37.0</v>
      </c>
      <c r="F160" s="181" t="s">
        <v>116</v>
      </c>
      <c r="G160" s="181" t="s">
        <v>369</v>
      </c>
      <c r="H160" s="181" t="s">
        <v>90</v>
      </c>
      <c r="I160" s="180">
        <f t="array" ref="I160">xlookup(B160,DATA_LEAGUE_AVG!A:A,DATA_LEAGUE_AVG!C:C)</f>
        <v>3229.2</v>
      </c>
      <c r="J160" s="180">
        <f t="array" ref="J160">xlookup(B160,DATA_LEAGUE_AVG!A:A,DATA_LEAGUE_AVG!D:D)</f>
        <v>20.6</v>
      </c>
      <c r="K160" s="177">
        <f t="shared" ref="K160:L160" si="150">S160/I160</f>
        <v>1.1256658</v>
      </c>
      <c r="L160" s="177">
        <f t="shared" si="150"/>
        <v>1.310679612</v>
      </c>
      <c r="M160" s="177">
        <v>16.0</v>
      </c>
      <c r="N160" s="177">
        <v>16.0</v>
      </c>
      <c r="O160" s="182">
        <v>36864.0</v>
      </c>
      <c r="P160" s="177">
        <v>280.0</v>
      </c>
      <c r="Q160" s="177">
        <v>502.0</v>
      </c>
      <c r="R160" s="177">
        <v>55.8</v>
      </c>
      <c r="S160" s="177">
        <v>3635.0</v>
      </c>
      <c r="T160" s="177">
        <v>27.0</v>
      </c>
      <c r="U160" s="177">
        <v>5.4</v>
      </c>
      <c r="V160" s="177">
        <v>11.0</v>
      </c>
      <c r="W160" s="177">
        <v>2.2</v>
      </c>
      <c r="X160" s="177">
        <v>169.0</v>
      </c>
      <c r="Y160" s="177">
        <v>42.2</v>
      </c>
      <c r="Z160" s="177">
        <v>78.0</v>
      </c>
      <c r="AA160" s="177">
        <v>7.2</v>
      </c>
      <c r="AB160" s="177">
        <v>7.33</v>
      </c>
      <c r="AC160" s="177">
        <v>13.0</v>
      </c>
      <c r="AD160" s="177">
        <v>227.2</v>
      </c>
      <c r="AE160" s="177">
        <v>87.5</v>
      </c>
      <c r="AF160" s="177">
        <v>34.0</v>
      </c>
      <c r="AG160" s="177">
        <v>203.0</v>
      </c>
      <c r="AH160" s="177">
        <v>6.34</v>
      </c>
      <c r="AI160" s="177">
        <v>6.4</v>
      </c>
      <c r="AJ160" s="177">
        <v>6.49</v>
      </c>
      <c r="AK160" s="177">
        <v>0.0</v>
      </c>
      <c r="AL160" s="177">
        <v>2.0</v>
      </c>
      <c r="AM160" s="177">
        <v>18.0</v>
      </c>
      <c r="AN160" s="181" t="s">
        <v>380</v>
      </c>
      <c r="AO160" s="33"/>
      <c r="AP160" s="33"/>
      <c r="AQ160" s="33"/>
      <c r="AR160" s="33"/>
      <c r="AS160" s="33"/>
    </row>
    <row r="161" hidden="1" outlineLevel="1">
      <c r="A161" s="184" t="s">
        <v>68</v>
      </c>
      <c r="B161" s="176">
        <v>1998.0</v>
      </c>
      <c r="C161" s="180">
        <f t="array" ref="C161">xlookup(B161,DATA_LEAGUE_AVG!A:A,DATA_LEAGUE_AVG!H:H)</f>
        <v>516.3</v>
      </c>
      <c r="D161" s="177" t="b">
        <f t="shared" si="1"/>
        <v>1</v>
      </c>
      <c r="E161" s="177">
        <v>38.0</v>
      </c>
      <c r="F161" s="181" t="s">
        <v>116</v>
      </c>
      <c r="G161" s="181" t="s">
        <v>369</v>
      </c>
      <c r="H161" s="181" t="s">
        <v>90</v>
      </c>
      <c r="I161" s="180">
        <f t="array" ref="I161">xlookup(B161,DATA_LEAGUE_AVG!A:A,DATA_LEAGUE_AVG!C:C)</f>
        <v>3279.5</v>
      </c>
      <c r="J161" s="180">
        <f t="array" ref="J161">xlookup(B161,DATA_LEAGUE_AVG!A:A,DATA_LEAGUE_AVG!D:D)</f>
        <v>21.9</v>
      </c>
      <c r="K161" s="177">
        <f t="shared" ref="K161:L161" si="151">S161/I161</f>
        <v>0.8556182345</v>
      </c>
      <c r="L161" s="177">
        <f t="shared" si="151"/>
        <v>1.00456621</v>
      </c>
      <c r="M161" s="177">
        <v>13.0</v>
      </c>
      <c r="N161" s="177">
        <v>12.0</v>
      </c>
      <c r="O161" s="182">
        <v>36801.0</v>
      </c>
      <c r="P161" s="177">
        <v>210.0</v>
      </c>
      <c r="Q161" s="177">
        <v>356.0</v>
      </c>
      <c r="R161" s="177">
        <v>59.0</v>
      </c>
      <c r="S161" s="177">
        <v>2806.0</v>
      </c>
      <c r="T161" s="177">
        <v>22.0</v>
      </c>
      <c r="U161" s="177">
        <v>6.2</v>
      </c>
      <c r="V161" s="177">
        <v>10.0</v>
      </c>
      <c r="W161" s="177">
        <v>2.8</v>
      </c>
      <c r="X161" s="177">
        <v>139.0</v>
      </c>
      <c r="Y161" s="177">
        <v>49.2</v>
      </c>
      <c r="Z161" s="177">
        <v>58.0</v>
      </c>
      <c r="AA161" s="177">
        <v>7.9</v>
      </c>
      <c r="AB161" s="177">
        <v>7.85</v>
      </c>
      <c r="AC161" s="177">
        <v>13.4</v>
      </c>
      <c r="AD161" s="177">
        <v>215.8</v>
      </c>
      <c r="AE161" s="177">
        <v>93.0</v>
      </c>
      <c r="AF161" s="177">
        <v>18.0</v>
      </c>
      <c r="AG161" s="177">
        <v>135.0</v>
      </c>
      <c r="AH161" s="177">
        <v>4.81</v>
      </c>
      <c r="AI161" s="177">
        <v>7.14</v>
      </c>
      <c r="AJ161" s="177">
        <v>7.11</v>
      </c>
      <c r="AK161" s="177">
        <v>2.0</v>
      </c>
      <c r="AL161" s="177">
        <v>2.0</v>
      </c>
      <c r="AM161" s="177">
        <v>14.0</v>
      </c>
      <c r="AN161" s="181" t="s">
        <v>380</v>
      </c>
      <c r="AO161" s="33"/>
      <c r="AP161" s="33"/>
      <c r="AQ161" s="33"/>
      <c r="AR161" s="33"/>
      <c r="AS161" s="33"/>
    </row>
    <row r="162" collapsed="1">
      <c r="A162" s="184" t="s">
        <v>65</v>
      </c>
      <c r="B162" s="176" t="s">
        <v>348</v>
      </c>
      <c r="C162" s="177" t="str">
        <f t="array" ref="C162">xlookup(B162,DATA_LEAGUE_AVG!A:A,DATA_LEAGUE_AVG!H:H)</f>
        <v>#N/A</v>
      </c>
      <c r="D162" s="177" t="str">
        <f t="shared" si="1"/>
        <v>#N/A</v>
      </c>
      <c r="E162" s="176" t="s">
        <v>351</v>
      </c>
      <c r="F162" s="176" t="s">
        <v>352</v>
      </c>
      <c r="G162" s="176" t="s">
        <v>353</v>
      </c>
      <c r="H162" s="176" t="s">
        <v>354</v>
      </c>
      <c r="I162" s="178" t="s">
        <v>355</v>
      </c>
      <c r="J162" s="178" t="s">
        <v>356</v>
      </c>
      <c r="K162" s="178" t="s">
        <v>272</v>
      </c>
      <c r="L162" s="178" t="s">
        <v>357</v>
      </c>
      <c r="M162" s="176" t="s">
        <v>358</v>
      </c>
      <c r="N162" s="176" t="s">
        <v>359</v>
      </c>
      <c r="O162" s="176" t="s">
        <v>360</v>
      </c>
      <c r="P162" s="176" t="s">
        <v>330</v>
      </c>
      <c r="Q162" s="176" t="s">
        <v>331</v>
      </c>
      <c r="R162" s="176" t="s">
        <v>332</v>
      </c>
      <c r="S162" s="176" t="s">
        <v>326</v>
      </c>
      <c r="T162" s="176" t="s">
        <v>327</v>
      </c>
      <c r="U162" s="176" t="s">
        <v>335</v>
      </c>
      <c r="V162" s="176" t="s">
        <v>336</v>
      </c>
      <c r="W162" s="176" t="s">
        <v>337</v>
      </c>
      <c r="X162" s="176" t="s">
        <v>361</v>
      </c>
      <c r="Y162" s="176" t="s">
        <v>362</v>
      </c>
      <c r="Z162" s="176" t="s">
        <v>363</v>
      </c>
      <c r="AA162" s="176" t="s">
        <v>338</v>
      </c>
      <c r="AB162" s="176" t="s">
        <v>339</v>
      </c>
      <c r="AC162" s="176" t="s">
        <v>340</v>
      </c>
      <c r="AD162" s="176" t="s">
        <v>341</v>
      </c>
      <c r="AE162" s="176" t="s">
        <v>342</v>
      </c>
      <c r="AF162" s="176" t="s">
        <v>343</v>
      </c>
      <c r="AG162" s="176" t="s">
        <v>326</v>
      </c>
      <c r="AH162" s="176" t="s">
        <v>345</v>
      </c>
      <c r="AI162" s="176" t="s">
        <v>346</v>
      </c>
      <c r="AJ162" s="176" t="s">
        <v>347</v>
      </c>
      <c r="AK162" s="176" t="s">
        <v>364</v>
      </c>
      <c r="AL162" s="176" t="s">
        <v>365</v>
      </c>
      <c r="AM162" s="176" t="s">
        <v>366</v>
      </c>
      <c r="AN162" s="176" t="s">
        <v>367</v>
      </c>
      <c r="AO162" s="33"/>
      <c r="AP162" s="33"/>
      <c r="AQ162" s="33"/>
      <c r="AR162" s="33"/>
      <c r="AS162" s="33"/>
    </row>
    <row r="163" hidden="1" outlineLevel="1">
      <c r="A163" s="184" t="s">
        <v>65</v>
      </c>
      <c r="B163" s="176">
        <v>1970.0</v>
      </c>
      <c r="C163" s="180">
        <f t="array" ref="C163">xlookup(B163,DATA_LEAGUE_AVG!A:A,DATA_LEAGUE_AVG!H:H)</f>
        <v>376.8</v>
      </c>
      <c r="D163" s="177" t="b">
        <f t="shared" si="1"/>
        <v>1</v>
      </c>
      <c r="E163" s="177">
        <v>22.0</v>
      </c>
      <c r="F163" s="181" t="s">
        <v>105</v>
      </c>
      <c r="G163" s="181" t="s">
        <v>369</v>
      </c>
      <c r="H163" s="181" t="s">
        <v>90</v>
      </c>
      <c r="I163" s="180">
        <f t="array" ref="I163">xlookup(B163,DATA_LEAGUE_AVG!A:A,DATA_LEAGUE_AVG!C:C)</f>
        <v>2259.4</v>
      </c>
      <c r="J163" s="180">
        <f t="array" ref="J163">xlookup(B163,DATA_LEAGUE_AVG!A:A,DATA_LEAGUE_AVG!D:D)</f>
        <v>16.4</v>
      </c>
      <c r="K163" s="177">
        <f t="shared" ref="K163:L163" si="152">S163/I163</f>
        <v>0.6240594848</v>
      </c>
      <c r="L163" s="177">
        <f t="shared" si="152"/>
        <v>0.3658536585</v>
      </c>
      <c r="M163" s="177">
        <v>13.0</v>
      </c>
      <c r="N163" s="177">
        <v>8.0</v>
      </c>
      <c r="O163" s="182">
        <v>36590.0</v>
      </c>
      <c r="P163" s="177">
        <v>83.0</v>
      </c>
      <c r="Q163" s="177">
        <v>218.0</v>
      </c>
      <c r="R163" s="177">
        <v>38.1</v>
      </c>
      <c r="S163" s="177">
        <v>1410.0</v>
      </c>
      <c r="T163" s="177">
        <v>6.0</v>
      </c>
      <c r="U163" s="177">
        <v>2.8</v>
      </c>
      <c r="V163" s="177">
        <v>24.0</v>
      </c>
      <c r="W163" s="177">
        <v>11.0</v>
      </c>
      <c r="X163" s="183"/>
      <c r="Y163" s="183"/>
      <c r="Z163" s="177">
        <v>87.0</v>
      </c>
      <c r="AA163" s="177">
        <v>6.5</v>
      </c>
      <c r="AB163" s="177">
        <v>2.06</v>
      </c>
      <c r="AC163" s="177">
        <v>17.0</v>
      </c>
      <c r="AD163" s="177">
        <v>108.5</v>
      </c>
      <c r="AE163" s="177">
        <v>30.4</v>
      </c>
      <c r="AF163" s="177">
        <v>25.0</v>
      </c>
      <c r="AG163" s="177">
        <v>242.0</v>
      </c>
      <c r="AH163" s="177">
        <v>10.29</v>
      </c>
      <c r="AI163" s="177">
        <v>4.81</v>
      </c>
      <c r="AJ163" s="177">
        <v>0.86</v>
      </c>
      <c r="AK163" s="177">
        <v>0.0</v>
      </c>
      <c r="AL163" s="177">
        <v>0.0</v>
      </c>
      <c r="AM163" s="177">
        <v>1.0</v>
      </c>
      <c r="AN163" s="183"/>
      <c r="AO163" s="33"/>
      <c r="AP163" s="33"/>
      <c r="AQ163" s="33"/>
      <c r="AR163" s="33"/>
      <c r="AS163" s="33"/>
    </row>
    <row r="164" hidden="1" outlineLevel="1">
      <c r="A164" s="184" t="s">
        <v>65</v>
      </c>
      <c r="B164" s="176">
        <v>1971.0</v>
      </c>
      <c r="C164" s="180">
        <f t="array" ref="C164">xlookup(B164,DATA_LEAGUE_AVG!A:A,DATA_LEAGUE_AVG!H:H)</f>
        <v>362</v>
      </c>
      <c r="D164" s="177" t="b">
        <f t="shared" si="1"/>
        <v>1</v>
      </c>
      <c r="E164" s="177">
        <v>23.0</v>
      </c>
      <c r="F164" s="181" t="s">
        <v>105</v>
      </c>
      <c r="G164" s="181" t="s">
        <v>369</v>
      </c>
      <c r="H164" s="181" t="s">
        <v>90</v>
      </c>
      <c r="I164" s="180">
        <f t="array" ref="I164">xlookup(B164,DATA_LEAGUE_AVG!A:A,DATA_LEAGUE_AVG!C:C)</f>
        <v>2180.1</v>
      </c>
      <c r="J164" s="180">
        <f t="array" ref="J164">xlookup(B164,DATA_LEAGUE_AVG!A:A,DATA_LEAGUE_AVG!D:D)</f>
        <v>15</v>
      </c>
      <c r="K164" s="177">
        <f t="shared" ref="K164:L164" si="153">S164/I164</f>
        <v>1.036191</v>
      </c>
      <c r="L164" s="177">
        <f t="shared" si="153"/>
        <v>0.8666666667</v>
      </c>
      <c r="M164" s="177">
        <v>14.0</v>
      </c>
      <c r="N164" s="177">
        <v>13.0</v>
      </c>
      <c r="O164" s="182">
        <v>36654.0</v>
      </c>
      <c r="P164" s="177">
        <v>203.0</v>
      </c>
      <c r="Q164" s="177">
        <v>373.0</v>
      </c>
      <c r="R164" s="177">
        <v>54.4</v>
      </c>
      <c r="S164" s="177">
        <v>2259.0</v>
      </c>
      <c r="T164" s="177">
        <v>13.0</v>
      </c>
      <c r="U164" s="177">
        <v>3.5</v>
      </c>
      <c r="V164" s="177">
        <v>22.0</v>
      </c>
      <c r="W164" s="177">
        <v>5.9</v>
      </c>
      <c r="X164" s="183"/>
      <c r="Y164" s="183"/>
      <c r="Z164" s="177">
        <v>49.0</v>
      </c>
      <c r="AA164" s="177">
        <v>6.1</v>
      </c>
      <c r="AB164" s="177">
        <v>4.1</v>
      </c>
      <c r="AC164" s="177">
        <v>11.1</v>
      </c>
      <c r="AD164" s="177">
        <v>161.4</v>
      </c>
      <c r="AE164" s="177">
        <v>59.7</v>
      </c>
      <c r="AF164" s="177">
        <v>33.0</v>
      </c>
      <c r="AG164" s="177">
        <v>287.0</v>
      </c>
      <c r="AH164" s="177">
        <v>8.13</v>
      </c>
      <c r="AI164" s="177">
        <v>4.86</v>
      </c>
      <c r="AJ164" s="177">
        <v>3.06</v>
      </c>
      <c r="AK164" s="177">
        <v>3.0</v>
      </c>
      <c r="AL164" s="177">
        <v>3.0</v>
      </c>
      <c r="AM164" s="177">
        <v>10.0</v>
      </c>
      <c r="AN164" s="183"/>
      <c r="AO164" s="33"/>
      <c r="AP164" s="33"/>
      <c r="AQ164" s="33"/>
      <c r="AR164" s="33"/>
      <c r="AS164" s="33"/>
    </row>
    <row r="165" hidden="1" outlineLevel="1">
      <c r="A165" s="184" t="s">
        <v>65</v>
      </c>
      <c r="B165" s="176">
        <v>1972.0</v>
      </c>
      <c r="C165" s="180">
        <f t="array" ref="C165">xlookup(B165,DATA_LEAGUE_AVG!A:A,DATA_LEAGUE_AVG!H:H)</f>
        <v>346.6</v>
      </c>
      <c r="D165" s="177" t="b">
        <f t="shared" si="1"/>
        <v>1</v>
      </c>
      <c r="E165" s="177">
        <v>24.0</v>
      </c>
      <c r="F165" s="181" t="s">
        <v>105</v>
      </c>
      <c r="G165" s="181" t="s">
        <v>369</v>
      </c>
      <c r="H165" s="181" t="s">
        <v>90</v>
      </c>
      <c r="I165" s="180">
        <f t="array" ref="I165">xlookup(B165,DATA_LEAGUE_AVG!A:A,DATA_LEAGUE_AVG!C:C)</f>
        <v>2129</v>
      </c>
      <c r="J165" s="180">
        <f t="array" ref="J165">xlookup(B165,DATA_LEAGUE_AVG!A:A,DATA_LEAGUE_AVG!D:D)</f>
        <v>15.5</v>
      </c>
      <c r="K165" s="177">
        <f t="shared" ref="K165:L165" si="154">S165/I165</f>
        <v>0.8863316111</v>
      </c>
      <c r="L165" s="177">
        <f t="shared" si="154"/>
        <v>0.7741935484</v>
      </c>
      <c r="M165" s="177">
        <v>14.0</v>
      </c>
      <c r="N165" s="177">
        <v>14.0</v>
      </c>
      <c r="O165" s="182">
        <v>36833.0</v>
      </c>
      <c r="P165" s="177">
        <v>147.0</v>
      </c>
      <c r="Q165" s="177">
        <v>308.0</v>
      </c>
      <c r="R165" s="177">
        <v>47.7</v>
      </c>
      <c r="S165" s="177">
        <v>1887.0</v>
      </c>
      <c r="T165" s="177">
        <v>12.0</v>
      </c>
      <c r="U165" s="177">
        <v>3.9</v>
      </c>
      <c r="V165" s="177">
        <v>12.0</v>
      </c>
      <c r="W165" s="177">
        <v>3.9</v>
      </c>
      <c r="X165" s="183"/>
      <c r="Y165" s="183"/>
      <c r="Z165" s="177">
        <v>78.0</v>
      </c>
      <c r="AA165" s="177">
        <v>6.1</v>
      </c>
      <c r="AB165" s="177">
        <v>5.15</v>
      </c>
      <c r="AC165" s="177">
        <v>12.8</v>
      </c>
      <c r="AD165" s="177">
        <v>134.8</v>
      </c>
      <c r="AE165" s="177">
        <v>64.1</v>
      </c>
      <c r="AF165" s="177">
        <v>29.0</v>
      </c>
      <c r="AG165" s="177">
        <v>237.0</v>
      </c>
      <c r="AH165" s="177">
        <v>8.61</v>
      </c>
      <c r="AI165" s="177">
        <v>4.9</v>
      </c>
      <c r="AJ165" s="177">
        <v>4.01</v>
      </c>
      <c r="AK165" s="177">
        <v>2.0</v>
      </c>
      <c r="AL165" s="177">
        <v>3.0</v>
      </c>
      <c r="AM165" s="177">
        <v>14.0</v>
      </c>
      <c r="AN165" s="183"/>
      <c r="AO165" s="33"/>
      <c r="AP165" s="33"/>
      <c r="AQ165" s="33"/>
      <c r="AR165" s="33"/>
      <c r="AS165" s="33"/>
    </row>
    <row r="166" hidden="1" outlineLevel="1">
      <c r="A166" s="184" t="s">
        <v>65</v>
      </c>
      <c r="B166" s="176">
        <v>1973.0</v>
      </c>
      <c r="C166" s="180">
        <f t="array" ref="C166">xlookup(B166,DATA_LEAGUE_AVG!A:A,DATA_LEAGUE_AVG!H:H)</f>
        <v>340.2</v>
      </c>
      <c r="D166" s="177" t="b">
        <f t="shared" si="1"/>
        <v>1</v>
      </c>
      <c r="E166" s="177">
        <v>25.0</v>
      </c>
      <c r="F166" s="181" t="s">
        <v>105</v>
      </c>
      <c r="G166" s="181" t="s">
        <v>369</v>
      </c>
      <c r="H166" s="181" t="s">
        <v>90</v>
      </c>
      <c r="I166" s="180">
        <f t="array" ref="I166">xlookup(B166,DATA_LEAGUE_AVG!A:A,DATA_LEAGUE_AVG!C:C)</f>
        <v>1973</v>
      </c>
      <c r="J166" s="180">
        <f t="array" ref="J166">xlookup(B166,DATA_LEAGUE_AVG!A:A,DATA_LEAGUE_AVG!D:D)</f>
        <v>14.5</v>
      </c>
      <c r="K166" s="177">
        <f t="shared" ref="K166:L166" si="155">S166/I166</f>
        <v>0.5995945261</v>
      </c>
      <c r="L166" s="177">
        <f t="shared" si="155"/>
        <v>0.6896551724</v>
      </c>
      <c r="M166" s="177">
        <v>10.0</v>
      </c>
      <c r="N166" s="177">
        <v>9.0</v>
      </c>
      <c r="O166" s="182">
        <v>36739.0</v>
      </c>
      <c r="P166" s="177">
        <v>89.0</v>
      </c>
      <c r="Q166" s="177">
        <v>180.0</v>
      </c>
      <c r="R166" s="177">
        <v>49.4</v>
      </c>
      <c r="S166" s="177">
        <v>1183.0</v>
      </c>
      <c r="T166" s="177">
        <v>10.0</v>
      </c>
      <c r="U166" s="177">
        <v>5.6</v>
      </c>
      <c r="V166" s="177">
        <v>15.0</v>
      </c>
      <c r="W166" s="177">
        <v>8.3</v>
      </c>
      <c r="X166" s="183"/>
      <c r="Y166" s="183"/>
      <c r="Z166" s="177">
        <v>67.0</v>
      </c>
      <c r="AA166" s="177">
        <v>6.6</v>
      </c>
      <c r="AB166" s="177">
        <v>3.93</v>
      </c>
      <c r="AC166" s="177">
        <v>13.3</v>
      </c>
      <c r="AD166" s="177">
        <v>118.3</v>
      </c>
      <c r="AE166" s="177">
        <v>54.5</v>
      </c>
      <c r="AF166" s="177">
        <v>24.0</v>
      </c>
      <c r="AG166" s="177">
        <v>186.0</v>
      </c>
      <c r="AH166" s="177">
        <v>11.76</v>
      </c>
      <c r="AI166" s="177">
        <v>4.89</v>
      </c>
      <c r="AJ166" s="177">
        <v>2.56</v>
      </c>
      <c r="AK166" s="177">
        <v>0.0</v>
      </c>
      <c r="AL166" s="177">
        <v>1.0</v>
      </c>
      <c r="AM166" s="177">
        <v>7.0</v>
      </c>
      <c r="AN166" s="183"/>
      <c r="AO166" s="33"/>
      <c r="AP166" s="33"/>
      <c r="AQ166" s="33"/>
      <c r="AR166" s="33"/>
      <c r="AS166" s="33"/>
    </row>
    <row r="167" hidden="1" outlineLevel="1">
      <c r="A167" s="184" t="s">
        <v>65</v>
      </c>
      <c r="B167" s="176">
        <v>1975.0</v>
      </c>
      <c r="C167" s="180">
        <f t="array" ref="C167">xlookup(B167,DATA_LEAGUE_AVG!A:A,DATA_LEAGUE_AVG!H:H)</f>
        <v>383.6</v>
      </c>
      <c r="D167" s="177" t="b">
        <f t="shared" si="1"/>
        <v>1</v>
      </c>
      <c r="E167" s="177">
        <v>27.0</v>
      </c>
      <c r="F167" s="181" t="s">
        <v>105</v>
      </c>
      <c r="G167" s="181" t="s">
        <v>369</v>
      </c>
      <c r="H167" s="181" t="s">
        <v>90</v>
      </c>
      <c r="I167" s="180">
        <f t="array" ref="I167">xlookup(B167,DATA_LEAGUE_AVG!A:A,DATA_LEAGUE_AVG!C:C)</f>
        <v>2279.1</v>
      </c>
      <c r="J167" s="180">
        <f t="array" ref="J167">xlookup(B167,DATA_LEAGUE_AVG!A:A,DATA_LEAGUE_AVG!D:D)</f>
        <v>16.7</v>
      </c>
      <c r="K167" s="177">
        <f t="shared" ref="K167:L167" si="156">S167/I167</f>
        <v>0.9016717125</v>
      </c>
      <c r="L167" s="177">
        <f t="shared" si="156"/>
        <v>1.077844311</v>
      </c>
      <c r="M167" s="177">
        <v>14.0</v>
      </c>
      <c r="N167" s="177">
        <v>14.0</v>
      </c>
      <c r="O167" s="182">
        <v>36862.0</v>
      </c>
      <c r="P167" s="177">
        <v>165.0</v>
      </c>
      <c r="Q167" s="177">
        <v>286.0</v>
      </c>
      <c r="R167" s="177">
        <v>57.7</v>
      </c>
      <c r="S167" s="177">
        <v>2055.0</v>
      </c>
      <c r="T167" s="177">
        <v>18.0</v>
      </c>
      <c r="U167" s="177">
        <v>6.3</v>
      </c>
      <c r="V167" s="177">
        <v>9.0</v>
      </c>
      <c r="W167" s="177">
        <v>3.1</v>
      </c>
      <c r="X167" s="183"/>
      <c r="Y167" s="183"/>
      <c r="Z167" s="177">
        <v>59.0</v>
      </c>
      <c r="AA167" s="177">
        <v>7.2</v>
      </c>
      <c r="AB167" s="177">
        <v>7.03</v>
      </c>
      <c r="AC167" s="177">
        <v>12.5</v>
      </c>
      <c r="AD167" s="177">
        <v>146.8</v>
      </c>
      <c r="AE167" s="177">
        <v>88.0</v>
      </c>
      <c r="AF167" s="177">
        <v>31.0</v>
      </c>
      <c r="AG167" s="177">
        <v>290.0</v>
      </c>
      <c r="AH167" s="177">
        <v>9.78</v>
      </c>
      <c r="AI167" s="177">
        <v>5.57</v>
      </c>
      <c r="AJ167" s="177">
        <v>5.43</v>
      </c>
      <c r="AK167" s="177">
        <v>0.0</v>
      </c>
      <c r="AL167" s="177">
        <v>2.0</v>
      </c>
      <c r="AM167" s="177">
        <v>14.0</v>
      </c>
      <c r="AN167" s="181" t="s">
        <v>380</v>
      </c>
      <c r="AO167" s="33"/>
      <c r="AP167" s="33"/>
      <c r="AQ167" s="33"/>
      <c r="AR167" s="33"/>
      <c r="AS167" s="33"/>
    </row>
    <row r="168" hidden="1" outlineLevel="1">
      <c r="A168" s="184" t="s">
        <v>65</v>
      </c>
      <c r="B168" s="176">
        <v>1976.0</v>
      </c>
      <c r="C168" s="180">
        <f t="array" ref="C168">xlookup(B168,DATA_LEAGUE_AVG!A:A,DATA_LEAGUE_AVG!H:H)</f>
        <v>366.4</v>
      </c>
      <c r="D168" s="177" t="b">
        <f t="shared" si="1"/>
        <v>1</v>
      </c>
      <c r="E168" s="177">
        <v>28.0</v>
      </c>
      <c r="F168" s="181" t="s">
        <v>105</v>
      </c>
      <c r="G168" s="181" t="s">
        <v>369</v>
      </c>
      <c r="H168" s="181" t="s">
        <v>90</v>
      </c>
      <c r="I168" s="180">
        <f t="array" ref="I168">xlookup(B168,DATA_LEAGUE_AVG!A:A,DATA_LEAGUE_AVG!C:C)</f>
        <v>2128.4</v>
      </c>
      <c r="J168" s="180">
        <f t="array" ref="J168">xlookup(B168,DATA_LEAGUE_AVG!A:A,DATA_LEAGUE_AVG!D:D)</f>
        <v>15.4</v>
      </c>
      <c r="K168" s="177">
        <f t="shared" ref="K168:L168" si="157">S168/I168</f>
        <v>0.5529975569</v>
      </c>
      <c r="L168" s="177">
        <f t="shared" si="157"/>
        <v>0.6493506494</v>
      </c>
      <c r="M168" s="177">
        <v>10.0</v>
      </c>
      <c r="N168" s="177">
        <v>8.0</v>
      </c>
      <c r="O168" s="182">
        <v>36620.0</v>
      </c>
      <c r="P168" s="177">
        <v>92.0</v>
      </c>
      <c r="Q168" s="177">
        <v>192.0</v>
      </c>
      <c r="R168" s="177">
        <v>47.9</v>
      </c>
      <c r="S168" s="177">
        <v>1177.0</v>
      </c>
      <c r="T168" s="177">
        <v>10.0</v>
      </c>
      <c r="U168" s="177">
        <v>5.2</v>
      </c>
      <c r="V168" s="177">
        <v>9.0</v>
      </c>
      <c r="W168" s="177">
        <v>4.7</v>
      </c>
      <c r="X168" s="183"/>
      <c r="Y168" s="183"/>
      <c r="Z168" s="177">
        <v>50.0</v>
      </c>
      <c r="AA168" s="177">
        <v>6.1</v>
      </c>
      <c r="AB168" s="177">
        <v>5.06</v>
      </c>
      <c r="AC168" s="177">
        <v>12.8</v>
      </c>
      <c r="AD168" s="177">
        <v>117.7</v>
      </c>
      <c r="AE168" s="177">
        <v>65.4</v>
      </c>
      <c r="AF168" s="177">
        <v>16.0</v>
      </c>
      <c r="AG168" s="177">
        <v>164.0</v>
      </c>
      <c r="AH168" s="177">
        <v>7.69</v>
      </c>
      <c r="AI168" s="177">
        <v>4.87</v>
      </c>
      <c r="AJ168" s="177">
        <v>3.88</v>
      </c>
      <c r="AK168" s="177">
        <v>0.0</v>
      </c>
      <c r="AL168" s="177">
        <v>0.0</v>
      </c>
      <c r="AM168" s="177">
        <v>9.0</v>
      </c>
      <c r="AN168" s="183"/>
      <c r="AO168" s="33"/>
      <c r="AP168" s="33"/>
      <c r="AQ168" s="33"/>
      <c r="AR168" s="33"/>
      <c r="AS168" s="33"/>
    </row>
    <row r="169" hidden="1" outlineLevel="1">
      <c r="A169" s="184" t="s">
        <v>65</v>
      </c>
      <c r="B169" s="176">
        <v>1977.0</v>
      </c>
      <c r="C169" s="180">
        <f t="array" ref="C169">xlookup(B169,DATA_LEAGUE_AVG!A:A,DATA_LEAGUE_AVG!H:H)</f>
        <v>349.5</v>
      </c>
      <c r="D169" s="177" t="b">
        <f t="shared" si="1"/>
        <v>1</v>
      </c>
      <c r="E169" s="177">
        <v>29.0</v>
      </c>
      <c r="F169" s="181" t="s">
        <v>105</v>
      </c>
      <c r="G169" s="181" t="s">
        <v>369</v>
      </c>
      <c r="H169" s="181" t="s">
        <v>90</v>
      </c>
      <c r="I169" s="180">
        <f t="array" ref="I169">xlookup(B169,DATA_LEAGUE_AVG!A:A,DATA_LEAGUE_AVG!C:C)</f>
        <v>1986.4</v>
      </c>
      <c r="J169" s="180">
        <f t="array" ref="J169">xlookup(B169,DATA_LEAGUE_AVG!A:A,DATA_LEAGUE_AVG!D:D)</f>
        <v>13.9</v>
      </c>
      <c r="K169" s="177">
        <f t="shared" ref="K169:L169" si="158">S169/I169</f>
        <v>1.270136931</v>
      </c>
      <c r="L169" s="177">
        <f t="shared" si="158"/>
        <v>1.223021583</v>
      </c>
      <c r="M169" s="177">
        <v>14.0</v>
      </c>
      <c r="N169" s="177">
        <v>14.0</v>
      </c>
      <c r="O169" s="182">
        <v>36774.0</v>
      </c>
      <c r="P169" s="177">
        <v>162.0</v>
      </c>
      <c r="Q169" s="177">
        <v>314.0</v>
      </c>
      <c r="R169" s="177">
        <v>51.6</v>
      </c>
      <c r="S169" s="177">
        <v>2523.0</v>
      </c>
      <c r="T169" s="177">
        <v>17.0</v>
      </c>
      <c r="U169" s="177">
        <v>5.4</v>
      </c>
      <c r="V169" s="177">
        <v>19.0</v>
      </c>
      <c r="W169" s="177">
        <v>6.1</v>
      </c>
      <c r="X169" s="183"/>
      <c r="Y169" s="183"/>
      <c r="Z169" s="177">
        <v>65.0</v>
      </c>
      <c r="AA169" s="177">
        <v>8.0</v>
      </c>
      <c r="AB169" s="177">
        <v>6.39</v>
      </c>
      <c r="AC169" s="177">
        <v>15.6</v>
      </c>
      <c r="AD169" s="177">
        <v>180.2</v>
      </c>
      <c r="AE169" s="177">
        <v>71.4</v>
      </c>
      <c r="AF169" s="177">
        <v>26.0</v>
      </c>
      <c r="AG169" s="177">
        <v>235.0</v>
      </c>
      <c r="AH169" s="177">
        <v>7.65</v>
      </c>
      <c r="AI169" s="177">
        <v>6.73</v>
      </c>
      <c r="AJ169" s="177">
        <v>5.21</v>
      </c>
      <c r="AK169" s="177">
        <v>0.0</v>
      </c>
      <c r="AL169" s="177">
        <v>1.0</v>
      </c>
      <c r="AM169" s="177">
        <v>15.0</v>
      </c>
      <c r="AN169" s="183"/>
      <c r="AO169" s="33"/>
      <c r="AP169" s="33"/>
      <c r="AQ169" s="33"/>
      <c r="AR169" s="33"/>
      <c r="AS169" s="33"/>
    </row>
    <row r="170" hidden="1" outlineLevel="1">
      <c r="A170" s="184" t="s">
        <v>65</v>
      </c>
      <c r="B170" s="176">
        <v>1978.0</v>
      </c>
      <c r="C170" s="180">
        <f t="array" ref="C170">xlookup(B170,DATA_LEAGUE_AVG!A:A,DATA_LEAGUE_AVG!H:H)</f>
        <v>422.5</v>
      </c>
      <c r="D170" s="177" t="b">
        <f t="shared" si="1"/>
        <v>1</v>
      </c>
      <c r="E170" s="177">
        <v>30.0</v>
      </c>
      <c r="F170" s="181" t="s">
        <v>105</v>
      </c>
      <c r="G170" s="181" t="s">
        <v>369</v>
      </c>
      <c r="H170" s="181" t="s">
        <v>90</v>
      </c>
      <c r="I170" s="180">
        <f t="array" ref="I170">xlookup(B170,DATA_LEAGUE_AVG!A:A,DATA_LEAGUE_AVG!C:C)</f>
        <v>2541.4</v>
      </c>
      <c r="J170" s="180">
        <f t="array" ref="J170">xlookup(B170,DATA_LEAGUE_AVG!A:A,DATA_LEAGUE_AVG!D:D)</f>
        <v>16.7</v>
      </c>
      <c r="K170" s="177">
        <f t="shared" ref="K170:L170" si="159">S170/I170</f>
        <v>1.147005587</v>
      </c>
      <c r="L170" s="177">
        <f t="shared" si="159"/>
        <v>1.676646707</v>
      </c>
      <c r="M170" s="177">
        <v>16.0</v>
      </c>
      <c r="N170" s="177">
        <v>16.0</v>
      </c>
      <c r="O170" s="181" t="s">
        <v>370</v>
      </c>
      <c r="P170" s="177">
        <v>207.0</v>
      </c>
      <c r="Q170" s="177">
        <v>368.0</v>
      </c>
      <c r="R170" s="177">
        <v>56.3</v>
      </c>
      <c r="S170" s="177">
        <v>2915.0</v>
      </c>
      <c r="T170" s="177">
        <v>28.0</v>
      </c>
      <c r="U170" s="177">
        <v>7.6</v>
      </c>
      <c r="V170" s="177">
        <v>20.0</v>
      </c>
      <c r="W170" s="177">
        <v>5.4</v>
      </c>
      <c r="X170" s="177">
        <v>145.0</v>
      </c>
      <c r="Y170" s="177">
        <v>45.0</v>
      </c>
      <c r="Z170" s="177">
        <v>70.0</v>
      </c>
      <c r="AA170" s="177">
        <v>7.9</v>
      </c>
      <c r="AB170" s="177">
        <v>7.0</v>
      </c>
      <c r="AC170" s="177">
        <v>14.1</v>
      </c>
      <c r="AD170" s="177">
        <v>182.2</v>
      </c>
      <c r="AE170" s="177">
        <v>84.7</v>
      </c>
      <c r="AF170" s="177">
        <v>21.0</v>
      </c>
      <c r="AG170" s="177">
        <v>222.0</v>
      </c>
      <c r="AH170" s="177">
        <v>5.4</v>
      </c>
      <c r="AI170" s="177">
        <v>6.92</v>
      </c>
      <c r="AJ170" s="177">
        <v>6.05</v>
      </c>
      <c r="AK170" s="177">
        <v>2.0</v>
      </c>
      <c r="AL170" s="177">
        <v>2.0</v>
      </c>
      <c r="AM170" s="177">
        <v>16.0</v>
      </c>
      <c r="AN170" s="181" t="s">
        <v>390</v>
      </c>
      <c r="AO170" s="33"/>
      <c r="AP170" s="33"/>
      <c r="AQ170" s="33"/>
      <c r="AR170" s="33"/>
      <c r="AS170" s="33"/>
    </row>
    <row r="171" hidden="1" outlineLevel="1">
      <c r="A171" s="184" t="s">
        <v>65</v>
      </c>
      <c r="B171" s="176">
        <v>1979.0</v>
      </c>
      <c r="C171" s="180">
        <f t="array" ref="C171">xlookup(B171,DATA_LEAGUE_AVG!A:A,DATA_LEAGUE_AVG!H:H)</f>
        <v>463.5</v>
      </c>
      <c r="D171" s="177" t="b">
        <f t="shared" si="1"/>
        <v>1</v>
      </c>
      <c r="E171" s="177">
        <v>31.0</v>
      </c>
      <c r="F171" s="181" t="s">
        <v>105</v>
      </c>
      <c r="G171" s="181" t="s">
        <v>369</v>
      </c>
      <c r="H171" s="181" t="s">
        <v>90</v>
      </c>
      <c r="I171" s="180">
        <f t="array" ref="I171">xlookup(B171,DATA_LEAGUE_AVG!A:A,DATA_LEAGUE_AVG!C:C)</f>
        <v>2886</v>
      </c>
      <c r="J171" s="180">
        <f t="array" ref="J171">xlookup(B171,DATA_LEAGUE_AVG!A:A,DATA_LEAGUE_AVG!D:D)</f>
        <v>19.2</v>
      </c>
      <c r="K171" s="177">
        <f t="shared" ref="K171:L171" si="160">S171/I171</f>
        <v>1.29036729</v>
      </c>
      <c r="L171" s="177">
        <f t="shared" si="160"/>
        <v>1.354166667</v>
      </c>
      <c r="M171" s="177">
        <v>16.0</v>
      </c>
      <c r="N171" s="177">
        <v>16.0</v>
      </c>
      <c r="O171" s="182">
        <v>36864.0</v>
      </c>
      <c r="P171" s="177">
        <v>259.0</v>
      </c>
      <c r="Q171" s="177">
        <v>472.0</v>
      </c>
      <c r="R171" s="177">
        <v>54.9</v>
      </c>
      <c r="S171" s="177">
        <v>3724.0</v>
      </c>
      <c r="T171" s="177">
        <v>26.0</v>
      </c>
      <c r="U171" s="177">
        <v>5.5</v>
      </c>
      <c r="V171" s="177">
        <v>25.0</v>
      </c>
      <c r="W171" s="177">
        <v>5.3</v>
      </c>
      <c r="X171" s="177">
        <v>174.0</v>
      </c>
      <c r="Y171" s="177">
        <v>45.4</v>
      </c>
      <c r="Z171" s="177">
        <v>65.0</v>
      </c>
      <c r="AA171" s="177">
        <v>7.9</v>
      </c>
      <c r="AB171" s="177">
        <v>6.61</v>
      </c>
      <c r="AC171" s="177">
        <v>14.4</v>
      </c>
      <c r="AD171" s="177">
        <v>232.8</v>
      </c>
      <c r="AE171" s="177">
        <v>77.0</v>
      </c>
      <c r="AF171" s="177">
        <v>24.0</v>
      </c>
      <c r="AG171" s="177">
        <v>196.0</v>
      </c>
      <c r="AH171" s="177">
        <v>4.84</v>
      </c>
      <c r="AI171" s="177">
        <v>7.11</v>
      </c>
      <c r="AJ171" s="177">
        <v>5.89</v>
      </c>
      <c r="AK171" s="177">
        <v>4.0</v>
      </c>
      <c r="AL171" s="177">
        <v>4.0</v>
      </c>
      <c r="AM171" s="177">
        <v>14.0</v>
      </c>
      <c r="AN171" s="181" t="s">
        <v>424</v>
      </c>
      <c r="AO171" s="33"/>
      <c r="AP171" s="33"/>
      <c r="AQ171" s="33"/>
      <c r="AR171" s="33"/>
      <c r="AS171" s="33"/>
    </row>
    <row r="172" hidden="1" outlineLevel="1">
      <c r="A172" s="184" t="s">
        <v>65</v>
      </c>
      <c r="B172" s="176">
        <v>1980.0</v>
      </c>
      <c r="C172" s="180">
        <f t="array" ref="C172">xlookup(B172,DATA_LEAGUE_AVG!A:A,DATA_LEAGUE_AVG!H:H)</f>
        <v>489.5</v>
      </c>
      <c r="D172" s="177" t="b">
        <f t="shared" si="1"/>
        <v>1</v>
      </c>
      <c r="E172" s="177">
        <v>32.0</v>
      </c>
      <c r="F172" s="181" t="s">
        <v>105</v>
      </c>
      <c r="G172" s="181" t="s">
        <v>369</v>
      </c>
      <c r="H172" s="181" t="s">
        <v>90</v>
      </c>
      <c r="I172" s="180">
        <f t="array" ref="I172">xlookup(B172,DATA_LEAGUE_AVG!A:A,DATA_LEAGUE_AVG!C:C)</f>
        <v>3135.3</v>
      </c>
      <c r="J172" s="180">
        <f t="array" ref="J172">xlookup(B172,DATA_LEAGUE_AVG!A:A,DATA_LEAGUE_AVG!D:D)</f>
        <v>21.6</v>
      </c>
      <c r="K172" s="177">
        <f t="shared" ref="K172:L172" si="161">S172/I172</f>
        <v>1.064969859</v>
      </c>
      <c r="L172" s="177">
        <f t="shared" si="161"/>
        <v>1.111111111</v>
      </c>
      <c r="M172" s="177">
        <v>15.0</v>
      </c>
      <c r="N172" s="177">
        <v>15.0</v>
      </c>
      <c r="O172" s="182">
        <v>36775.0</v>
      </c>
      <c r="P172" s="177">
        <v>218.0</v>
      </c>
      <c r="Q172" s="177">
        <v>424.0</v>
      </c>
      <c r="R172" s="177">
        <v>51.4</v>
      </c>
      <c r="S172" s="177">
        <v>3339.0</v>
      </c>
      <c r="T172" s="177">
        <v>24.0</v>
      </c>
      <c r="U172" s="177">
        <v>5.7</v>
      </c>
      <c r="V172" s="177">
        <v>22.0</v>
      </c>
      <c r="W172" s="177">
        <v>5.2</v>
      </c>
      <c r="X172" s="177">
        <v>152.0</v>
      </c>
      <c r="Y172" s="177">
        <v>40.9</v>
      </c>
      <c r="Z172" s="177">
        <v>68.0</v>
      </c>
      <c r="AA172" s="177">
        <v>7.9</v>
      </c>
      <c r="AB172" s="177">
        <v>6.67</v>
      </c>
      <c r="AC172" s="177">
        <v>15.3</v>
      </c>
      <c r="AD172" s="177">
        <v>222.6</v>
      </c>
      <c r="AE172" s="177">
        <v>75.0</v>
      </c>
      <c r="AF172" s="177">
        <v>33.0</v>
      </c>
      <c r="AG172" s="177">
        <v>245.0</v>
      </c>
      <c r="AH172" s="177">
        <v>7.22</v>
      </c>
      <c r="AI172" s="177">
        <v>6.77</v>
      </c>
      <c r="AJ172" s="177">
        <v>5.65</v>
      </c>
      <c r="AK172" s="177">
        <v>3.0</v>
      </c>
      <c r="AL172" s="177">
        <v>4.0</v>
      </c>
      <c r="AM172" s="177">
        <v>12.0</v>
      </c>
      <c r="AN172" s="183"/>
      <c r="AO172" s="33"/>
      <c r="AP172" s="33"/>
      <c r="AQ172" s="33"/>
      <c r="AR172" s="33"/>
      <c r="AS172" s="33"/>
    </row>
    <row r="173" hidden="1" outlineLevel="1">
      <c r="A173" s="184" t="s">
        <v>65</v>
      </c>
      <c r="B173" s="176">
        <v>1981.0</v>
      </c>
      <c r="C173" s="180">
        <f t="array" ref="C173">xlookup(B173,DATA_LEAGUE_AVG!A:A,DATA_LEAGUE_AVG!H:H)</f>
        <v>506.4</v>
      </c>
      <c r="D173" s="177" t="b">
        <f t="shared" si="1"/>
        <v>1</v>
      </c>
      <c r="E173" s="177">
        <v>33.0</v>
      </c>
      <c r="F173" s="181" t="s">
        <v>105</v>
      </c>
      <c r="G173" s="181" t="s">
        <v>369</v>
      </c>
      <c r="H173" s="181" t="s">
        <v>90</v>
      </c>
      <c r="I173" s="180">
        <f t="array" ref="I173">xlookup(B173,DATA_LEAGUE_AVG!A:A,DATA_LEAGUE_AVG!C:C)</f>
        <v>3269.8</v>
      </c>
      <c r="J173" s="180">
        <f t="array" ref="J173">xlookup(B173,DATA_LEAGUE_AVG!A:A,DATA_LEAGUE_AVG!D:D)</f>
        <v>21.1</v>
      </c>
      <c r="K173" s="177">
        <f t="shared" ref="K173:L173" si="162">S173/I173</f>
        <v>0.8829286195</v>
      </c>
      <c r="L173" s="177">
        <f t="shared" si="162"/>
        <v>1.042654028</v>
      </c>
      <c r="M173" s="177">
        <v>14.0</v>
      </c>
      <c r="N173" s="177">
        <v>14.0</v>
      </c>
      <c r="O173" s="182">
        <v>36744.0</v>
      </c>
      <c r="P173" s="177">
        <v>201.0</v>
      </c>
      <c r="Q173" s="177">
        <v>370.0</v>
      </c>
      <c r="R173" s="177">
        <v>54.3</v>
      </c>
      <c r="S173" s="177">
        <v>2887.0</v>
      </c>
      <c r="T173" s="177">
        <v>22.0</v>
      </c>
      <c r="U173" s="177">
        <v>5.9</v>
      </c>
      <c r="V173" s="177">
        <v>14.0</v>
      </c>
      <c r="W173" s="177">
        <v>3.8</v>
      </c>
      <c r="X173" s="177">
        <v>126.0</v>
      </c>
      <c r="Y173" s="177">
        <v>46.0</v>
      </c>
      <c r="Z173" s="177">
        <v>90.0</v>
      </c>
      <c r="AA173" s="177">
        <v>7.8</v>
      </c>
      <c r="AB173" s="177">
        <v>7.29</v>
      </c>
      <c r="AC173" s="177">
        <v>14.4</v>
      </c>
      <c r="AD173" s="177">
        <v>206.2</v>
      </c>
      <c r="AE173" s="177">
        <v>83.9</v>
      </c>
      <c r="AF173" s="177">
        <v>17.0</v>
      </c>
      <c r="AG173" s="177">
        <v>155.0</v>
      </c>
      <c r="AH173" s="177">
        <v>4.39</v>
      </c>
      <c r="AI173" s="177">
        <v>7.06</v>
      </c>
      <c r="AJ173" s="177">
        <v>6.57</v>
      </c>
      <c r="AK173" s="177">
        <v>0.0</v>
      </c>
      <c r="AL173" s="177">
        <v>2.0</v>
      </c>
      <c r="AM173" s="177">
        <v>11.0</v>
      </c>
      <c r="AN173" s="183"/>
      <c r="AO173" s="33"/>
      <c r="AP173" s="33"/>
      <c r="AQ173" s="33"/>
      <c r="AR173" s="33"/>
      <c r="AS173" s="33"/>
    </row>
    <row r="174" hidden="1" outlineLevel="1">
      <c r="A174" s="184" t="s">
        <v>65</v>
      </c>
      <c r="B174" s="176">
        <v>1982.0</v>
      </c>
      <c r="C174" s="180">
        <f t="array" ref="C174">xlookup(B174,DATA_LEAGUE_AVG!A:A,DATA_LEAGUE_AVG!H:H)</f>
        <v>283.3</v>
      </c>
      <c r="D174" s="177" t="b">
        <f t="shared" si="1"/>
        <v>1</v>
      </c>
      <c r="E174" s="177">
        <v>34.0</v>
      </c>
      <c r="F174" s="181" t="s">
        <v>105</v>
      </c>
      <c r="G174" s="181" t="s">
        <v>369</v>
      </c>
      <c r="H174" s="181" t="s">
        <v>90</v>
      </c>
      <c r="I174" s="180">
        <f t="array" ref="I174">xlookup(B174,DATA_LEAGUE_AVG!A:A,DATA_LEAGUE_AVG!C:C)</f>
        <v>1794.9</v>
      </c>
      <c r="J174" s="180">
        <f t="array" ref="J174">xlookup(B174,DATA_LEAGUE_AVG!A:A,DATA_LEAGUE_AVG!D:D)</f>
        <v>11.4</v>
      </c>
      <c r="K174" s="177">
        <f t="shared" ref="K174:L174" si="163">S174/I174</f>
        <v>0.9850130927</v>
      </c>
      <c r="L174" s="177">
        <f t="shared" si="163"/>
        <v>1.49122807</v>
      </c>
      <c r="M174" s="177">
        <v>9.0</v>
      </c>
      <c r="N174" s="177">
        <v>9.0</v>
      </c>
      <c r="O174" s="182">
        <v>36680.0</v>
      </c>
      <c r="P174" s="177">
        <v>127.0</v>
      </c>
      <c r="Q174" s="177">
        <v>240.0</v>
      </c>
      <c r="R174" s="177">
        <v>52.9</v>
      </c>
      <c r="S174" s="177">
        <v>1768.0</v>
      </c>
      <c r="T174" s="177">
        <v>17.0</v>
      </c>
      <c r="U174" s="177">
        <v>7.1</v>
      </c>
      <c r="V174" s="177">
        <v>11.0</v>
      </c>
      <c r="W174" s="177">
        <v>4.6</v>
      </c>
      <c r="X174" s="177">
        <v>84.0</v>
      </c>
      <c r="Y174" s="177">
        <v>43.0</v>
      </c>
      <c r="Z174" s="177">
        <v>74.0</v>
      </c>
      <c r="AA174" s="177">
        <v>7.4</v>
      </c>
      <c r="AB174" s="177">
        <v>6.72</v>
      </c>
      <c r="AC174" s="177">
        <v>13.9</v>
      </c>
      <c r="AD174" s="177">
        <v>196.4</v>
      </c>
      <c r="AE174" s="177">
        <v>81.4</v>
      </c>
      <c r="AF174" s="177">
        <v>18.0</v>
      </c>
      <c r="AG174" s="177">
        <v>131.0</v>
      </c>
      <c r="AH174" s="177">
        <v>6.98</v>
      </c>
      <c r="AI174" s="177">
        <v>6.34</v>
      </c>
      <c r="AJ174" s="177">
        <v>5.74</v>
      </c>
      <c r="AK174" s="177">
        <v>1.0</v>
      </c>
      <c r="AL174" s="177">
        <v>1.0</v>
      </c>
      <c r="AM174" s="177">
        <v>11.0</v>
      </c>
      <c r="AN174" s="183"/>
      <c r="AO174" s="33"/>
      <c r="AP174" s="33"/>
      <c r="AQ174" s="33"/>
      <c r="AR174" s="33"/>
      <c r="AS174" s="33"/>
    </row>
    <row r="175" collapsed="1">
      <c r="A175" s="184" t="s">
        <v>57</v>
      </c>
      <c r="B175" s="176" t="s">
        <v>348</v>
      </c>
      <c r="C175" s="177" t="str">
        <f t="array" ref="C175">xlookup(B175,DATA_LEAGUE_AVG!A:A,DATA_LEAGUE_AVG!H:H)</f>
        <v>#N/A</v>
      </c>
      <c r="D175" s="177" t="str">
        <f t="shared" si="1"/>
        <v>#N/A</v>
      </c>
      <c r="E175" s="176" t="s">
        <v>351</v>
      </c>
      <c r="F175" s="176" t="s">
        <v>352</v>
      </c>
      <c r="G175" s="176" t="s">
        <v>353</v>
      </c>
      <c r="H175" s="176" t="s">
        <v>354</v>
      </c>
      <c r="I175" s="178" t="s">
        <v>355</v>
      </c>
      <c r="J175" s="178" t="s">
        <v>356</v>
      </c>
      <c r="K175" s="178" t="s">
        <v>272</v>
      </c>
      <c r="L175" s="178" t="s">
        <v>357</v>
      </c>
      <c r="M175" s="176" t="s">
        <v>358</v>
      </c>
      <c r="N175" s="176" t="s">
        <v>359</v>
      </c>
      <c r="O175" s="176" t="s">
        <v>360</v>
      </c>
      <c r="P175" s="176" t="s">
        <v>330</v>
      </c>
      <c r="Q175" s="176" t="s">
        <v>331</v>
      </c>
      <c r="R175" s="176" t="s">
        <v>332</v>
      </c>
      <c r="S175" s="176" t="s">
        <v>326</v>
      </c>
      <c r="T175" s="176" t="s">
        <v>327</v>
      </c>
      <c r="U175" s="176" t="s">
        <v>335</v>
      </c>
      <c r="V175" s="176" t="s">
        <v>336</v>
      </c>
      <c r="W175" s="176" t="s">
        <v>337</v>
      </c>
      <c r="X175" s="176" t="s">
        <v>361</v>
      </c>
      <c r="Y175" s="176" t="s">
        <v>362</v>
      </c>
      <c r="Z175" s="176" t="s">
        <v>363</v>
      </c>
      <c r="AA175" s="176" t="s">
        <v>338</v>
      </c>
      <c r="AB175" s="176" t="s">
        <v>339</v>
      </c>
      <c r="AC175" s="176" t="s">
        <v>340</v>
      </c>
      <c r="AD175" s="176" t="s">
        <v>341</v>
      </c>
      <c r="AE175" s="176" t="s">
        <v>342</v>
      </c>
      <c r="AF175" s="176" t="s">
        <v>343</v>
      </c>
      <c r="AG175" s="176" t="s">
        <v>326</v>
      </c>
      <c r="AH175" s="176" t="s">
        <v>345</v>
      </c>
      <c r="AI175" s="176" t="s">
        <v>346</v>
      </c>
      <c r="AJ175" s="176" t="s">
        <v>347</v>
      </c>
      <c r="AK175" s="176" t="s">
        <v>364</v>
      </c>
      <c r="AL175" s="176" t="s">
        <v>365</v>
      </c>
      <c r="AM175" s="176" t="s">
        <v>366</v>
      </c>
      <c r="AN175" s="176" t="s">
        <v>367</v>
      </c>
      <c r="AO175" s="33"/>
      <c r="AP175" s="33"/>
      <c r="AQ175" s="33"/>
      <c r="AR175" s="33"/>
      <c r="AS175" s="33"/>
    </row>
    <row r="176" hidden="1" outlineLevel="1">
      <c r="A176" s="184" t="s">
        <v>57</v>
      </c>
      <c r="B176" s="176">
        <v>1986.0</v>
      </c>
      <c r="C176" s="180">
        <f t="array" ref="C176">xlookup(B176,DATA_LEAGUE_AVG!A:A,DATA_LEAGUE_AVG!H:H)</f>
        <v>516.8</v>
      </c>
      <c r="D176" s="177" t="b">
        <f t="shared" si="1"/>
        <v>1</v>
      </c>
      <c r="E176" s="177">
        <v>25.0</v>
      </c>
      <c r="F176" s="181" t="s">
        <v>373</v>
      </c>
      <c r="G176" s="181" t="s">
        <v>369</v>
      </c>
      <c r="H176" s="181" t="s">
        <v>90</v>
      </c>
      <c r="I176" s="180">
        <f t="array" ref="I176">xlookup(B176,DATA_LEAGUE_AVG!A:A,DATA_LEAGUE_AVG!C:C)</f>
        <v>3288.6</v>
      </c>
      <c r="J176" s="180">
        <f t="array" ref="J176">xlookup(B176,DATA_LEAGUE_AVG!A:A,DATA_LEAGUE_AVG!D:D)</f>
        <v>20.9</v>
      </c>
      <c r="K176" s="177">
        <f t="shared" ref="K176:L176" si="164">S176/I176</f>
        <v>0.6939123031</v>
      </c>
      <c r="L176" s="177">
        <f t="shared" si="164"/>
        <v>0.3827751196</v>
      </c>
      <c r="M176" s="177">
        <v>14.0</v>
      </c>
      <c r="N176" s="177">
        <v>14.0</v>
      </c>
      <c r="O176" s="182">
        <v>36568.0</v>
      </c>
      <c r="P176" s="177">
        <v>195.0</v>
      </c>
      <c r="Q176" s="177">
        <v>363.0</v>
      </c>
      <c r="R176" s="177">
        <v>53.7</v>
      </c>
      <c r="S176" s="177">
        <v>2282.0</v>
      </c>
      <c r="T176" s="177">
        <v>8.0</v>
      </c>
      <c r="U176" s="177">
        <v>2.2</v>
      </c>
      <c r="V176" s="177">
        <v>13.0</v>
      </c>
      <c r="W176" s="177">
        <v>3.6</v>
      </c>
      <c r="X176" s="177">
        <v>109.0</v>
      </c>
      <c r="Y176" s="177">
        <v>37.3</v>
      </c>
      <c r="Z176" s="177">
        <v>46.0</v>
      </c>
      <c r="AA176" s="177">
        <v>6.3</v>
      </c>
      <c r="AB176" s="177">
        <v>5.12</v>
      </c>
      <c r="AC176" s="177">
        <v>11.7</v>
      </c>
      <c r="AD176" s="177">
        <v>163.0</v>
      </c>
      <c r="AE176" s="177">
        <v>65.5</v>
      </c>
      <c r="AF176" s="177">
        <v>47.0</v>
      </c>
      <c r="AG176" s="177">
        <v>326.0</v>
      </c>
      <c r="AH176" s="177">
        <v>11.46</v>
      </c>
      <c r="AI176" s="177">
        <v>4.77</v>
      </c>
      <c r="AJ176" s="177">
        <v>3.73</v>
      </c>
      <c r="AK176" s="177">
        <v>0.0</v>
      </c>
      <c r="AL176" s="177">
        <v>0.0</v>
      </c>
      <c r="AM176" s="177">
        <v>9.0</v>
      </c>
      <c r="AN176" s="183"/>
      <c r="AO176" s="33"/>
      <c r="AP176" s="33"/>
      <c r="AQ176" s="33"/>
      <c r="AR176" s="33"/>
      <c r="AS176" s="33"/>
    </row>
    <row r="177" hidden="1" outlineLevel="1">
      <c r="A177" s="184" t="s">
        <v>57</v>
      </c>
      <c r="B177" s="176">
        <v>1991.0</v>
      </c>
      <c r="C177" s="180">
        <f t="array" ref="C177">xlookup(B177,DATA_LEAGUE_AVG!A:A,DATA_LEAGUE_AVG!H:H)</f>
        <v>498.2</v>
      </c>
      <c r="D177" s="177" t="b">
        <f t="shared" si="1"/>
        <v>1</v>
      </c>
      <c r="E177" s="177">
        <v>30.0</v>
      </c>
      <c r="F177" s="181" t="s">
        <v>375</v>
      </c>
      <c r="G177" s="181" t="s">
        <v>369</v>
      </c>
      <c r="H177" s="181" t="s">
        <v>90</v>
      </c>
      <c r="I177" s="180">
        <f t="array" ref="I177">xlookup(B177,DATA_LEAGUE_AVG!A:A,DATA_LEAGUE_AVG!C:C)</f>
        <v>3185.8</v>
      </c>
      <c r="J177" s="180">
        <f t="array" ref="J177">xlookup(B177,DATA_LEAGUE_AVG!A:A,DATA_LEAGUE_AVG!D:D)</f>
        <v>18.3</v>
      </c>
      <c r="K177" s="177">
        <f t="shared" ref="K177:L177" si="165">S177/I177</f>
        <v>0.7900684287</v>
      </c>
      <c r="L177" s="177">
        <f t="shared" si="165"/>
        <v>0.9289617486</v>
      </c>
      <c r="M177" s="177">
        <v>11.0</v>
      </c>
      <c r="N177" s="177">
        <v>10.0</v>
      </c>
      <c r="O177" s="182">
        <v>36651.0</v>
      </c>
      <c r="P177" s="177">
        <v>180.0</v>
      </c>
      <c r="Q177" s="177">
        <v>279.0</v>
      </c>
      <c r="R177" s="177">
        <v>64.5</v>
      </c>
      <c r="S177" s="177">
        <v>2517.0</v>
      </c>
      <c r="T177" s="177">
        <v>17.0</v>
      </c>
      <c r="U177" s="177">
        <v>6.1</v>
      </c>
      <c r="V177" s="177">
        <v>8.0</v>
      </c>
      <c r="W177" s="177">
        <v>2.9</v>
      </c>
      <c r="X177" s="177">
        <v>109.0</v>
      </c>
      <c r="Y177" s="177">
        <v>52.1</v>
      </c>
      <c r="Z177" s="177">
        <v>97.0</v>
      </c>
      <c r="AA177" s="177">
        <v>9.0</v>
      </c>
      <c r="AB177" s="177">
        <v>8.95</v>
      </c>
      <c r="AC177" s="177">
        <v>14.0</v>
      </c>
      <c r="AD177" s="177">
        <v>228.8</v>
      </c>
      <c r="AE177" s="177">
        <v>101.8</v>
      </c>
      <c r="AF177" s="177">
        <v>13.0</v>
      </c>
      <c r="AG177" s="177">
        <v>79.0</v>
      </c>
      <c r="AH177" s="177">
        <v>4.45</v>
      </c>
      <c r="AI177" s="177">
        <v>8.35</v>
      </c>
      <c r="AJ177" s="177">
        <v>8.28</v>
      </c>
      <c r="AK177" s="177">
        <v>0.0</v>
      </c>
      <c r="AL177" s="177">
        <v>0.0</v>
      </c>
      <c r="AM177" s="177">
        <v>14.0</v>
      </c>
      <c r="AN177" s="183"/>
      <c r="AO177" s="33"/>
      <c r="AP177" s="33"/>
      <c r="AQ177" s="33"/>
      <c r="AR177" s="33"/>
      <c r="AS177" s="33"/>
    </row>
    <row r="178" hidden="1" outlineLevel="1">
      <c r="A178" s="184" t="s">
        <v>57</v>
      </c>
      <c r="B178" s="176">
        <v>1992.0</v>
      </c>
      <c r="C178" s="180">
        <f t="array" ref="C178">xlookup(B178,DATA_LEAGUE_AVG!A:A,DATA_LEAGUE_AVG!H:H)</f>
        <v>478.9</v>
      </c>
      <c r="D178" s="177" t="b">
        <f t="shared" si="1"/>
        <v>1</v>
      </c>
      <c r="E178" s="177">
        <v>31.0</v>
      </c>
      <c r="F178" s="181" t="s">
        <v>375</v>
      </c>
      <c r="G178" s="181" t="s">
        <v>369</v>
      </c>
      <c r="H178" s="181" t="s">
        <v>90</v>
      </c>
      <c r="I178" s="180">
        <f t="array" ref="I178">xlookup(B178,DATA_LEAGUE_AVG!A:A,DATA_LEAGUE_AVG!C:C)</f>
        <v>3002.3</v>
      </c>
      <c r="J178" s="180">
        <f t="array" ref="J178">xlookup(B178,DATA_LEAGUE_AVG!A:A,DATA_LEAGUE_AVG!D:D)</f>
        <v>18.4</v>
      </c>
      <c r="K178" s="177">
        <f t="shared" ref="K178:L178" si="166">S178/I178</f>
        <v>1.154115178</v>
      </c>
      <c r="L178" s="177">
        <f t="shared" si="166"/>
        <v>1.358695652</v>
      </c>
      <c r="M178" s="177">
        <v>16.0</v>
      </c>
      <c r="N178" s="177">
        <v>16.0</v>
      </c>
      <c r="O178" s="181" t="s">
        <v>370</v>
      </c>
      <c r="P178" s="177">
        <v>268.0</v>
      </c>
      <c r="Q178" s="177">
        <v>402.0</v>
      </c>
      <c r="R178" s="177">
        <v>66.7</v>
      </c>
      <c r="S178" s="177">
        <v>3465.0</v>
      </c>
      <c r="T178" s="177">
        <v>25.0</v>
      </c>
      <c r="U178" s="177">
        <v>6.2</v>
      </c>
      <c r="V178" s="177">
        <v>7.0</v>
      </c>
      <c r="W178" s="177">
        <v>1.7</v>
      </c>
      <c r="X178" s="177">
        <v>160.0</v>
      </c>
      <c r="Y178" s="177">
        <v>51.7</v>
      </c>
      <c r="Z178" s="177">
        <v>80.0</v>
      </c>
      <c r="AA178" s="177">
        <v>8.6</v>
      </c>
      <c r="AB178" s="177">
        <v>9.08</v>
      </c>
      <c r="AC178" s="177">
        <v>12.9</v>
      </c>
      <c r="AD178" s="177">
        <v>216.6</v>
      </c>
      <c r="AE178" s="177">
        <v>107.0</v>
      </c>
      <c r="AF178" s="177">
        <v>29.0</v>
      </c>
      <c r="AG178" s="177">
        <v>152.0</v>
      </c>
      <c r="AH178" s="177">
        <v>6.73</v>
      </c>
      <c r="AI178" s="177">
        <v>7.69</v>
      </c>
      <c r="AJ178" s="177">
        <v>8.12</v>
      </c>
      <c r="AK178" s="177">
        <v>3.0</v>
      </c>
      <c r="AL178" s="177">
        <v>5.0</v>
      </c>
      <c r="AM178" s="177">
        <v>22.0</v>
      </c>
      <c r="AN178" s="181" t="s">
        <v>383</v>
      </c>
      <c r="AO178" s="33"/>
      <c r="AP178" s="33"/>
      <c r="AQ178" s="33"/>
      <c r="AR178" s="33"/>
      <c r="AS178" s="33"/>
    </row>
    <row r="179" hidden="1" outlineLevel="1">
      <c r="A179" s="184" t="s">
        <v>57</v>
      </c>
      <c r="B179" s="176">
        <v>1993.0</v>
      </c>
      <c r="C179" s="180">
        <f t="array" ref="C179">xlookup(B179,DATA_LEAGUE_AVG!A:A,DATA_LEAGUE_AVG!H:H)</f>
        <v>514.8</v>
      </c>
      <c r="D179" s="177" t="b">
        <f t="shared" si="1"/>
        <v>1</v>
      </c>
      <c r="E179" s="177">
        <v>32.0</v>
      </c>
      <c r="F179" s="181" t="s">
        <v>375</v>
      </c>
      <c r="G179" s="181" t="s">
        <v>369</v>
      </c>
      <c r="H179" s="181" t="s">
        <v>90</v>
      </c>
      <c r="I179" s="180">
        <f t="array" ref="I179">xlookup(B179,DATA_LEAGUE_AVG!A:A,DATA_LEAGUE_AVG!C:C)</f>
        <v>3209.8</v>
      </c>
      <c r="J179" s="180">
        <f t="array" ref="J179">xlookup(B179,DATA_LEAGUE_AVG!A:A,DATA_LEAGUE_AVG!D:D)</f>
        <v>18.5</v>
      </c>
      <c r="K179" s="177">
        <f t="shared" ref="K179:L179" si="167">S179/I179</f>
        <v>1.253349118</v>
      </c>
      <c r="L179" s="177">
        <f t="shared" si="167"/>
        <v>1.567567568</v>
      </c>
      <c r="M179" s="177">
        <v>16.0</v>
      </c>
      <c r="N179" s="177">
        <v>16.0</v>
      </c>
      <c r="O179" s="182">
        <v>36805.0</v>
      </c>
      <c r="P179" s="177">
        <v>314.0</v>
      </c>
      <c r="Q179" s="177">
        <v>462.0</v>
      </c>
      <c r="R179" s="177">
        <v>68.0</v>
      </c>
      <c r="S179" s="177">
        <v>4023.0</v>
      </c>
      <c r="T179" s="177">
        <v>29.0</v>
      </c>
      <c r="U179" s="177">
        <v>6.3</v>
      </c>
      <c r="V179" s="177">
        <v>16.0</v>
      </c>
      <c r="W179" s="177">
        <v>3.5</v>
      </c>
      <c r="X179" s="177">
        <v>188.0</v>
      </c>
      <c r="Y179" s="177">
        <v>54.6</v>
      </c>
      <c r="Z179" s="177">
        <v>80.0</v>
      </c>
      <c r="AA179" s="177">
        <v>8.7</v>
      </c>
      <c r="AB179" s="177">
        <v>8.4</v>
      </c>
      <c r="AC179" s="177">
        <v>12.8</v>
      </c>
      <c r="AD179" s="177">
        <v>251.4</v>
      </c>
      <c r="AE179" s="177">
        <v>101.5</v>
      </c>
      <c r="AF179" s="177">
        <v>31.0</v>
      </c>
      <c r="AG179" s="177">
        <v>160.0</v>
      </c>
      <c r="AH179" s="177">
        <v>6.29</v>
      </c>
      <c r="AI179" s="177">
        <v>7.84</v>
      </c>
      <c r="AJ179" s="177">
        <v>7.55</v>
      </c>
      <c r="AK179" s="177">
        <v>0.0</v>
      </c>
      <c r="AL179" s="177">
        <v>0.0</v>
      </c>
      <c r="AM179" s="177">
        <v>22.0</v>
      </c>
      <c r="AN179" s="181" t="s">
        <v>388</v>
      </c>
      <c r="AO179" s="33"/>
      <c r="AP179" s="33"/>
      <c r="AQ179" s="33"/>
      <c r="AR179" s="33"/>
      <c r="AS179" s="33"/>
    </row>
    <row r="180" hidden="1" outlineLevel="1">
      <c r="A180" s="184" t="s">
        <v>57</v>
      </c>
      <c r="B180" s="176">
        <v>1994.0</v>
      </c>
      <c r="C180" s="180">
        <f t="array" ref="C180">xlookup(B180,DATA_LEAGUE_AVG!A:A,DATA_LEAGUE_AVG!H:H)</f>
        <v>537.7</v>
      </c>
      <c r="D180" s="177" t="b">
        <f t="shared" si="1"/>
        <v>1</v>
      </c>
      <c r="E180" s="177">
        <v>33.0</v>
      </c>
      <c r="F180" s="181" t="s">
        <v>375</v>
      </c>
      <c r="G180" s="181" t="s">
        <v>369</v>
      </c>
      <c r="H180" s="181" t="s">
        <v>90</v>
      </c>
      <c r="I180" s="180">
        <f t="array" ref="I180">xlookup(B180,DATA_LEAGUE_AVG!A:A,DATA_LEAGUE_AVG!C:C)</f>
        <v>3417.6</v>
      </c>
      <c r="J180" s="180">
        <f t="array" ref="J180">xlookup(B180,DATA_LEAGUE_AVG!A:A,DATA_LEAGUE_AVG!D:D)</f>
        <v>20.8</v>
      </c>
      <c r="K180" s="177">
        <f t="shared" ref="K180:L180" si="168">S180/I180</f>
        <v>1.161341292</v>
      </c>
      <c r="L180" s="177">
        <f t="shared" si="168"/>
        <v>1.682692308</v>
      </c>
      <c r="M180" s="177">
        <v>16.0</v>
      </c>
      <c r="N180" s="177">
        <v>16.0</v>
      </c>
      <c r="O180" s="181" t="s">
        <v>372</v>
      </c>
      <c r="P180" s="177">
        <v>324.0</v>
      </c>
      <c r="Q180" s="177">
        <v>461.0</v>
      </c>
      <c r="R180" s="177">
        <v>70.3</v>
      </c>
      <c r="S180" s="177">
        <v>3969.0</v>
      </c>
      <c r="T180" s="177">
        <v>35.0</v>
      </c>
      <c r="U180" s="177">
        <v>7.6</v>
      </c>
      <c r="V180" s="177">
        <v>10.0</v>
      </c>
      <c r="W180" s="177">
        <v>2.2</v>
      </c>
      <c r="X180" s="177">
        <v>188.0</v>
      </c>
      <c r="Y180" s="177">
        <v>55.9</v>
      </c>
      <c r="Z180" s="177">
        <v>69.0</v>
      </c>
      <c r="AA180" s="177">
        <v>8.6</v>
      </c>
      <c r="AB180" s="177">
        <v>9.15</v>
      </c>
      <c r="AC180" s="177">
        <v>12.3</v>
      </c>
      <c r="AD180" s="177">
        <v>248.1</v>
      </c>
      <c r="AE180" s="177">
        <v>112.8</v>
      </c>
      <c r="AF180" s="177">
        <v>31.0</v>
      </c>
      <c r="AG180" s="177">
        <v>163.0</v>
      </c>
      <c r="AH180" s="177">
        <v>6.3</v>
      </c>
      <c r="AI180" s="177">
        <v>7.74</v>
      </c>
      <c r="AJ180" s="177">
        <v>8.24</v>
      </c>
      <c r="AK180" s="177">
        <v>1.0</v>
      </c>
      <c r="AL180" s="177">
        <v>1.0</v>
      </c>
      <c r="AM180" s="177">
        <v>22.0</v>
      </c>
      <c r="AN180" s="181" t="s">
        <v>390</v>
      </c>
      <c r="AO180" s="33"/>
      <c r="AP180" s="33"/>
      <c r="AQ180" s="33"/>
      <c r="AR180" s="33"/>
      <c r="AS180" s="33"/>
    </row>
    <row r="181" hidden="1" outlineLevel="1">
      <c r="A181" s="184" t="s">
        <v>57</v>
      </c>
      <c r="B181" s="176">
        <v>1995.0</v>
      </c>
      <c r="C181" s="180">
        <f t="array" ref="C181">xlookup(B181,DATA_LEAGUE_AVG!A:A,DATA_LEAGUE_AVG!H:H)</f>
        <v>556.6</v>
      </c>
      <c r="D181" s="177" t="b">
        <f t="shared" si="1"/>
        <v>1</v>
      </c>
      <c r="E181" s="177">
        <v>34.0</v>
      </c>
      <c r="F181" s="181" t="s">
        <v>375</v>
      </c>
      <c r="G181" s="181" t="s">
        <v>369</v>
      </c>
      <c r="H181" s="181" t="s">
        <v>90</v>
      </c>
      <c r="I181" s="180">
        <f t="array" ref="I181">xlookup(B181,DATA_LEAGUE_AVG!A:A,DATA_LEAGUE_AVG!C:C)</f>
        <v>3532.5</v>
      </c>
      <c r="J181" s="180">
        <f t="array" ref="J181">xlookup(B181,DATA_LEAGUE_AVG!A:A,DATA_LEAGUE_AVG!D:D)</f>
        <v>22.1</v>
      </c>
      <c r="K181" s="177">
        <f t="shared" ref="K181:L181" si="169">S181/I181</f>
        <v>0.9058740269</v>
      </c>
      <c r="L181" s="177">
        <f t="shared" si="169"/>
        <v>0.9049773756</v>
      </c>
      <c r="M181" s="177">
        <v>11.0</v>
      </c>
      <c r="N181" s="177">
        <v>11.0</v>
      </c>
      <c r="O181" s="182">
        <v>36741.0</v>
      </c>
      <c r="P181" s="177">
        <v>299.0</v>
      </c>
      <c r="Q181" s="177">
        <v>447.0</v>
      </c>
      <c r="R181" s="177">
        <v>66.9</v>
      </c>
      <c r="S181" s="177">
        <v>3200.0</v>
      </c>
      <c r="T181" s="177">
        <v>20.0</v>
      </c>
      <c r="U181" s="177">
        <v>4.5</v>
      </c>
      <c r="V181" s="177">
        <v>11.0</v>
      </c>
      <c r="W181" s="177">
        <v>2.5</v>
      </c>
      <c r="X181" s="177">
        <v>159.0</v>
      </c>
      <c r="Y181" s="177">
        <v>50.8</v>
      </c>
      <c r="Z181" s="177">
        <v>57.0</v>
      </c>
      <c r="AA181" s="177">
        <v>7.2</v>
      </c>
      <c r="AB181" s="177">
        <v>6.95</v>
      </c>
      <c r="AC181" s="177">
        <v>10.7</v>
      </c>
      <c r="AD181" s="177">
        <v>290.9</v>
      </c>
      <c r="AE181" s="177">
        <v>92.3</v>
      </c>
      <c r="AF181" s="177">
        <v>25.0</v>
      </c>
      <c r="AG181" s="177">
        <v>115.0</v>
      </c>
      <c r="AH181" s="177">
        <v>5.3</v>
      </c>
      <c r="AI181" s="177">
        <v>6.54</v>
      </c>
      <c r="AJ181" s="177">
        <v>6.33</v>
      </c>
      <c r="AK181" s="177">
        <v>0.0</v>
      </c>
      <c r="AL181" s="177">
        <v>0.0</v>
      </c>
      <c r="AM181" s="177">
        <v>13.0</v>
      </c>
      <c r="AN181" s="181" t="s">
        <v>379</v>
      </c>
      <c r="AO181" s="33"/>
      <c r="AP181" s="33"/>
      <c r="AQ181" s="33"/>
      <c r="AR181" s="33"/>
      <c r="AS181" s="33"/>
    </row>
    <row r="182" hidden="1" outlineLevel="1">
      <c r="A182" s="184" t="s">
        <v>57</v>
      </c>
      <c r="B182" s="176">
        <v>1996.0</v>
      </c>
      <c r="C182" s="180">
        <f t="array" ref="C182">xlookup(B182,DATA_LEAGUE_AVG!A:A,DATA_LEAGUE_AVG!H:H)</f>
        <v>532.2</v>
      </c>
      <c r="D182" s="177" t="b">
        <f t="shared" si="1"/>
        <v>1</v>
      </c>
      <c r="E182" s="177">
        <v>35.0</v>
      </c>
      <c r="F182" s="181" t="s">
        <v>375</v>
      </c>
      <c r="G182" s="181" t="s">
        <v>369</v>
      </c>
      <c r="H182" s="181" t="s">
        <v>90</v>
      </c>
      <c r="I182" s="180">
        <f t="array" ref="I182">xlookup(B182,DATA_LEAGUE_AVG!A:A,DATA_LEAGUE_AVG!C:C)</f>
        <v>3318.9</v>
      </c>
      <c r="J182" s="180">
        <f t="array" ref="J182">xlookup(B182,DATA_LEAGUE_AVG!A:A,DATA_LEAGUE_AVG!D:D)</f>
        <v>20.9</v>
      </c>
      <c r="K182" s="177">
        <f t="shared" ref="K182:L182" si="170">S182/I182</f>
        <v>0.7261442044</v>
      </c>
      <c r="L182" s="177">
        <f t="shared" si="170"/>
        <v>0.6698564593</v>
      </c>
      <c r="M182" s="177">
        <v>12.0</v>
      </c>
      <c r="N182" s="177">
        <v>12.0</v>
      </c>
      <c r="O182" s="182">
        <v>36772.0</v>
      </c>
      <c r="P182" s="177">
        <v>214.0</v>
      </c>
      <c r="Q182" s="177">
        <v>316.0</v>
      </c>
      <c r="R182" s="177">
        <v>67.7</v>
      </c>
      <c r="S182" s="177">
        <v>2410.0</v>
      </c>
      <c r="T182" s="177">
        <v>14.0</v>
      </c>
      <c r="U182" s="177">
        <v>4.4</v>
      </c>
      <c r="V182" s="177">
        <v>6.0</v>
      </c>
      <c r="W182" s="177">
        <v>1.9</v>
      </c>
      <c r="X182" s="177">
        <v>124.0</v>
      </c>
      <c r="Y182" s="177">
        <v>49.1</v>
      </c>
      <c r="Z182" s="177">
        <v>52.0</v>
      </c>
      <c r="AA182" s="177">
        <v>7.6</v>
      </c>
      <c r="AB182" s="177">
        <v>7.66</v>
      </c>
      <c r="AC182" s="177">
        <v>11.3</v>
      </c>
      <c r="AD182" s="177">
        <v>200.8</v>
      </c>
      <c r="AE182" s="177">
        <v>97.2</v>
      </c>
      <c r="AF182" s="177">
        <v>34.0</v>
      </c>
      <c r="AG182" s="177">
        <v>160.0</v>
      </c>
      <c r="AH182" s="177">
        <v>9.71</v>
      </c>
      <c r="AI182" s="177">
        <v>6.43</v>
      </c>
      <c r="AJ182" s="177">
        <v>6.46</v>
      </c>
      <c r="AK182" s="177">
        <v>2.0</v>
      </c>
      <c r="AL182" s="177">
        <v>2.0</v>
      </c>
      <c r="AM182" s="177">
        <v>12.0</v>
      </c>
      <c r="AN182" s="181" t="s">
        <v>380</v>
      </c>
      <c r="AO182" s="33"/>
      <c r="AP182" s="33"/>
      <c r="AQ182" s="33"/>
      <c r="AR182" s="33"/>
      <c r="AS182" s="33"/>
    </row>
    <row r="183" hidden="1" outlineLevel="1">
      <c r="A183" s="184" t="s">
        <v>57</v>
      </c>
      <c r="B183" s="176">
        <v>1997.0</v>
      </c>
      <c r="C183" s="180">
        <f t="array" ref="C183">xlookup(B183,DATA_LEAGUE_AVG!A:A,DATA_LEAGUE_AVG!H:H)</f>
        <v>524.3</v>
      </c>
      <c r="D183" s="177" t="b">
        <f t="shared" si="1"/>
        <v>1</v>
      </c>
      <c r="E183" s="177">
        <v>36.0</v>
      </c>
      <c r="F183" s="181" t="s">
        <v>375</v>
      </c>
      <c r="G183" s="181" t="s">
        <v>369</v>
      </c>
      <c r="H183" s="181" t="s">
        <v>90</v>
      </c>
      <c r="I183" s="180">
        <f t="array" ref="I183">xlookup(B183,DATA_LEAGUE_AVG!A:A,DATA_LEAGUE_AVG!C:C)</f>
        <v>3229.2</v>
      </c>
      <c r="J183" s="180">
        <f t="array" ref="J183">xlookup(B183,DATA_LEAGUE_AVG!A:A,DATA_LEAGUE_AVG!D:D)</f>
        <v>20.6</v>
      </c>
      <c r="K183" s="177">
        <f t="shared" ref="K183:L183" si="171">S183/I183</f>
        <v>0.9380032206</v>
      </c>
      <c r="L183" s="177">
        <f t="shared" si="171"/>
        <v>0.9223300971</v>
      </c>
      <c r="M183" s="177">
        <v>15.0</v>
      </c>
      <c r="N183" s="177">
        <v>15.0</v>
      </c>
      <c r="O183" s="182">
        <v>36863.0</v>
      </c>
      <c r="P183" s="177">
        <v>241.0</v>
      </c>
      <c r="Q183" s="177">
        <v>356.0</v>
      </c>
      <c r="R183" s="177">
        <v>67.7</v>
      </c>
      <c r="S183" s="177">
        <v>3029.0</v>
      </c>
      <c r="T183" s="177">
        <v>19.0</v>
      </c>
      <c r="U183" s="177">
        <v>5.3</v>
      </c>
      <c r="V183" s="177">
        <v>6.0</v>
      </c>
      <c r="W183" s="177">
        <v>1.7</v>
      </c>
      <c r="X183" s="177">
        <v>147.0</v>
      </c>
      <c r="Y183" s="177">
        <v>48.6</v>
      </c>
      <c r="Z183" s="177">
        <v>82.0</v>
      </c>
      <c r="AA183" s="177">
        <v>8.5</v>
      </c>
      <c r="AB183" s="177">
        <v>8.82</v>
      </c>
      <c r="AC183" s="177">
        <v>12.6</v>
      </c>
      <c r="AD183" s="177">
        <v>201.9</v>
      </c>
      <c r="AE183" s="177">
        <v>104.7</v>
      </c>
      <c r="AF183" s="177">
        <v>35.0</v>
      </c>
      <c r="AG183" s="177">
        <v>220.0</v>
      </c>
      <c r="AH183" s="177">
        <v>8.95</v>
      </c>
      <c r="AI183" s="177">
        <v>7.18</v>
      </c>
      <c r="AJ183" s="177">
        <v>7.47</v>
      </c>
      <c r="AK183" s="177">
        <v>1.0</v>
      </c>
      <c r="AL183" s="177">
        <v>1.0</v>
      </c>
      <c r="AM183" s="177">
        <v>14.0</v>
      </c>
      <c r="AN183" s="181" t="s">
        <v>425</v>
      </c>
      <c r="AO183" s="33"/>
      <c r="AP183" s="33"/>
      <c r="AQ183" s="33"/>
      <c r="AR183" s="33"/>
      <c r="AS183" s="33"/>
    </row>
    <row r="184" hidden="1" outlineLevel="1">
      <c r="A184" s="184" t="s">
        <v>57</v>
      </c>
      <c r="B184" s="176">
        <v>1998.0</v>
      </c>
      <c r="C184" s="180">
        <f t="array" ref="C184">xlookup(B184,DATA_LEAGUE_AVG!A:A,DATA_LEAGUE_AVG!H:H)</f>
        <v>516.3</v>
      </c>
      <c r="D184" s="177" t="b">
        <f t="shared" si="1"/>
        <v>1</v>
      </c>
      <c r="E184" s="177">
        <v>37.0</v>
      </c>
      <c r="F184" s="181" t="s">
        <v>375</v>
      </c>
      <c r="G184" s="181" t="s">
        <v>369</v>
      </c>
      <c r="H184" s="181" t="s">
        <v>90</v>
      </c>
      <c r="I184" s="180">
        <f t="array" ref="I184">xlookup(B184,DATA_LEAGUE_AVG!A:A,DATA_LEAGUE_AVG!C:C)</f>
        <v>3279.5</v>
      </c>
      <c r="J184" s="180">
        <f t="array" ref="J184">xlookup(B184,DATA_LEAGUE_AVG!A:A,DATA_LEAGUE_AVG!D:D)</f>
        <v>21.9</v>
      </c>
      <c r="K184" s="177">
        <f t="shared" ref="K184:L184" si="172">S184/I184</f>
        <v>1.271535295</v>
      </c>
      <c r="L184" s="177">
        <f t="shared" si="172"/>
        <v>1.643835616</v>
      </c>
      <c r="M184" s="177">
        <v>15.0</v>
      </c>
      <c r="N184" s="177">
        <v>15.0</v>
      </c>
      <c r="O184" s="182">
        <v>36834.0</v>
      </c>
      <c r="P184" s="177">
        <v>322.0</v>
      </c>
      <c r="Q184" s="177">
        <v>517.0</v>
      </c>
      <c r="R184" s="177">
        <v>62.3</v>
      </c>
      <c r="S184" s="177">
        <v>4170.0</v>
      </c>
      <c r="T184" s="177">
        <v>36.0</v>
      </c>
      <c r="U184" s="177">
        <v>7.0</v>
      </c>
      <c r="V184" s="177">
        <v>12.0</v>
      </c>
      <c r="W184" s="177">
        <v>2.3</v>
      </c>
      <c r="X184" s="177">
        <v>206.0</v>
      </c>
      <c r="Y184" s="177">
        <v>46.2</v>
      </c>
      <c r="Z184" s="177">
        <v>81.0</v>
      </c>
      <c r="AA184" s="177">
        <v>8.1</v>
      </c>
      <c r="AB184" s="177">
        <v>8.41</v>
      </c>
      <c r="AC184" s="177">
        <v>13.0</v>
      </c>
      <c r="AD184" s="177">
        <v>278.0</v>
      </c>
      <c r="AE184" s="177">
        <v>101.1</v>
      </c>
      <c r="AF184" s="177">
        <v>48.0</v>
      </c>
      <c r="AG184" s="177">
        <v>234.0</v>
      </c>
      <c r="AH184" s="177">
        <v>8.5</v>
      </c>
      <c r="AI184" s="177">
        <v>6.97</v>
      </c>
      <c r="AJ184" s="177">
        <v>7.28</v>
      </c>
      <c r="AK184" s="177">
        <v>2.0</v>
      </c>
      <c r="AL184" s="177">
        <v>3.0</v>
      </c>
      <c r="AM184" s="177">
        <v>19.0</v>
      </c>
      <c r="AN184" s="181" t="s">
        <v>426</v>
      </c>
      <c r="AO184" s="33"/>
      <c r="AP184" s="33"/>
      <c r="AQ184" s="33"/>
      <c r="AR184" s="33"/>
      <c r="AS184" s="33"/>
    </row>
    <row r="185" collapsed="1">
      <c r="A185" s="184" t="s">
        <v>64</v>
      </c>
      <c r="B185" s="176" t="s">
        <v>348</v>
      </c>
      <c r="C185" s="177" t="str">
        <f t="array" ref="C185">xlookup(B185,DATA_LEAGUE_AVG!A:A,DATA_LEAGUE_AVG!H:H)</f>
        <v>#N/A</v>
      </c>
      <c r="D185" s="177" t="str">
        <f t="shared" si="1"/>
        <v>#N/A</v>
      </c>
      <c r="E185" s="176" t="s">
        <v>351</v>
      </c>
      <c r="F185" s="176" t="s">
        <v>352</v>
      </c>
      <c r="G185" s="176" t="s">
        <v>353</v>
      </c>
      <c r="H185" s="176" t="s">
        <v>354</v>
      </c>
      <c r="I185" s="178" t="s">
        <v>355</v>
      </c>
      <c r="J185" s="178" t="s">
        <v>356</v>
      </c>
      <c r="K185" s="178" t="s">
        <v>272</v>
      </c>
      <c r="L185" s="178" t="s">
        <v>357</v>
      </c>
      <c r="M185" s="176" t="s">
        <v>358</v>
      </c>
      <c r="N185" s="176" t="s">
        <v>359</v>
      </c>
      <c r="O185" s="176" t="s">
        <v>360</v>
      </c>
      <c r="P185" s="176" t="s">
        <v>330</v>
      </c>
      <c r="Q185" s="176" t="s">
        <v>331</v>
      </c>
      <c r="R185" s="176" t="s">
        <v>332</v>
      </c>
      <c r="S185" s="176" t="s">
        <v>326</v>
      </c>
      <c r="T185" s="176" t="s">
        <v>327</v>
      </c>
      <c r="U185" s="176" t="s">
        <v>335</v>
      </c>
      <c r="V185" s="176" t="s">
        <v>336</v>
      </c>
      <c r="W185" s="176" t="s">
        <v>337</v>
      </c>
      <c r="X185" s="176" t="s">
        <v>361</v>
      </c>
      <c r="Y185" s="176" t="s">
        <v>362</v>
      </c>
      <c r="Z185" s="176" t="s">
        <v>363</v>
      </c>
      <c r="AA185" s="176" t="s">
        <v>338</v>
      </c>
      <c r="AB185" s="176" t="s">
        <v>339</v>
      </c>
      <c r="AC185" s="176" t="s">
        <v>340</v>
      </c>
      <c r="AD185" s="176" t="s">
        <v>341</v>
      </c>
      <c r="AE185" s="176" t="s">
        <v>342</v>
      </c>
      <c r="AF185" s="176" t="s">
        <v>343</v>
      </c>
      <c r="AG185" s="176" t="s">
        <v>326</v>
      </c>
      <c r="AH185" s="176" t="s">
        <v>345</v>
      </c>
      <c r="AI185" s="176" t="s">
        <v>346</v>
      </c>
      <c r="AJ185" s="176" t="s">
        <v>347</v>
      </c>
      <c r="AK185" s="176" t="s">
        <v>364</v>
      </c>
      <c r="AL185" s="176" t="s">
        <v>365</v>
      </c>
      <c r="AM185" s="176" t="s">
        <v>366</v>
      </c>
      <c r="AN185" s="176" t="s">
        <v>367</v>
      </c>
      <c r="AO185" s="33"/>
      <c r="AP185" s="33"/>
      <c r="AQ185" s="33"/>
      <c r="AR185" s="33"/>
      <c r="AS185" s="33"/>
    </row>
    <row r="186" hidden="1" outlineLevel="1">
      <c r="A186" s="184" t="s">
        <v>64</v>
      </c>
      <c r="B186" s="176">
        <v>1971.0</v>
      </c>
      <c r="C186" s="180">
        <f t="array" ref="C186">xlookup(B186,DATA_LEAGUE_AVG!A:A,DATA_LEAGUE_AVG!H:H)</f>
        <v>362</v>
      </c>
      <c r="D186" s="177" t="b">
        <f t="shared" si="1"/>
        <v>1</v>
      </c>
      <c r="E186" s="177">
        <v>29.0</v>
      </c>
      <c r="F186" s="181" t="s">
        <v>167</v>
      </c>
      <c r="G186" s="181" t="s">
        <v>369</v>
      </c>
      <c r="H186" s="181" t="s">
        <v>90</v>
      </c>
      <c r="I186" s="180">
        <f t="array" ref="I186">xlookup(B186,DATA_LEAGUE_AVG!A:A,DATA_LEAGUE_AVG!C:C)</f>
        <v>2180.1</v>
      </c>
      <c r="J186" s="180">
        <f t="array" ref="J186">xlookup(B186,DATA_LEAGUE_AVG!A:A,DATA_LEAGUE_AVG!D:D)</f>
        <v>15</v>
      </c>
      <c r="K186" s="177">
        <f t="shared" ref="K186:L186" si="173">S186/I186</f>
        <v>0.8632631531</v>
      </c>
      <c r="L186" s="177">
        <f t="shared" si="173"/>
        <v>1</v>
      </c>
      <c r="M186" s="177">
        <v>13.0</v>
      </c>
      <c r="N186" s="177">
        <v>10.0</v>
      </c>
      <c r="O186" s="181" t="s">
        <v>427</v>
      </c>
      <c r="P186" s="177">
        <v>126.0</v>
      </c>
      <c r="Q186" s="177">
        <v>211.0</v>
      </c>
      <c r="R186" s="177">
        <v>59.7</v>
      </c>
      <c r="S186" s="177">
        <v>1882.0</v>
      </c>
      <c r="T186" s="177">
        <v>15.0</v>
      </c>
      <c r="U186" s="177">
        <v>7.1</v>
      </c>
      <c r="V186" s="177">
        <v>4.0</v>
      </c>
      <c r="W186" s="177">
        <v>1.9</v>
      </c>
      <c r="X186" s="183"/>
      <c r="Y186" s="183"/>
      <c r="Z186" s="177">
        <v>85.0</v>
      </c>
      <c r="AA186" s="177">
        <v>8.9</v>
      </c>
      <c r="AB186" s="177">
        <v>9.49</v>
      </c>
      <c r="AC186" s="177">
        <v>14.9</v>
      </c>
      <c r="AD186" s="177">
        <v>144.8</v>
      </c>
      <c r="AE186" s="177">
        <v>104.8</v>
      </c>
      <c r="AF186" s="177">
        <v>23.0</v>
      </c>
      <c r="AG186" s="177">
        <v>175.0</v>
      </c>
      <c r="AH186" s="177">
        <v>9.83</v>
      </c>
      <c r="AI186" s="177">
        <v>7.29</v>
      </c>
      <c r="AJ186" s="177">
        <v>7.81</v>
      </c>
      <c r="AK186" s="177">
        <v>1.0</v>
      </c>
      <c r="AL186" s="177">
        <v>2.0</v>
      </c>
      <c r="AM186" s="177">
        <v>14.0</v>
      </c>
      <c r="AN186" s="181" t="s">
        <v>428</v>
      </c>
      <c r="AO186" s="33"/>
      <c r="AP186" s="33"/>
      <c r="AQ186" s="33"/>
      <c r="AR186" s="33"/>
      <c r="AS186" s="33"/>
    </row>
    <row r="187" hidden="1" outlineLevel="1">
      <c r="A187" s="184" t="s">
        <v>64</v>
      </c>
      <c r="B187" s="176">
        <v>1973.0</v>
      </c>
      <c r="C187" s="180">
        <f t="array" ref="C187">xlookup(B187,DATA_LEAGUE_AVG!A:A,DATA_LEAGUE_AVG!H:H)</f>
        <v>340.2</v>
      </c>
      <c r="D187" s="177" t="b">
        <f t="shared" si="1"/>
        <v>1</v>
      </c>
      <c r="E187" s="177">
        <v>31.0</v>
      </c>
      <c r="F187" s="181" t="s">
        <v>167</v>
      </c>
      <c r="G187" s="181" t="s">
        <v>369</v>
      </c>
      <c r="H187" s="181" t="s">
        <v>90</v>
      </c>
      <c r="I187" s="180">
        <f t="array" ref="I187">xlookup(B187,DATA_LEAGUE_AVG!A:A,DATA_LEAGUE_AVG!C:C)</f>
        <v>1973</v>
      </c>
      <c r="J187" s="180">
        <f t="array" ref="J187">xlookup(B187,DATA_LEAGUE_AVG!A:A,DATA_LEAGUE_AVG!D:D)</f>
        <v>14.5</v>
      </c>
      <c r="K187" s="177">
        <f t="shared" ref="K187:L187" si="174">S187/I187</f>
        <v>1.230613279</v>
      </c>
      <c r="L187" s="177">
        <f t="shared" si="174"/>
        <v>1.586206897</v>
      </c>
      <c r="M187" s="177">
        <v>14.0</v>
      </c>
      <c r="N187" s="177">
        <v>14.0</v>
      </c>
      <c r="O187" s="182">
        <v>36803.0</v>
      </c>
      <c r="P187" s="177">
        <v>179.0</v>
      </c>
      <c r="Q187" s="177">
        <v>286.0</v>
      </c>
      <c r="R187" s="177">
        <v>62.6</v>
      </c>
      <c r="S187" s="177">
        <v>2428.0</v>
      </c>
      <c r="T187" s="177">
        <v>23.0</v>
      </c>
      <c r="U187" s="177">
        <v>8.0</v>
      </c>
      <c r="V187" s="177">
        <v>15.0</v>
      </c>
      <c r="W187" s="177">
        <v>5.2</v>
      </c>
      <c r="X187" s="183"/>
      <c r="Y187" s="183"/>
      <c r="Z187" s="177">
        <v>53.0</v>
      </c>
      <c r="AA187" s="177">
        <v>8.5</v>
      </c>
      <c r="AB187" s="177">
        <v>7.74</v>
      </c>
      <c r="AC187" s="177">
        <v>13.6</v>
      </c>
      <c r="AD187" s="177">
        <v>173.4</v>
      </c>
      <c r="AE187" s="177">
        <v>94.6</v>
      </c>
      <c r="AF187" s="177">
        <v>43.0</v>
      </c>
      <c r="AG187" s="177">
        <v>269.0</v>
      </c>
      <c r="AH187" s="177">
        <v>13.07</v>
      </c>
      <c r="AI187" s="177">
        <v>6.56</v>
      </c>
      <c r="AJ187" s="177">
        <v>5.91</v>
      </c>
      <c r="AK187" s="177">
        <v>0.0</v>
      </c>
      <c r="AL187" s="177">
        <v>1.0</v>
      </c>
      <c r="AM187" s="177">
        <v>16.0</v>
      </c>
      <c r="AN187" s="183"/>
      <c r="AO187" s="33"/>
      <c r="AP187" s="33"/>
      <c r="AQ187" s="33"/>
      <c r="AR187" s="33"/>
      <c r="AS187" s="33"/>
    </row>
    <row r="188" hidden="1" outlineLevel="1">
      <c r="A188" s="184" t="s">
        <v>64</v>
      </c>
      <c r="B188" s="176">
        <v>1974.0</v>
      </c>
      <c r="C188" s="180">
        <f t="array" ref="C188">xlookup(B188,DATA_LEAGUE_AVG!A:A,DATA_LEAGUE_AVG!H:H)</f>
        <v>369.6</v>
      </c>
      <c r="D188" s="177" t="b">
        <f t="shared" si="1"/>
        <v>1</v>
      </c>
      <c r="E188" s="177">
        <v>32.0</v>
      </c>
      <c r="F188" s="181" t="s">
        <v>167</v>
      </c>
      <c r="G188" s="181" t="s">
        <v>369</v>
      </c>
      <c r="H188" s="181" t="s">
        <v>90</v>
      </c>
      <c r="I188" s="180">
        <f t="array" ref="I188">xlookup(B188,DATA_LEAGUE_AVG!A:A,DATA_LEAGUE_AVG!C:C)</f>
        <v>2145.4</v>
      </c>
      <c r="J188" s="180">
        <f t="array" ref="J188">xlookup(B188,DATA_LEAGUE_AVG!A:A,DATA_LEAGUE_AVG!D:D)</f>
        <v>14.5</v>
      </c>
      <c r="K188" s="177">
        <f t="shared" ref="K188:L188" si="175">S188/I188</f>
        <v>1.189521768</v>
      </c>
      <c r="L188" s="177">
        <f t="shared" si="175"/>
        <v>0.7586206897</v>
      </c>
      <c r="M188" s="177">
        <v>14.0</v>
      </c>
      <c r="N188" s="177">
        <v>14.0</v>
      </c>
      <c r="O188" s="182">
        <v>36744.0</v>
      </c>
      <c r="P188" s="177">
        <v>190.0</v>
      </c>
      <c r="Q188" s="177">
        <v>360.0</v>
      </c>
      <c r="R188" s="177">
        <v>52.8</v>
      </c>
      <c r="S188" s="177">
        <v>2552.0</v>
      </c>
      <c r="T188" s="177">
        <v>11.0</v>
      </c>
      <c r="U188" s="177">
        <v>3.1</v>
      </c>
      <c r="V188" s="177">
        <v>15.0</v>
      </c>
      <c r="W188" s="177">
        <v>4.2</v>
      </c>
      <c r="X188" s="183"/>
      <c r="Y188" s="183"/>
      <c r="Z188" s="177">
        <v>58.0</v>
      </c>
      <c r="AA188" s="177">
        <v>7.1</v>
      </c>
      <c r="AB188" s="177">
        <v>5.83</v>
      </c>
      <c r="AC188" s="177">
        <v>13.4</v>
      </c>
      <c r="AD188" s="177">
        <v>182.3</v>
      </c>
      <c r="AE188" s="177">
        <v>68.4</v>
      </c>
      <c r="AF188" s="177">
        <v>45.0</v>
      </c>
      <c r="AG188" s="177">
        <v>309.0</v>
      </c>
      <c r="AH188" s="177">
        <v>11.11</v>
      </c>
      <c r="AI188" s="177">
        <v>5.54</v>
      </c>
      <c r="AJ188" s="177">
        <v>4.41</v>
      </c>
      <c r="AK188" s="177">
        <v>2.0</v>
      </c>
      <c r="AL188" s="177">
        <v>3.0</v>
      </c>
      <c r="AM188" s="177">
        <v>13.0</v>
      </c>
      <c r="AN188" s="183"/>
      <c r="AO188" s="33"/>
      <c r="AP188" s="33"/>
      <c r="AQ188" s="33"/>
      <c r="AR188" s="33"/>
      <c r="AS188" s="33"/>
    </row>
    <row r="189" hidden="1" outlineLevel="1">
      <c r="A189" s="184" t="s">
        <v>64</v>
      </c>
      <c r="B189" s="176">
        <v>1975.0</v>
      </c>
      <c r="C189" s="180">
        <f t="array" ref="C189">xlookup(B189,DATA_LEAGUE_AVG!A:A,DATA_LEAGUE_AVG!H:H)</f>
        <v>383.6</v>
      </c>
      <c r="D189" s="177" t="b">
        <f t="shared" si="1"/>
        <v>1</v>
      </c>
      <c r="E189" s="177">
        <v>33.0</v>
      </c>
      <c r="F189" s="181" t="s">
        <v>167</v>
      </c>
      <c r="G189" s="181" t="s">
        <v>369</v>
      </c>
      <c r="H189" s="181" t="s">
        <v>90</v>
      </c>
      <c r="I189" s="180">
        <f t="array" ref="I189">xlookup(B189,DATA_LEAGUE_AVG!A:A,DATA_LEAGUE_AVG!C:C)</f>
        <v>2279.1</v>
      </c>
      <c r="J189" s="180">
        <f t="array" ref="J189">xlookup(B189,DATA_LEAGUE_AVG!A:A,DATA_LEAGUE_AVG!D:D)</f>
        <v>16.7</v>
      </c>
      <c r="K189" s="177">
        <f t="shared" ref="K189:L189" si="176">S189/I189</f>
        <v>1.169759993</v>
      </c>
      <c r="L189" s="177">
        <f t="shared" si="176"/>
        <v>1.017964072</v>
      </c>
      <c r="M189" s="177">
        <v>13.0</v>
      </c>
      <c r="N189" s="177">
        <v>13.0</v>
      </c>
      <c r="O189" s="182">
        <v>36773.0</v>
      </c>
      <c r="P189" s="177">
        <v>198.0</v>
      </c>
      <c r="Q189" s="177">
        <v>348.0</v>
      </c>
      <c r="R189" s="177">
        <v>56.9</v>
      </c>
      <c r="S189" s="177">
        <v>2666.0</v>
      </c>
      <c r="T189" s="177">
        <v>17.0</v>
      </c>
      <c r="U189" s="177">
        <v>4.9</v>
      </c>
      <c r="V189" s="177">
        <v>16.0</v>
      </c>
      <c r="W189" s="177">
        <v>4.6</v>
      </c>
      <c r="X189" s="183"/>
      <c r="Y189" s="183"/>
      <c r="Z189" s="177">
        <v>62.0</v>
      </c>
      <c r="AA189" s="177">
        <v>7.7</v>
      </c>
      <c r="AB189" s="177">
        <v>6.57</v>
      </c>
      <c r="AC189" s="177">
        <v>13.5</v>
      </c>
      <c r="AD189" s="177">
        <v>205.1</v>
      </c>
      <c r="AE189" s="177">
        <v>78.5</v>
      </c>
      <c r="AF189" s="177">
        <v>36.0</v>
      </c>
      <c r="AG189" s="177">
        <v>213.0</v>
      </c>
      <c r="AH189" s="177">
        <v>9.38</v>
      </c>
      <c r="AI189" s="177">
        <v>6.39</v>
      </c>
      <c r="AJ189" s="177">
        <v>5.4</v>
      </c>
      <c r="AK189" s="177">
        <v>2.0</v>
      </c>
      <c r="AL189" s="177">
        <v>3.0</v>
      </c>
      <c r="AM189" s="177">
        <v>14.0</v>
      </c>
      <c r="AN189" s="181" t="s">
        <v>380</v>
      </c>
      <c r="AO189" s="33"/>
      <c r="AP189" s="33"/>
      <c r="AQ189" s="33"/>
      <c r="AR189" s="33"/>
      <c r="AS189" s="33"/>
    </row>
    <row r="190" hidden="1" outlineLevel="1">
      <c r="A190" s="184" t="s">
        <v>64</v>
      </c>
      <c r="B190" s="176">
        <v>1976.0</v>
      </c>
      <c r="C190" s="180">
        <f t="array" ref="C190">xlookup(B190,DATA_LEAGUE_AVG!A:A,DATA_LEAGUE_AVG!H:H)</f>
        <v>366.4</v>
      </c>
      <c r="D190" s="177" t="b">
        <f t="shared" si="1"/>
        <v>1</v>
      </c>
      <c r="E190" s="177">
        <v>34.0</v>
      </c>
      <c r="F190" s="181" t="s">
        <v>167</v>
      </c>
      <c r="G190" s="181" t="s">
        <v>369</v>
      </c>
      <c r="H190" s="181" t="s">
        <v>90</v>
      </c>
      <c r="I190" s="180">
        <f t="array" ref="I190">xlookup(B190,DATA_LEAGUE_AVG!A:A,DATA_LEAGUE_AVG!C:C)</f>
        <v>2128.4</v>
      </c>
      <c r="J190" s="180">
        <f t="array" ref="J190">xlookup(B190,DATA_LEAGUE_AVG!A:A,DATA_LEAGUE_AVG!D:D)</f>
        <v>15.4</v>
      </c>
      <c r="K190" s="177">
        <f t="shared" ref="K190:L190" si="177">S190/I190</f>
        <v>1.275606089</v>
      </c>
      <c r="L190" s="177">
        <f t="shared" si="177"/>
        <v>0.9090909091</v>
      </c>
      <c r="M190" s="177">
        <v>14.0</v>
      </c>
      <c r="N190" s="177">
        <v>14.0</v>
      </c>
      <c r="O190" s="182">
        <v>36833.0</v>
      </c>
      <c r="P190" s="177">
        <v>208.0</v>
      </c>
      <c r="Q190" s="177">
        <v>369.0</v>
      </c>
      <c r="R190" s="177">
        <v>56.4</v>
      </c>
      <c r="S190" s="177">
        <v>2715.0</v>
      </c>
      <c r="T190" s="177">
        <v>14.0</v>
      </c>
      <c r="U190" s="177">
        <v>3.8</v>
      </c>
      <c r="V190" s="177">
        <v>11.0</v>
      </c>
      <c r="W190" s="177">
        <v>3.0</v>
      </c>
      <c r="X190" s="183"/>
      <c r="Y190" s="183"/>
      <c r="Z190" s="177">
        <v>53.0</v>
      </c>
      <c r="AA190" s="177">
        <v>7.4</v>
      </c>
      <c r="AB190" s="177">
        <v>6.78</v>
      </c>
      <c r="AC190" s="177">
        <v>13.1</v>
      </c>
      <c r="AD190" s="177">
        <v>193.9</v>
      </c>
      <c r="AE190" s="177">
        <v>79.9</v>
      </c>
      <c r="AF190" s="177">
        <v>29.0</v>
      </c>
      <c r="AG190" s="177">
        <v>215.0</v>
      </c>
      <c r="AH190" s="177">
        <v>7.29</v>
      </c>
      <c r="AI190" s="177">
        <v>6.28</v>
      </c>
      <c r="AJ190" s="177">
        <v>5.74</v>
      </c>
      <c r="AK190" s="177">
        <v>1.0</v>
      </c>
      <c r="AL190" s="177">
        <v>2.0</v>
      </c>
      <c r="AM190" s="177">
        <v>14.0</v>
      </c>
      <c r="AN190" s="181" t="s">
        <v>380</v>
      </c>
      <c r="AO190" s="33"/>
      <c r="AP190" s="33"/>
      <c r="AQ190" s="33"/>
      <c r="AR190" s="33"/>
      <c r="AS190" s="33"/>
    </row>
    <row r="191" hidden="1" outlineLevel="1">
      <c r="A191" s="184" t="s">
        <v>64</v>
      </c>
      <c r="B191" s="176">
        <v>1977.0</v>
      </c>
      <c r="C191" s="180">
        <f t="array" ref="C191">xlookup(B191,DATA_LEAGUE_AVG!A:A,DATA_LEAGUE_AVG!H:H)</f>
        <v>349.5</v>
      </c>
      <c r="D191" s="177" t="b">
        <f t="shared" si="1"/>
        <v>1</v>
      </c>
      <c r="E191" s="177">
        <v>35.0</v>
      </c>
      <c r="F191" s="181" t="s">
        <v>167</v>
      </c>
      <c r="G191" s="181" t="s">
        <v>369</v>
      </c>
      <c r="H191" s="181" t="s">
        <v>90</v>
      </c>
      <c r="I191" s="180">
        <f t="array" ref="I191">xlookup(B191,DATA_LEAGUE_AVG!A:A,DATA_LEAGUE_AVG!C:C)</f>
        <v>1986.4</v>
      </c>
      <c r="J191" s="180">
        <f t="array" ref="J191">xlookup(B191,DATA_LEAGUE_AVG!A:A,DATA_LEAGUE_AVG!D:D)</f>
        <v>13.9</v>
      </c>
      <c r="K191" s="177">
        <f t="shared" ref="K191:L191" si="178">S191/I191</f>
        <v>1.318968989</v>
      </c>
      <c r="L191" s="177">
        <f t="shared" si="178"/>
        <v>1.294964029</v>
      </c>
      <c r="M191" s="177">
        <v>14.0</v>
      </c>
      <c r="N191" s="177">
        <v>14.0</v>
      </c>
      <c r="O191" s="182">
        <v>36862.0</v>
      </c>
      <c r="P191" s="177">
        <v>210.0</v>
      </c>
      <c r="Q191" s="177">
        <v>361.0</v>
      </c>
      <c r="R191" s="177">
        <v>58.2</v>
      </c>
      <c r="S191" s="177">
        <v>2620.0</v>
      </c>
      <c r="T191" s="177">
        <v>18.0</v>
      </c>
      <c r="U191" s="177">
        <v>5.0</v>
      </c>
      <c r="V191" s="177">
        <v>9.0</v>
      </c>
      <c r="W191" s="177">
        <v>2.5</v>
      </c>
      <c r="X191" s="183"/>
      <c r="Y191" s="183"/>
      <c r="Z191" s="177">
        <v>67.0</v>
      </c>
      <c r="AA191" s="177">
        <v>7.3</v>
      </c>
      <c r="AB191" s="177">
        <v>7.13</v>
      </c>
      <c r="AC191" s="177">
        <v>12.5</v>
      </c>
      <c r="AD191" s="177">
        <v>187.1</v>
      </c>
      <c r="AE191" s="177">
        <v>87.0</v>
      </c>
      <c r="AF191" s="177">
        <v>30.0</v>
      </c>
      <c r="AG191" s="177">
        <v>219.0</v>
      </c>
      <c r="AH191" s="177">
        <v>7.67</v>
      </c>
      <c r="AI191" s="177">
        <v>6.14</v>
      </c>
      <c r="AJ191" s="177">
        <v>6.03</v>
      </c>
      <c r="AK191" s="177">
        <v>2.0</v>
      </c>
      <c r="AL191" s="177">
        <v>3.0</v>
      </c>
      <c r="AM191" s="177">
        <v>17.0</v>
      </c>
      <c r="AN191" s="181" t="s">
        <v>380</v>
      </c>
      <c r="AO191" s="33"/>
      <c r="AP191" s="33"/>
      <c r="AQ191" s="33"/>
      <c r="AR191" s="33"/>
      <c r="AS191" s="33"/>
    </row>
    <row r="192" hidden="1" outlineLevel="1">
      <c r="A192" s="184" t="s">
        <v>64</v>
      </c>
      <c r="B192" s="176">
        <v>1978.0</v>
      </c>
      <c r="C192" s="180">
        <f t="array" ref="C192">xlookup(B192,DATA_LEAGUE_AVG!A:A,DATA_LEAGUE_AVG!H:H)</f>
        <v>422.5</v>
      </c>
      <c r="D192" s="177" t="b">
        <f t="shared" si="1"/>
        <v>1</v>
      </c>
      <c r="E192" s="177">
        <v>36.0</v>
      </c>
      <c r="F192" s="181" t="s">
        <v>167</v>
      </c>
      <c r="G192" s="181" t="s">
        <v>369</v>
      </c>
      <c r="H192" s="181" t="s">
        <v>90</v>
      </c>
      <c r="I192" s="180">
        <f t="array" ref="I192">xlookup(B192,DATA_LEAGUE_AVG!A:A,DATA_LEAGUE_AVG!C:C)</f>
        <v>2541.4</v>
      </c>
      <c r="J192" s="180">
        <f t="array" ref="J192">xlookup(B192,DATA_LEAGUE_AVG!A:A,DATA_LEAGUE_AVG!D:D)</f>
        <v>16.7</v>
      </c>
      <c r="K192" s="177">
        <f t="shared" ref="K192:L192" si="179">S192/I192</f>
        <v>1.255213662</v>
      </c>
      <c r="L192" s="177">
        <f t="shared" si="179"/>
        <v>1.497005988</v>
      </c>
      <c r="M192" s="177">
        <v>15.0</v>
      </c>
      <c r="N192" s="177">
        <v>15.0</v>
      </c>
      <c r="O192" s="182">
        <v>36834.0</v>
      </c>
      <c r="P192" s="177">
        <v>231.0</v>
      </c>
      <c r="Q192" s="177">
        <v>413.0</v>
      </c>
      <c r="R192" s="177">
        <v>55.9</v>
      </c>
      <c r="S192" s="177">
        <v>3190.0</v>
      </c>
      <c r="T192" s="177">
        <v>25.0</v>
      </c>
      <c r="U192" s="177">
        <v>6.1</v>
      </c>
      <c r="V192" s="177">
        <v>16.0</v>
      </c>
      <c r="W192" s="177">
        <v>3.9</v>
      </c>
      <c r="X192" s="177">
        <v>152.0</v>
      </c>
      <c r="Y192" s="177">
        <v>43.8</v>
      </c>
      <c r="Z192" s="177">
        <v>91.0</v>
      </c>
      <c r="AA192" s="177">
        <v>7.7</v>
      </c>
      <c r="AB192" s="177">
        <v>7.19</v>
      </c>
      <c r="AC192" s="177">
        <v>13.8</v>
      </c>
      <c r="AD192" s="177">
        <v>212.7</v>
      </c>
      <c r="AE192" s="177">
        <v>84.9</v>
      </c>
      <c r="AF192" s="177">
        <v>32.0</v>
      </c>
      <c r="AG192" s="177">
        <v>219.0</v>
      </c>
      <c r="AH192" s="177">
        <v>7.19</v>
      </c>
      <c r="AI192" s="177">
        <v>6.68</v>
      </c>
      <c r="AJ192" s="177">
        <v>6.18</v>
      </c>
      <c r="AK192" s="177">
        <v>1.0</v>
      </c>
      <c r="AL192" s="177">
        <v>3.0</v>
      </c>
      <c r="AM192" s="177">
        <v>17.0</v>
      </c>
      <c r="AN192" s="181" t="s">
        <v>424</v>
      </c>
      <c r="AO192" s="33"/>
      <c r="AP192" s="33"/>
      <c r="AQ192" s="33"/>
      <c r="AR192" s="33"/>
      <c r="AS192" s="33"/>
    </row>
    <row r="193" hidden="1" outlineLevel="1">
      <c r="A193" s="184" t="s">
        <v>64</v>
      </c>
      <c r="B193" s="176">
        <v>1979.0</v>
      </c>
      <c r="C193" s="180">
        <f t="array" ref="C193">xlookup(B193,DATA_LEAGUE_AVG!A:A,DATA_LEAGUE_AVG!H:H)</f>
        <v>463.5</v>
      </c>
      <c r="D193" s="177" t="b">
        <f t="shared" si="1"/>
        <v>1</v>
      </c>
      <c r="E193" s="177">
        <v>37.0</v>
      </c>
      <c r="F193" s="181" t="s">
        <v>167</v>
      </c>
      <c r="G193" s="181" t="s">
        <v>369</v>
      </c>
      <c r="H193" s="181" t="s">
        <v>90</v>
      </c>
      <c r="I193" s="180">
        <f t="array" ref="I193">xlookup(B193,DATA_LEAGUE_AVG!A:A,DATA_LEAGUE_AVG!C:C)</f>
        <v>2886</v>
      </c>
      <c r="J193" s="180">
        <f t="array" ref="J193">xlookup(B193,DATA_LEAGUE_AVG!A:A,DATA_LEAGUE_AVG!D:D)</f>
        <v>19.2</v>
      </c>
      <c r="K193" s="177">
        <f t="shared" ref="K193:L193" si="180">S193/I193</f>
        <v>1.242550243</v>
      </c>
      <c r="L193" s="177">
        <f t="shared" si="180"/>
        <v>1.40625</v>
      </c>
      <c r="M193" s="177">
        <v>16.0</v>
      </c>
      <c r="N193" s="177">
        <v>16.0</v>
      </c>
      <c r="O193" s="182">
        <v>36835.0</v>
      </c>
      <c r="P193" s="177">
        <v>267.0</v>
      </c>
      <c r="Q193" s="177">
        <v>461.0</v>
      </c>
      <c r="R193" s="177">
        <v>57.9</v>
      </c>
      <c r="S193" s="177">
        <v>3586.0</v>
      </c>
      <c r="T193" s="177">
        <v>27.0</v>
      </c>
      <c r="U193" s="177">
        <v>5.9</v>
      </c>
      <c r="V193" s="177">
        <v>11.0</v>
      </c>
      <c r="W193" s="177">
        <v>2.4</v>
      </c>
      <c r="X193" s="177">
        <v>180.0</v>
      </c>
      <c r="Y193" s="177">
        <v>46.1</v>
      </c>
      <c r="Z193" s="177">
        <v>75.0</v>
      </c>
      <c r="AA193" s="177">
        <v>7.8</v>
      </c>
      <c r="AB193" s="177">
        <v>7.88</v>
      </c>
      <c r="AC193" s="177">
        <v>13.4</v>
      </c>
      <c r="AD193" s="177">
        <v>224.1</v>
      </c>
      <c r="AE193" s="177">
        <v>92.3</v>
      </c>
      <c r="AF193" s="177">
        <v>36.0</v>
      </c>
      <c r="AG193" s="177">
        <v>240.0</v>
      </c>
      <c r="AH193" s="177">
        <v>7.24</v>
      </c>
      <c r="AI193" s="177">
        <v>6.73</v>
      </c>
      <c r="AJ193" s="177">
        <v>6.82</v>
      </c>
      <c r="AK193" s="177">
        <v>4.0</v>
      </c>
      <c r="AL193" s="177">
        <v>4.0</v>
      </c>
      <c r="AM193" s="177">
        <v>14.0</v>
      </c>
      <c r="AN193" s="181" t="s">
        <v>429</v>
      </c>
      <c r="AO193" s="33"/>
      <c r="AP193" s="33"/>
      <c r="AQ193" s="33"/>
      <c r="AR193" s="33"/>
      <c r="AS193" s="33"/>
    </row>
    <row r="194" collapsed="1">
      <c r="A194" s="184" t="s">
        <v>70</v>
      </c>
      <c r="B194" s="176" t="s">
        <v>348</v>
      </c>
      <c r="C194" s="177" t="str">
        <f t="array" ref="C194">xlookup(B194,DATA_LEAGUE_AVG!A:A,DATA_LEAGUE_AVG!H:H)</f>
        <v>#N/A</v>
      </c>
      <c r="D194" s="177" t="str">
        <f t="shared" si="1"/>
        <v>#N/A</v>
      </c>
      <c r="E194" s="176" t="s">
        <v>351</v>
      </c>
      <c r="F194" s="176" t="s">
        <v>352</v>
      </c>
      <c r="G194" s="176" t="s">
        <v>353</v>
      </c>
      <c r="H194" s="176" t="s">
        <v>354</v>
      </c>
      <c r="I194" s="185" t="s">
        <v>355</v>
      </c>
      <c r="J194" s="185" t="s">
        <v>356</v>
      </c>
      <c r="K194" s="185" t="s">
        <v>272</v>
      </c>
      <c r="L194" s="185" t="s">
        <v>357</v>
      </c>
      <c r="M194" s="176" t="s">
        <v>358</v>
      </c>
      <c r="N194" s="176" t="s">
        <v>359</v>
      </c>
      <c r="O194" s="176" t="s">
        <v>360</v>
      </c>
      <c r="P194" s="176" t="s">
        <v>330</v>
      </c>
      <c r="Q194" s="176" t="s">
        <v>331</v>
      </c>
      <c r="R194" s="176" t="s">
        <v>332</v>
      </c>
      <c r="S194" s="176" t="s">
        <v>326</v>
      </c>
      <c r="T194" s="176" t="s">
        <v>327</v>
      </c>
      <c r="U194" s="176" t="s">
        <v>335</v>
      </c>
      <c r="V194" s="176" t="s">
        <v>336</v>
      </c>
      <c r="W194" s="176" t="s">
        <v>337</v>
      </c>
      <c r="X194" s="176" t="s">
        <v>361</v>
      </c>
      <c r="Y194" s="176" t="s">
        <v>362</v>
      </c>
      <c r="Z194" s="176" t="s">
        <v>363</v>
      </c>
      <c r="AA194" s="176" t="s">
        <v>338</v>
      </c>
      <c r="AB194" s="176" t="s">
        <v>339</v>
      </c>
      <c r="AC194" s="176" t="s">
        <v>340</v>
      </c>
      <c r="AD194" s="176" t="s">
        <v>341</v>
      </c>
      <c r="AE194" s="176" t="s">
        <v>342</v>
      </c>
      <c r="AF194" s="176" t="s">
        <v>343</v>
      </c>
      <c r="AG194" s="176" t="s">
        <v>326</v>
      </c>
      <c r="AH194" s="176" t="s">
        <v>345</v>
      </c>
      <c r="AI194" s="176" t="s">
        <v>346</v>
      </c>
      <c r="AJ194" s="176" t="s">
        <v>347</v>
      </c>
      <c r="AK194" s="176" t="s">
        <v>364</v>
      </c>
      <c r="AL194" s="176" t="s">
        <v>365</v>
      </c>
      <c r="AM194" s="176" t="s">
        <v>366</v>
      </c>
      <c r="AN194" s="176" t="s">
        <v>367</v>
      </c>
      <c r="AO194" s="33"/>
      <c r="AP194" s="33"/>
      <c r="AQ194" s="33"/>
      <c r="AR194" s="33"/>
      <c r="AS194" s="33"/>
    </row>
    <row r="195" hidden="1" outlineLevel="1">
      <c r="A195" s="184" t="s">
        <v>70</v>
      </c>
      <c r="B195" s="176">
        <v>1961.0</v>
      </c>
      <c r="C195" s="180">
        <f t="array" ref="C195">xlookup(B195,DATA_LEAGUE_AVG!A:A,DATA_LEAGUE_AVG!H:H)</f>
        <v>378</v>
      </c>
      <c r="D195" s="177" t="b">
        <f t="shared" si="1"/>
        <v>1</v>
      </c>
      <c r="E195" s="177">
        <v>21.0</v>
      </c>
      <c r="F195" s="181" t="s">
        <v>309</v>
      </c>
      <c r="G195" s="181" t="s">
        <v>369</v>
      </c>
      <c r="H195" s="181" t="s">
        <v>90</v>
      </c>
      <c r="I195" s="180">
        <f t="array" ref="I195">xlookup(B195,DATA_LEAGUE_AVG!A:A,DATA_LEAGUE_AVG!C:C)</f>
        <v>2526.6</v>
      </c>
      <c r="J195" s="180">
        <f t="array" ref="J195">xlookup(B195,DATA_LEAGUE_AVG!A:A,DATA_LEAGUE_AVG!D:D)</f>
        <v>20.4</v>
      </c>
      <c r="K195" s="177">
        <f t="shared" ref="K195:L195" si="181">S195/I195</f>
        <v>0.7903902478</v>
      </c>
      <c r="L195" s="177">
        <f t="shared" si="181"/>
        <v>0.8823529412</v>
      </c>
      <c r="M195" s="177">
        <v>14.0</v>
      </c>
      <c r="N195" s="177">
        <v>10.0</v>
      </c>
      <c r="O195" s="182">
        <v>36564.0</v>
      </c>
      <c r="P195" s="177">
        <v>157.0</v>
      </c>
      <c r="Q195" s="177">
        <v>280.0</v>
      </c>
      <c r="R195" s="177">
        <v>56.1</v>
      </c>
      <c r="S195" s="177">
        <v>1997.0</v>
      </c>
      <c r="T195" s="177">
        <v>18.0</v>
      </c>
      <c r="U195" s="177">
        <v>6.4</v>
      </c>
      <c r="V195" s="177">
        <v>17.0</v>
      </c>
      <c r="W195" s="177">
        <v>6.1</v>
      </c>
      <c r="X195" s="183"/>
      <c r="Y195" s="183"/>
      <c r="Z195" s="177">
        <v>71.0</v>
      </c>
      <c r="AA195" s="177">
        <v>7.1</v>
      </c>
      <c r="AB195" s="177">
        <v>5.69</v>
      </c>
      <c r="AC195" s="177">
        <v>12.7</v>
      </c>
      <c r="AD195" s="177">
        <v>142.6</v>
      </c>
      <c r="AE195" s="177">
        <v>74.7</v>
      </c>
      <c r="AF195" s="177">
        <v>42.0</v>
      </c>
      <c r="AG195" s="177">
        <v>416.0</v>
      </c>
      <c r="AH195" s="177">
        <v>13.04</v>
      </c>
      <c r="AI195" s="177">
        <v>4.91</v>
      </c>
      <c r="AJ195" s="177">
        <v>3.65</v>
      </c>
      <c r="AK195" s="177">
        <v>0.0</v>
      </c>
      <c r="AL195" s="177">
        <v>0.0</v>
      </c>
      <c r="AM195" s="177">
        <v>11.0</v>
      </c>
      <c r="AN195" s="183"/>
      <c r="AO195" s="33"/>
      <c r="AP195" s="33"/>
      <c r="AQ195" s="33"/>
      <c r="AR195" s="33"/>
      <c r="AS195" s="33"/>
    </row>
    <row r="196" hidden="1" outlineLevel="1">
      <c r="A196" s="184" t="s">
        <v>70</v>
      </c>
      <c r="B196" s="176">
        <v>1962.0</v>
      </c>
      <c r="C196" s="180">
        <f t="array" ref="C196">xlookup(B196,DATA_LEAGUE_AVG!A:A,DATA_LEAGUE_AVG!H:H)</f>
        <v>382.6</v>
      </c>
      <c r="D196" s="177" t="b">
        <f t="shared" si="1"/>
        <v>1</v>
      </c>
      <c r="E196" s="177">
        <v>22.0</v>
      </c>
      <c r="F196" s="181" t="s">
        <v>309</v>
      </c>
      <c r="G196" s="181" t="s">
        <v>369</v>
      </c>
      <c r="H196" s="181" t="s">
        <v>90</v>
      </c>
      <c r="I196" s="180">
        <f t="array" ref="I196">xlookup(B196,DATA_LEAGUE_AVG!A:A,DATA_LEAGUE_AVG!C:C)</f>
        <v>2713.4</v>
      </c>
      <c r="J196" s="180">
        <f t="array" ref="J196">xlookup(B196,DATA_LEAGUE_AVG!A:A,DATA_LEAGUE_AVG!D:D)</f>
        <v>21.4</v>
      </c>
      <c r="K196" s="177">
        <f t="shared" ref="K196:L196" si="182">S196/I196</f>
        <v>0.9563647085</v>
      </c>
      <c r="L196" s="177">
        <f t="shared" si="182"/>
        <v>1.028037383</v>
      </c>
      <c r="M196" s="177">
        <v>14.0</v>
      </c>
      <c r="N196" s="177">
        <v>14.0</v>
      </c>
      <c r="O196" s="182">
        <v>36933.0</v>
      </c>
      <c r="P196" s="177">
        <v>163.0</v>
      </c>
      <c r="Q196" s="177">
        <v>329.0</v>
      </c>
      <c r="R196" s="177">
        <v>49.5</v>
      </c>
      <c r="S196" s="177">
        <v>2595.0</v>
      </c>
      <c r="T196" s="177">
        <v>22.0</v>
      </c>
      <c r="U196" s="177">
        <v>6.7</v>
      </c>
      <c r="V196" s="177">
        <v>25.0</v>
      </c>
      <c r="W196" s="177">
        <v>7.6</v>
      </c>
      <c r="X196" s="183"/>
      <c r="Y196" s="183"/>
      <c r="Z196" s="177">
        <v>89.0</v>
      </c>
      <c r="AA196" s="177">
        <v>7.9</v>
      </c>
      <c r="AB196" s="177">
        <v>5.81</v>
      </c>
      <c r="AC196" s="177">
        <v>15.9</v>
      </c>
      <c r="AD196" s="177">
        <v>185.4</v>
      </c>
      <c r="AE196" s="177">
        <v>66.9</v>
      </c>
      <c r="AF196" s="177">
        <v>45.0</v>
      </c>
      <c r="AG196" s="177">
        <v>450.0</v>
      </c>
      <c r="AH196" s="177">
        <v>12.03</v>
      </c>
      <c r="AI196" s="177">
        <v>5.74</v>
      </c>
      <c r="AJ196" s="177">
        <v>3.9</v>
      </c>
      <c r="AK196" s="177">
        <v>0.0</v>
      </c>
      <c r="AL196" s="177">
        <v>0.0</v>
      </c>
      <c r="AM196" s="177">
        <v>10.0</v>
      </c>
      <c r="AN196" s="183"/>
      <c r="AO196" s="33"/>
      <c r="AP196" s="33"/>
      <c r="AQ196" s="33"/>
      <c r="AR196" s="33"/>
      <c r="AS196" s="33"/>
    </row>
    <row r="197" hidden="1" outlineLevel="1">
      <c r="A197" s="184" t="s">
        <v>70</v>
      </c>
      <c r="B197" s="176">
        <v>1963.0</v>
      </c>
      <c r="C197" s="180">
        <f t="array" ref="C197">xlookup(B197,DATA_LEAGUE_AVG!A:A,DATA_LEAGUE_AVG!H:H)</f>
        <v>386.8</v>
      </c>
      <c r="D197" s="177" t="b">
        <f t="shared" si="1"/>
        <v>1</v>
      </c>
      <c r="E197" s="177">
        <v>23.0</v>
      </c>
      <c r="F197" s="181" t="s">
        <v>309</v>
      </c>
      <c r="G197" s="181" t="s">
        <v>369</v>
      </c>
      <c r="H197" s="181" t="s">
        <v>90</v>
      </c>
      <c r="I197" s="180">
        <f t="array" ref="I197">xlookup(B197,DATA_LEAGUE_AVG!A:A,DATA_LEAGUE_AVG!C:C)</f>
        <v>2600.4</v>
      </c>
      <c r="J197" s="180">
        <f t="array" ref="J197">xlookup(B197,DATA_LEAGUE_AVG!A:A,DATA_LEAGUE_AVG!D:D)</f>
        <v>21.6</v>
      </c>
      <c r="K197" s="177">
        <f t="shared" ref="K197:L197" si="183">S197/I197</f>
        <v>0.8887094293</v>
      </c>
      <c r="L197" s="177">
        <f t="shared" si="183"/>
        <v>0.6944444444</v>
      </c>
      <c r="M197" s="177">
        <v>14.0</v>
      </c>
      <c r="N197" s="177">
        <v>13.0</v>
      </c>
      <c r="O197" s="182">
        <v>36989.0</v>
      </c>
      <c r="P197" s="177">
        <v>170.0</v>
      </c>
      <c r="Q197" s="177">
        <v>297.0</v>
      </c>
      <c r="R197" s="177">
        <v>57.2</v>
      </c>
      <c r="S197" s="177">
        <v>2311.0</v>
      </c>
      <c r="T197" s="177">
        <v>15.0</v>
      </c>
      <c r="U197" s="177">
        <v>5.1</v>
      </c>
      <c r="V197" s="177">
        <v>15.0</v>
      </c>
      <c r="W197" s="177">
        <v>5.1</v>
      </c>
      <c r="X197" s="183"/>
      <c r="Y197" s="183"/>
      <c r="Z197" s="177">
        <v>67.0</v>
      </c>
      <c r="AA197" s="177">
        <v>7.8</v>
      </c>
      <c r="AB197" s="177">
        <v>6.52</v>
      </c>
      <c r="AC197" s="177">
        <v>13.6</v>
      </c>
      <c r="AD197" s="177">
        <v>165.1</v>
      </c>
      <c r="AE197" s="177">
        <v>78.0</v>
      </c>
      <c r="AF197" s="177">
        <v>42.0</v>
      </c>
      <c r="AG197" s="177">
        <v>448.0</v>
      </c>
      <c r="AH197" s="177">
        <v>12.39</v>
      </c>
      <c r="AI197" s="177">
        <v>5.5</v>
      </c>
      <c r="AJ197" s="177">
        <v>4.39</v>
      </c>
      <c r="AK197" s="177">
        <v>2.0</v>
      </c>
      <c r="AL197" s="177">
        <v>2.0</v>
      </c>
      <c r="AM197" s="177">
        <v>10.0</v>
      </c>
      <c r="AN197" s="183"/>
      <c r="AO197" s="33"/>
      <c r="AP197" s="33"/>
      <c r="AQ197" s="33"/>
      <c r="AR197" s="33"/>
      <c r="AS197" s="33"/>
    </row>
    <row r="198" hidden="1" outlineLevel="1">
      <c r="A198" s="184" t="s">
        <v>70</v>
      </c>
      <c r="B198" s="176">
        <v>1964.0</v>
      </c>
      <c r="C198" s="180">
        <f t="array" ref="C198">xlookup(B198,DATA_LEAGUE_AVG!A:A,DATA_LEAGUE_AVG!H:H)</f>
        <v>388.4</v>
      </c>
      <c r="D198" s="177" t="b">
        <f t="shared" si="1"/>
        <v>1</v>
      </c>
      <c r="E198" s="177">
        <v>24.0</v>
      </c>
      <c r="F198" s="181" t="s">
        <v>309</v>
      </c>
      <c r="G198" s="181" t="s">
        <v>369</v>
      </c>
      <c r="H198" s="181" t="s">
        <v>90</v>
      </c>
      <c r="I198" s="180">
        <f t="array" ref="I198">xlookup(B198,DATA_LEAGUE_AVG!A:A,DATA_LEAGUE_AVG!C:C)</f>
        <v>2431</v>
      </c>
      <c r="J198" s="180">
        <f t="array" ref="J198">xlookup(B198,DATA_LEAGUE_AVG!A:A,DATA_LEAGUE_AVG!D:D)</f>
        <v>19.9</v>
      </c>
      <c r="K198" s="177">
        <f t="shared" ref="K198:L198" si="184">S198/I198</f>
        <v>1.030851501</v>
      </c>
      <c r="L198" s="177">
        <f t="shared" si="184"/>
        <v>1.105527638</v>
      </c>
      <c r="M198" s="177">
        <v>14.0</v>
      </c>
      <c r="N198" s="177">
        <v>14.0</v>
      </c>
      <c r="O198" s="182">
        <v>37108.0</v>
      </c>
      <c r="P198" s="177">
        <v>171.0</v>
      </c>
      <c r="Q198" s="177">
        <v>306.0</v>
      </c>
      <c r="R198" s="177">
        <v>55.9</v>
      </c>
      <c r="S198" s="177">
        <v>2506.0</v>
      </c>
      <c r="T198" s="177">
        <v>22.0</v>
      </c>
      <c r="U198" s="177">
        <v>7.2</v>
      </c>
      <c r="V198" s="177">
        <v>11.0</v>
      </c>
      <c r="W198" s="177">
        <v>3.6</v>
      </c>
      <c r="X198" s="183"/>
      <c r="Y198" s="183"/>
      <c r="Z198" s="177">
        <v>64.0</v>
      </c>
      <c r="AA198" s="177">
        <v>8.2</v>
      </c>
      <c r="AB198" s="177">
        <v>8.01</v>
      </c>
      <c r="AC198" s="177">
        <v>14.7</v>
      </c>
      <c r="AD198" s="177">
        <v>179.0</v>
      </c>
      <c r="AE198" s="177">
        <v>91.8</v>
      </c>
      <c r="AF198" s="177">
        <v>46.0</v>
      </c>
      <c r="AG198" s="177">
        <v>446.0</v>
      </c>
      <c r="AH198" s="177">
        <v>13.07</v>
      </c>
      <c r="AI198" s="177">
        <v>5.85</v>
      </c>
      <c r="AJ198" s="177">
        <v>5.7</v>
      </c>
      <c r="AK198" s="177">
        <v>3.0</v>
      </c>
      <c r="AL198" s="177">
        <v>3.0</v>
      </c>
      <c r="AM198" s="177">
        <v>14.0</v>
      </c>
      <c r="AN198" s="181" t="s">
        <v>380</v>
      </c>
      <c r="AO198" s="33"/>
      <c r="AP198" s="33"/>
      <c r="AQ198" s="33"/>
      <c r="AR198" s="33"/>
      <c r="AS198" s="33"/>
    </row>
    <row r="199" hidden="1" outlineLevel="1">
      <c r="A199" s="184" t="s">
        <v>70</v>
      </c>
      <c r="B199" s="176">
        <v>1965.0</v>
      </c>
      <c r="C199" s="180">
        <f t="array" ref="C199">xlookup(B199,DATA_LEAGUE_AVG!A:A,DATA_LEAGUE_AVG!H:H)</f>
        <v>386.2</v>
      </c>
      <c r="D199" s="177" t="b">
        <f t="shared" si="1"/>
        <v>1</v>
      </c>
      <c r="E199" s="177">
        <v>25.0</v>
      </c>
      <c r="F199" s="181" t="s">
        <v>309</v>
      </c>
      <c r="G199" s="181" t="s">
        <v>369</v>
      </c>
      <c r="H199" s="181" t="s">
        <v>90</v>
      </c>
      <c r="I199" s="180">
        <f t="array" ref="I199">xlookup(B199,DATA_LEAGUE_AVG!A:A,DATA_LEAGUE_AVG!C:C)</f>
        <v>2573.4</v>
      </c>
      <c r="J199" s="180">
        <f t="array" ref="J199">xlookup(B199,DATA_LEAGUE_AVG!A:A,DATA_LEAGUE_AVG!D:D)</f>
        <v>21.9</v>
      </c>
      <c r="K199" s="177">
        <f t="shared" ref="K199:L199" si="185">S199/I199</f>
        <v>1.013833839</v>
      </c>
      <c r="L199" s="177">
        <f t="shared" si="185"/>
        <v>0.8675799087</v>
      </c>
      <c r="M199" s="177">
        <v>14.0</v>
      </c>
      <c r="N199" s="177">
        <v>14.0</v>
      </c>
      <c r="O199" s="182">
        <v>36714.0</v>
      </c>
      <c r="P199" s="177">
        <v>171.0</v>
      </c>
      <c r="Q199" s="177">
        <v>329.0</v>
      </c>
      <c r="R199" s="177">
        <v>52.0</v>
      </c>
      <c r="S199" s="177">
        <v>2609.0</v>
      </c>
      <c r="T199" s="177">
        <v>19.0</v>
      </c>
      <c r="U199" s="177">
        <v>5.8</v>
      </c>
      <c r="V199" s="177">
        <v>11.0</v>
      </c>
      <c r="W199" s="177">
        <v>3.3</v>
      </c>
      <c r="X199" s="183"/>
      <c r="Y199" s="183"/>
      <c r="Z199" s="177">
        <v>72.0</v>
      </c>
      <c r="AA199" s="177">
        <v>7.9</v>
      </c>
      <c r="AB199" s="177">
        <v>7.58</v>
      </c>
      <c r="AC199" s="177">
        <v>15.3</v>
      </c>
      <c r="AD199" s="177">
        <v>186.4</v>
      </c>
      <c r="AE199" s="177">
        <v>83.8</v>
      </c>
      <c r="AF199" s="177">
        <v>28.0</v>
      </c>
      <c r="AG199" s="177">
        <v>250.0</v>
      </c>
      <c r="AH199" s="177">
        <v>7.84</v>
      </c>
      <c r="AI199" s="177">
        <v>6.61</v>
      </c>
      <c r="AJ199" s="177">
        <v>6.29</v>
      </c>
      <c r="AK199" s="177">
        <v>2.0</v>
      </c>
      <c r="AL199" s="177">
        <v>2.0</v>
      </c>
      <c r="AM199" s="177">
        <v>15.0</v>
      </c>
      <c r="AN199" s="181" t="s">
        <v>380</v>
      </c>
      <c r="AO199" s="33"/>
      <c r="AP199" s="33"/>
      <c r="AQ199" s="33"/>
      <c r="AR199" s="33"/>
      <c r="AS199" s="33"/>
    </row>
    <row r="200" hidden="1" outlineLevel="1">
      <c r="A200" s="184" t="s">
        <v>70</v>
      </c>
      <c r="B200" s="176">
        <v>1966.0</v>
      </c>
      <c r="C200" s="180">
        <f t="array" ref="C200">xlookup(B200,DATA_LEAGUE_AVG!A:A,DATA_LEAGUE_AVG!H:H)</f>
        <v>407.2</v>
      </c>
      <c r="D200" s="177" t="b">
        <f t="shared" si="1"/>
        <v>1</v>
      </c>
      <c r="E200" s="177">
        <v>26.0</v>
      </c>
      <c r="F200" s="181" t="s">
        <v>309</v>
      </c>
      <c r="G200" s="181" t="s">
        <v>369</v>
      </c>
      <c r="H200" s="181" t="s">
        <v>90</v>
      </c>
      <c r="I200" s="180">
        <f t="array" ref="I200">xlookup(B200,DATA_LEAGUE_AVG!A:A,DATA_LEAGUE_AVG!C:C)</f>
        <v>2495.7</v>
      </c>
      <c r="J200" s="180">
        <f t="array" ref="J200">xlookup(B200,DATA_LEAGUE_AVG!A:A,DATA_LEAGUE_AVG!D:D)</f>
        <v>18.7</v>
      </c>
      <c r="K200" s="177">
        <f t="shared" ref="K200:L200" si="186">S200/I200</f>
        <v>1.026165004</v>
      </c>
      <c r="L200" s="177">
        <f t="shared" si="186"/>
        <v>0.9090909091</v>
      </c>
      <c r="M200" s="177">
        <v>14.0</v>
      </c>
      <c r="N200" s="177">
        <v>12.0</v>
      </c>
      <c r="O200" s="182">
        <v>36988.0</v>
      </c>
      <c r="P200" s="177">
        <v>192.0</v>
      </c>
      <c r="Q200" s="177">
        <v>358.0</v>
      </c>
      <c r="R200" s="177">
        <v>53.6</v>
      </c>
      <c r="S200" s="177">
        <v>2561.0</v>
      </c>
      <c r="T200" s="177">
        <v>17.0</v>
      </c>
      <c r="U200" s="177">
        <v>4.7</v>
      </c>
      <c r="V200" s="177">
        <v>16.0</v>
      </c>
      <c r="W200" s="177">
        <v>4.5</v>
      </c>
      <c r="X200" s="183"/>
      <c r="Y200" s="183"/>
      <c r="Z200" s="177">
        <v>68.0</v>
      </c>
      <c r="AA200" s="177">
        <v>7.2</v>
      </c>
      <c r="AB200" s="177">
        <v>6.09</v>
      </c>
      <c r="AC200" s="177">
        <v>13.3</v>
      </c>
      <c r="AD200" s="177">
        <v>182.9</v>
      </c>
      <c r="AE200" s="177">
        <v>73.8</v>
      </c>
      <c r="AF200" s="177">
        <v>37.0</v>
      </c>
      <c r="AG200" s="177">
        <v>322.0</v>
      </c>
      <c r="AH200" s="177">
        <v>9.37</v>
      </c>
      <c r="AI200" s="177">
        <v>5.67</v>
      </c>
      <c r="AJ200" s="177">
        <v>4.71</v>
      </c>
      <c r="AK200" s="177">
        <v>2.0</v>
      </c>
      <c r="AL200" s="177">
        <v>1.0</v>
      </c>
      <c r="AM200" s="177">
        <v>12.0</v>
      </c>
      <c r="AN200" s="183"/>
      <c r="AO200" s="33"/>
      <c r="AP200" s="33"/>
      <c r="AQ200" s="33"/>
      <c r="AR200" s="33"/>
      <c r="AS200" s="33"/>
    </row>
    <row r="201" hidden="1" outlineLevel="1">
      <c r="A201" s="184" t="s">
        <v>70</v>
      </c>
      <c r="B201" s="176">
        <v>1967.0</v>
      </c>
      <c r="C201" s="180">
        <f t="array" ref="C201">xlookup(B201,DATA_LEAGUE_AVG!A:A,DATA_LEAGUE_AVG!H:H)</f>
        <v>403.2</v>
      </c>
      <c r="D201" s="177" t="b">
        <f t="shared" si="1"/>
        <v>1</v>
      </c>
      <c r="E201" s="177">
        <v>27.0</v>
      </c>
      <c r="F201" s="181" t="s">
        <v>430</v>
      </c>
      <c r="G201" s="181" t="s">
        <v>369</v>
      </c>
      <c r="H201" s="181" t="s">
        <v>90</v>
      </c>
      <c r="I201" s="180">
        <f t="array" ref="I201">xlookup(B201,DATA_LEAGUE_AVG!A:A,DATA_LEAGUE_AVG!C:C)</f>
        <v>2513.7</v>
      </c>
      <c r="J201" s="180">
        <f t="array" ref="J201">xlookup(B201,DATA_LEAGUE_AVG!A:A,DATA_LEAGUE_AVG!D:D)</f>
        <v>20.3</v>
      </c>
      <c r="K201" s="177">
        <f t="shared" ref="K201:L201" si="187">S201/I201</f>
        <v>1.228467995</v>
      </c>
      <c r="L201" s="177">
        <f t="shared" si="187"/>
        <v>1.428571429</v>
      </c>
      <c r="M201" s="177">
        <v>14.0</v>
      </c>
      <c r="N201" s="177">
        <v>14.0</v>
      </c>
      <c r="O201" s="182">
        <v>36714.0</v>
      </c>
      <c r="P201" s="177">
        <v>204.0</v>
      </c>
      <c r="Q201" s="177">
        <v>377.0</v>
      </c>
      <c r="R201" s="177">
        <v>54.1</v>
      </c>
      <c r="S201" s="177">
        <v>3088.0</v>
      </c>
      <c r="T201" s="177">
        <v>29.0</v>
      </c>
      <c r="U201" s="177">
        <v>7.7</v>
      </c>
      <c r="V201" s="177">
        <v>19.0</v>
      </c>
      <c r="W201" s="177">
        <v>5.0</v>
      </c>
      <c r="X201" s="183"/>
      <c r="Y201" s="183"/>
      <c r="Z201" s="177">
        <v>70.0</v>
      </c>
      <c r="AA201" s="177">
        <v>8.2</v>
      </c>
      <c r="AB201" s="177">
        <v>7.46</v>
      </c>
      <c r="AC201" s="177">
        <v>15.1</v>
      </c>
      <c r="AD201" s="177">
        <v>220.6</v>
      </c>
      <c r="AE201" s="177">
        <v>85.9</v>
      </c>
      <c r="AF201" s="177">
        <v>29.0</v>
      </c>
      <c r="AG201" s="177">
        <v>283.0</v>
      </c>
      <c r="AH201" s="177">
        <v>7.14</v>
      </c>
      <c r="AI201" s="177">
        <v>6.91</v>
      </c>
      <c r="AJ201" s="177">
        <v>6.23</v>
      </c>
      <c r="AK201" s="177">
        <v>2.0</v>
      </c>
      <c r="AL201" s="177">
        <v>2.0</v>
      </c>
      <c r="AM201" s="177">
        <v>19.0</v>
      </c>
      <c r="AN201" s="181" t="s">
        <v>380</v>
      </c>
      <c r="AO201" s="33"/>
      <c r="AP201" s="33"/>
      <c r="AQ201" s="33"/>
      <c r="AR201" s="33"/>
      <c r="AS201" s="33"/>
    </row>
    <row r="202" hidden="1" outlineLevel="1">
      <c r="A202" s="184" t="s">
        <v>70</v>
      </c>
      <c r="B202" s="176">
        <v>1968.0</v>
      </c>
      <c r="C202" s="180">
        <f t="array" ref="C202">xlookup(B202,DATA_LEAGUE_AVG!A:A,DATA_LEAGUE_AVG!H:H)</f>
        <v>374.8</v>
      </c>
      <c r="D202" s="177" t="b">
        <f t="shared" si="1"/>
        <v>1</v>
      </c>
      <c r="E202" s="177">
        <v>28.0</v>
      </c>
      <c r="F202" s="181" t="s">
        <v>430</v>
      </c>
      <c r="G202" s="181" t="s">
        <v>369</v>
      </c>
      <c r="H202" s="181" t="s">
        <v>90</v>
      </c>
      <c r="I202" s="180">
        <f t="array" ref="I202">xlookup(B202,DATA_LEAGUE_AVG!A:A,DATA_LEAGUE_AVG!C:C)</f>
        <v>2359.4</v>
      </c>
      <c r="J202" s="180">
        <f t="array" ref="J202">xlookup(B202,DATA_LEAGUE_AVG!A:A,DATA_LEAGUE_AVG!D:D)</f>
        <v>19.2</v>
      </c>
      <c r="K202" s="177">
        <f t="shared" ref="K202:L202" si="188">S202/I202</f>
        <v>1.082902433</v>
      </c>
      <c r="L202" s="177">
        <f t="shared" si="188"/>
        <v>1.09375</v>
      </c>
      <c r="M202" s="177">
        <v>14.0</v>
      </c>
      <c r="N202" s="177">
        <v>14.0</v>
      </c>
      <c r="O202" s="182">
        <v>36714.0</v>
      </c>
      <c r="P202" s="177">
        <v>182.0</v>
      </c>
      <c r="Q202" s="177">
        <v>337.0</v>
      </c>
      <c r="R202" s="177">
        <v>54.0</v>
      </c>
      <c r="S202" s="177">
        <v>2555.0</v>
      </c>
      <c r="T202" s="177">
        <v>21.0</v>
      </c>
      <c r="U202" s="177">
        <v>6.2</v>
      </c>
      <c r="V202" s="177">
        <v>12.0</v>
      </c>
      <c r="W202" s="177">
        <v>3.6</v>
      </c>
      <c r="X202" s="183"/>
      <c r="Y202" s="183"/>
      <c r="Z202" s="177">
        <v>84.0</v>
      </c>
      <c r="AA202" s="177">
        <v>7.6</v>
      </c>
      <c r="AB202" s="177">
        <v>7.23</v>
      </c>
      <c r="AC202" s="177">
        <v>14.0</v>
      </c>
      <c r="AD202" s="177">
        <v>182.5</v>
      </c>
      <c r="AE202" s="177">
        <v>84.6</v>
      </c>
      <c r="AF202" s="177">
        <v>27.0</v>
      </c>
      <c r="AG202" s="177">
        <v>255.0</v>
      </c>
      <c r="AH202" s="177">
        <v>7.42</v>
      </c>
      <c r="AI202" s="177">
        <v>6.32</v>
      </c>
      <c r="AJ202" s="177">
        <v>5.99</v>
      </c>
      <c r="AK202" s="177">
        <v>1.0</v>
      </c>
      <c r="AL202" s="177">
        <v>2.0</v>
      </c>
      <c r="AM202" s="177">
        <v>16.0</v>
      </c>
      <c r="AN202" s="181" t="s">
        <v>380</v>
      </c>
      <c r="AO202" s="33"/>
      <c r="AP202" s="33"/>
      <c r="AQ202" s="33"/>
      <c r="AR202" s="33"/>
      <c r="AS202" s="33"/>
    </row>
    <row r="203" hidden="1" outlineLevel="1">
      <c r="A203" s="184" t="s">
        <v>70</v>
      </c>
      <c r="B203" s="176">
        <v>1969.0</v>
      </c>
      <c r="C203" s="180">
        <f t="array" ref="C203">xlookup(B203,DATA_LEAGUE_AVG!A:A,DATA_LEAGUE_AVG!H:H)</f>
        <v>396.6</v>
      </c>
      <c r="D203" s="177" t="b">
        <f t="shared" si="1"/>
        <v>1</v>
      </c>
      <c r="E203" s="177">
        <v>29.0</v>
      </c>
      <c r="F203" s="181" t="s">
        <v>430</v>
      </c>
      <c r="G203" s="181" t="s">
        <v>369</v>
      </c>
      <c r="H203" s="181" t="s">
        <v>90</v>
      </c>
      <c r="I203" s="180">
        <f t="array" ref="I203">xlookup(B203,DATA_LEAGUE_AVG!A:A,DATA_LEAGUE_AVG!C:C)</f>
        <v>2484.7</v>
      </c>
      <c r="J203" s="180">
        <f t="array" ref="J203">xlookup(B203,DATA_LEAGUE_AVG!A:A,DATA_LEAGUE_AVG!D:D)</f>
        <v>20.2</v>
      </c>
      <c r="K203" s="177">
        <f t="shared" ref="K203:L203" si="189">S203/I203</f>
        <v>1.17438725</v>
      </c>
      <c r="L203" s="177">
        <f t="shared" si="189"/>
        <v>1.138613861</v>
      </c>
      <c r="M203" s="177">
        <v>14.0</v>
      </c>
      <c r="N203" s="177">
        <v>14.0</v>
      </c>
      <c r="O203" s="182">
        <v>36685.0</v>
      </c>
      <c r="P203" s="177">
        <v>220.0</v>
      </c>
      <c r="Q203" s="177">
        <v>409.0</v>
      </c>
      <c r="R203" s="177">
        <v>53.8</v>
      </c>
      <c r="S203" s="177">
        <v>2918.0</v>
      </c>
      <c r="T203" s="177">
        <v>23.0</v>
      </c>
      <c r="U203" s="177">
        <v>5.6</v>
      </c>
      <c r="V203" s="177">
        <v>8.0</v>
      </c>
      <c r="W203" s="177">
        <v>2.0</v>
      </c>
      <c r="X203" s="183"/>
      <c r="Y203" s="183"/>
      <c r="Z203" s="177">
        <v>65.0</v>
      </c>
      <c r="AA203" s="177">
        <v>7.1</v>
      </c>
      <c r="AB203" s="177">
        <v>7.38</v>
      </c>
      <c r="AC203" s="177">
        <v>13.3</v>
      </c>
      <c r="AD203" s="177">
        <v>208.4</v>
      </c>
      <c r="AE203" s="177">
        <v>87.2</v>
      </c>
      <c r="AF203" s="177">
        <v>36.0</v>
      </c>
      <c r="AG203" s="177">
        <v>289.0</v>
      </c>
      <c r="AH203" s="177">
        <v>8.09</v>
      </c>
      <c r="AI203" s="177">
        <v>5.91</v>
      </c>
      <c r="AJ203" s="177">
        <v>6.13</v>
      </c>
      <c r="AK203" s="177">
        <v>4.0</v>
      </c>
      <c r="AL203" s="177">
        <v>4.0</v>
      </c>
      <c r="AM203" s="177">
        <v>14.0</v>
      </c>
      <c r="AN203" s="181" t="s">
        <v>380</v>
      </c>
      <c r="AO203" s="33"/>
      <c r="AP203" s="33"/>
      <c r="AQ203" s="33"/>
      <c r="AR203" s="33"/>
      <c r="AS203" s="33"/>
    </row>
    <row r="204" hidden="1" outlineLevel="1">
      <c r="A204" s="184" t="s">
        <v>70</v>
      </c>
      <c r="B204" s="176">
        <v>1970.0</v>
      </c>
      <c r="C204" s="180">
        <f t="array" ref="C204">xlookup(B204,DATA_LEAGUE_AVG!A:A,DATA_LEAGUE_AVG!H:H)</f>
        <v>376.8</v>
      </c>
      <c r="D204" s="177" t="b">
        <f t="shared" si="1"/>
        <v>1</v>
      </c>
      <c r="E204" s="177">
        <v>30.0</v>
      </c>
      <c r="F204" s="181" t="s">
        <v>430</v>
      </c>
      <c r="G204" s="181" t="s">
        <v>369</v>
      </c>
      <c r="H204" s="181" t="s">
        <v>90</v>
      </c>
      <c r="I204" s="180">
        <f t="array" ref="I204">xlookup(B204,DATA_LEAGUE_AVG!A:A,DATA_LEAGUE_AVG!C:C)</f>
        <v>2259.4</v>
      </c>
      <c r="J204" s="180">
        <f t="array" ref="J204">xlookup(B204,DATA_LEAGUE_AVG!A:A,DATA_LEAGUE_AVG!D:D)</f>
        <v>16.4</v>
      </c>
      <c r="K204" s="177">
        <f t="shared" ref="K204:L204" si="190">S204/I204</f>
        <v>1.229087368</v>
      </c>
      <c r="L204" s="177">
        <f t="shared" si="190"/>
        <v>1.158536585</v>
      </c>
      <c r="M204" s="177">
        <v>14.0</v>
      </c>
      <c r="N204" s="177">
        <v>14.0</v>
      </c>
      <c r="O204" s="182">
        <v>36774.0</v>
      </c>
      <c r="P204" s="177">
        <v>219.0</v>
      </c>
      <c r="Q204" s="177">
        <v>389.0</v>
      </c>
      <c r="R204" s="177">
        <v>56.3</v>
      </c>
      <c r="S204" s="177">
        <v>2777.0</v>
      </c>
      <c r="T204" s="177">
        <v>19.0</v>
      </c>
      <c r="U204" s="177">
        <v>4.9</v>
      </c>
      <c r="V204" s="177">
        <v>12.0</v>
      </c>
      <c r="W204" s="177">
        <v>3.1</v>
      </c>
      <c r="X204" s="183"/>
      <c r="Y204" s="183"/>
      <c r="Z204" s="177">
        <v>59.0</v>
      </c>
      <c r="AA204" s="177">
        <v>7.1</v>
      </c>
      <c r="AB204" s="177">
        <v>6.73</v>
      </c>
      <c r="AC204" s="177">
        <v>12.7</v>
      </c>
      <c r="AD204" s="177">
        <v>198.4</v>
      </c>
      <c r="AE204" s="177">
        <v>82.2</v>
      </c>
      <c r="AF204" s="177">
        <v>36.0</v>
      </c>
      <c r="AG204" s="177">
        <v>249.0</v>
      </c>
      <c r="AH204" s="177">
        <v>8.47</v>
      </c>
      <c r="AI204" s="177">
        <v>5.95</v>
      </c>
      <c r="AJ204" s="177">
        <v>5.57</v>
      </c>
      <c r="AK204" s="177">
        <v>2.0</v>
      </c>
      <c r="AL204" s="177">
        <v>5.0</v>
      </c>
      <c r="AM204" s="177">
        <v>17.0</v>
      </c>
      <c r="AN204" s="181" t="s">
        <v>431</v>
      </c>
      <c r="AO204" s="33"/>
      <c r="AP204" s="33"/>
      <c r="AQ204" s="33"/>
      <c r="AR204" s="33"/>
      <c r="AS204" s="33"/>
    </row>
    <row r="205" hidden="1" outlineLevel="1">
      <c r="A205" s="184" t="s">
        <v>70</v>
      </c>
      <c r="B205" s="176">
        <v>1971.0</v>
      </c>
      <c r="C205" s="180">
        <f t="array" ref="C205">xlookup(B205,DATA_LEAGUE_AVG!A:A,DATA_LEAGUE_AVG!H:H)</f>
        <v>362</v>
      </c>
      <c r="D205" s="177" t="b">
        <f t="shared" si="1"/>
        <v>1</v>
      </c>
      <c r="E205" s="177">
        <v>31.0</v>
      </c>
      <c r="F205" s="181" t="s">
        <v>430</v>
      </c>
      <c r="G205" s="181" t="s">
        <v>369</v>
      </c>
      <c r="H205" s="181" t="s">
        <v>90</v>
      </c>
      <c r="I205" s="180">
        <f t="array" ref="I205">xlookup(B205,DATA_LEAGUE_AVG!A:A,DATA_LEAGUE_AVG!C:C)</f>
        <v>2180.1</v>
      </c>
      <c r="J205" s="180">
        <f t="array" ref="J205">xlookup(B205,DATA_LEAGUE_AVG!A:A,DATA_LEAGUE_AVG!D:D)</f>
        <v>15</v>
      </c>
      <c r="K205" s="177">
        <f t="shared" ref="K205:L205" si="191">S205/I205</f>
        <v>1.177468923</v>
      </c>
      <c r="L205" s="177">
        <f t="shared" si="191"/>
        <v>0.7333333333</v>
      </c>
      <c r="M205" s="177">
        <v>13.0</v>
      </c>
      <c r="N205" s="177">
        <v>13.0</v>
      </c>
      <c r="O205" s="182">
        <v>36625.0</v>
      </c>
      <c r="P205" s="177">
        <v>226.0</v>
      </c>
      <c r="Q205" s="177">
        <v>386.0</v>
      </c>
      <c r="R205" s="177">
        <v>58.5</v>
      </c>
      <c r="S205" s="177">
        <v>2567.0</v>
      </c>
      <c r="T205" s="177">
        <v>11.0</v>
      </c>
      <c r="U205" s="177">
        <v>2.8</v>
      </c>
      <c r="V205" s="177">
        <v>21.0</v>
      </c>
      <c r="W205" s="177">
        <v>5.4</v>
      </c>
      <c r="X205" s="183"/>
      <c r="Y205" s="183"/>
      <c r="Z205" s="177">
        <v>81.0</v>
      </c>
      <c r="AA205" s="177">
        <v>6.7</v>
      </c>
      <c r="AB205" s="177">
        <v>4.77</v>
      </c>
      <c r="AC205" s="177">
        <v>11.4</v>
      </c>
      <c r="AD205" s="177">
        <v>197.5</v>
      </c>
      <c r="AE205" s="177">
        <v>65.4</v>
      </c>
      <c r="AF205" s="177">
        <v>27.0</v>
      </c>
      <c r="AG205" s="177">
        <v>232.0</v>
      </c>
      <c r="AH205" s="177">
        <v>6.54</v>
      </c>
      <c r="AI205" s="177">
        <v>5.65</v>
      </c>
      <c r="AJ205" s="177">
        <v>3.9</v>
      </c>
      <c r="AK205" s="177">
        <v>1.0</v>
      </c>
      <c r="AL205" s="177">
        <v>1.0</v>
      </c>
      <c r="AM205" s="177">
        <v>9.0</v>
      </c>
      <c r="AN205" s="183"/>
      <c r="AO205" s="33"/>
      <c r="AP205" s="33"/>
      <c r="AQ205" s="33"/>
      <c r="AR205" s="33"/>
      <c r="AS205" s="33"/>
    </row>
    <row r="206" hidden="1" outlineLevel="1">
      <c r="A206" s="184" t="s">
        <v>70</v>
      </c>
      <c r="B206" s="176">
        <v>1972.0</v>
      </c>
      <c r="C206" s="180">
        <f t="array" ref="C206">xlookup(B206,DATA_LEAGUE_AVG!A:A,DATA_LEAGUE_AVG!H:H)</f>
        <v>346.6</v>
      </c>
      <c r="D206" s="177" t="b">
        <f t="shared" si="1"/>
        <v>1</v>
      </c>
      <c r="E206" s="177">
        <v>32.0</v>
      </c>
      <c r="F206" s="181" t="s">
        <v>309</v>
      </c>
      <c r="G206" s="181" t="s">
        <v>369</v>
      </c>
      <c r="H206" s="181" t="s">
        <v>90</v>
      </c>
      <c r="I206" s="180">
        <f t="array" ref="I206">xlookup(B206,DATA_LEAGUE_AVG!A:A,DATA_LEAGUE_AVG!C:C)</f>
        <v>2129</v>
      </c>
      <c r="J206" s="180">
        <f t="array" ref="J206">xlookup(B206,DATA_LEAGUE_AVG!A:A,DATA_LEAGUE_AVG!D:D)</f>
        <v>15.5</v>
      </c>
      <c r="K206" s="177">
        <f t="shared" ref="K206:L206" si="192">S206/I206</f>
        <v>1.245185533</v>
      </c>
      <c r="L206" s="177">
        <f t="shared" si="192"/>
        <v>1.161290323</v>
      </c>
      <c r="M206" s="177">
        <v>14.0</v>
      </c>
      <c r="N206" s="177">
        <v>14.0</v>
      </c>
      <c r="O206" s="182">
        <v>36714.0</v>
      </c>
      <c r="P206" s="177">
        <v>215.0</v>
      </c>
      <c r="Q206" s="177">
        <v>378.0</v>
      </c>
      <c r="R206" s="177">
        <v>56.9</v>
      </c>
      <c r="S206" s="177">
        <v>2651.0</v>
      </c>
      <c r="T206" s="177">
        <v>18.0</v>
      </c>
      <c r="U206" s="177">
        <v>4.8</v>
      </c>
      <c r="V206" s="177">
        <v>13.0</v>
      </c>
      <c r="W206" s="177">
        <v>3.4</v>
      </c>
      <c r="X206" s="183"/>
      <c r="Y206" s="183"/>
      <c r="Z206" s="177">
        <v>76.0</v>
      </c>
      <c r="AA206" s="177">
        <v>7.0</v>
      </c>
      <c r="AB206" s="177">
        <v>6.42</v>
      </c>
      <c r="AC206" s="177">
        <v>12.3</v>
      </c>
      <c r="AD206" s="177">
        <v>189.4</v>
      </c>
      <c r="AE206" s="177">
        <v>80.2</v>
      </c>
      <c r="AF206" s="177">
        <v>26.0</v>
      </c>
      <c r="AG206" s="177">
        <v>203.0</v>
      </c>
      <c r="AH206" s="177">
        <v>6.44</v>
      </c>
      <c r="AI206" s="177">
        <v>6.06</v>
      </c>
      <c r="AJ206" s="177">
        <v>5.5</v>
      </c>
      <c r="AK206" s="177">
        <v>4.0</v>
      </c>
      <c r="AL206" s="177">
        <v>3.0</v>
      </c>
      <c r="AM206" s="177">
        <v>12.0</v>
      </c>
      <c r="AN206" s="183"/>
      <c r="AO206" s="33"/>
      <c r="AP206" s="33"/>
      <c r="AQ206" s="33"/>
      <c r="AR206" s="33"/>
      <c r="AS206" s="33"/>
    </row>
    <row r="207" hidden="1" outlineLevel="1">
      <c r="A207" s="184" t="s">
        <v>70</v>
      </c>
      <c r="B207" s="176">
        <v>1973.0</v>
      </c>
      <c r="C207" s="180">
        <f t="array" ref="C207">xlookup(B207,DATA_LEAGUE_AVG!A:A,DATA_LEAGUE_AVG!H:H)</f>
        <v>340.2</v>
      </c>
      <c r="D207" s="177" t="b">
        <f t="shared" si="1"/>
        <v>1</v>
      </c>
      <c r="E207" s="177">
        <v>33.0</v>
      </c>
      <c r="F207" s="181" t="s">
        <v>309</v>
      </c>
      <c r="G207" s="181" t="s">
        <v>369</v>
      </c>
      <c r="H207" s="181" t="s">
        <v>90</v>
      </c>
      <c r="I207" s="180">
        <f t="array" ref="I207">xlookup(B207,DATA_LEAGUE_AVG!A:A,DATA_LEAGUE_AVG!C:C)</f>
        <v>1973</v>
      </c>
      <c r="J207" s="180">
        <f t="array" ref="J207">xlookup(B207,DATA_LEAGUE_AVG!A:A,DATA_LEAGUE_AVG!D:D)</f>
        <v>14.5</v>
      </c>
      <c r="K207" s="177">
        <f t="shared" ref="K207:L207" si="193">S207/I207</f>
        <v>1.070957932</v>
      </c>
      <c r="L207" s="177">
        <f t="shared" si="193"/>
        <v>1.034482759</v>
      </c>
      <c r="M207" s="177">
        <v>14.0</v>
      </c>
      <c r="N207" s="177">
        <v>14.0</v>
      </c>
      <c r="O207" s="182">
        <v>36862.0</v>
      </c>
      <c r="P207" s="177">
        <v>169.0</v>
      </c>
      <c r="Q207" s="177">
        <v>274.0</v>
      </c>
      <c r="R207" s="177">
        <v>61.7</v>
      </c>
      <c r="S207" s="177">
        <v>2113.0</v>
      </c>
      <c r="T207" s="177">
        <v>15.0</v>
      </c>
      <c r="U207" s="177">
        <v>5.5</v>
      </c>
      <c r="V207" s="177">
        <v>7.0</v>
      </c>
      <c r="W207" s="177">
        <v>2.6</v>
      </c>
      <c r="X207" s="183"/>
      <c r="Y207" s="183"/>
      <c r="Z207" s="177">
        <v>54.0</v>
      </c>
      <c r="AA207" s="177">
        <v>7.7</v>
      </c>
      <c r="AB207" s="177">
        <v>7.66</v>
      </c>
      <c r="AC207" s="177">
        <v>12.5</v>
      </c>
      <c r="AD207" s="177">
        <v>150.9</v>
      </c>
      <c r="AE207" s="177">
        <v>93.2</v>
      </c>
      <c r="AF207" s="177">
        <v>31.0</v>
      </c>
      <c r="AG207" s="177">
        <v>270.0</v>
      </c>
      <c r="AH207" s="177">
        <v>10.16</v>
      </c>
      <c r="AI207" s="177">
        <v>6.04</v>
      </c>
      <c r="AJ207" s="177">
        <v>5.99</v>
      </c>
      <c r="AK207" s="177">
        <v>0.0</v>
      </c>
      <c r="AL207" s="177">
        <v>0.0</v>
      </c>
      <c r="AM207" s="177">
        <v>13.0</v>
      </c>
      <c r="AN207" s="183"/>
      <c r="AO207" s="33"/>
      <c r="AP207" s="33"/>
      <c r="AQ207" s="33"/>
      <c r="AR207" s="33"/>
      <c r="AS207" s="33"/>
    </row>
    <row r="208" hidden="1" outlineLevel="1">
      <c r="A208" s="184" t="s">
        <v>70</v>
      </c>
      <c r="B208" s="176">
        <v>1974.0</v>
      </c>
      <c r="C208" s="180">
        <f t="array" ref="C208">xlookup(B208,DATA_LEAGUE_AVG!A:A,DATA_LEAGUE_AVG!H:H)</f>
        <v>369.6</v>
      </c>
      <c r="D208" s="177" t="b">
        <f t="shared" si="1"/>
        <v>1</v>
      </c>
      <c r="E208" s="177">
        <v>34.0</v>
      </c>
      <c r="F208" s="181" t="s">
        <v>309</v>
      </c>
      <c r="G208" s="181" t="s">
        <v>369</v>
      </c>
      <c r="H208" s="181" t="s">
        <v>90</v>
      </c>
      <c r="I208" s="180">
        <f t="array" ref="I208">xlookup(B208,DATA_LEAGUE_AVG!A:A,DATA_LEAGUE_AVG!C:C)</f>
        <v>2145.4</v>
      </c>
      <c r="J208" s="180">
        <f t="array" ref="J208">xlookup(B208,DATA_LEAGUE_AVG!A:A,DATA_LEAGUE_AVG!D:D)</f>
        <v>14.5</v>
      </c>
      <c r="K208" s="177">
        <f t="shared" ref="K208:L208" si="194">S208/I208</f>
        <v>1.210962991</v>
      </c>
      <c r="L208" s="177">
        <f t="shared" si="194"/>
        <v>1.172413793</v>
      </c>
      <c r="M208" s="177">
        <v>13.0</v>
      </c>
      <c r="N208" s="177">
        <v>13.0</v>
      </c>
      <c r="O208" s="182">
        <v>36773.0</v>
      </c>
      <c r="P208" s="177">
        <v>199.0</v>
      </c>
      <c r="Q208" s="177">
        <v>351.0</v>
      </c>
      <c r="R208" s="177">
        <v>56.7</v>
      </c>
      <c r="S208" s="177">
        <v>2598.0</v>
      </c>
      <c r="T208" s="177">
        <v>17.0</v>
      </c>
      <c r="U208" s="177">
        <v>4.8</v>
      </c>
      <c r="V208" s="177">
        <v>12.0</v>
      </c>
      <c r="W208" s="177">
        <v>3.4</v>
      </c>
      <c r="X208" s="183"/>
      <c r="Y208" s="183"/>
      <c r="Z208" s="177">
        <v>80.0</v>
      </c>
      <c r="AA208" s="177">
        <v>7.4</v>
      </c>
      <c r="AB208" s="177">
        <v>6.83</v>
      </c>
      <c r="AC208" s="177">
        <v>13.1</v>
      </c>
      <c r="AD208" s="177">
        <v>199.8</v>
      </c>
      <c r="AE208" s="177">
        <v>82.1</v>
      </c>
      <c r="AF208" s="177">
        <v>17.0</v>
      </c>
      <c r="AG208" s="177">
        <v>142.0</v>
      </c>
      <c r="AH208" s="177">
        <v>4.62</v>
      </c>
      <c r="AI208" s="177">
        <v>6.67</v>
      </c>
      <c r="AJ208" s="177">
        <v>6.13</v>
      </c>
      <c r="AK208" s="177">
        <v>1.0</v>
      </c>
      <c r="AL208" s="177">
        <v>1.0</v>
      </c>
      <c r="AM208" s="177">
        <v>15.0</v>
      </c>
      <c r="AN208" s="181" t="s">
        <v>380</v>
      </c>
      <c r="AO208" s="33"/>
      <c r="AP208" s="33"/>
      <c r="AQ208" s="33"/>
      <c r="AR208" s="33"/>
      <c r="AS208" s="33"/>
    </row>
    <row r="209" hidden="1" outlineLevel="1">
      <c r="A209" s="184" t="s">
        <v>70</v>
      </c>
      <c r="B209" s="176">
        <v>1975.0</v>
      </c>
      <c r="C209" s="180">
        <f t="array" ref="C209">xlookup(B209,DATA_LEAGUE_AVG!A:A,DATA_LEAGUE_AVG!H:H)</f>
        <v>383.6</v>
      </c>
      <c r="D209" s="177" t="b">
        <f t="shared" si="1"/>
        <v>1</v>
      </c>
      <c r="E209" s="177">
        <v>35.0</v>
      </c>
      <c r="F209" s="181" t="s">
        <v>309</v>
      </c>
      <c r="G209" s="181" t="s">
        <v>369</v>
      </c>
      <c r="H209" s="181" t="s">
        <v>90</v>
      </c>
      <c r="I209" s="180">
        <f t="array" ref="I209">xlookup(B209,DATA_LEAGUE_AVG!A:A,DATA_LEAGUE_AVG!C:C)</f>
        <v>2279.1</v>
      </c>
      <c r="J209" s="180">
        <f t="array" ref="J209">xlookup(B209,DATA_LEAGUE_AVG!A:A,DATA_LEAGUE_AVG!D:D)</f>
        <v>16.7</v>
      </c>
      <c r="K209" s="177">
        <f t="shared" ref="K209:L209" si="195">S209/I209</f>
        <v>1.313676451</v>
      </c>
      <c r="L209" s="177">
        <f t="shared" si="195"/>
        <v>1.497005988</v>
      </c>
      <c r="M209" s="177">
        <v>14.0</v>
      </c>
      <c r="N209" s="177">
        <v>14.0</v>
      </c>
      <c r="O209" s="182">
        <v>36862.0</v>
      </c>
      <c r="P209" s="177">
        <v>273.0</v>
      </c>
      <c r="Q209" s="177">
        <v>425.0</v>
      </c>
      <c r="R209" s="177">
        <v>64.2</v>
      </c>
      <c r="S209" s="177">
        <v>2994.0</v>
      </c>
      <c r="T209" s="177">
        <v>25.0</v>
      </c>
      <c r="U209" s="177">
        <v>5.9</v>
      </c>
      <c r="V209" s="177">
        <v>13.0</v>
      </c>
      <c r="W209" s="177">
        <v>3.1</v>
      </c>
      <c r="X209" s="183"/>
      <c r="Y209" s="183"/>
      <c r="Z209" s="177">
        <v>46.0</v>
      </c>
      <c r="AA209" s="177">
        <v>7.0</v>
      </c>
      <c r="AB209" s="177">
        <v>6.84</v>
      </c>
      <c r="AC209" s="177">
        <v>11.0</v>
      </c>
      <c r="AD209" s="177">
        <v>213.9</v>
      </c>
      <c r="AE209" s="177">
        <v>91.8</v>
      </c>
      <c r="AF209" s="177">
        <v>27.0</v>
      </c>
      <c r="AG209" s="177">
        <v>245.0</v>
      </c>
      <c r="AH209" s="177">
        <v>5.97</v>
      </c>
      <c r="AI209" s="177">
        <v>6.08</v>
      </c>
      <c r="AJ209" s="177">
        <v>5.89</v>
      </c>
      <c r="AK209" s="177">
        <v>1.0</v>
      </c>
      <c r="AL209" s="177">
        <v>1.0</v>
      </c>
      <c r="AM209" s="177">
        <v>16.0</v>
      </c>
      <c r="AN209" s="181" t="s">
        <v>383</v>
      </c>
      <c r="AO209" s="33"/>
      <c r="AP209" s="33"/>
      <c r="AQ209" s="33"/>
      <c r="AR209" s="33"/>
      <c r="AS209" s="33"/>
    </row>
    <row r="210" hidden="1" outlineLevel="1">
      <c r="A210" s="184" t="s">
        <v>70</v>
      </c>
      <c r="B210" s="176">
        <v>1976.0</v>
      </c>
      <c r="C210" s="180">
        <f t="array" ref="C210">xlookup(B210,DATA_LEAGUE_AVG!A:A,DATA_LEAGUE_AVG!H:H)</f>
        <v>366.4</v>
      </c>
      <c r="D210" s="177" t="b">
        <f t="shared" si="1"/>
        <v>1</v>
      </c>
      <c r="E210" s="177">
        <v>36.0</v>
      </c>
      <c r="F210" s="181" t="s">
        <v>309</v>
      </c>
      <c r="G210" s="181" t="s">
        <v>369</v>
      </c>
      <c r="H210" s="181" t="s">
        <v>90</v>
      </c>
      <c r="I210" s="180">
        <f t="array" ref="I210">xlookup(B210,DATA_LEAGUE_AVG!A:A,DATA_LEAGUE_AVG!C:C)</f>
        <v>2128.4</v>
      </c>
      <c r="J210" s="180">
        <f t="array" ref="J210">xlookup(B210,DATA_LEAGUE_AVG!A:A,DATA_LEAGUE_AVG!D:D)</f>
        <v>15.4</v>
      </c>
      <c r="K210" s="177">
        <f t="shared" ref="K210:L210" si="196">S210/I210</f>
        <v>1.391185867</v>
      </c>
      <c r="L210" s="177">
        <f t="shared" si="196"/>
        <v>1.103896104</v>
      </c>
      <c r="M210" s="177">
        <v>13.0</v>
      </c>
      <c r="N210" s="177">
        <v>13.0</v>
      </c>
      <c r="O210" s="182">
        <v>37166.0</v>
      </c>
      <c r="P210" s="177">
        <v>255.0</v>
      </c>
      <c r="Q210" s="177">
        <v>412.0</v>
      </c>
      <c r="R210" s="177">
        <v>61.9</v>
      </c>
      <c r="S210" s="177">
        <v>2961.0</v>
      </c>
      <c r="T210" s="177">
        <v>17.0</v>
      </c>
      <c r="U210" s="177">
        <v>4.1</v>
      </c>
      <c r="V210" s="177">
        <v>8.0</v>
      </c>
      <c r="W210" s="177">
        <v>1.9</v>
      </c>
      <c r="X210" s="183"/>
      <c r="Y210" s="183"/>
      <c r="Z210" s="177">
        <v>56.0</v>
      </c>
      <c r="AA210" s="177">
        <v>7.2</v>
      </c>
      <c r="AB210" s="177">
        <v>7.14</v>
      </c>
      <c r="AC210" s="177">
        <v>11.6</v>
      </c>
      <c r="AD210" s="177">
        <v>227.8</v>
      </c>
      <c r="AE210" s="177">
        <v>89.3</v>
      </c>
      <c r="AF210" s="177">
        <v>25.0</v>
      </c>
      <c r="AG210" s="177">
        <v>221.0</v>
      </c>
      <c r="AH210" s="177">
        <v>5.72</v>
      </c>
      <c r="AI210" s="177">
        <v>6.27</v>
      </c>
      <c r="AJ210" s="177">
        <v>6.22</v>
      </c>
      <c r="AK210" s="177">
        <v>1.0</v>
      </c>
      <c r="AL210" s="177">
        <v>3.0</v>
      </c>
      <c r="AM210" s="177">
        <v>13.0</v>
      </c>
      <c r="AN210" s="181" t="s">
        <v>380</v>
      </c>
      <c r="AO210" s="33"/>
      <c r="AP210" s="33"/>
      <c r="AQ210" s="33"/>
      <c r="AR210" s="33"/>
      <c r="AS210" s="33"/>
    </row>
    <row r="211" hidden="1" outlineLevel="1">
      <c r="A211" s="184" t="s">
        <v>70</v>
      </c>
      <c r="B211" s="176">
        <v>1977.0</v>
      </c>
      <c r="C211" s="180">
        <f t="array" ref="C211">xlookup(B211,DATA_LEAGUE_AVG!A:A,DATA_LEAGUE_AVG!H:H)</f>
        <v>349.5</v>
      </c>
      <c r="D211" s="177" t="b">
        <f t="shared" si="1"/>
        <v>1</v>
      </c>
      <c r="E211" s="177">
        <v>37.0</v>
      </c>
      <c r="F211" s="181" t="s">
        <v>309</v>
      </c>
      <c r="G211" s="181" t="s">
        <v>369</v>
      </c>
      <c r="H211" s="181" t="s">
        <v>90</v>
      </c>
      <c r="I211" s="180">
        <f t="array" ref="I211">xlookup(B211,DATA_LEAGUE_AVG!A:A,DATA_LEAGUE_AVG!C:C)</f>
        <v>1986.4</v>
      </c>
      <c r="J211" s="180">
        <f t="array" ref="J211">xlookup(B211,DATA_LEAGUE_AVG!A:A,DATA_LEAGUE_AVG!D:D)</f>
        <v>13.9</v>
      </c>
      <c r="K211" s="177">
        <f t="shared" ref="K211:L211" si="197">S211/I211</f>
        <v>0.8729359646</v>
      </c>
      <c r="L211" s="177">
        <f t="shared" si="197"/>
        <v>0.6474820144</v>
      </c>
      <c r="M211" s="177">
        <v>9.0</v>
      </c>
      <c r="N211" s="177">
        <v>9.0</v>
      </c>
      <c r="O211" s="182">
        <v>36680.0</v>
      </c>
      <c r="P211" s="177">
        <v>155.0</v>
      </c>
      <c r="Q211" s="177">
        <v>258.0</v>
      </c>
      <c r="R211" s="177">
        <v>60.1</v>
      </c>
      <c r="S211" s="177">
        <v>1734.0</v>
      </c>
      <c r="T211" s="177">
        <v>9.0</v>
      </c>
      <c r="U211" s="177">
        <v>3.5</v>
      </c>
      <c r="V211" s="177">
        <v>14.0</v>
      </c>
      <c r="W211" s="177">
        <v>5.4</v>
      </c>
      <c r="X211" s="183"/>
      <c r="Y211" s="183"/>
      <c r="Z211" s="177">
        <v>59.0</v>
      </c>
      <c r="AA211" s="177">
        <v>6.7</v>
      </c>
      <c r="AB211" s="177">
        <v>4.98</v>
      </c>
      <c r="AC211" s="177">
        <v>11.2</v>
      </c>
      <c r="AD211" s="177">
        <v>192.7</v>
      </c>
      <c r="AE211" s="177">
        <v>69.2</v>
      </c>
      <c r="AF211" s="177">
        <v>22.0</v>
      </c>
      <c r="AG211" s="177">
        <v>232.0</v>
      </c>
      <c r="AH211" s="177">
        <v>7.86</v>
      </c>
      <c r="AI211" s="177">
        <v>5.36</v>
      </c>
      <c r="AJ211" s="177">
        <v>3.76</v>
      </c>
      <c r="AK211" s="177">
        <v>1.0</v>
      </c>
      <c r="AL211" s="177">
        <v>2.0</v>
      </c>
      <c r="AM211" s="177">
        <v>6.0</v>
      </c>
      <c r="AN211" s="183"/>
      <c r="AO211" s="33"/>
      <c r="AP211" s="33"/>
      <c r="AQ211" s="33"/>
      <c r="AR211" s="33"/>
      <c r="AS211" s="33"/>
    </row>
    <row r="212" hidden="1" outlineLevel="1">
      <c r="A212" s="184" t="s">
        <v>70</v>
      </c>
      <c r="B212" s="176">
        <v>1978.0</v>
      </c>
      <c r="C212" s="180">
        <f t="array" ref="C212">xlookup(B212,DATA_LEAGUE_AVG!A:A,DATA_LEAGUE_AVG!H:H)</f>
        <v>422.5</v>
      </c>
      <c r="D212" s="177" t="b">
        <f t="shared" si="1"/>
        <v>1</v>
      </c>
      <c r="E212" s="177">
        <v>38.0</v>
      </c>
      <c r="F212" s="181" t="s">
        <v>309</v>
      </c>
      <c r="G212" s="181" t="s">
        <v>369</v>
      </c>
      <c r="H212" s="181" t="s">
        <v>90</v>
      </c>
      <c r="I212" s="180">
        <f t="array" ref="I212">xlookup(B212,DATA_LEAGUE_AVG!A:A,DATA_LEAGUE_AVG!C:C)</f>
        <v>2541.4</v>
      </c>
      <c r="J212" s="180">
        <f t="array" ref="J212">xlookup(B212,DATA_LEAGUE_AVG!A:A,DATA_LEAGUE_AVG!D:D)</f>
        <v>16.7</v>
      </c>
      <c r="K212" s="177">
        <f t="shared" ref="K212:L212" si="198">S212/I212</f>
        <v>1.364602188</v>
      </c>
      <c r="L212" s="177">
        <f t="shared" si="198"/>
        <v>1.497005988</v>
      </c>
      <c r="M212" s="177">
        <v>16.0</v>
      </c>
      <c r="N212" s="177">
        <v>16.0</v>
      </c>
      <c r="O212" s="182">
        <v>37110.0</v>
      </c>
      <c r="P212" s="177">
        <v>345.0</v>
      </c>
      <c r="Q212" s="177">
        <v>572.0</v>
      </c>
      <c r="R212" s="177">
        <v>60.3</v>
      </c>
      <c r="S212" s="177">
        <v>3468.0</v>
      </c>
      <c r="T212" s="177">
        <v>25.0</v>
      </c>
      <c r="U212" s="177">
        <v>4.4</v>
      </c>
      <c r="V212" s="177">
        <v>32.0</v>
      </c>
      <c r="W212" s="177">
        <v>5.6</v>
      </c>
      <c r="X212" s="177">
        <v>174.0</v>
      </c>
      <c r="Y212" s="177">
        <v>43.9</v>
      </c>
      <c r="Z212" s="177">
        <v>58.0</v>
      </c>
      <c r="AA212" s="177">
        <v>6.1</v>
      </c>
      <c r="AB212" s="177">
        <v>4.42</v>
      </c>
      <c r="AC212" s="177">
        <v>10.1</v>
      </c>
      <c r="AD212" s="177">
        <v>216.8</v>
      </c>
      <c r="AE212" s="177">
        <v>68.9</v>
      </c>
      <c r="AF212" s="177">
        <v>27.0</v>
      </c>
      <c r="AG212" s="177">
        <v>254.0</v>
      </c>
      <c r="AH212" s="177">
        <v>4.51</v>
      </c>
      <c r="AI212" s="177">
        <v>5.37</v>
      </c>
      <c r="AJ212" s="177">
        <v>3.8</v>
      </c>
      <c r="AK212" s="177">
        <v>2.0</v>
      </c>
      <c r="AL212" s="177">
        <v>1.0</v>
      </c>
      <c r="AM212" s="177">
        <v>11.0</v>
      </c>
      <c r="AN212" s="183"/>
      <c r="AO212" s="33"/>
      <c r="AP212" s="33"/>
      <c r="AQ212" s="33"/>
      <c r="AR212" s="33"/>
      <c r="AS212" s="33"/>
    </row>
    <row r="213" collapsed="1">
      <c r="A213" s="184" t="s">
        <v>53</v>
      </c>
      <c r="B213" s="176" t="s">
        <v>348</v>
      </c>
      <c r="C213" s="177" t="str">
        <f t="array" ref="C213">xlookup(B213,DATA_LEAGUE_AVG!A:A,DATA_LEAGUE_AVG!H:H)</f>
        <v>#N/A</v>
      </c>
      <c r="D213" s="177" t="str">
        <f t="shared" si="1"/>
        <v>#N/A</v>
      </c>
      <c r="E213" s="176" t="s">
        <v>351</v>
      </c>
      <c r="F213" s="176" t="s">
        <v>352</v>
      </c>
      <c r="G213" s="176" t="s">
        <v>353</v>
      </c>
      <c r="H213" s="176" t="s">
        <v>354</v>
      </c>
      <c r="I213" s="185" t="s">
        <v>355</v>
      </c>
      <c r="J213" s="185" t="s">
        <v>356</v>
      </c>
      <c r="K213" s="185" t="s">
        <v>272</v>
      </c>
      <c r="L213" s="185" t="s">
        <v>357</v>
      </c>
      <c r="M213" s="176" t="s">
        <v>358</v>
      </c>
      <c r="N213" s="176" t="s">
        <v>359</v>
      </c>
      <c r="O213" s="176" t="s">
        <v>360</v>
      </c>
      <c r="P213" s="176" t="s">
        <v>330</v>
      </c>
      <c r="Q213" s="176" t="s">
        <v>331</v>
      </c>
      <c r="R213" s="176" t="s">
        <v>332</v>
      </c>
      <c r="S213" s="176" t="s">
        <v>326</v>
      </c>
      <c r="T213" s="176" t="s">
        <v>327</v>
      </c>
      <c r="U213" s="176" t="s">
        <v>335</v>
      </c>
      <c r="V213" s="176" t="s">
        <v>336</v>
      </c>
      <c r="W213" s="176" t="s">
        <v>337</v>
      </c>
      <c r="X213" s="176" t="s">
        <v>363</v>
      </c>
      <c r="Y213" s="176" t="s">
        <v>338</v>
      </c>
      <c r="Z213" s="176" t="s">
        <v>339</v>
      </c>
      <c r="AA213" s="176" t="s">
        <v>340</v>
      </c>
      <c r="AB213" s="176" t="s">
        <v>341</v>
      </c>
      <c r="AC213" s="176" t="s">
        <v>342</v>
      </c>
      <c r="AD213" s="176" t="s">
        <v>343</v>
      </c>
      <c r="AE213" s="176" t="s">
        <v>326</v>
      </c>
      <c r="AF213" s="176" t="s">
        <v>345</v>
      </c>
      <c r="AG213" s="176" t="s">
        <v>346</v>
      </c>
      <c r="AH213" s="176" t="s">
        <v>347</v>
      </c>
      <c r="AI213" s="176" t="s">
        <v>364</v>
      </c>
      <c r="AJ213" s="176" t="s">
        <v>365</v>
      </c>
      <c r="AK213" s="176" t="s">
        <v>367</v>
      </c>
      <c r="AL213" s="33"/>
      <c r="AM213" s="33"/>
      <c r="AN213" s="33"/>
      <c r="AO213" s="33"/>
      <c r="AP213" s="33"/>
      <c r="AQ213" s="33"/>
      <c r="AR213" s="33"/>
      <c r="AS213" s="33"/>
    </row>
    <row r="214" hidden="1" outlineLevel="1">
      <c r="A214" s="184" t="s">
        <v>53</v>
      </c>
      <c r="B214" s="176">
        <v>1946.0</v>
      </c>
      <c r="C214" s="180">
        <f t="array" ref="C214">xlookup(B214,DATA_LEAGUE_AVG!A:A,DATA_LEAGUE_AVG!H:H)</f>
        <v>234.1</v>
      </c>
      <c r="D214" s="177" t="b">
        <f t="shared" si="1"/>
        <v>1</v>
      </c>
      <c r="E214" s="177">
        <v>25.0</v>
      </c>
      <c r="F214" s="181" t="s">
        <v>127</v>
      </c>
      <c r="G214" s="181" t="s">
        <v>432</v>
      </c>
      <c r="H214" s="181" t="s">
        <v>90</v>
      </c>
      <c r="I214" s="180">
        <f t="array" ref="I214">xlookup(B214,DATA_LEAGUE_AVG!A:A,DATA_LEAGUE_AVG!C:C)</f>
        <v>1573.6</v>
      </c>
      <c r="J214" s="180">
        <f t="array" ref="J214">xlookup(B214,DATA_LEAGUE_AVG!A:A,DATA_LEAGUE_AVG!D:D)</f>
        <v>12.6</v>
      </c>
      <c r="K214" s="177">
        <f t="shared" ref="K214:L214" si="199">S214/I214</f>
        <v>1.165480427</v>
      </c>
      <c r="L214" s="177">
        <f t="shared" si="199"/>
        <v>1.349206349</v>
      </c>
      <c r="M214" s="177">
        <v>14.0</v>
      </c>
      <c r="N214" s="177">
        <v>9.0</v>
      </c>
      <c r="O214" s="183"/>
      <c r="P214" s="177">
        <v>95.0</v>
      </c>
      <c r="Q214" s="177">
        <v>174.0</v>
      </c>
      <c r="R214" s="177">
        <v>54.6</v>
      </c>
      <c r="S214" s="177">
        <v>1834.0</v>
      </c>
      <c r="T214" s="177">
        <v>17.0</v>
      </c>
      <c r="U214" s="177">
        <v>9.8</v>
      </c>
      <c r="V214" s="177">
        <v>5.0</v>
      </c>
      <c r="W214" s="177">
        <v>2.9</v>
      </c>
      <c r="X214" s="177">
        <v>79.0</v>
      </c>
      <c r="Y214" s="177">
        <v>10.5</v>
      </c>
      <c r="Z214" s="177">
        <v>11.2</v>
      </c>
      <c r="AA214" s="177">
        <v>19.3</v>
      </c>
      <c r="AB214" s="177">
        <v>131.0</v>
      </c>
      <c r="AC214" s="177">
        <v>112.1</v>
      </c>
      <c r="AD214" s="183"/>
      <c r="AE214" s="183"/>
      <c r="AF214" s="183"/>
      <c r="AG214" s="183"/>
      <c r="AH214" s="183"/>
      <c r="AI214" s="177">
        <v>0.0</v>
      </c>
      <c r="AJ214" s="177">
        <v>0.0</v>
      </c>
      <c r="AK214" s="183"/>
      <c r="AL214" s="33"/>
      <c r="AM214" s="33"/>
      <c r="AN214" s="33"/>
      <c r="AO214" s="33"/>
      <c r="AP214" s="33"/>
      <c r="AQ214" s="33"/>
      <c r="AR214" s="33"/>
      <c r="AS214" s="33"/>
    </row>
    <row r="215" hidden="1" outlineLevel="1">
      <c r="A215" s="184" t="s">
        <v>53</v>
      </c>
      <c r="B215" s="176">
        <v>1947.0</v>
      </c>
      <c r="C215" s="180">
        <f t="array" ref="C215">xlookup(B215,DATA_LEAGUE_AVG!A:A,DATA_LEAGUE_AVG!H:H)</f>
        <v>299.1</v>
      </c>
      <c r="D215" s="177" t="b">
        <f t="shared" si="1"/>
        <v>1</v>
      </c>
      <c r="E215" s="177">
        <v>26.0</v>
      </c>
      <c r="F215" s="181" t="s">
        <v>127</v>
      </c>
      <c r="G215" s="181" t="s">
        <v>432</v>
      </c>
      <c r="H215" s="181" t="s">
        <v>90</v>
      </c>
      <c r="I215" s="180">
        <f t="array" ref="I215">xlookup(B215,DATA_LEAGUE_AVG!A:A,DATA_LEAGUE_AVG!C:C)</f>
        <v>2167</v>
      </c>
      <c r="J215" s="180">
        <f t="array" ref="J215">xlookup(B215,DATA_LEAGUE_AVG!A:A,DATA_LEAGUE_AVG!D:D)</f>
        <v>18.8</v>
      </c>
      <c r="K215" s="177">
        <f t="shared" ref="K215:L215" si="200">S215/I215</f>
        <v>1.270419935</v>
      </c>
      <c r="L215" s="177">
        <f t="shared" si="200"/>
        <v>1.329787234</v>
      </c>
      <c r="M215" s="177">
        <v>14.0</v>
      </c>
      <c r="N215" s="177">
        <v>9.0</v>
      </c>
      <c r="O215" s="183"/>
      <c r="P215" s="177">
        <v>163.0</v>
      </c>
      <c r="Q215" s="177">
        <v>269.0</v>
      </c>
      <c r="R215" s="177">
        <v>60.6</v>
      </c>
      <c r="S215" s="177">
        <v>2753.0</v>
      </c>
      <c r="T215" s="177">
        <v>25.0</v>
      </c>
      <c r="U215" s="177">
        <v>9.3</v>
      </c>
      <c r="V215" s="177">
        <v>11.0</v>
      </c>
      <c r="W215" s="177">
        <v>4.1</v>
      </c>
      <c r="X215" s="177">
        <v>99.0</v>
      </c>
      <c r="Y215" s="177">
        <v>10.2</v>
      </c>
      <c r="Z215" s="177">
        <v>10.25</v>
      </c>
      <c r="AA215" s="177">
        <v>16.9</v>
      </c>
      <c r="AB215" s="177">
        <v>196.6</v>
      </c>
      <c r="AC215" s="177">
        <v>109.2</v>
      </c>
      <c r="AD215" s="177">
        <v>19.0</v>
      </c>
      <c r="AE215" s="177">
        <v>195.0</v>
      </c>
      <c r="AF215" s="177">
        <v>6.6</v>
      </c>
      <c r="AG215" s="177">
        <v>8.88</v>
      </c>
      <c r="AH215" s="177">
        <v>8.9</v>
      </c>
      <c r="AI215" s="177">
        <v>1.0</v>
      </c>
      <c r="AJ215" s="177">
        <v>0.0</v>
      </c>
      <c r="AK215" s="181" t="s">
        <v>433</v>
      </c>
      <c r="AL215" s="33"/>
      <c r="AM215" s="33"/>
      <c r="AN215" s="33"/>
      <c r="AO215" s="33"/>
      <c r="AP215" s="33"/>
      <c r="AQ215" s="33"/>
      <c r="AR215" s="33"/>
      <c r="AS215" s="33"/>
    </row>
    <row r="216" hidden="1" outlineLevel="1">
      <c r="A216" s="184" t="s">
        <v>53</v>
      </c>
      <c r="B216" s="176">
        <v>1948.0</v>
      </c>
      <c r="C216" s="180">
        <f t="array" ref="C216">xlookup(B216,DATA_LEAGUE_AVG!A:A,DATA_LEAGUE_AVG!H:H)</f>
        <v>311.6</v>
      </c>
      <c r="D216" s="177" t="b">
        <f t="shared" si="1"/>
        <v>1</v>
      </c>
      <c r="E216" s="177">
        <v>27.0</v>
      </c>
      <c r="F216" s="181" t="s">
        <v>127</v>
      </c>
      <c r="G216" s="181" t="s">
        <v>432</v>
      </c>
      <c r="H216" s="181" t="s">
        <v>90</v>
      </c>
      <c r="I216" s="180">
        <f t="array" ref="I216">xlookup(B216,DATA_LEAGUE_AVG!A:A,DATA_LEAGUE_AVG!C:C)</f>
        <v>2087.1</v>
      </c>
      <c r="J216" s="180">
        <f t="array" ref="J216">xlookup(B216,DATA_LEAGUE_AVG!A:A,DATA_LEAGUE_AVG!D:D)</f>
        <v>19.6</v>
      </c>
      <c r="K216" s="177">
        <f t="shared" ref="K216:L216" si="201">S216/I216</f>
        <v>1.299889799</v>
      </c>
      <c r="L216" s="177">
        <f t="shared" si="201"/>
        <v>1.275510204</v>
      </c>
      <c r="M216" s="177">
        <v>14.0</v>
      </c>
      <c r="N216" s="177">
        <v>14.0</v>
      </c>
      <c r="O216" s="183"/>
      <c r="P216" s="177">
        <v>173.0</v>
      </c>
      <c r="Q216" s="177">
        <v>333.0</v>
      </c>
      <c r="R216" s="177">
        <v>52.0</v>
      </c>
      <c r="S216" s="177">
        <v>2713.0</v>
      </c>
      <c r="T216" s="177">
        <v>25.0</v>
      </c>
      <c r="U216" s="177">
        <v>7.5</v>
      </c>
      <c r="V216" s="177">
        <v>15.0</v>
      </c>
      <c r="W216" s="177">
        <v>4.5</v>
      </c>
      <c r="X216" s="177">
        <v>78.0</v>
      </c>
      <c r="Y216" s="177">
        <v>8.1</v>
      </c>
      <c r="Z216" s="177">
        <v>7.62</v>
      </c>
      <c r="AA216" s="177">
        <v>15.7</v>
      </c>
      <c r="AB216" s="177">
        <v>193.8</v>
      </c>
      <c r="AC216" s="177">
        <v>85.6</v>
      </c>
      <c r="AD216" s="177">
        <v>25.0</v>
      </c>
      <c r="AE216" s="177">
        <v>212.0</v>
      </c>
      <c r="AF216" s="177">
        <v>6.98</v>
      </c>
      <c r="AG216" s="177">
        <v>6.99</v>
      </c>
      <c r="AH216" s="177">
        <v>6.5</v>
      </c>
      <c r="AI216" s="177">
        <v>0.0</v>
      </c>
      <c r="AJ216" s="177">
        <v>0.0</v>
      </c>
      <c r="AK216" s="181" t="s">
        <v>433</v>
      </c>
      <c r="AL216" s="33"/>
      <c r="AM216" s="33"/>
      <c r="AN216" s="33"/>
      <c r="AO216" s="33"/>
      <c r="AP216" s="33"/>
      <c r="AQ216" s="33"/>
      <c r="AR216" s="33"/>
      <c r="AS216" s="33"/>
    </row>
    <row r="217" hidden="1" outlineLevel="1">
      <c r="A217" s="184" t="s">
        <v>53</v>
      </c>
      <c r="B217" s="176">
        <v>1949.0</v>
      </c>
      <c r="C217" s="180">
        <f t="array" ref="C217">xlookup(B217,DATA_LEAGUE_AVG!A:A,DATA_LEAGUE_AVG!H:H)</f>
        <v>327.5</v>
      </c>
      <c r="D217" s="177" t="b">
        <f t="shared" si="1"/>
        <v>1</v>
      </c>
      <c r="E217" s="177">
        <v>28.0</v>
      </c>
      <c r="F217" s="181" t="s">
        <v>127</v>
      </c>
      <c r="G217" s="181" t="s">
        <v>432</v>
      </c>
      <c r="H217" s="181" t="s">
        <v>90</v>
      </c>
      <c r="I217" s="180">
        <f t="array" ref="I217">xlookup(B217,DATA_LEAGUE_AVG!A:A,DATA_LEAGUE_AVG!C:C)</f>
        <v>1932.4</v>
      </c>
      <c r="J217" s="180">
        <f t="array" ref="J217">xlookup(B217,DATA_LEAGUE_AVG!A:A,DATA_LEAGUE_AVG!D:D)</f>
        <v>16.8</v>
      </c>
      <c r="K217" s="177">
        <f t="shared" ref="K217:L217" si="202">S217/I217</f>
        <v>1.441212999</v>
      </c>
      <c r="L217" s="177">
        <f t="shared" si="202"/>
        <v>1.130952381</v>
      </c>
      <c r="M217" s="177">
        <v>12.0</v>
      </c>
      <c r="N217" s="177">
        <v>11.0</v>
      </c>
      <c r="O217" s="183"/>
      <c r="P217" s="177">
        <v>161.0</v>
      </c>
      <c r="Q217" s="177">
        <v>285.0</v>
      </c>
      <c r="R217" s="177">
        <v>56.5</v>
      </c>
      <c r="S217" s="177">
        <v>2785.0</v>
      </c>
      <c r="T217" s="177">
        <v>19.0</v>
      </c>
      <c r="U217" s="177">
        <v>6.7</v>
      </c>
      <c r="V217" s="177">
        <v>10.0</v>
      </c>
      <c r="W217" s="177">
        <v>3.5</v>
      </c>
      <c r="X217" s="177">
        <v>74.0</v>
      </c>
      <c r="Y217" s="177">
        <v>9.8</v>
      </c>
      <c r="Z217" s="177">
        <v>9.53</v>
      </c>
      <c r="AA217" s="177">
        <v>17.3</v>
      </c>
      <c r="AB217" s="177">
        <v>232.1</v>
      </c>
      <c r="AC217" s="177">
        <v>97.5</v>
      </c>
      <c r="AD217" s="177">
        <v>31.0</v>
      </c>
      <c r="AE217" s="177">
        <v>251.0</v>
      </c>
      <c r="AF217" s="177">
        <v>9.81</v>
      </c>
      <c r="AG217" s="177">
        <v>8.02</v>
      </c>
      <c r="AH217" s="177">
        <v>7.8</v>
      </c>
      <c r="AI217" s="177">
        <v>2.0</v>
      </c>
      <c r="AJ217" s="177">
        <v>2.0</v>
      </c>
      <c r="AK217" s="181" t="s">
        <v>433</v>
      </c>
      <c r="AL217" s="33"/>
      <c r="AM217" s="33"/>
      <c r="AN217" s="33"/>
      <c r="AO217" s="33"/>
      <c r="AP217" s="33"/>
      <c r="AQ217" s="33"/>
      <c r="AR217" s="33"/>
      <c r="AS217" s="33"/>
    </row>
    <row r="218" hidden="1" outlineLevel="1">
      <c r="A218" s="184" t="s">
        <v>53</v>
      </c>
      <c r="B218" s="176">
        <v>1950.0</v>
      </c>
      <c r="C218" s="180">
        <f t="array" ref="C218">xlookup(B218,DATA_LEAGUE_AVG!A:A,DATA_LEAGUE_AVG!H:H)</f>
        <v>331.3</v>
      </c>
      <c r="D218" s="177" t="b">
        <f t="shared" si="1"/>
        <v>1</v>
      </c>
      <c r="E218" s="177">
        <v>29.0</v>
      </c>
      <c r="F218" s="181" t="s">
        <v>127</v>
      </c>
      <c r="G218" s="181" t="s">
        <v>369</v>
      </c>
      <c r="H218" s="181" t="s">
        <v>90</v>
      </c>
      <c r="I218" s="180">
        <f t="array" ref="I218">xlookup(B218,DATA_LEAGUE_AVG!A:A,DATA_LEAGUE_AVG!C:C)</f>
        <v>1988.9</v>
      </c>
      <c r="J218" s="180">
        <f t="array" ref="J218">xlookup(B218,DATA_LEAGUE_AVG!A:A,DATA_LEAGUE_AVG!D:D)</f>
        <v>16.9</v>
      </c>
      <c r="K218" s="177">
        <f t="shared" ref="K218:L218" si="203">S218/I218</f>
        <v>0.9769219166</v>
      </c>
      <c r="L218" s="177">
        <f t="shared" si="203"/>
        <v>0.8284023669</v>
      </c>
      <c r="M218" s="177">
        <v>12.0</v>
      </c>
      <c r="N218" s="177">
        <v>12.0</v>
      </c>
      <c r="O218" s="182">
        <v>36801.0</v>
      </c>
      <c r="P218" s="177">
        <v>137.0</v>
      </c>
      <c r="Q218" s="177">
        <v>253.0</v>
      </c>
      <c r="R218" s="177">
        <v>54.2</v>
      </c>
      <c r="S218" s="177">
        <v>1943.0</v>
      </c>
      <c r="T218" s="177">
        <v>14.0</v>
      </c>
      <c r="U218" s="177">
        <v>5.5</v>
      </c>
      <c r="V218" s="177">
        <v>20.0</v>
      </c>
      <c r="W218" s="177">
        <v>7.9</v>
      </c>
      <c r="X218" s="177">
        <v>80.0</v>
      </c>
      <c r="Y218" s="177">
        <v>7.7</v>
      </c>
      <c r="Z218" s="177">
        <v>5.23</v>
      </c>
      <c r="AA218" s="177">
        <v>14.2</v>
      </c>
      <c r="AB218" s="177">
        <v>161.9</v>
      </c>
      <c r="AC218" s="177">
        <v>64.7</v>
      </c>
      <c r="AD218" s="183"/>
      <c r="AE218" s="177">
        <v>291.0</v>
      </c>
      <c r="AF218" s="183"/>
      <c r="AG218" s="183"/>
      <c r="AH218" s="183"/>
      <c r="AI218" s="177">
        <v>2.0</v>
      </c>
      <c r="AJ218" s="177">
        <v>2.0</v>
      </c>
      <c r="AK218" s="181" t="s">
        <v>380</v>
      </c>
      <c r="AL218" s="33"/>
      <c r="AM218" s="33"/>
      <c r="AN218" s="33"/>
      <c r="AO218" s="33"/>
      <c r="AP218" s="33"/>
      <c r="AQ218" s="33"/>
      <c r="AR218" s="33"/>
      <c r="AS218" s="33"/>
    </row>
    <row r="219" hidden="1" outlineLevel="1">
      <c r="A219" s="184" t="s">
        <v>53</v>
      </c>
      <c r="B219" s="176">
        <v>1951.0</v>
      </c>
      <c r="C219" s="180">
        <f t="array" ref="C219">xlookup(B219,DATA_LEAGUE_AVG!A:A,DATA_LEAGUE_AVG!H:H)</f>
        <v>323.4</v>
      </c>
      <c r="D219" s="177" t="b">
        <f t="shared" si="1"/>
        <v>1</v>
      </c>
      <c r="E219" s="177">
        <v>30.0</v>
      </c>
      <c r="F219" s="181" t="s">
        <v>127</v>
      </c>
      <c r="G219" s="181" t="s">
        <v>369</v>
      </c>
      <c r="H219" s="181" t="s">
        <v>90</v>
      </c>
      <c r="I219" s="180">
        <f t="array" ref="I219">xlookup(B219,DATA_LEAGUE_AVG!A:A,DATA_LEAGUE_AVG!C:C)</f>
        <v>1952.9</v>
      </c>
      <c r="J219" s="180">
        <f t="array" ref="J219">xlookup(B219,DATA_LEAGUE_AVG!A:A,DATA_LEAGUE_AVG!D:D)</f>
        <v>16.7</v>
      </c>
      <c r="K219" s="177">
        <f t="shared" ref="K219:L219" si="204">S219/I219</f>
        <v>1.129090071</v>
      </c>
      <c r="L219" s="177">
        <f t="shared" si="204"/>
        <v>1.017964072</v>
      </c>
      <c r="M219" s="177">
        <v>12.0</v>
      </c>
      <c r="N219" s="177">
        <v>12.0</v>
      </c>
      <c r="O219" s="182">
        <v>36831.0</v>
      </c>
      <c r="P219" s="177">
        <v>147.0</v>
      </c>
      <c r="Q219" s="177">
        <v>265.0</v>
      </c>
      <c r="R219" s="177">
        <v>55.5</v>
      </c>
      <c r="S219" s="177">
        <v>2205.0</v>
      </c>
      <c r="T219" s="177">
        <v>17.0</v>
      </c>
      <c r="U219" s="177">
        <v>6.4</v>
      </c>
      <c r="V219" s="177">
        <v>16.0</v>
      </c>
      <c r="W219" s="177">
        <v>6.0</v>
      </c>
      <c r="X219" s="177">
        <v>81.0</v>
      </c>
      <c r="Y219" s="177">
        <v>8.3</v>
      </c>
      <c r="Z219" s="177">
        <v>6.89</v>
      </c>
      <c r="AA219" s="177">
        <v>15.0</v>
      </c>
      <c r="AB219" s="177">
        <v>183.8</v>
      </c>
      <c r="AC219" s="177">
        <v>79.2</v>
      </c>
      <c r="AD219" s="183"/>
      <c r="AE219" s="177">
        <v>371.0</v>
      </c>
      <c r="AF219" s="183"/>
      <c r="AG219" s="183"/>
      <c r="AH219" s="183"/>
      <c r="AI219" s="177">
        <v>1.0</v>
      </c>
      <c r="AJ219" s="177">
        <v>1.0</v>
      </c>
      <c r="AK219" s="181" t="s">
        <v>420</v>
      </c>
      <c r="AL219" s="33"/>
      <c r="AM219" s="33"/>
      <c r="AN219" s="33"/>
      <c r="AO219" s="33"/>
      <c r="AP219" s="33"/>
      <c r="AQ219" s="33"/>
      <c r="AR219" s="33"/>
      <c r="AS219" s="33"/>
    </row>
    <row r="220" hidden="1" outlineLevel="1">
      <c r="A220" s="184" t="s">
        <v>53</v>
      </c>
      <c r="B220" s="176">
        <v>1952.0</v>
      </c>
      <c r="C220" s="180">
        <f t="array" ref="C220">xlookup(B220,DATA_LEAGUE_AVG!A:A,DATA_LEAGUE_AVG!H:H)</f>
        <v>335.3</v>
      </c>
      <c r="D220" s="177" t="b">
        <f t="shared" si="1"/>
        <v>1</v>
      </c>
      <c r="E220" s="177">
        <v>31.0</v>
      </c>
      <c r="F220" s="181" t="s">
        <v>127</v>
      </c>
      <c r="G220" s="181" t="s">
        <v>369</v>
      </c>
      <c r="H220" s="181" t="s">
        <v>90</v>
      </c>
      <c r="I220" s="180">
        <f t="array" ref="I220">xlookup(B220,DATA_LEAGUE_AVG!A:A,DATA_LEAGUE_AVG!C:C)</f>
        <v>1919.4</v>
      </c>
      <c r="J220" s="180">
        <f t="array" ref="J220">xlookup(B220,DATA_LEAGUE_AVG!A:A,DATA_LEAGUE_AVG!D:D)</f>
        <v>18.2</v>
      </c>
      <c r="K220" s="177">
        <f t="shared" ref="K220:L220" si="205">S220/I220</f>
        <v>1.467125143</v>
      </c>
      <c r="L220" s="177">
        <f t="shared" si="205"/>
        <v>1.098901099</v>
      </c>
      <c r="M220" s="177">
        <v>12.0</v>
      </c>
      <c r="N220" s="177">
        <v>12.0</v>
      </c>
      <c r="O220" s="182">
        <v>36742.0</v>
      </c>
      <c r="P220" s="177">
        <v>181.0</v>
      </c>
      <c r="Q220" s="177">
        <v>364.0</v>
      </c>
      <c r="R220" s="177">
        <v>49.7</v>
      </c>
      <c r="S220" s="177">
        <v>2816.0</v>
      </c>
      <c r="T220" s="177">
        <v>20.0</v>
      </c>
      <c r="U220" s="177">
        <v>5.5</v>
      </c>
      <c r="V220" s="177">
        <v>24.0</v>
      </c>
      <c r="W220" s="177">
        <v>6.6</v>
      </c>
      <c r="X220" s="177">
        <v>68.0</v>
      </c>
      <c r="Y220" s="177">
        <v>7.7</v>
      </c>
      <c r="Z220" s="177">
        <v>5.87</v>
      </c>
      <c r="AA220" s="177">
        <v>15.6</v>
      </c>
      <c r="AB220" s="177">
        <v>234.7</v>
      </c>
      <c r="AC220" s="177">
        <v>66.6</v>
      </c>
      <c r="AD220" s="183"/>
      <c r="AE220" s="177">
        <v>242.0</v>
      </c>
      <c r="AF220" s="183"/>
      <c r="AG220" s="183"/>
      <c r="AH220" s="183"/>
      <c r="AI220" s="177">
        <v>1.0</v>
      </c>
      <c r="AJ220" s="177">
        <v>1.0</v>
      </c>
      <c r="AK220" s="181" t="s">
        <v>379</v>
      </c>
      <c r="AL220" s="33"/>
      <c r="AM220" s="33"/>
      <c r="AN220" s="33"/>
      <c r="AO220" s="33"/>
      <c r="AP220" s="33"/>
      <c r="AQ220" s="33"/>
      <c r="AR220" s="33"/>
      <c r="AS220" s="33"/>
    </row>
    <row r="221" hidden="1" outlineLevel="1">
      <c r="A221" s="184" t="s">
        <v>53</v>
      </c>
      <c r="B221" s="176">
        <v>1953.0</v>
      </c>
      <c r="C221" s="180">
        <f t="array" ref="C221">xlookup(B221,DATA_LEAGUE_AVG!A:A,DATA_LEAGUE_AVG!H:H)</f>
        <v>355.6</v>
      </c>
      <c r="D221" s="177" t="b">
        <f t="shared" si="1"/>
        <v>1</v>
      </c>
      <c r="E221" s="177">
        <v>32.0</v>
      </c>
      <c r="F221" s="181" t="s">
        <v>127</v>
      </c>
      <c r="G221" s="181" t="s">
        <v>369</v>
      </c>
      <c r="H221" s="181" t="s">
        <v>90</v>
      </c>
      <c r="I221" s="180">
        <f t="array" ref="I221">xlookup(B221,DATA_LEAGUE_AVG!A:A,DATA_LEAGUE_AVG!C:C)</f>
        <v>2085.4</v>
      </c>
      <c r="J221" s="180">
        <f t="array" ref="J221">xlookup(B221,DATA_LEAGUE_AVG!A:A,DATA_LEAGUE_AVG!D:D)</f>
        <v>15.8</v>
      </c>
      <c r="K221" s="177">
        <f t="shared" ref="K221:L221" si="206">S221/I221</f>
        <v>1.305265177</v>
      </c>
      <c r="L221" s="177">
        <f t="shared" si="206"/>
        <v>0.6962025316</v>
      </c>
      <c r="M221" s="177">
        <v>12.0</v>
      </c>
      <c r="N221" s="177">
        <v>11.0</v>
      </c>
      <c r="O221" s="182">
        <v>36800.0</v>
      </c>
      <c r="P221" s="177">
        <v>167.0</v>
      </c>
      <c r="Q221" s="177">
        <v>258.0</v>
      </c>
      <c r="R221" s="177">
        <v>64.7</v>
      </c>
      <c r="S221" s="177">
        <v>2722.0</v>
      </c>
      <c r="T221" s="177">
        <v>11.0</v>
      </c>
      <c r="U221" s="177">
        <v>4.3</v>
      </c>
      <c r="V221" s="177">
        <v>9.0</v>
      </c>
      <c r="W221" s="177">
        <v>3.5</v>
      </c>
      <c r="X221" s="177">
        <v>70.0</v>
      </c>
      <c r="Y221" s="177">
        <v>10.6</v>
      </c>
      <c r="Z221" s="177">
        <v>9.83</v>
      </c>
      <c r="AA221" s="177">
        <v>16.3</v>
      </c>
      <c r="AB221" s="177">
        <v>226.8</v>
      </c>
      <c r="AC221" s="177">
        <v>99.7</v>
      </c>
      <c r="AD221" s="183"/>
      <c r="AE221" s="177">
        <v>245.0</v>
      </c>
      <c r="AF221" s="183"/>
      <c r="AG221" s="183"/>
      <c r="AH221" s="183"/>
      <c r="AI221" s="177">
        <v>2.0</v>
      </c>
      <c r="AJ221" s="177">
        <v>2.0</v>
      </c>
      <c r="AK221" s="181" t="s">
        <v>420</v>
      </c>
      <c r="AL221" s="33"/>
      <c r="AM221" s="33"/>
      <c r="AN221" s="33"/>
      <c r="AO221" s="33"/>
      <c r="AP221" s="33"/>
      <c r="AQ221" s="33"/>
      <c r="AR221" s="33"/>
      <c r="AS221" s="33"/>
    </row>
    <row r="222" hidden="1" outlineLevel="1">
      <c r="A222" s="184" t="s">
        <v>53</v>
      </c>
      <c r="B222" s="176">
        <v>1954.0</v>
      </c>
      <c r="C222" s="180">
        <f t="array" ref="C222">xlookup(B222,DATA_LEAGUE_AVG!A:A,DATA_LEAGUE_AVG!H:H)</f>
        <v>352.7</v>
      </c>
      <c r="D222" s="177" t="b">
        <f t="shared" si="1"/>
        <v>1</v>
      </c>
      <c r="E222" s="177">
        <v>33.0</v>
      </c>
      <c r="F222" s="181" t="s">
        <v>127</v>
      </c>
      <c r="G222" s="181" t="s">
        <v>369</v>
      </c>
      <c r="H222" s="181" t="s">
        <v>90</v>
      </c>
      <c r="I222" s="180">
        <f t="array" ref="I222">xlookup(B222,DATA_LEAGUE_AVG!A:A,DATA_LEAGUE_AVG!C:C)</f>
        <v>2299.4</v>
      </c>
      <c r="J222" s="180">
        <f t="array" ref="J222">xlookup(B222,DATA_LEAGUE_AVG!A:A,DATA_LEAGUE_AVG!D:D)</f>
        <v>17.6</v>
      </c>
      <c r="K222" s="177">
        <f t="shared" ref="K222:L222" si="207">S222/I222</f>
        <v>0.9098025572</v>
      </c>
      <c r="L222" s="177">
        <f t="shared" si="207"/>
        <v>0.625</v>
      </c>
      <c r="M222" s="177">
        <v>12.0</v>
      </c>
      <c r="N222" s="177">
        <v>12.0</v>
      </c>
      <c r="O222" s="182">
        <v>36772.0</v>
      </c>
      <c r="P222" s="177">
        <v>142.0</v>
      </c>
      <c r="Q222" s="177">
        <v>240.0</v>
      </c>
      <c r="R222" s="177">
        <v>59.2</v>
      </c>
      <c r="S222" s="177">
        <v>2092.0</v>
      </c>
      <c r="T222" s="177">
        <v>11.0</v>
      </c>
      <c r="U222" s="177">
        <v>4.6</v>
      </c>
      <c r="V222" s="177">
        <v>17.0</v>
      </c>
      <c r="W222" s="177">
        <v>7.1</v>
      </c>
      <c r="X222" s="177">
        <v>64.0</v>
      </c>
      <c r="Y222" s="177">
        <v>8.7</v>
      </c>
      <c r="Z222" s="177">
        <v>6.45</v>
      </c>
      <c r="AA222" s="177">
        <v>14.7</v>
      </c>
      <c r="AB222" s="177">
        <v>174.3</v>
      </c>
      <c r="AC222" s="177">
        <v>73.5</v>
      </c>
      <c r="AD222" s="183"/>
      <c r="AE222" s="177">
        <v>197.0</v>
      </c>
      <c r="AF222" s="183"/>
      <c r="AG222" s="183"/>
      <c r="AH222" s="183"/>
      <c r="AI222" s="177">
        <v>0.0</v>
      </c>
      <c r="AJ222" s="177">
        <v>0.0</v>
      </c>
      <c r="AK222" s="181" t="s">
        <v>420</v>
      </c>
      <c r="AL222" s="33"/>
      <c r="AM222" s="33"/>
      <c r="AN222" s="33"/>
      <c r="AO222" s="33"/>
      <c r="AP222" s="33"/>
      <c r="AQ222" s="33"/>
      <c r="AR222" s="33"/>
      <c r="AS222" s="33"/>
    </row>
    <row r="223" hidden="1" outlineLevel="1">
      <c r="A223" s="184" t="s">
        <v>53</v>
      </c>
      <c r="B223" s="176">
        <v>1955.0</v>
      </c>
      <c r="C223" s="180">
        <f t="array" ref="C223">xlookup(B223,DATA_LEAGUE_AVG!A:A,DATA_LEAGUE_AVG!H:H)</f>
        <v>318.3</v>
      </c>
      <c r="D223" s="177" t="b">
        <f t="shared" si="1"/>
        <v>1</v>
      </c>
      <c r="E223" s="177">
        <v>34.0</v>
      </c>
      <c r="F223" s="181" t="s">
        <v>127</v>
      </c>
      <c r="G223" s="181" t="s">
        <v>369</v>
      </c>
      <c r="H223" s="181" t="s">
        <v>90</v>
      </c>
      <c r="I223" s="180">
        <f t="array" ref="I223">xlookup(B223,DATA_LEAGUE_AVG!A:A,DATA_LEAGUE_AVG!C:C)</f>
        <v>1917.4</v>
      </c>
      <c r="J223" s="180">
        <f t="array" ref="J223">xlookup(B223,DATA_LEAGUE_AVG!A:A,DATA_LEAGUE_AVG!D:D)</f>
        <v>15</v>
      </c>
      <c r="K223" s="177">
        <f t="shared" ref="K223:L223" si="208">S223/I223</f>
        <v>0.8975696255</v>
      </c>
      <c r="L223" s="177">
        <f t="shared" si="208"/>
        <v>1</v>
      </c>
      <c r="M223" s="177">
        <v>12.0</v>
      </c>
      <c r="N223" s="177">
        <v>12.0</v>
      </c>
      <c r="O223" s="182">
        <v>37136.0</v>
      </c>
      <c r="P223" s="177">
        <v>98.0</v>
      </c>
      <c r="Q223" s="177">
        <v>185.0</v>
      </c>
      <c r="R223" s="177">
        <v>53.0</v>
      </c>
      <c r="S223" s="177">
        <v>1721.0</v>
      </c>
      <c r="T223" s="177">
        <v>15.0</v>
      </c>
      <c r="U223" s="177">
        <v>8.1</v>
      </c>
      <c r="V223" s="177">
        <v>8.0</v>
      </c>
      <c r="W223" s="177">
        <v>4.3</v>
      </c>
      <c r="X223" s="177">
        <v>61.0</v>
      </c>
      <c r="Y223" s="177">
        <v>9.3</v>
      </c>
      <c r="Z223" s="177">
        <v>8.98</v>
      </c>
      <c r="AA223" s="177">
        <v>17.6</v>
      </c>
      <c r="AB223" s="177">
        <v>143.4</v>
      </c>
      <c r="AC223" s="177">
        <v>94.0</v>
      </c>
      <c r="AD223" s="183"/>
      <c r="AE223" s="177">
        <v>241.0</v>
      </c>
      <c r="AF223" s="183"/>
      <c r="AG223" s="183"/>
      <c r="AH223" s="183"/>
      <c r="AI223" s="177">
        <v>3.0</v>
      </c>
      <c r="AJ223" s="177">
        <v>2.0</v>
      </c>
      <c r="AK223" s="181" t="s">
        <v>433</v>
      </c>
      <c r="AL223" s="33"/>
      <c r="AM223" s="33"/>
      <c r="AN223" s="33"/>
      <c r="AO223" s="33"/>
      <c r="AP223" s="33"/>
      <c r="AQ223" s="33"/>
      <c r="AR223" s="33"/>
      <c r="AS223" s="33"/>
    </row>
    <row r="224" collapsed="1">
      <c r="A224" s="184" t="s">
        <v>61</v>
      </c>
      <c r="B224" s="176" t="s">
        <v>348</v>
      </c>
      <c r="C224" s="177" t="str">
        <f t="array" ref="C224">xlookup(B224,DATA_LEAGUE_AVG!A:A,DATA_LEAGUE_AVG!H:H)</f>
        <v>#N/A</v>
      </c>
      <c r="D224" s="177" t="str">
        <f t="shared" si="1"/>
        <v>#N/A</v>
      </c>
      <c r="E224" s="176" t="s">
        <v>351</v>
      </c>
      <c r="F224" s="176" t="s">
        <v>352</v>
      </c>
      <c r="G224" s="176" t="s">
        <v>353</v>
      </c>
      <c r="H224" s="176" t="s">
        <v>354</v>
      </c>
      <c r="I224" s="185" t="s">
        <v>355</v>
      </c>
      <c r="J224" s="185" t="s">
        <v>356</v>
      </c>
      <c r="K224" s="185" t="s">
        <v>272</v>
      </c>
      <c r="L224" s="185" t="s">
        <v>357</v>
      </c>
      <c r="M224" s="176" t="s">
        <v>358</v>
      </c>
      <c r="N224" s="176" t="s">
        <v>359</v>
      </c>
      <c r="O224" s="176" t="s">
        <v>360</v>
      </c>
      <c r="P224" s="176" t="s">
        <v>330</v>
      </c>
      <c r="Q224" s="176" t="s">
        <v>331</v>
      </c>
      <c r="R224" s="176" t="s">
        <v>332</v>
      </c>
      <c r="S224" s="176" t="s">
        <v>326</v>
      </c>
      <c r="T224" s="176" t="s">
        <v>327</v>
      </c>
      <c r="U224" s="176" t="s">
        <v>335</v>
      </c>
      <c r="V224" s="176" t="s">
        <v>336</v>
      </c>
      <c r="W224" s="176" t="s">
        <v>337</v>
      </c>
      <c r="X224" s="176" t="s">
        <v>361</v>
      </c>
      <c r="Y224" s="176" t="s">
        <v>362</v>
      </c>
      <c r="Z224" s="176" t="s">
        <v>363</v>
      </c>
      <c r="AA224" s="176" t="s">
        <v>338</v>
      </c>
      <c r="AB224" s="176" t="s">
        <v>339</v>
      </c>
      <c r="AC224" s="176" t="s">
        <v>340</v>
      </c>
      <c r="AD224" s="176" t="s">
        <v>341</v>
      </c>
      <c r="AE224" s="176" t="s">
        <v>342</v>
      </c>
      <c r="AF224" s="176" t="s">
        <v>404</v>
      </c>
      <c r="AG224" s="176" t="s">
        <v>343</v>
      </c>
      <c r="AH224" s="176" t="s">
        <v>326</v>
      </c>
      <c r="AI224" s="176" t="s">
        <v>345</v>
      </c>
      <c r="AJ224" s="176" t="s">
        <v>346</v>
      </c>
      <c r="AK224" s="176" t="s">
        <v>347</v>
      </c>
      <c r="AL224" s="176" t="s">
        <v>364</v>
      </c>
      <c r="AM224" s="176" t="s">
        <v>365</v>
      </c>
      <c r="AN224" s="176" t="s">
        <v>366</v>
      </c>
      <c r="AO224" s="176" t="s">
        <v>367</v>
      </c>
      <c r="AP224" s="33"/>
      <c r="AQ224" s="33"/>
      <c r="AR224" s="33"/>
      <c r="AS224" s="33"/>
    </row>
    <row r="225" hidden="1" outlineLevel="1">
      <c r="A225" s="184" t="s">
        <v>61</v>
      </c>
      <c r="B225" s="176">
        <v>1992.0</v>
      </c>
      <c r="C225" s="180">
        <f t="array" ref="C225">xlookup(B225,DATA_LEAGUE_AVG!A:A,DATA_LEAGUE_AVG!H:H)</f>
        <v>478.9</v>
      </c>
      <c r="D225" s="177" t="b">
        <f t="shared" si="1"/>
        <v>1</v>
      </c>
      <c r="E225" s="177">
        <v>23.0</v>
      </c>
      <c r="F225" s="181" t="s">
        <v>163</v>
      </c>
      <c r="G225" s="181" t="s">
        <v>369</v>
      </c>
      <c r="H225" s="181" t="s">
        <v>90</v>
      </c>
      <c r="I225" s="180">
        <f t="array" ref="I225">xlookup(B225,DATA_LEAGUE_AVG!A:A,DATA_LEAGUE_AVG!C:C)</f>
        <v>3002.3</v>
      </c>
      <c r="J225" s="180">
        <f t="array" ref="J225">xlookup(B225,DATA_LEAGUE_AVG!A:A,DATA_LEAGUE_AVG!D:D)</f>
        <v>18.4</v>
      </c>
      <c r="K225" s="177">
        <f t="shared" ref="K225:L225" si="209">S225/I225</f>
        <v>1.074842621</v>
      </c>
      <c r="L225" s="177">
        <f t="shared" si="209"/>
        <v>0.9782608696</v>
      </c>
      <c r="M225" s="177">
        <v>15.0</v>
      </c>
      <c r="N225" s="177">
        <v>13.0</v>
      </c>
      <c r="O225" s="182">
        <v>36743.0</v>
      </c>
      <c r="P225" s="177">
        <v>302.0</v>
      </c>
      <c r="Q225" s="177">
        <v>471.0</v>
      </c>
      <c r="R225" s="177">
        <v>64.1</v>
      </c>
      <c r="S225" s="177">
        <v>3227.0</v>
      </c>
      <c r="T225" s="177">
        <v>18.0</v>
      </c>
      <c r="U225" s="177">
        <v>3.8</v>
      </c>
      <c r="V225" s="177">
        <v>13.0</v>
      </c>
      <c r="W225" s="177">
        <v>2.8</v>
      </c>
      <c r="X225" s="177">
        <v>157.0</v>
      </c>
      <c r="Y225" s="177">
        <v>47.1</v>
      </c>
      <c r="Z225" s="177">
        <v>76.0</v>
      </c>
      <c r="AA225" s="177">
        <v>6.9</v>
      </c>
      <c r="AB225" s="177">
        <v>6.37</v>
      </c>
      <c r="AC225" s="177">
        <v>10.7</v>
      </c>
      <c r="AD225" s="177">
        <v>215.1</v>
      </c>
      <c r="AE225" s="177">
        <v>85.3</v>
      </c>
      <c r="AF225" s="183"/>
      <c r="AG225" s="177">
        <v>34.0</v>
      </c>
      <c r="AH225" s="177">
        <v>208.0</v>
      </c>
      <c r="AI225" s="177">
        <v>6.73</v>
      </c>
      <c r="AJ225" s="177">
        <v>5.98</v>
      </c>
      <c r="AK225" s="177">
        <v>5.53</v>
      </c>
      <c r="AL225" s="177">
        <v>3.0</v>
      </c>
      <c r="AM225" s="177">
        <v>3.0</v>
      </c>
      <c r="AN225" s="177">
        <v>13.0</v>
      </c>
      <c r="AO225" s="181" t="s">
        <v>380</v>
      </c>
      <c r="AP225" s="33"/>
      <c r="AQ225" s="33"/>
      <c r="AR225" s="33"/>
      <c r="AS225" s="33"/>
    </row>
    <row r="226" hidden="1" outlineLevel="1">
      <c r="A226" s="184" t="s">
        <v>61</v>
      </c>
      <c r="B226" s="176">
        <v>1993.0</v>
      </c>
      <c r="C226" s="180">
        <f t="array" ref="C226">xlookup(B226,DATA_LEAGUE_AVG!A:A,DATA_LEAGUE_AVG!H:H)</f>
        <v>514.8</v>
      </c>
      <c r="D226" s="177" t="b">
        <f t="shared" si="1"/>
        <v>1</v>
      </c>
      <c r="E226" s="177">
        <v>24.0</v>
      </c>
      <c r="F226" s="181" t="s">
        <v>163</v>
      </c>
      <c r="G226" s="181" t="s">
        <v>369</v>
      </c>
      <c r="H226" s="181" t="s">
        <v>90</v>
      </c>
      <c r="I226" s="180">
        <f t="array" ref="I226">xlookup(B226,DATA_LEAGUE_AVG!A:A,DATA_LEAGUE_AVG!C:C)</f>
        <v>3209.8</v>
      </c>
      <c r="J226" s="180">
        <f t="array" ref="J226">xlookup(B226,DATA_LEAGUE_AVG!A:A,DATA_LEAGUE_AVG!D:D)</f>
        <v>18.5</v>
      </c>
      <c r="K226" s="177">
        <f t="shared" ref="K226:L226" si="210">S226/I226</f>
        <v>1.029036077</v>
      </c>
      <c r="L226" s="177">
        <f t="shared" si="210"/>
        <v>1.027027027</v>
      </c>
      <c r="M226" s="177">
        <v>16.0</v>
      </c>
      <c r="N226" s="177">
        <v>16.0</v>
      </c>
      <c r="O226" s="182">
        <v>36776.0</v>
      </c>
      <c r="P226" s="177">
        <v>318.0</v>
      </c>
      <c r="Q226" s="177">
        <v>522.0</v>
      </c>
      <c r="R226" s="177">
        <v>60.9</v>
      </c>
      <c r="S226" s="177">
        <v>3303.0</v>
      </c>
      <c r="T226" s="177">
        <v>19.0</v>
      </c>
      <c r="U226" s="177">
        <v>3.6</v>
      </c>
      <c r="V226" s="177">
        <v>24.0</v>
      </c>
      <c r="W226" s="177">
        <v>4.6</v>
      </c>
      <c r="X226" s="177">
        <v>165.0</v>
      </c>
      <c r="Y226" s="177">
        <v>43.8</v>
      </c>
      <c r="Z226" s="177">
        <v>66.0</v>
      </c>
      <c r="AA226" s="177">
        <v>6.3</v>
      </c>
      <c r="AB226" s="177">
        <v>4.99</v>
      </c>
      <c r="AC226" s="177">
        <v>10.4</v>
      </c>
      <c r="AD226" s="177">
        <v>206.4</v>
      </c>
      <c r="AE226" s="177">
        <v>72.2</v>
      </c>
      <c r="AF226" s="183"/>
      <c r="AG226" s="177">
        <v>30.0</v>
      </c>
      <c r="AH226" s="177">
        <v>199.0</v>
      </c>
      <c r="AI226" s="177">
        <v>5.43</v>
      </c>
      <c r="AJ226" s="177">
        <v>5.62</v>
      </c>
      <c r="AK226" s="177">
        <v>4.36</v>
      </c>
      <c r="AL226" s="177">
        <v>3.0</v>
      </c>
      <c r="AM226" s="177">
        <v>3.0</v>
      </c>
      <c r="AN226" s="177">
        <v>13.0</v>
      </c>
      <c r="AO226" s="181" t="s">
        <v>380</v>
      </c>
      <c r="AP226" s="33"/>
      <c r="AQ226" s="33"/>
      <c r="AR226" s="33"/>
      <c r="AS226" s="33"/>
    </row>
    <row r="227" hidden="1" outlineLevel="1">
      <c r="A227" s="184" t="s">
        <v>61</v>
      </c>
      <c r="B227" s="176">
        <v>1994.0</v>
      </c>
      <c r="C227" s="180">
        <f t="array" ref="C227">xlookup(B227,DATA_LEAGUE_AVG!A:A,DATA_LEAGUE_AVG!H:H)</f>
        <v>537.7</v>
      </c>
      <c r="D227" s="177" t="b">
        <f t="shared" si="1"/>
        <v>1</v>
      </c>
      <c r="E227" s="177">
        <v>25.0</v>
      </c>
      <c r="F227" s="181" t="s">
        <v>163</v>
      </c>
      <c r="G227" s="181" t="s">
        <v>369</v>
      </c>
      <c r="H227" s="181" t="s">
        <v>90</v>
      </c>
      <c r="I227" s="180">
        <f t="array" ref="I227">xlookup(B227,DATA_LEAGUE_AVG!A:A,DATA_LEAGUE_AVG!C:C)</f>
        <v>3417.6</v>
      </c>
      <c r="J227" s="180">
        <f t="array" ref="J227">xlookup(B227,DATA_LEAGUE_AVG!A:A,DATA_LEAGUE_AVG!D:D)</f>
        <v>20.8</v>
      </c>
      <c r="K227" s="177">
        <f t="shared" ref="K227:L227" si="211">S227/I227</f>
        <v>1.135884831</v>
      </c>
      <c r="L227" s="177">
        <f t="shared" si="211"/>
        <v>1.586538462</v>
      </c>
      <c r="M227" s="177">
        <v>16.0</v>
      </c>
      <c r="N227" s="177">
        <v>16.0</v>
      </c>
      <c r="O227" s="182">
        <v>36776.0</v>
      </c>
      <c r="P227" s="177">
        <v>363.0</v>
      </c>
      <c r="Q227" s="177">
        <v>582.0</v>
      </c>
      <c r="R227" s="177">
        <v>62.4</v>
      </c>
      <c r="S227" s="177">
        <v>3882.0</v>
      </c>
      <c r="T227" s="177">
        <v>33.0</v>
      </c>
      <c r="U227" s="177">
        <v>5.7</v>
      </c>
      <c r="V227" s="177">
        <v>14.0</v>
      </c>
      <c r="W227" s="177">
        <v>2.4</v>
      </c>
      <c r="X227" s="177">
        <v>200.0</v>
      </c>
      <c r="Y227" s="177">
        <v>46.2</v>
      </c>
      <c r="Z227" s="177">
        <v>49.0</v>
      </c>
      <c r="AA227" s="177">
        <v>6.7</v>
      </c>
      <c r="AB227" s="177">
        <v>6.72</v>
      </c>
      <c r="AC227" s="177">
        <v>10.7</v>
      </c>
      <c r="AD227" s="177">
        <v>242.6</v>
      </c>
      <c r="AE227" s="177">
        <v>90.7</v>
      </c>
      <c r="AF227" s="183"/>
      <c r="AG227" s="177">
        <v>31.0</v>
      </c>
      <c r="AH227" s="177">
        <v>188.0</v>
      </c>
      <c r="AI227" s="177">
        <v>5.06</v>
      </c>
      <c r="AJ227" s="177">
        <v>6.03</v>
      </c>
      <c r="AK227" s="177">
        <v>6.08</v>
      </c>
      <c r="AL227" s="177">
        <v>1.0</v>
      </c>
      <c r="AM227" s="177">
        <v>2.0</v>
      </c>
      <c r="AN227" s="177">
        <v>16.0</v>
      </c>
      <c r="AO227" s="183"/>
      <c r="AP227" s="33"/>
      <c r="AQ227" s="33"/>
      <c r="AR227" s="33"/>
      <c r="AS227" s="33"/>
    </row>
    <row r="228" hidden="1" outlineLevel="1">
      <c r="A228" s="184" t="s">
        <v>61</v>
      </c>
      <c r="B228" s="176">
        <v>1995.0</v>
      </c>
      <c r="C228" s="180">
        <f t="array" ref="C228">xlookup(B228,DATA_LEAGUE_AVG!A:A,DATA_LEAGUE_AVG!H:H)</f>
        <v>556.6</v>
      </c>
      <c r="D228" s="177" t="b">
        <f t="shared" si="1"/>
        <v>1</v>
      </c>
      <c r="E228" s="177">
        <v>26.0</v>
      </c>
      <c r="F228" s="181" t="s">
        <v>163</v>
      </c>
      <c r="G228" s="181" t="s">
        <v>369</v>
      </c>
      <c r="H228" s="181" t="s">
        <v>90</v>
      </c>
      <c r="I228" s="180">
        <f t="array" ref="I228">xlookup(B228,DATA_LEAGUE_AVG!A:A,DATA_LEAGUE_AVG!C:C)</f>
        <v>3532.5</v>
      </c>
      <c r="J228" s="180">
        <f t="array" ref="J228">xlookup(B228,DATA_LEAGUE_AVG!A:A,DATA_LEAGUE_AVG!D:D)</f>
        <v>22.1</v>
      </c>
      <c r="K228" s="177">
        <f t="shared" ref="K228:L228" si="212">S228/I228</f>
        <v>1.2492569</v>
      </c>
      <c r="L228" s="177">
        <f t="shared" si="212"/>
        <v>1.719457014</v>
      </c>
      <c r="M228" s="177">
        <v>16.0</v>
      </c>
      <c r="N228" s="177">
        <v>16.0</v>
      </c>
      <c r="O228" s="182">
        <v>36835.0</v>
      </c>
      <c r="P228" s="177">
        <v>359.0</v>
      </c>
      <c r="Q228" s="177">
        <v>570.0</v>
      </c>
      <c r="R228" s="177">
        <v>63.0</v>
      </c>
      <c r="S228" s="177">
        <v>4413.0</v>
      </c>
      <c r="T228" s="177">
        <v>38.0</v>
      </c>
      <c r="U228" s="177">
        <v>6.7</v>
      </c>
      <c r="V228" s="177">
        <v>13.0</v>
      </c>
      <c r="W228" s="177">
        <v>2.3</v>
      </c>
      <c r="X228" s="177">
        <v>226.0</v>
      </c>
      <c r="Y228" s="177">
        <v>50.4</v>
      </c>
      <c r="Z228" s="177">
        <v>99.0</v>
      </c>
      <c r="AA228" s="177">
        <v>7.7</v>
      </c>
      <c r="AB228" s="177">
        <v>8.05</v>
      </c>
      <c r="AC228" s="177">
        <v>12.3</v>
      </c>
      <c r="AD228" s="177">
        <v>275.8</v>
      </c>
      <c r="AE228" s="177">
        <v>99.5</v>
      </c>
      <c r="AF228" s="183"/>
      <c r="AG228" s="177">
        <v>33.0</v>
      </c>
      <c r="AH228" s="177">
        <v>217.0</v>
      </c>
      <c r="AI228" s="177">
        <v>5.47</v>
      </c>
      <c r="AJ228" s="177">
        <v>6.96</v>
      </c>
      <c r="AK228" s="177">
        <v>7.25</v>
      </c>
      <c r="AL228" s="177">
        <v>0.0</v>
      </c>
      <c r="AM228" s="177">
        <v>1.0</v>
      </c>
      <c r="AN228" s="177">
        <v>18.0</v>
      </c>
      <c r="AO228" s="181" t="s">
        <v>383</v>
      </c>
      <c r="AP228" s="33"/>
      <c r="AQ228" s="33"/>
      <c r="AR228" s="33"/>
      <c r="AS228" s="33"/>
    </row>
    <row r="229" hidden="1" outlineLevel="1">
      <c r="A229" s="184" t="s">
        <v>61</v>
      </c>
      <c r="B229" s="176">
        <v>1996.0</v>
      </c>
      <c r="C229" s="180">
        <f t="array" ref="C229">xlookup(B229,DATA_LEAGUE_AVG!A:A,DATA_LEAGUE_AVG!H:H)</f>
        <v>532.2</v>
      </c>
      <c r="D229" s="177" t="b">
        <f t="shared" si="1"/>
        <v>1</v>
      </c>
      <c r="E229" s="177">
        <v>27.0</v>
      </c>
      <c r="F229" s="181" t="s">
        <v>163</v>
      </c>
      <c r="G229" s="181" t="s">
        <v>369</v>
      </c>
      <c r="H229" s="181" t="s">
        <v>90</v>
      </c>
      <c r="I229" s="180">
        <f t="array" ref="I229">xlookup(B229,DATA_LEAGUE_AVG!A:A,DATA_LEAGUE_AVG!C:C)</f>
        <v>3318.9</v>
      </c>
      <c r="J229" s="180">
        <f t="array" ref="J229">xlookup(B229,DATA_LEAGUE_AVG!A:A,DATA_LEAGUE_AVG!D:D)</f>
        <v>20.9</v>
      </c>
      <c r="K229" s="177">
        <f t="shared" ref="K229:L229" si="213">S229/I229</f>
        <v>1.174786827</v>
      </c>
      <c r="L229" s="177">
        <f t="shared" si="213"/>
        <v>1.866028708</v>
      </c>
      <c r="M229" s="177">
        <v>16.0</v>
      </c>
      <c r="N229" s="177">
        <v>16.0</v>
      </c>
      <c r="O229" s="181" t="s">
        <v>372</v>
      </c>
      <c r="P229" s="177">
        <v>325.0</v>
      </c>
      <c r="Q229" s="177">
        <v>543.0</v>
      </c>
      <c r="R229" s="177">
        <v>59.9</v>
      </c>
      <c r="S229" s="177">
        <v>3899.0</v>
      </c>
      <c r="T229" s="177">
        <v>39.0</v>
      </c>
      <c r="U229" s="177">
        <v>7.2</v>
      </c>
      <c r="V229" s="177">
        <v>13.0</v>
      </c>
      <c r="W229" s="177">
        <v>2.4</v>
      </c>
      <c r="X229" s="177">
        <v>194.0</v>
      </c>
      <c r="Y229" s="177">
        <v>45.6</v>
      </c>
      <c r="Z229" s="177">
        <v>80.0</v>
      </c>
      <c r="AA229" s="177">
        <v>7.2</v>
      </c>
      <c r="AB229" s="177">
        <v>7.54</v>
      </c>
      <c r="AC229" s="177">
        <v>12.0</v>
      </c>
      <c r="AD229" s="177">
        <v>243.7</v>
      </c>
      <c r="AE229" s="177">
        <v>95.8</v>
      </c>
      <c r="AF229" s="183"/>
      <c r="AG229" s="177">
        <v>40.0</v>
      </c>
      <c r="AH229" s="177">
        <v>241.0</v>
      </c>
      <c r="AI229" s="177">
        <v>6.86</v>
      </c>
      <c r="AJ229" s="177">
        <v>6.27</v>
      </c>
      <c r="AK229" s="177">
        <v>6.61</v>
      </c>
      <c r="AL229" s="177">
        <v>1.0</v>
      </c>
      <c r="AM229" s="177">
        <v>1.0</v>
      </c>
      <c r="AN229" s="177">
        <v>18.0</v>
      </c>
      <c r="AO229" s="181" t="s">
        <v>390</v>
      </c>
      <c r="AP229" s="33"/>
      <c r="AQ229" s="33"/>
      <c r="AR229" s="33"/>
      <c r="AS229" s="33"/>
    </row>
    <row r="230" hidden="1" outlineLevel="1">
      <c r="A230" s="184" t="s">
        <v>61</v>
      </c>
      <c r="B230" s="176">
        <v>1997.0</v>
      </c>
      <c r="C230" s="180">
        <f t="array" ref="C230">xlookup(B230,DATA_LEAGUE_AVG!A:A,DATA_LEAGUE_AVG!H:H)</f>
        <v>524.3</v>
      </c>
      <c r="D230" s="177" t="b">
        <f t="shared" si="1"/>
        <v>1</v>
      </c>
      <c r="E230" s="177">
        <v>28.0</v>
      </c>
      <c r="F230" s="181" t="s">
        <v>163</v>
      </c>
      <c r="G230" s="181" t="s">
        <v>369</v>
      </c>
      <c r="H230" s="181" t="s">
        <v>90</v>
      </c>
      <c r="I230" s="180">
        <f t="array" ref="I230">xlookup(B230,DATA_LEAGUE_AVG!A:A,DATA_LEAGUE_AVG!C:C)</f>
        <v>3229.2</v>
      </c>
      <c r="J230" s="180">
        <f t="array" ref="J230">xlookup(B230,DATA_LEAGUE_AVG!A:A,DATA_LEAGUE_AVG!D:D)</f>
        <v>20.6</v>
      </c>
      <c r="K230" s="177">
        <f t="shared" ref="K230:L230" si="214">S230/I230</f>
        <v>1.197510219</v>
      </c>
      <c r="L230" s="177">
        <f t="shared" si="214"/>
        <v>1.699029126</v>
      </c>
      <c r="M230" s="177">
        <v>16.0</v>
      </c>
      <c r="N230" s="177">
        <v>16.0</v>
      </c>
      <c r="O230" s="181" t="s">
        <v>372</v>
      </c>
      <c r="P230" s="177">
        <v>304.0</v>
      </c>
      <c r="Q230" s="177">
        <v>513.0</v>
      </c>
      <c r="R230" s="177">
        <v>59.3</v>
      </c>
      <c r="S230" s="177">
        <v>3867.0</v>
      </c>
      <c r="T230" s="177">
        <v>35.0</v>
      </c>
      <c r="U230" s="177">
        <v>6.8</v>
      </c>
      <c r="V230" s="177">
        <v>16.0</v>
      </c>
      <c r="W230" s="177">
        <v>3.1</v>
      </c>
      <c r="X230" s="177">
        <v>190.0</v>
      </c>
      <c r="Y230" s="177">
        <v>47.8</v>
      </c>
      <c r="Z230" s="177">
        <v>74.0</v>
      </c>
      <c r="AA230" s="177">
        <v>7.5</v>
      </c>
      <c r="AB230" s="177">
        <v>7.5</v>
      </c>
      <c r="AC230" s="177">
        <v>12.7</v>
      </c>
      <c r="AD230" s="177">
        <v>241.7</v>
      </c>
      <c r="AE230" s="177">
        <v>92.6</v>
      </c>
      <c r="AF230" s="183"/>
      <c r="AG230" s="177">
        <v>25.0</v>
      </c>
      <c r="AH230" s="177">
        <v>176.0</v>
      </c>
      <c r="AI230" s="177">
        <v>4.65</v>
      </c>
      <c r="AJ230" s="177">
        <v>6.86</v>
      </c>
      <c r="AK230" s="177">
        <v>6.82</v>
      </c>
      <c r="AL230" s="177">
        <v>0.0</v>
      </c>
      <c r="AM230" s="177">
        <v>0.0</v>
      </c>
      <c r="AN230" s="177">
        <v>17.0</v>
      </c>
      <c r="AO230" s="181" t="s">
        <v>384</v>
      </c>
      <c r="AP230" s="33"/>
      <c r="AQ230" s="33"/>
      <c r="AR230" s="33"/>
      <c r="AS230" s="33"/>
    </row>
    <row r="231" hidden="1" outlineLevel="1">
      <c r="A231" s="184" t="s">
        <v>61</v>
      </c>
      <c r="B231" s="176">
        <v>1998.0</v>
      </c>
      <c r="C231" s="180">
        <f t="array" ref="C231">xlookup(B231,DATA_LEAGUE_AVG!A:A,DATA_LEAGUE_AVG!H:H)</f>
        <v>516.3</v>
      </c>
      <c r="D231" s="177" t="b">
        <f t="shared" si="1"/>
        <v>1</v>
      </c>
      <c r="E231" s="177">
        <v>29.0</v>
      </c>
      <c r="F231" s="181" t="s">
        <v>163</v>
      </c>
      <c r="G231" s="181" t="s">
        <v>369</v>
      </c>
      <c r="H231" s="181" t="s">
        <v>90</v>
      </c>
      <c r="I231" s="180">
        <f t="array" ref="I231">xlookup(B231,DATA_LEAGUE_AVG!A:A,DATA_LEAGUE_AVG!C:C)</f>
        <v>3279.5</v>
      </c>
      <c r="J231" s="180">
        <f t="array" ref="J231">xlookup(B231,DATA_LEAGUE_AVG!A:A,DATA_LEAGUE_AVG!D:D)</f>
        <v>21.9</v>
      </c>
      <c r="K231" s="177">
        <f t="shared" ref="K231:L231" si="215">S231/I231</f>
        <v>1.284342125</v>
      </c>
      <c r="L231" s="177">
        <f t="shared" si="215"/>
        <v>1.415525114</v>
      </c>
      <c r="M231" s="177">
        <v>16.0</v>
      </c>
      <c r="N231" s="177">
        <v>16.0</v>
      </c>
      <c r="O231" s="182">
        <v>36835.0</v>
      </c>
      <c r="P231" s="177">
        <v>347.0</v>
      </c>
      <c r="Q231" s="177">
        <v>551.0</v>
      </c>
      <c r="R231" s="177">
        <v>63.0</v>
      </c>
      <c r="S231" s="177">
        <v>4212.0</v>
      </c>
      <c r="T231" s="177">
        <v>31.0</v>
      </c>
      <c r="U231" s="177">
        <v>5.6</v>
      </c>
      <c r="V231" s="177">
        <v>23.0</v>
      </c>
      <c r="W231" s="177">
        <v>4.2</v>
      </c>
      <c r="X231" s="177">
        <v>203.0</v>
      </c>
      <c r="Y231" s="177">
        <v>48.2</v>
      </c>
      <c r="Z231" s="177">
        <v>84.0</v>
      </c>
      <c r="AA231" s="177">
        <v>7.6</v>
      </c>
      <c r="AB231" s="177">
        <v>6.89</v>
      </c>
      <c r="AC231" s="177">
        <v>12.1</v>
      </c>
      <c r="AD231" s="177">
        <v>263.3</v>
      </c>
      <c r="AE231" s="177">
        <v>87.8</v>
      </c>
      <c r="AF231" s="183"/>
      <c r="AG231" s="177">
        <v>38.0</v>
      </c>
      <c r="AH231" s="177">
        <v>223.0</v>
      </c>
      <c r="AI231" s="177">
        <v>6.45</v>
      </c>
      <c r="AJ231" s="177">
        <v>6.77</v>
      </c>
      <c r="AK231" s="177">
        <v>6.07</v>
      </c>
      <c r="AL231" s="177">
        <v>1.0</v>
      </c>
      <c r="AM231" s="177">
        <v>2.0</v>
      </c>
      <c r="AN231" s="177">
        <v>16.0</v>
      </c>
      <c r="AO231" s="183"/>
      <c r="AP231" s="33"/>
      <c r="AQ231" s="33"/>
      <c r="AR231" s="33"/>
      <c r="AS231" s="33"/>
    </row>
    <row r="232" hidden="1" outlineLevel="1">
      <c r="A232" s="184" t="s">
        <v>61</v>
      </c>
      <c r="B232" s="176">
        <v>1999.0</v>
      </c>
      <c r="C232" s="180">
        <f t="array" ref="C232">xlookup(B232,DATA_LEAGUE_AVG!A:A,DATA_LEAGUE_AVG!H:H)</f>
        <v>540.6</v>
      </c>
      <c r="D232" s="177" t="b">
        <f t="shared" si="1"/>
        <v>1</v>
      </c>
      <c r="E232" s="177">
        <v>30.0</v>
      </c>
      <c r="F232" s="181" t="s">
        <v>163</v>
      </c>
      <c r="G232" s="181" t="s">
        <v>369</v>
      </c>
      <c r="H232" s="181" t="s">
        <v>90</v>
      </c>
      <c r="I232" s="180">
        <f t="array" ref="I232">xlookup(B232,DATA_LEAGUE_AVG!A:A,DATA_LEAGUE_AVG!C:C)</f>
        <v>3396.4</v>
      </c>
      <c r="J232" s="180">
        <f t="array" ref="J232">xlookup(B232,DATA_LEAGUE_AVG!A:A,DATA_LEAGUE_AVG!D:D)</f>
        <v>21.5</v>
      </c>
      <c r="K232" s="177">
        <f t="shared" ref="K232:L232" si="216">S232/I232</f>
        <v>1.204510658</v>
      </c>
      <c r="L232" s="177">
        <f t="shared" si="216"/>
        <v>1.023255814</v>
      </c>
      <c r="M232" s="177">
        <v>16.0</v>
      </c>
      <c r="N232" s="177">
        <v>16.0</v>
      </c>
      <c r="O232" s="182">
        <v>36746.0</v>
      </c>
      <c r="P232" s="177">
        <v>341.0</v>
      </c>
      <c r="Q232" s="177">
        <v>595.0</v>
      </c>
      <c r="R232" s="177">
        <v>57.3</v>
      </c>
      <c r="S232" s="177">
        <v>4091.0</v>
      </c>
      <c r="T232" s="177">
        <v>22.0</v>
      </c>
      <c r="U232" s="177">
        <v>3.7</v>
      </c>
      <c r="V232" s="177">
        <v>23.0</v>
      </c>
      <c r="W232" s="177">
        <v>3.9</v>
      </c>
      <c r="X232" s="177">
        <v>196.0</v>
      </c>
      <c r="Y232" s="177">
        <v>41.9</v>
      </c>
      <c r="Z232" s="177">
        <v>74.0</v>
      </c>
      <c r="AA232" s="177">
        <v>6.9</v>
      </c>
      <c r="AB232" s="177">
        <v>5.88</v>
      </c>
      <c r="AC232" s="177">
        <v>12.0</v>
      </c>
      <c r="AD232" s="177">
        <v>255.7</v>
      </c>
      <c r="AE232" s="177">
        <v>74.7</v>
      </c>
      <c r="AF232" s="183"/>
      <c r="AG232" s="177">
        <v>35.0</v>
      </c>
      <c r="AH232" s="177">
        <v>223.0</v>
      </c>
      <c r="AI232" s="177">
        <v>5.56</v>
      </c>
      <c r="AJ232" s="177">
        <v>6.14</v>
      </c>
      <c r="AK232" s="177">
        <v>5.2</v>
      </c>
      <c r="AL232" s="177">
        <v>3.0</v>
      </c>
      <c r="AM232" s="177">
        <v>3.0</v>
      </c>
      <c r="AN232" s="177">
        <v>13.0</v>
      </c>
      <c r="AO232" s="183"/>
      <c r="AP232" s="33"/>
      <c r="AQ232" s="33"/>
      <c r="AR232" s="33"/>
      <c r="AS232" s="33"/>
    </row>
    <row r="233" hidden="1" outlineLevel="1">
      <c r="A233" s="184" t="s">
        <v>61</v>
      </c>
      <c r="B233" s="176">
        <v>2000.0</v>
      </c>
      <c r="C233" s="180">
        <f t="array" ref="C233">xlookup(B233,DATA_LEAGUE_AVG!A:A,DATA_LEAGUE_AVG!H:H)</f>
        <v>526.5</v>
      </c>
      <c r="D233" s="177" t="b">
        <f t="shared" si="1"/>
        <v>1</v>
      </c>
      <c r="E233" s="177">
        <v>31.0</v>
      </c>
      <c r="F233" s="181" t="s">
        <v>163</v>
      </c>
      <c r="G233" s="181" t="s">
        <v>369</v>
      </c>
      <c r="H233" s="181" t="s">
        <v>90</v>
      </c>
      <c r="I233" s="180">
        <f t="array" ref="I233">xlookup(B233,DATA_LEAGUE_AVG!A:A,DATA_LEAGUE_AVG!C:C)</f>
        <v>3309.9</v>
      </c>
      <c r="J233" s="180">
        <f t="array" ref="J233">xlookup(B233,DATA_LEAGUE_AVG!A:A,DATA_LEAGUE_AVG!D:D)</f>
        <v>20.5</v>
      </c>
      <c r="K233" s="177">
        <f t="shared" ref="K233:L233" si="217">S233/I233</f>
        <v>1.151696426</v>
      </c>
      <c r="L233" s="177">
        <f t="shared" si="217"/>
        <v>0.9756097561</v>
      </c>
      <c r="M233" s="177">
        <v>16.0</v>
      </c>
      <c r="N233" s="177">
        <v>16.0</v>
      </c>
      <c r="O233" s="182">
        <v>36776.0</v>
      </c>
      <c r="P233" s="177">
        <v>338.0</v>
      </c>
      <c r="Q233" s="177">
        <v>580.0</v>
      </c>
      <c r="R233" s="177">
        <v>58.3</v>
      </c>
      <c r="S233" s="177">
        <v>3812.0</v>
      </c>
      <c r="T233" s="177">
        <v>20.0</v>
      </c>
      <c r="U233" s="177">
        <v>3.4</v>
      </c>
      <c r="V233" s="177">
        <v>16.0</v>
      </c>
      <c r="W233" s="177">
        <v>2.8</v>
      </c>
      <c r="X233" s="177">
        <v>194.0</v>
      </c>
      <c r="Y233" s="177">
        <v>44.4</v>
      </c>
      <c r="Z233" s="177">
        <v>67.0</v>
      </c>
      <c r="AA233" s="177">
        <v>6.6</v>
      </c>
      <c r="AB233" s="177">
        <v>6.02</v>
      </c>
      <c r="AC233" s="177">
        <v>11.3</v>
      </c>
      <c r="AD233" s="177">
        <v>238.3</v>
      </c>
      <c r="AE233" s="177">
        <v>78.0</v>
      </c>
      <c r="AF233" s="183"/>
      <c r="AG233" s="177">
        <v>33.0</v>
      </c>
      <c r="AH233" s="177">
        <v>236.0</v>
      </c>
      <c r="AI233" s="177">
        <v>5.38</v>
      </c>
      <c r="AJ233" s="177">
        <v>5.83</v>
      </c>
      <c r="AK233" s="177">
        <v>5.31</v>
      </c>
      <c r="AL233" s="177">
        <v>0.0</v>
      </c>
      <c r="AM233" s="177">
        <v>4.0</v>
      </c>
      <c r="AN233" s="177">
        <v>13.0</v>
      </c>
      <c r="AO233" s="183"/>
      <c r="AP233" s="33"/>
      <c r="AQ233" s="33"/>
      <c r="AR233" s="33"/>
      <c r="AS233" s="33"/>
    </row>
    <row r="234" hidden="1" outlineLevel="1">
      <c r="A234" s="184" t="s">
        <v>61</v>
      </c>
      <c r="B234" s="176">
        <v>2001.0</v>
      </c>
      <c r="C234" s="180">
        <f t="array" ref="C234">xlookup(B234,DATA_LEAGUE_AVG!A:A,DATA_LEAGUE_AVG!H:H)</f>
        <v>522</v>
      </c>
      <c r="D234" s="177" t="b">
        <f t="shared" si="1"/>
        <v>1</v>
      </c>
      <c r="E234" s="177">
        <v>32.0</v>
      </c>
      <c r="F234" s="181" t="s">
        <v>163</v>
      </c>
      <c r="G234" s="181" t="s">
        <v>369</v>
      </c>
      <c r="H234" s="181" t="s">
        <v>90</v>
      </c>
      <c r="I234" s="180">
        <f t="array" ref="I234">xlookup(B234,DATA_LEAGUE_AVG!A:A,DATA_LEAGUE_AVG!C:C)</f>
        <v>3292.9</v>
      </c>
      <c r="J234" s="180">
        <f t="array" ref="J234">xlookup(B234,DATA_LEAGUE_AVG!A:A,DATA_LEAGUE_AVG!D:D)</f>
        <v>20.5</v>
      </c>
      <c r="K234" s="177">
        <f t="shared" ref="K234:L234" si="218">S234/I234</f>
        <v>1.190743721</v>
      </c>
      <c r="L234" s="177">
        <f t="shared" si="218"/>
        <v>1.56097561</v>
      </c>
      <c r="M234" s="177">
        <v>16.0</v>
      </c>
      <c r="N234" s="177">
        <v>16.0</v>
      </c>
      <c r="O234" s="182">
        <v>36864.0</v>
      </c>
      <c r="P234" s="177">
        <v>314.0</v>
      </c>
      <c r="Q234" s="177">
        <v>510.0</v>
      </c>
      <c r="R234" s="177">
        <v>61.6</v>
      </c>
      <c r="S234" s="177">
        <v>3921.0</v>
      </c>
      <c r="T234" s="177">
        <v>32.0</v>
      </c>
      <c r="U234" s="177">
        <v>6.3</v>
      </c>
      <c r="V234" s="177">
        <v>15.0</v>
      </c>
      <c r="W234" s="177">
        <v>2.9</v>
      </c>
      <c r="X234" s="177">
        <v>187.0</v>
      </c>
      <c r="Y234" s="177">
        <v>47.0</v>
      </c>
      <c r="Z234" s="177">
        <v>67.0</v>
      </c>
      <c r="AA234" s="177">
        <v>7.7</v>
      </c>
      <c r="AB234" s="177">
        <v>7.62</v>
      </c>
      <c r="AC234" s="177">
        <v>12.5</v>
      </c>
      <c r="AD234" s="177">
        <v>245.1</v>
      </c>
      <c r="AE234" s="177">
        <v>94.1</v>
      </c>
      <c r="AF234" s="183"/>
      <c r="AG234" s="177">
        <v>22.0</v>
      </c>
      <c r="AH234" s="177">
        <v>151.0</v>
      </c>
      <c r="AI234" s="177">
        <v>4.14</v>
      </c>
      <c r="AJ234" s="177">
        <v>7.09</v>
      </c>
      <c r="AK234" s="177">
        <v>7.02</v>
      </c>
      <c r="AL234" s="177">
        <v>1.0</v>
      </c>
      <c r="AM234" s="177">
        <v>2.0</v>
      </c>
      <c r="AN234" s="177">
        <v>15.0</v>
      </c>
      <c r="AO234" s="181" t="s">
        <v>389</v>
      </c>
      <c r="AP234" s="33"/>
      <c r="AQ234" s="33"/>
      <c r="AR234" s="33"/>
      <c r="AS234" s="33"/>
    </row>
    <row r="235" hidden="1" outlineLevel="1">
      <c r="A235" s="184" t="s">
        <v>61</v>
      </c>
      <c r="B235" s="176">
        <v>2002.0</v>
      </c>
      <c r="C235" s="180">
        <f t="array" ref="C235">xlookup(B235,DATA_LEAGUE_AVG!A:A,DATA_LEAGUE_AVG!H:H)</f>
        <v>540.4</v>
      </c>
      <c r="D235" s="177" t="b">
        <f t="shared" si="1"/>
        <v>1</v>
      </c>
      <c r="E235" s="177">
        <v>33.0</v>
      </c>
      <c r="F235" s="181" t="s">
        <v>163</v>
      </c>
      <c r="G235" s="181" t="s">
        <v>369</v>
      </c>
      <c r="H235" s="181" t="s">
        <v>90</v>
      </c>
      <c r="I235" s="180">
        <f t="array" ref="I235">xlookup(B235,DATA_LEAGUE_AVG!A:A,DATA_LEAGUE_AVG!C:C)</f>
        <v>3395.7</v>
      </c>
      <c r="J235" s="180">
        <f t="array" ref="J235">xlookup(B235,DATA_LEAGUE_AVG!A:A,DATA_LEAGUE_AVG!D:D)</f>
        <v>21.7</v>
      </c>
      <c r="K235" s="177">
        <f t="shared" ref="K235:L235" si="219">S235/I235</f>
        <v>1.077244751</v>
      </c>
      <c r="L235" s="177">
        <f t="shared" si="219"/>
        <v>1.244239631</v>
      </c>
      <c r="M235" s="177">
        <v>16.0</v>
      </c>
      <c r="N235" s="177">
        <v>16.0</v>
      </c>
      <c r="O235" s="182">
        <v>36864.0</v>
      </c>
      <c r="P235" s="177">
        <v>341.0</v>
      </c>
      <c r="Q235" s="177">
        <v>551.0</v>
      </c>
      <c r="R235" s="177">
        <v>61.9</v>
      </c>
      <c r="S235" s="177">
        <v>3658.0</v>
      </c>
      <c r="T235" s="177">
        <v>27.0</v>
      </c>
      <c r="U235" s="177">
        <v>4.9</v>
      </c>
      <c r="V235" s="177">
        <v>16.0</v>
      </c>
      <c r="W235" s="177">
        <v>2.9</v>
      </c>
      <c r="X235" s="177">
        <v>189.0</v>
      </c>
      <c r="Y235" s="177">
        <v>48.0</v>
      </c>
      <c r="Z235" s="177">
        <v>85.0</v>
      </c>
      <c r="AA235" s="177">
        <v>6.6</v>
      </c>
      <c r="AB235" s="177">
        <v>6.31</v>
      </c>
      <c r="AC235" s="177">
        <v>10.7</v>
      </c>
      <c r="AD235" s="177">
        <v>228.6</v>
      </c>
      <c r="AE235" s="177">
        <v>85.6</v>
      </c>
      <c r="AF235" s="183"/>
      <c r="AG235" s="177">
        <v>26.0</v>
      </c>
      <c r="AH235" s="177">
        <v>188.0</v>
      </c>
      <c r="AI235" s="177">
        <v>4.51</v>
      </c>
      <c r="AJ235" s="177">
        <v>6.01</v>
      </c>
      <c r="AK235" s="177">
        <v>5.7</v>
      </c>
      <c r="AL235" s="177">
        <v>3.0</v>
      </c>
      <c r="AM235" s="177">
        <v>3.0</v>
      </c>
      <c r="AN235" s="177">
        <v>13.0</v>
      </c>
      <c r="AO235" s="181" t="s">
        <v>434</v>
      </c>
      <c r="AP235" s="33"/>
      <c r="AQ235" s="33"/>
      <c r="AR235" s="33"/>
      <c r="AS235" s="33"/>
    </row>
    <row r="236" hidden="1" outlineLevel="1">
      <c r="A236" s="184" t="s">
        <v>61</v>
      </c>
      <c r="B236" s="176">
        <v>2003.0</v>
      </c>
      <c r="C236" s="180">
        <f t="array" ref="C236">xlookup(B236,DATA_LEAGUE_AVG!A:A,DATA_LEAGUE_AVG!H:H)</f>
        <v>515.4</v>
      </c>
      <c r="D236" s="177" t="b">
        <f t="shared" si="1"/>
        <v>1</v>
      </c>
      <c r="E236" s="177">
        <v>34.0</v>
      </c>
      <c r="F236" s="181" t="s">
        <v>163</v>
      </c>
      <c r="G236" s="181" t="s">
        <v>369</v>
      </c>
      <c r="H236" s="181" t="s">
        <v>90</v>
      </c>
      <c r="I236" s="180">
        <f t="array" ref="I236">xlookup(B236,DATA_LEAGUE_AVG!A:A,DATA_LEAGUE_AVG!C:C)</f>
        <v>3207.1</v>
      </c>
      <c r="J236" s="180">
        <f t="array" ref="J236">xlookup(B236,DATA_LEAGUE_AVG!A:A,DATA_LEAGUE_AVG!D:D)</f>
        <v>20.4</v>
      </c>
      <c r="K236" s="177">
        <f t="shared" ref="K236:L236" si="220">S236/I236</f>
        <v>1.047987278</v>
      </c>
      <c r="L236" s="177">
        <f t="shared" si="220"/>
        <v>1.568627451</v>
      </c>
      <c r="M236" s="177">
        <v>16.0</v>
      </c>
      <c r="N236" s="177">
        <v>16.0</v>
      </c>
      <c r="O236" s="182">
        <v>36805.0</v>
      </c>
      <c r="P236" s="177">
        <v>308.0</v>
      </c>
      <c r="Q236" s="177">
        <v>471.0</v>
      </c>
      <c r="R236" s="177">
        <v>65.4</v>
      </c>
      <c r="S236" s="177">
        <v>3361.0</v>
      </c>
      <c r="T236" s="177">
        <v>32.0</v>
      </c>
      <c r="U236" s="177">
        <v>6.8</v>
      </c>
      <c r="V236" s="177">
        <v>21.0</v>
      </c>
      <c r="W236" s="177">
        <v>4.5</v>
      </c>
      <c r="X236" s="177">
        <v>168.0</v>
      </c>
      <c r="Y236" s="177">
        <v>49.0</v>
      </c>
      <c r="Z236" s="177">
        <v>66.0</v>
      </c>
      <c r="AA236" s="177">
        <v>7.1</v>
      </c>
      <c r="AB236" s="177">
        <v>6.49</v>
      </c>
      <c r="AC236" s="177">
        <v>10.9</v>
      </c>
      <c r="AD236" s="177">
        <v>210.1</v>
      </c>
      <c r="AE236" s="177">
        <v>90.4</v>
      </c>
      <c r="AF236" s="183"/>
      <c r="AG236" s="177">
        <v>19.0</v>
      </c>
      <c r="AH236" s="177">
        <v>137.0</v>
      </c>
      <c r="AI236" s="177">
        <v>3.88</v>
      </c>
      <c r="AJ236" s="177">
        <v>6.58</v>
      </c>
      <c r="AK236" s="177">
        <v>5.96</v>
      </c>
      <c r="AL236" s="177">
        <v>1.0</v>
      </c>
      <c r="AM236" s="177">
        <v>3.0</v>
      </c>
      <c r="AN236" s="177">
        <v>14.0</v>
      </c>
      <c r="AO236" s="181" t="s">
        <v>380</v>
      </c>
      <c r="AP236" s="33"/>
      <c r="AQ236" s="33"/>
      <c r="AR236" s="33"/>
      <c r="AS236" s="33"/>
    </row>
    <row r="237" hidden="1" outlineLevel="1">
      <c r="A237" s="184" t="s">
        <v>61</v>
      </c>
      <c r="B237" s="176">
        <v>2004.0</v>
      </c>
      <c r="C237" s="180">
        <f t="array" ref="C237">xlookup(B237,DATA_LEAGUE_AVG!A:A,DATA_LEAGUE_AVG!H:H)</f>
        <v>511.1</v>
      </c>
      <c r="D237" s="177" t="b">
        <f t="shared" si="1"/>
        <v>1</v>
      </c>
      <c r="E237" s="177">
        <v>35.0</v>
      </c>
      <c r="F237" s="181" t="s">
        <v>163</v>
      </c>
      <c r="G237" s="181" t="s">
        <v>369</v>
      </c>
      <c r="H237" s="181" t="s">
        <v>90</v>
      </c>
      <c r="I237" s="180">
        <f t="array" ref="I237">xlookup(B237,DATA_LEAGUE_AVG!A:A,DATA_LEAGUE_AVG!C:C)</f>
        <v>3368.7</v>
      </c>
      <c r="J237" s="180">
        <f t="array" ref="J237">xlookup(B237,DATA_LEAGUE_AVG!A:A,DATA_LEAGUE_AVG!D:D)</f>
        <v>22.9</v>
      </c>
      <c r="K237" s="177">
        <f t="shared" ref="K237:L237" si="221">S237/I237</f>
        <v>1.213524505</v>
      </c>
      <c r="L237" s="177">
        <f t="shared" si="221"/>
        <v>1.310043668</v>
      </c>
      <c r="M237" s="177">
        <v>16.0</v>
      </c>
      <c r="N237" s="177">
        <v>16.0</v>
      </c>
      <c r="O237" s="182">
        <v>36805.0</v>
      </c>
      <c r="P237" s="177">
        <v>346.0</v>
      </c>
      <c r="Q237" s="177">
        <v>540.0</v>
      </c>
      <c r="R237" s="177">
        <v>64.1</v>
      </c>
      <c r="S237" s="177">
        <v>4088.0</v>
      </c>
      <c r="T237" s="177">
        <v>30.0</v>
      </c>
      <c r="U237" s="177">
        <v>5.6</v>
      </c>
      <c r="V237" s="177">
        <v>17.0</v>
      </c>
      <c r="W237" s="177">
        <v>3.1</v>
      </c>
      <c r="X237" s="177">
        <v>205.0</v>
      </c>
      <c r="Y237" s="177">
        <v>50.2</v>
      </c>
      <c r="Z237" s="177">
        <v>79.0</v>
      </c>
      <c r="AA237" s="177">
        <v>7.6</v>
      </c>
      <c r="AB237" s="177">
        <v>7.26</v>
      </c>
      <c r="AC237" s="177">
        <v>11.8</v>
      </c>
      <c r="AD237" s="177">
        <v>255.5</v>
      </c>
      <c r="AE237" s="177">
        <v>92.4</v>
      </c>
      <c r="AF237" s="183"/>
      <c r="AG237" s="177">
        <v>12.0</v>
      </c>
      <c r="AH237" s="177">
        <v>93.0</v>
      </c>
      <c r="AI237" s="177">
        <v>2.17</v>
      </c>
      <c r="AJ237" s="177">
        <v>7.24</v>
      </c>
      <c r="AK237" s="177">
        <v>6.94</v>
      </c>
      <c r="AL237" s="177">
        <v>3.0</v>
      </c>
      <c r="AM237" s="177">
        <v>4.0</v>
      </c>
      <c r="AN237" s="177">
        <v>15.0</v>
      </c>
      <c r="AO237" s="183"/>
      <c r="AP237" s="33"/>
      <c r="AQ237" s="33"/>
      <c r="AR237" s="33"/>
      <c r="AS237" s="33"/>
    </row>
    <row r="238" hidden="1" outlineLevel="1">
      <c r="A238" s="184" t="s">
        <v>61</v>
      </c>
      <c r="B238" s="176">
        <v>2005.0</v>
      </c>
      <c r="C238" s="180">
        <f t="array" ref="C238">xlookup(B238,DATA_LEAGUE_AVG!A:A,DATA_LEAGUE_AVG!H:H)</f>
        <v>514.5</v>
      </c>
      <c r="D238" s="177" t="b">
        <f t="shared" si="1"/>
        <v>1</v>
      </c>
      <c r="E238" s="177">
        <v>36.0</v>
      </c>
      <c r="F238" s="181" t="s">
        <v>163</v>
      </c>
      <c r="G238" s="181" t="s">
        <v>369</v>
      </c>
      <c r="H238" s="181" t="s">
        <v>90</v>
      </c>
      <c r="I238" s="180">
        <f t="array" ref="I238">xlookup(B238,DATA_LEAGUE_AVG!A:A,DATA_LEAGUE_AVG!C:C)</f>
        <v>3255.3</v>
      </c>
      <c r="J238" s="180">
        <f t="array" ref="J238">xlookup(B238,DATA_LEAGUE_AVG!A:A,DATA_LEAGUE_AVG!D:D)</f>
        <v>20.1</v>
      </c>
      <c r="K238" s="177">
        <f t="shared" ref="K238:L238" si="222">S238/I238</f>
        <v>1.192209627</v>
      </c>
      <c r="L238" s="177">
        <f t="shared" si="222"/>
        <v>0.9950248756</v>
      </c>
      <c r="M238" s="177">
        <v>16.0</v>
      </c>
      <c r="N238" s="177">
        <v>16.0</v>
      </c>
      <c r="O238" s="182">
        <v>36628.0</v>
      </c>
      <c r="P238" s="177">
        <v>372.0</v>
      </c>
      <c r="Q238" s="177">
        <v>607.0</v>
      </c>
      <c r="R238" s="177">
        <v>61.3</v>
      </c>
      <c r="S238" s="177">
        <v>3881.0</v>
      </c>
      <c r="T238" s="177">
        <v>20.0</v>
      </c>
      <c r="U238" s="177">
        <v>3.3</v>
      </c>
      <c r="V238" s="177">
        <v>29.0</v>
      </c>
      <c r="W238" s="177">
        <v>4.8</v>
      </c>
      <c r="X238" s="177">
        <v>202.0</v>
      </c>
      <c r="Y238" s="177">
        <v>46.4</v>
      </c>
      <c r="Z238" s="177">
        <v>59.0</v>
      </c>
      <c r="AA238" s="177">
        <v>6.4</v>
      </c>
      <c r="AB238" s="177">
        <v>4.9</v>
      </c>
      <c r="AC238" s="177">
        <v>10.4</v>
      </c>
      <c r="AD238" s="177">
        <v>242.6</v>
      </c>
      <c r="AE238" s="177">
        <v>70.9</v>
      </c>
      <c r="AF238" s="183"/>
      <c r="AG238" s="177">
        <v>24.0</v>
      </c>
      <c r="AH238" s="177">
        <v>170.0</v>
      </c>
      <c r="AI238" s="177">
        <v>3.8</v>
      </c>
      <c r="AJ238" s="177">
        <v>5.88</v>
      </c>
      <c r="AK238" s="177">
        <v>4.45</v>
      </c>
      <c r="AL238" s="177">
        <v>1.0</v>
      </c>
      <c r="AM238" s="177">
        <v>1.0</v>
      </c>
      <c r="AN238" s="177">
        <v>9.0</v>
      </c>
      <c r="AO238" s="183"/>
      <c r="AP238" s="33"/>
      <c r="AQ238" s="33"/>
      <c r="AR238" s="33"/>
      <c r="AS238" s="33"/>
    </row>
    <row r="239" hidden="1" outlineLevel="1">
      <c r="A239" s="184" t="s">
        <v>61</v>
      </c>
      <c r="B239" s="176">
        <v>2006.0</v>
      </c>
      <c r="C239" s="180">
        <f t="array" ref="C239">xlookup(B239,DATA_LEAGUE_AVG!A:A,DATA_LEAGUE_AVG!H:H)</f>
        <v>512.2</v>
      </c>
      <c r="D239" s="177" t="b">
        <f t="shared" si="1"/>
        <v>1</v>
      </c>
      <c r="E239" s="177">
        <v>37.0</v>
      </c>
      <c r="F239" s="181" t="s">
        <v>163</v>
      </c>
      <c r="G239" s="181" t="s">
        <v>369</v>
      </c>
      <c r="H239" s="181" t="s">
        <v>90</v>
      </c>
      <c r="I239" s="180">
        <f t="array" ref="I239">xlookup(B239,DATA_LEAGUE_AVG!A:A,DATA_LEAGUE_AVG!C:C)</f>
        <v>3277</v>
      </c>
      <c r="J239" s="180">
        <f t="array" ref="J239">xlookup(B239,DATA_LEAGUE_AVG!A:A,DATA_LEAGUE_AVG!D:D)</f>
        <v>20.3</v>
      </c>
      <c r="K239" s="177">
        <f t="shared" ref="K239:L239" si="223">S239/I239</f>
        <v>1.185535551</v>
      </c>
      <c r="L239" s="177">
        <f t="shared" si="223"/>
        <v>0.8866995074</v>
      </c>
      <c r="M239" s="177">
        <v>16.0</v>
      </c>
      <c r="N239" s="177">
        <v>16.0</v>
      </c>
      <c r="O239" s="182">
        <v>36746.0</v>
      </c>
      <c r="P239" s="177">
        <v>343.0</v>
      </c>
      <c r="Q239" s="177">
        <v>613.0</v>
      </c>
      <c r="R239" s="177">
        <v>56.0</v>
      </c>
      <c r="S239" s="177">
        <v>3885.0</v>
      </c>
      <c r="T239" s="177">
        <v>18.0</v>
      </c>
      <c r="U239" s="177">
        <v>2.9</v>
      </c>
      <c r="V239" s="177">
        <v>18.0</v>
      </c>
      <c r="W239" s="177">
        <v>2.9</v>
      </c>
      <c r="X239" s="177">
        <v>183.0</v>
      </c>
      <c r="Y239" s="177">
        <v>42.3</v>
      </c>
      <c r="Z239" s="177">
        <v>82.0</v>
      </c>
      <c r="AA239" s="177">
        <v>6.3</v>
      </c>
      <c r="AB239" s="177">
        <v>5.6</v>
      </c>
      <c r="AC239" s="177">
        <v>11.3</v>
      </c>
      <c r="AD239" s="177">
        <v>242.8</v>
      </c>
      <c r="AE239" s="177">
        <v>72.7</v>
      </c>
      <c r="AF239" s="177">
        <v>45.5</v>
      </c>
      <c r="AG239" s="177">
        <v>21.0</v>
      </c>
      <c r="AH239" s="177">
        <v>134.0</v>
      </c>
      <c r="AI239" s="177">
        <v>3.31</v>
      </c>
      <c r="AJ239" s="177">
        <v>5.92</v>
      </c>
      <c r="AK239" s="177">
        <v>5.21</v>
      </c>
      <c r="AL239" s="177">
        <v>1.0</v>
      </c>
      <c r="AM239" s="177">
        <v>1.0</v>
      </c>
      <c r="AN239" s="177">
        <v>9.0</v>
      </c>
      <c r="AO239" s="183"/>
      <c r="AP239" s="33"/>
      <c r="AQ239" s="33"/>
      <c r="AR239" s="33"/>
      <c r="AS239" s="33"/>
    </row>
    <row r="240" hidden="1" outlineLevel="1">
      <c r="A240" s="184" t="s">
        <v>61</v>
      </c>
      <c r="B240" s="176">
        <v>2007.0</v>
      </c>
      <c r="C240" s="180">
        <f t="array" ref="C240">xlookup(B240,DATA_LEAGUE_AVG!A:A,DATA_LEAGUE_AVG!H:H)</f>
        <v>532.7</v>
      </c>
      <c r="D240" s="177" t="b">
        <f t="shared" si="1"/>
        <v>1</v>
      </c>
      <c r="E240" s="177">
        <v>38.0</v>
      </c>
      <c r="F240" s="181" t="s">
        <v>163</v>
      </c>
      <c r="G240" s="181" t="s">
        <v>369</v>
      </c>
      <c r="H240" s="181" t="s">
        <v>90</v>
      </c>
      <c r="I240" s="180">
        <f t="array" ref="I240">xlookup(B240,DATA_LEAGUE_AVG!A:A,DATA_LEAGUE_AVG!C:C)</f>
        <v>3428.8</v>
      </c>
      <c r="J240" s="180">
        <f t="array" ref="J240">xlookup(B240,DATA_LEAGUE_AVG!A:A,DATA_LEAGUE_AVG!D:D)</f>
        <v>22.5</v>
      </c>
      <c r="K240" s="177">
        <f t="shared" ref="K240:L240" si="224">S240/I240</f>
        <v>1.211794214</v>
      </c>
      <c r="L240" s="177">
        <f t="shared" si="224"/>
        <v>1.244444444</v>
      </c>
      <c r="M240" s="177">
        <v>16.0</v>
      </c>
      <c r="N240" s="177">
        <v>16.0</v>
      </c>
      <c r="O240" s="181" t="s">
        <v>372</v>
      </c>
      <c r="P240" s="177">
        <v>356.0</v>
      </c>
      <c r="Q240" s="177">
        <v>535.0</v>
      </c>
      <c r="R240" s="177">
        <v>66.5</v>
      </c>
      <c r="S240" s="177">
        <v>4155.0</v>
      </c>
      <c r="T240" s="177">
        <v>28.0</v>
      </c>
      <c r="U240" s="177">
        <v>5.2</v>
      </c>
      <c r="V240" s="177">
        <v>15.0</v>
      </c>
      <c r="W240" s="177">
        <v>2.8</v>
      </c>
      <c r="X240" s="177">
        <v>198.0</v>
      </c>
      <c r="Y240" s="177">
        <v>50.9</v>
      </c>
      <c r="Z240" s="177">
        <v>82.0</v>
      </c>
      <c r="AA240" s="177">
        <v>7.8</v>
      </c>
      <c r="AB240" s="177">
        <v>7.55</v>
      </c>
      <c r="AC240" s="177">
        <v>11.7</v>
      </c>
      <c r="AD240" s="177">
        <v>259.7</v>
      </c>
      <c r="AE240" s="177">
        <v>95.7</v>
      </c>
      <c r="AF240" s="177">
        <v>70.8</v>
      </c>
      <c r="AG240" s="177">
        <v>15.0</v>
      </c>
      <c r="AH240" s="177">
        <v>93.0</v>
      </c>
      <c r="AI240" s="177">
        <v>2.73</v>
      </c>
      <c r="AJ240" s="177">
        <v>7.39</v>
      </c>
      <c r="AK240" s="177">
        <v>7.18</v>
      </c>
      <c r="AL240" s="177">
        <v>2.0</v>
      </c>
      <c r="AM240" s="177">
        <v>4.0</v>
      </c>
      <c r="AN240" s="177">
        <v>14.0</v>
      </c>
      <c r="AO240" s="181" t="s">
        <v>435</v>
      </c>
      <c r="AP240" s="33"/>
      <c r="AQ240" s="33"/>
      <c r="AR240" s="33"/>
      <c r="AS240" s="33"/>
    </row>
    <row r="241" hidden="1" outlineLevel="1">
      <c r="A241" s="184" t="s">
        <v>61</v>
      </c>
      <c r="B241" s="176">
        <v>2008.0</v>
      </c>
      <c r="C241" s="180">
        <f t="array" ref="C241">xlookup(B241,DATA_LEAGUE_AVG!A:A,DATA_LEAGUE_AVG!H:H)</f>
        <v>516.4</v>
      </c>
      <c r="D241" s="177" t="b">
        <f t="shared" si="1"/>
        <v>1</v>
      </c>
      <c r="E241" s="177">
        <v>39.0</v>
      </c>
      <c r="F241" s="181" t="s">
        <v>409</v>
      </c>
      <c r="G241" s="181" t="s">
        <v>369</v>
      </c>
      <c r="H241" s="181" t="s">
        <v>90</v>
      </c>
      <c r="I241" s="180">
        <f t="array" ref="I241">xlookup(B241,DATA_LEAGUE_AVG!A:A,DATA_LEAGUE_AVG!C:C)</f>
        <v>3380.5</v>
      </c>
      <c r="J241" s="180">
        <f t="array" ref="J241">xlookup(B241,DATA_LEAGUE_AVG!A:A,DATA_LEAGUE_AVG!D:D)</f>
        <v>20.2</v>
      </c>
      <c r="K241" s="177">
        <f t="shared" ref="K241:L241" si="225">S241/I241</f>
        <v>1.027067002</v>
      </c>
      <c r="L241" s="177">
        <f t="shared" si="225"/>
        <v>1.089108911</v>
      </c>
      <c r="M241" s="177">
        <v>16.0</v>
      </c>
      <c r="N241" s="177">
        <v>16.0</v>
      </c>
      <c r="O241" s="182">
        <v>36776.0</v>
      </c>
      <c r="P241" s="177">
        <v>343.0</v>
      </c>
      <c r="Q241" s="177">
        <v>522.0</v>
      </c>
      <c r="R241" s="177">
        <v>65.7</v>
      </c>
      <c r="S241" s="177">
        <v>3472.0</v>
      </c>
      <c r="T241" s="177">
        <v>22.0</v>
      </c>
      <c r="U241" s="177">
        <v>4.2</v>
      </c>
      <c r="V241" s="177">
        <v>22.0</v>
      </c>
      <c r="W241" s="177">
        <v>4.2</v>
      </c>
      <c r="X241" s="177">
        <v>186.0</v>
      </c>
      <c r="Y241" s="177">
        <v>49.3</v>
      </c>
      <c r="Z241" s="177">
        <v>56.0</v>
      </c>
      <c r="AA241" s="177">
        <v>6.7</v>
      </c>
      <c r="AB241" s="177">
        <v>5.6</v>
      </c>
      <c r="AC241" s="177">
        <v>10.1</v>
      </c>
      <c r="AD241" s="177">
        <v>217.0</v>
      </c>
      <c r="AE241" s="177">
        <v>81.0</v>
      </c>
      <c r="AF241" s="177">
        <v>43.4</v>
      </c>
      <c r="AG241" s="177">
        <v>30.0</v>
      </c>
      <c r="AH241" s="177">
        <v>213.0</v>
      </c>
      <c r="AI241" s="177">
        <v>5.43</v>
      </c>
      <c r="AJ241" s="177">
        <v>5.9</v>
      </c>
      <c r="AK241" s="177">
        <v>4.91</v>
      </c>
      <c r="AL241" s="177">
        <v>1.0</v>
      </c>
      <c r="AM241" s="177">
        <v>2.0</v>
      </c>
      <c r="AN241" s="177">
        <v>12.0</v>
      </c>
      <c r="AO241" s="181" t="s">
        <v>380</v>
      </c>
      <c r="AP241" s="33"/>
      <c r="AQ241" s="33"/>
      <c r="AR241" s="33"/>
      <c r="AS241" s="33"/>
    </row>
    <row r="242" hidden="1" outlineLevel="1">
      <c r="A242" s="184" t="s">
        <v>61</v>
      </c>
      <c r="B242" s="176">
        <v>2009.0</v>
      </c>
      <c r="C242" s="180">
        <f t="array" ref="C242">xlookup(B242,DATA_LEAGUE_AVG!A:A,DATA_LEAGUE_AVG!H:H)</f>
        <v>532.3</v>
      </c>
      <c r="D242" s="177" t="b">
        <f t="shared" si="1"/>
        <v>1</v>
      </c>
      <c r="E242" s="177">
        <v>40.0</v>
      </c>
      <c r="F242" s="181" t="s">
        <v>309</v>
      </c>
      <c r="G242" s="181" t="s">
        <v>369</v>
      </c>
      <c r="H242" s="181" t="s">
        <v>90</v>
      </c>
      <c r="I242" s="180">
        <f t="array" ref="I242">xlookup(B242,DATA_LEAGUE_AVG!A:A,DATA_LEAGUE_AVG!C:C)</f>
        <v>3495.3</v>
      </c>
      <c r="J242" s="180">
        <f t="array" ref="J242">xlookup(B242,DATA_LEAGUE_AVG!A:A,DATA_LEAGUE_AVG!D:D)</f>
        <v>22.2</v>
      </c>
      <c r="K242" s="177">
        <f t="shared" ref="K242:L242" si="226">S242/I242</f>
        <v>1.202185792</v>
      </c>
      <c r="L242" s="177">
        <f t="shared" si="226"/>
        <v>1.486486486</v>
      </c>
      <c r="M242" s="177">
        <v>16.0</v>
      </c>
      <c r="N242" s="177">
        <v>16.0</v>
      </c>
      <c r="O242" s="182">
        <v>36864.0</v>
      </c>
      <c r="P242" s="177">
        <v>363.0</v>
      </c>
      <c r="Q242" s="177">
        <v>531.0</v>
      </c>
      <c r="R242" s="177">
        <v>68.4</v>
      </c>
      <c r="S242" s="177">
        <v>4202.0</v>
      </c>
      <c r="T242" s="177">
        <v>33.0</v>
      </c>
      <c r="U242" s="177">
        <v>6.2</v>
      </c>
      <c r="V242" s="177">
        <v>7.0</v>
      </c>
      <c r="W242" s="177">
        <v>1.3</v>
      </c>
      <c r="X242" s="177">
        <v>214.0</v>
      </c>
      <c r="Y242" s="177">
        <v>49.9</v>
      </c>
      <c r="Z242" s="177">
        <v>63.0</v>
      </c>
      <c r="AA242" s="177">
        <v>7.9</v>
      </c>
      <c r="AB242" s="177">
        <v>8.56</v>
      </c>
      <c r="AC242" s="177">
        <v>11.6</v>
      </c>
      <c r="AD242" s="177">
        <v>262.6</v>
      </c>
      <c r="AE242" s="177">
        <v>107.2</v>
      </c>
      <c r="AF242" s="177">
        <v>74.4</v>
      </c>
      <c r="AG242" s="177">
        <v>34.0</v>
      </c>
      <c r="AH242" s="177">
        <v>247.0</v>
      </c>
      <c r="AI242" s="177">
        <v>6.02</v>
      </c>
      <c r="AJ242" s="177">
        <v>7.0</v>
      </c>
      <c r="AK242" s="177">
        <v>7.61</v>
      </c>
      <c r="AL242" s="177">
        <v>2.0</v>
      </c>
      <c r="AM242" s="177">
        <v>2.0</v>
      </c>
      <c r="AN242" s="177">
        <v>16.0</v>
      </c>
      <c r="AO242" s="181" t="s">
        <v>436</v>
      </c>
      <c r="AP242" s="33"/>
      <c r="AQ242" s="33"/>
      <c r="AR242" s="33"/>
      <c r="AS242" s="33"/>
    </row>
    <row r="243" hidden="1" outlineLevel="1">
      <c r="A243" s="184" t="s">
        <v>61</v>
      </c>
      <c r="B243" s="176">
        <v>2010.0</v>
      </c>
      <c r="C243" s="180">
        <f t="array" ref="C243">xlookup(B243,DATA_LEAGUE_AVG!A:A,DATA_LEAGUE_AVG!H:H)</f>
        <v>539.7</v>
      </c>
      <c r="D243" s="177" t="b">
        <f t="shared" si="1"/>
        <v>1</v>
      </c>
      <c r="E243" s="177">
        <v>41.0</v>
      </c>
      <c r="F243" s="181" t="s">
        <v>309</v>
      </c>
      <c r="G243" s="181" t="s">
        <v>369</v>
      </c>
      <c r="H243" s="181" t="s">
        <v>90</v>
      </c>
      <c r="I243" s="180">
        <f t="array" ref="I243">xlookup(B243,DATA_LEAGUE_AVG!A:A,DATA_LEAGUE_AVG!C:C)</f>
        <v>3544.8</v>
      </c>
      <c r="J243" s="180">
        <f t="array" ref="J243">xlookup(B243,DATA_LEAGUE_AVG!A:A,DATA_LEAGUE_AVG!D:D)</f>
        <v>23.5</v>
      </c>
      <c r="K243" s="177">
        <f t="shared" ref="K243:L243" si="227">S243/I243</f>
        <v>0.7077973369</v>
      </c>
      <c r="L243" s="177">
        <f t="shared" si="227"/>
        <v>0.4680851064</v>
      </c>
      <c r="M243" s="177">
        <v>13.0</v>
      </c>
      <c r="N243" s="177">
        <v>13.0</v>
      </c>
      <c r="O243" s="182">
        <v>36654.0</v>
      </c>
      <c r="P243" s="177">
        <v>217.0</v>
      </c>
      <c r="Q243" s="177">
        <v>358.0</v>
      </c>
      <c r="R243" s="177">
        <v>60.6</v>
      </c>
      <c r="S243" s="177">
        <v>2509.0</v>
      </c>
      <c r="T243" s="177">
        <v>11.0</v>
      </c>
      <c r="U243" s="177">
        <v>3.1</v>
      </c>
      <c r="V243" s="177">
        <v>19.0</v>
      </c>
      <c r="W243" s="177">
        <v>5.3</v>
      </c>
      <c r="X243" s="177">
        <v>112.0</v>
      </c>
      <c r="Y243" s="177">
        <v>43.4</v>
      </c>
      <c r="Z243" s="177">
        <v>53.0</v>
      </c>
      <c r="AA243" s="177">
        <v>7.0</v>
      </c>
      <c r="AB243" s="177">
        <v>5.23</v>
      </c>
      <c r="AC243" s="177">
        <v>11.6</v>
      </c>
      <c r="AD243" s="177">
        <v>193.0</v>
      </c>
      <c r="AE243" s="177">
        <v>69.9</v>
      </c>
      <c r="AF243" s="177">
        <v>38.4</v>
      </c>
      <c r="AG243" s="177">
        <v>22.0</v>
      </c>
      <c r="AH243" s="177">
        <v>139.0</v>
      </c>
      <c r="AI243" s="177">
        <v>5.79</v>
      </c>
      <c r="AJ243" s="177">
        <v>6.24</v>
      </c>
      <c r="AK243" s="177">
        <v>4.57</v>
      </c>
      <c r="AL243" s="177">
        <v>1.0</v>
      </c>
      <c r="AM243" s="177">
        <v>2.0</v>
      </c>
      <c r="AN243" s="177">
        <v>5.0</v>
      </c>
      <c r="AO243" s="183"/>
      <c r="AP243" s="33"/>
      <c r="AQ243" s="33"/>
      <c r="AR243" s="33"/>
      <c r="AS243" s="33"/>
    </row>
    <row r="244" collapsed="1">
      <c r="A244" s="184" t="s">
        <v>75</v>
      </c>
      <c r="B244" s="176" t="s">
        <v>348</v>
      </c>
      <c r="C244" s="177" t="str">
        <f t="array" ref="C244">xlookup(B244,DATA_LEAGUE_AVG!A:A,DATA_LEAGUE_AVG!H:H)</f>
        <v>#N/A</v>
      </c>
      <c r="D244" s="177" t="str">
        <f t="shared" si="1"/>
        <v>#N/A</v>
      </c>
      <c r="E244" s="176" t="s">
        <v>351</v>
      </c>
      <c r="F244" s="176" t="s">
        <v>352</v>
      </c>
      <c r="G244" s="176" t="s">
        <v>353</v>
      </c>
      <c r="H244" s="176" t="s">
        <v>354</v>
      </c>
      <c r="I244" s="185" t="s">
        <v>355</v>
      </c>
      <c r="J244" s="185" t="s">
        <v>356</v>
      </c>
      <c r="K244" s="185" t="s">
        <v>272</v>
      </c>
      <c r="L244" s="185" t="s">
        <v>357</v>
      </c>
      <c r="M244" s="176" t="s">
        <v>358</v>
      </c>
      <c r="N244" s="176" t="s">
        <v>359</v>
      </c>
      <c r="O244" s="176" t="s">
        <v>360</v>
      </c>
      <c r="P244" s="176" t="s">
        <v>330</v>
      </c>
      <c r="Q244" s="176" t="s">
        <v>331</v>
      </c>
      <c r="R244" s="176" t="s">
        <v>332</v>
      </c>
      <c r="S244" s="176" t="s">
        <v>326</v>
      </c>
      <c r="T244" s="176" t="s">
        <v>327</v>
      </c>
      <c r="U244" s="176" t="s">
        <v>335</v>
      </c>
      <c r="V244" s="176" t="s">
        <v>336</v>
      </c>
      <c r="W244" s="176" t="s">
        <v>337</v>
      </c>
      <c r="X244" s="176" t="s">
        <v>363</v>
      </c>
      <c r="Y244" s="176" t="s">
        <v>338</v>
      </c>
      <c r="Z244" s="176" t="s">
        <v>339</v>
      </c>
      <c r="AA244" s="176" t="s">
        <v>340</v>
      </c>
      <c r="AB244" s="176" t="s">
        <v>341</v>
      </c>
      <c r="AC244" s="176" t="s">
        <v>342</v>
      </c>
      <c r="AD244" s="176" t="s">
        <v>343</v>
      </c>
      <c r="AE244" s="176" t="s">
        <v>326</v>
      </c>
      <c r="AF244" s="176" t="s">
        <v>345</v>
      </c>
      <c r="AG244" s="176" t="s">
        <v>346</v>
      </c>
      <c r="AH244" s="176" t="s">
        <v>347</v>
      </c>
      <c r="AI244" s="176" t="s">
        <v>364</v>
      </c>
      <c r="AJ244" s="176" t="s">
        <v>365</v>
      </c>
      <c r="AK244" s="176" t="s">
        <v>366</v>
      </c>
      <c r="AL244" s="176" t="s">
        <v>367</v>
      </c>
      <c r="AM244" s="33"/>
      <c r="AN244" s="33"/>
      <c r="AO244" s="33"/>
      <c r="AP244" s="33"/>
      <c r="AQ244" s="33"/>
      <c r="AR244" s="33"/>
      <c r="AS244" s="33"/>
    </row>
    <row r="245" hidden="1" outlineLevel="1">
      <c r="A245" s="184" t="s">
        <v>75</v>
      </c>
      <c r="B245" s="176">
        <v>1948.0</v>
      </c>
      <c r="C245" s="180">
        <f t="array" ref="C245">xlookup(B245,DATA_LEAGUE_AVG!A:A,DATA_LEAGUE_AVG!H:H)</f>
        <v>311.6</v>
      </c>
      <c r="D245" s="177" t="b">
        <f t="shared" si="1"/>
        <v>1</v>
      </c>
      <c r="E245" s="177">
        <v>22.0</v>
      </c>
      <c r="F245" s="181" t="s">
        <v>437</v>
      </c>
      <c r="G245" s="181" t="s">
        <v>432</v>
      </c>
      <c r="H245" s="181" t="s">
        <v>90</v>
      </c>
      <c r="I245" s="180">
        <f t="array" ref="I245">xlookup(B245,DATA_LEAGUE_AVG!A:A,DATA_LEAGUE_AVG!C:C)</f>
        <v>2087.1</v>
      </c>
      <c r="J245" s="180">
        <f t="array" ref="J245">xlookup(B245,DATA_LEAGUE_AVG!A:A,DATA_LEAGUE_AVG!D:D)</f>
        <v>19.6</v>
      </c>
      <c r="K245" s="177">
        <f t="shared" ref="K245:L245" si="228">S245/I245</f>
        <v>1.208375258</v>
      </c>
      <c r="L245" s="177">
        <f t="shared" si="228"/>
        <v>0.8163265306</v>
      </c>
      <c r="M245" s="177">
        <v>14.0</v>
      </c>
      <c r="N245" s="177">
        <v>12.0</v>
      </c>
      <c r="O245" s="183"/>
      <c r="P245" s="177">
        <v>161.0</v>
      </c>
      <c r="Q245" s="177">
        <v>289.0</v>
      </c>
      <c r="R245" s="177">
        <v>55.7</v>
      </c>
      <c r="S245" s="177">
        <v>2522.0</v>
      </c>
      <c r="T245" s="177">
        <v>16.0</v>
      </c>
      <c r="U245" s="177">
        <v>5.5</v>
      </c>
      <c r="V245" s="177">
        <v>9.0</v>
      </c>
      <c r="W245" s="177">
        <v>3.1</v>
      </c>
      <c r="X245" s="177">
        <v>80.0</v>
      </c>
      <c r="Y245" s="177">
        <v>8.7</v>
      </c>
      <c r="Z245" s="177">
        <v>8.43</v>
      </c>
      <c r="AA245" s="177">
        <v>15.7</v>
      </c>
      <c r="AB245" s="177">
        <v>180.1</v>
      </c>
      <c r="AC245" s="177">
        <v>90.3</v>
      </c>
      <c r="AD245" s="177">
        <v>30.0</v>
      </c>
      <c r="AE245" s="177">
        <v>235.0</v>
      </c>
      <c r="AF245" s="177">
        <v>9.4</v>
      </c>
      <c r="AG245" s="177">
        <v>7.17</v>
      </c>
      <c r="AH245" s="177">
        <v>6.9</v>
      </c>
      <c r="AI245" s="177">
        <v>0.0</v>
      </c>
      <c r="AJ245" s="177">
        <v>0.0</v>
      </c>
      <c r="AK245" s="183"/>
      <c r="AL245" s="183"/>
      <c r="AM245" s="33"/>
      <c r="AN245" s="33"/>
      <c r="AO245" s="33"/>
      <c r="AP245" s="33"/>
      <c r="AQ245" s="33"/>
      <c r="AR245" s="33"/>
      <c r="AS245" s="33"/>
    </row>
    <row r="246" hidden="1" outlineLevel="1">
      <c r="A246" s="184" t="s">
        <v>75</v>
      </c>
      <c r="B246" s="176">
        <v>1949.0</v>
      </c>
      <c r="C246" s="180">
        <f t="array" ref="C246">xlookup(B246,DATA_LEAGUE_AVG!A:A,DATA_LEAGUE_AVG!H:H)</f>
        <v>327.5</v>
      </c>
      <c r="D246" s="177" t="b">
        <f t="shared" si="1"/>
        <v>1</v>
      </c>
      <c r="E246" s="177">
        <v>23.0</v>
      </c>
      <c r="F246" s="181" t="s">
        <v>437</v>
      </c>
      <c r="G246" s="181" t="s">
        <v>432</v>
      </c>
      <c r="H246" s="181" t="s">
        <v>90</v>
      </c>
      <c r="I246" s="180">
        <f t="array" ref="I246">xlookup(B246,DATA_LEAGUE_AVG!A:A,DATA_LEAGUE_AVG!C:C)</f>
        <v>1932.4</v>
      </c>
      <c r="J246" s="180">
        <f t="array" ref="J246">xlookup(B246,DATA_LEAGUE_AVG!A:A,DATA_LEAGUE_AVG!D:D)</f>
        <v>16.8</v>
      </c>
      <c r="K246" s="177">
        <f t="shared" ref="K246:L246" si="229">S246/I246</f>
        <v>1.143138067</v>
      </c>
      <c r="L246" s="177">
        <f t="shared" si="229"/>
        <v>0.8333333333</v>
      </c>
      <c r="M246" s="177">
        <v>11.0</v>
      </c>
      <c r="N246" s="177">
        <v>7.0</v>
      </c>
      <c r="O246" s="183"/>
      <c r="P246" s="177">
        <v>148.0</v>
      </c>
      <c r="Q246" s="177">
        <v>289.0</v>
      </c>
      <c r="R246" s="177">
        <v>51.2</v>
      </c>
      <c r="S246" s="177">
        <v>2209.0</v>
      </c>
      <c r="T246" s="177">
        <v>14.0</v>
      </c>
      <c r="U246" s="177">
        <v>4.8</v>
      </c>
      <c r="V246" s="177">
        <v>18.0</v>
      </c>
      <c r="W246" s="177">
        <v>6.2</v>
      </c>
      <c r="X246" s="177">
        <v>80.0</v>
      </c>
      <c r="Y246" s="177">
        <v>7.6</v>
      </c>
      <c r="Z246" s="177">
        <v>5.81</v>
      </c>
      <c r="AA246" s="177">
        <v>14.9</v>
      </c>
      <c r="AB246" s="177">
        <v>200.8</v>
      </c>
      <c r="AC246" s="177">
        <v>66.8</v>
      </c>
      <c r="AD246" s="177">
        <v>45.0</v>
      </c>
      <c r="AE246" s="177">
        <v>336.0</v>
      </c>
      <c r="AF246" s="177">
        <v>13.47</v>
      </c>
      <c r="AG246" s="177">
        <v>5.61</v>
      </c>
      <c r="AH246" s="177">
        <v>4.02</v>
      </c>
      <c r="AI246" s="177">
        <v>0.0</v>
      </c>
      <c r="AJ246" s="177">
        <v>0.0</v>
      </c>
      <c r="AK246" s="183"/>
      <c r="AL246" s="183"/>
      <c r="AM246" s="33"/>
      <c r="AN246" s="33"/>
      <c r="AO246" s="33"/>
      <c r="AP246" s="33"/>
      <c r="AQ246" s="33"/>
      <c r="AR246" s="33"/>
      <c r="AS246" s="33"/>
    </row>
    <row r="247" hidden="1" outlineLevel="1">
      <c r="A247" s="184" t="s">
        <v>75</v>
      </c>
      <c r="B247" s="176">
        <v>1950.0</v>
      </c>
      <c r="C247" s="180">
        <f t="array" ref="C247">xlookup(B247,DATA_LEAGUE_AVG!A:A,DATA_LEAGUE_AVG!H:H)</f>
        <v>331.3</v>
      </c>
      <c r="D247" s="177" t="b">
        <f t="shared" si="1"/>
        <v>1</v>
      </c>
      <c r="E247" s="177">
        <v>24.0</v>
      </c>
      <c r="F247" s="181" t="s">
        <v>437</v>
      </c>
      <c r="G247" s="181" t="s">
        <v>369</v>
      </c>
      <c r="H247" s="181" t="s">
        <v>90</v>
      </c>
      <c r="I247" s="180">
        <f t="array" ref="I247">xlookup(B247,DATA_LEAGUE_AVG!A:A,DATA_LEAGUE_AVG!C:C)</f>
        <v>1988.9</v>
      </c>
      <c r="J247" s="180">
        <f t="array" ref="J247">xlookup(B247,DATA_LEAGUE_AVG!A:A,DATA_LEAGUE_AVG!D:D)</f>
        <v>16.9</v>
      </c>
      <c r="K247" s="177">
        <f t="shared" ref="K247:L247" si="230">S247/I247</f>
        <v>0.9472572779</v>
      </c>
      <c r="L247" s="177">
        <f t="shared" si="230"/>
        <v>0.4733727811</v>
      </c>
      <c r="M247" s="177">
        <v>12.0</v>
      </c>
      <c r="N247" s="177">
        <v>7.0</v>
      </c>
      <c r="O247" s="182">
        <v>36531.0</v>
      </c>
      <c r="P247" s="177">
        <v>161.0</v>
      </c>
      <c r="Q247" s="177">
        <v>315.0</v>
      </c>
      <c r="R247" s="177">
        <v>51.1</v>
      </c>
      <c r="S247" s="177">
        <v>1884.0</v>
      </c>
      <c r="T247" s="177">
        <v>8.0</v>
      </c>
      <c r="U247" s="177">
        <v>2.5</v>
      </c>
      <c r="V247" s="177">
        <v>19.0</v>
      </c>
      <c r="W247" s="177">
        <v>6.0</v>
      </c>
      <c r="X247" s="177">
        <v>62.0</v>
      </c>
      <c r="Y247" s="177">
        <v>6.0</v>
      </c>
      <c r="Z247" s="177">
        <v>3.77</v>
      </c>
      <c r="AA247" s="177">
        <v>11.7</v>
      </c>
      <c r="AB247" s="177">
        <v>157.0</v>
      </c>
      <c r="AC247" s="177">
        <v>52.9</v>
      </c>
      <c r="AD247" s="183"/>
      <c r="AE247" s="177">
        <v>269.0</v>
      </c>
      <c r="AF247" s="183"/>
      <c r="AG247" s="183"/>
      <c r="AH247" s="183"/>
      <c r="AI247" s="177">
        <v>0.0</v>
      </c>
      <c r="AJ247" s="177">
        <v>0.0</v>
      </c>
      <c r="AK247" s="183"/>
      <c r="AL247" s="183"/>
      <c r="AM247" s="33"/>
      <c r="AN247" s="33"/>
      <c r="AO247" s="33"/>
      <c r="AP247" s="33"/>
      <c r="AQ247" s="33"/>
      <c r="AR247" s="33"/>
      <c r="AS247" s="33"/>
    </row>
    <row r="248" hidden="1" outlineLevel="1">
      <c r="A248" s="184" t="s">
        <v>75</v>
      </c>
      <c r="B248" s="176">
        <v>1952.0</v>
      </c>
      <c r="C248" s="180">
        <f t="array" ref="C248">xlookup(B248,DATA_LEAGUE_AVG!A:A,DATA_LEAGUE_AVG!H:H)</f>
        <v>335.3</v>
      </c>
      <c r="D248" s="177" t="b">
        <f t="shared" si="1"/>
        <v>1</v>
      </c>
      <c r="E248" s="177">
        <v>26.0</v>
      </c>
      <c r="F248" s="181" t="s">
        <v>375</v>
      </c>
      <c r="G248" s="181" t="s">
        <v>369</v>
      </c>
      <c r="H248" s="181" t="s">
        <v>90</v>
      </c>
      <c r="I248" s="180">
        <f t="array" ref="I248">xlookup(B248,DATA_LEAGUE_AVG!A:A,DATA_LEAGUE_AVG!C:C)</f>
        <v>1919.4</v>
      </c>
      <c r="J248" s="180">
        <f t="array" ref="J248">xlookup(B248,DATA_LEAGUE_AVG!A:A,DATA_LEAGUE_AVG!D:D)</f>
        <v>18.2</v>
      </c>
      <c r="K248" s="177">
        <f t="shared" ref="K248:L248" si="231">S248/I248</f>
        <v>0.7330415755</v>
      </c>
      <c r="L248" s="177">
        <f t="shared" si="231"/>
        <v>0.6043956044</v>
      </c>
      <c r="M248" s="177">
        <v>12.0</v>
      </c>
      <c r="N248" s="177">
        <v>5.0</v>
      </c>
      <c r="O248" s="182">
        <v>36587.0</v>
      </c>
      <c r="P248" s="177">
        <v>106.0</v>
      </c>
      <c r="Q248" s="177">
        <v>208.0</v>
      </c>
      <c r="R248" s="177">
        <v>51.0</v>
      </c>
      <c r="S248" s="177">
        <v>1407.0</v>
      </c>
      <c r="T248" s="177">
        <v>11.0</v>
      </c>
      <c r="U248" s="177">
        <v>5.3</v>
      </c>
      <c r="V248" s="177">
        <v>12.0</v>
      </c>
      <c r="W248" s="177">
        <v>5.8</v>
      </c>
      <c r="X248" s="177">
        <v>77.0</v>
      </c>
      <c r="Y248" s="177">
        <v>6.8</v>
      </c>
      <c r="Z248" s="177">
        <v>5.23</v>
      </c>
      <c r="AA248" s="177">
        <v>13.3</v>
      </c>
      <c r="AB248" s="177">
        <v>117.3</v>
      </c>
      <c r="AC248" s="177">
        <v>66.3</v>
      </c>
      <c r="AD248" s="183"/>
      <c r="AE248" s="177">
        <v>206.0</v>
      </c>
      <c r="AF248" s="183"/>
      <c r="AG248" s="183"/>
      <c r="AH248" s="183"/>
      <c r="AI248" s="177">
        <v>1.0</v>
      </c>
      <c r="AJ248" s="177">
        <v>1.0</v>
      </c>
      <c r="AK248" s="183"/>
      <c r="AL248" s="183"/>
      <c r="AM248" s="33"/>
      <c r="AN248" s="33"/>
      <c r="AO248" s="33"/>
      <c r="AP248" s="33"/>
      <c r="AQ248" s="33"/>
      <c r="AR248" s="33"/>
      <c r="AS248" s="33"/>
    </row>
    <row r="249" hidden="1" outlineLevel="1">
      <c r="A249" s="184" t="s">
        <v>75</v>
      </c>
      <c r="B249" s="176">
        <v>1953.0</v>
      </c>
      <c r="C249" s="180">
        <f t="array" ref="C249">xlookup(B249,DATA_LEAGUE_AVG!A:A,DATA_LEAGUE_AVG!H:H)</f>
        <v>355.6</v>
      </c>
      <c r="D249" s="177" t="b">
        <f t="shared" si="1"/>
        <v>1</v>
      </c>
      <c r="E249" s="177">
        <v>27.0</v>
      </c>
      <c r="F249" s="181" t="s">
        <v>375</v>
      </c>
      <c r="G249" s="181" t="s">
        <v>369</v>
      </c>
      <c r="H249" s="181" t="s">
        <v>90</v>
      </c>
      <c r="I249" s="180">
        <f t="array" ref="I249">xlookup(B249,DATA_LEAGUE_AVG!A:A,DATA_LEAGUE_AVG!C:C)</f>
        <v>2085.4</v>
      </c>
      <c r="J249" s="180">
        <f t="array" ref="J249">xlookup(B249,DATA_LEAGUE_AVG!A:A,DATA_LEAGUE_AVG!D:D)</f>
        <v>15.8</v>
      </c>
      <c r="K249" s="177">
        <f t="shared" ref="K249:L249" si="232">S249/I249</f>
        <v>1.017071066</v>
      </c>
      <c r="L249" s="177">
        <f t="shared" si="232"/>
        <v>1.265822785</v>
      </c>
      <c r="M249" s="177">
        <v>11.0</v>
      </c>
      <c r="N249" s="177">
        <v>10.0</v>
      </c>
      <c r="O249" s="182">
        <v>36740.0</v>
      </c>
      <c r="P249" s="177">
        <v>149.0</v>
      </c>
      <c r="Q249" s="177">
        <v>259.0</v>
      </c>
      <c r="R249" s="177">
        <v>57.5</v>
      </c>
      <c r="S249" s="177">
        <v>2121.0</v>
      </c>
      <c r="T249" s="177">
        <v>20.0</v>
      </c>
      <c r="U249" s="177">
        <v>7.7</v>
      </c>
      <c r="V249" s="177">
        <v>16.0</v>
      </c>
      <c r="W249" s="177">
        <v>6.2</v>
      </c>
      <c r="X249" s="177">
        <v>71.0</v>
      </c>
      <c r="Y249" s="177">
        <v>8.2</v>
      </c>
      <c r="Z249" s="177">
        <v>6.95</v>
      </c>
      <c r="AA249" s="177">
        <v>14.2</v>
      </c>
      <c r="AB249" s="177">
        <v>192.8</v>
      </c>
      <c r="AC249" s="177">
        <v>84.1</v>
      </c>
      <c r="AD249" s="183"/>
      <c r="AE249" s="177">
        <v>221.0</v>
      </c>
      <c r="AF249" s="183"/>
      <c r="AG249" s="183"/>
      <c r="AH249" s="183"/>
      <c r="AI249" s="177">
        <v>2.0</v>
      </c>
      <c r="AJ249" s="177">
        <v>2.0</v>
      </c>
      <c r="AK249" s="183"/>
      <c r="AL249" s="181" t="s">
        <v>380</v>
      </c>
      <c r="AM249" s="33"/>
      <c r="AN249" s="33"/>
      <c r="AO249" s="33"/>
      <c r="AP249" s="33"/>
      <c r="AQ249" s="33"/>
      <c r="AR249" s="33"/>
      <c r="AS249" s="33"/>
    </row>
    <row r="250" hidden="1" outlineLevel="1">
      <c r="A250" s="184" t="s">
        <v>75</v>
      </c>
      <c r="B250" s="176">
        <v>1954.0</v>
      </c>
      <c r="C250" s="180">
        <f t="array" ref="C250">xlookup(B250,DATA_LEAGUE_AVG!A:A,DATA_LEAGUE_AVG!H:H)</f>
        <v>352.7</v>
      </c>
      <c r="D250" s="177" t="b">
        <f t="shared" si="1"/>
        <v>1</v>
      </c>
      <c r="E250" s="177">
        <v>28.0</v>
      </c>
      <c r="F250" s="181" t="s">
        <v>375</v>
      </c>
      <c r="G250" s="181" t="s">
        <v>369</v>
      </c>
      <c r="H250" s="181" t="s">
        <v>90</v>
      </c>
      <c r="I250" s="180">
        <f t="array" ref="I250">xlookup(B250,DATA_LEAGUE_AVG!A:A,DATA_LEAGUE_AVG!C:C)</f>
        <v>2299.4</v>
      </c>
      <c r="J250" s="180">
        <f t="array" ref="J250">xlookup(B250,DATA_LEAGUE_AVG!A:A,DATA_LEAGUE_AVG!D:D)</f>
        <v>17.6</v>
      </c>
      <c r="K250" s="177">
        <f t="shared" ref="K250:L250" si="233">S250/I250</f>
        <v>0.958945812</v>
      </c>
      <c r="L250" s="177">
        <f t="shared" si="233"/>
        <v>0.5113636364</v>
      </c>
      <c r="M250" s="177">
        <v>12.0</v>
      </c>
      <c r="N250" s="177">
        <v>11.0</v>
      </c>
      <c r="O250" s="182">
        <v>37046.0</v>
      </c>
      <c r="P250" s="177">
        <v>170.0</v>
      </c>
      <c r="Q250" s="177">
        <v>295.0</v>
      </c>
      <c r="R250" s="177">
        <v>57.6</v>
      </c>
      <c r="S250" s="177">
        <v>2205.0</v>
      </c>
      <c r="T250" s="177">
        <v>9.0</v>
      </c>
      <c r="U250" s="177">
        <v>3.1</v>
      </c>
      <c r="V250" s="177">
        <v>9.0</v>
      </c>
      <c r="W250" s="177">
        <v>3.1</v>
      </c>
      <c r="X250" s="177">
        <v>70.0</v>
      </c>
      <c r="Y250" s="177">
        <v>7.5</v>
      </c>
      <c r="Z250" s="177">
        <v>6.71</v>
      </c>
      <c r="AA250" s="177">
        <v>13.0</v>
      </c>
      <c r="AB250" s="177">
        <v>183.8</v>
      </c>
      <c r="AC250" s="177">
        <v>78.7</v>
      </c>
      <c r="AD250" s="183"/>
      <c r="AE250" s="177">
        <v>185.0</v>
      </c>
      <c r="AF250" s="183"/>
      <c r="AG250" s="183"/>
      <c r="AH250" s="183"/>
      <c r="AI250" s="177">
        <v>1.0</v>
      </c>
      <c r="AJ250" s="177">
        <v>1.0</v>
      </c>
      <c r="AK250" s="183"/>
      <c r="AL250" s="181" t="s">
        <v>380</v>
      </c>
      <c r="AM250" s="33"/>
      <c r="AN250" s="33"/>
      <c r="AO250" s="33"/>
      <c r="AP250" s="33"/>
      <c r="AQ250" s="33"/>
      <c r="AR250" s="33"/>
      <c r="AS250" s="33"/>
    </row>
    <row r="251" hidden="1" outlineLevel="1">
      <c r="A251" s="184" t="s">
        <v>75</v>
      </c>
      <c r="B251" s="176">
        <v>1955.0</v>
      </c>
      <c r="C251" s="180">
        <f t="array" ref="C251">xlookup(B251,DATA_LEAGUE_AVG!A:A,DATA_LEAGUE_AVG!H:H)</f>
        <v>318.3</v>
      </c>
      <c r="D251" s="177" t="b">
        <f t="shared" si="1"/>
        <v>1</v>
      </c>
      <c r="E251" s="177">
        <v>29.0</v>
      </c>
      <c r="F251" s="181" t="s">
        <v>375</v>
      </c>
      <c r="G251" s="181" t="s">
        <v>369</v>
      </c>
      <c r="H251" s="181" t="s">
        <v>90</v>
      </c>
      <c r="I251" s="180">
        <f t="array" ref="I251">xlookup(B251,DATA_LEAGUE_AVG!A:A,DATA_LEAGUE_AVG!C:C)</f>
        <v>1917.4</v>
      </c>
      <c r="J251" s="180">
        <f t="array" ref="J251">xlookup(B251,DATA_LEAGUE_AVG!A:A,DATA_LEAGUE_AVG!D:D)</f>
        <v>15</v>
      </c>
      <c r="K251" s="177">
        <f t="shared" ref="K251:L251" si="234">S251/I251</f>
        <v>1.139563993</v>
      </c>
      <c r="L251" s="177">
        <f t="shared" si="234"/>
        <v>1.133333333</v>
      </c>
      <c r="M251" s="177">
        <v>12.0</v>
      </c>
      <c r="N251" s="177">
        <v>12.0</v>
      </c>
      <c r="O251" s="182">
        <v>36624.0</v>
      </c>
      <c r="P251" s="177">
        <v>147.0</v>
      </c>
      <c r="Q251" s="177">
        <v>287.0</v>
      </c>
      <c r="R251" s="177">
        <v>51.2</v>
      </c>
      <c r="S251" s="177">
        <v>2185.0</v>
      </c>
      <c r="T251" s="177">
        <v>17.0</v>
      </c>
      <c r="U251" s="177">
        <v>5.9</v>
      </c>
      <c r="V251" s="177">
        <v>28.0</v>
      </c>
      <c r="W251" s="177">
        <v>9.8</v>
      </c>
      <c r="X251" s="177">
        <v>78.0</v>
      </c>
      <c r="Y251" s="177">
        <v>7.6</v>
      </c>
      <c r="Z251" s="177">
        <v>4.41</v>
      </c>
      <c r="AA251" s="177">
        <v>14.9</v>
      </c>
      <c r="AB251" s="177">
        <v>182.1</v>
      </c>
      <c r="AC251" s="177">
        <v>56.6</v>
      </c>
      <c r="AD251" s="183"/>
      <c r="AE251" s="177">
        <v>287.0</v>
      </c>
      <c r="AF251" s="183"/>
      <c r="AG251" s="183"/>
      <c r="AH251" s="183"/>
      <c r="AI251" s="177">
        <v>1.0</v>
      </c>
      <c r="AJ251" s="177">
        <v>1.0</v>
      </c>
      <c r="AK251" s="183"/>
      <c r="AL251" s="183"/>
      <c r="AM251" s="33"/>
      <c r="AN251" s="33"/>
      <c r="AO251" s="33"/>
      <c r="AP251" s="33"/>
      <c r="AQ251" s="33"/>
      <c r="AR251" s="33"/>
      <c r="AS251" s="33"/>
    </row>
    <row r="252" hidden="1" outlineLevel="1">
      <c r="A252" s="184" t="s">
        <v>75</v>
      </c>
      <c r="B252" s="176">
        <v>1956.0</v>
      </c>
      <c r="C252" s="180">
        <f t="array" ref="C252">xlookup(B252,DATA_LEAGUE_AVG!A:A,DATA_LEAGUE_AVG!H:H)</f>
        <v>273.5</v>
      </c>
      <c r="D252" s="177" t="b">
        <f t="shared" si="1"/>
        <v>1</v>
      </c>
      <c r="E252" s="177">
        <v>30.0</v>
      </c>
      <c r="F252" s="181" t="s">
        <v>375</v>
      </c>
      <c r="G252" s="181" t="s">
        <v>369</v>
      </c>
      <c r="H252" s="181" t="s">
        <v>90</v>
      </c>
      <c r="I252" s="180">
        <f t="array" ref="I252">xlookup(B252,DATA_LEAGUE_AVG!A:A,DATA_LEAGUE_AVG!C:C)</f>
        <v>1770.9</v>
      </c>
      <c r="J252" s="180">
        <f t="array" ref="J252">xlookup(B252,DATA_LEAGUE_AVG!A:A,DATA_LEAGUE_AVG!D:D)</f>
        <v>13.5</v>
      </c>
      <c r="K252" s="177">
        <f t="shared" ref="K252:L252" si="235">S252/I252</f>
        <v>0.9266474674</v>
      </c>
      <c r="L252" s="177">
        <f t="shared" si="235"/>
        <v>0.5185185185</v>
      </c>
      <c r="M252" s="177">
        <v>11.0</v>
      </c>
      <c r="N252" s="177">
        <v>8.0</v>
      </c>
      <c r="O252" s="182">
        <v>36984.0</v>
      </c>
      <c r="P252" s="177">
        <v>124.0</v>
      </c>
      <c r="Q252" s="177">
        <v>218.0</v>
      </c>
      <c r="R252" s="177">
        <v>56.9</v>
      </c>
      <c r="S252" s="177">
        <v>1641.0</v>
      </c>
      <c r="T252" s="177">
        <v>7.0</v>
      </c>
      <c r="U252" s="177">
        <v>3.2</v>
      </c>
      <c r="V252" s="177">
        <v>12.0</v>
      </c>
      <c r="W252" s="177">
        <v>5.5</v>
      </c>
      <c r="X252" s="177">
        <v>77.0</v>
      </c>
      <c r="Y252" s="177">
        <v>7.5</v>
      </c>
      <c r="Z252" s="177">
        <v>5.69</v>
      </c>
      <c r="AA252" s="177">
        <v>13.2</v>
      </c>
      <c r="AB252" s="177">
        <v>149.2</v>
      </c>
      <c r="AC252" s="177">
        <v>68.6</v>
      </c>
      <c r="AD252" s="183"/>
      <c r="AE252" s="177">
        <v>249.0</v>
      </c>
      <c r="AF252" s="183"/>
      <c r="AG252" s="183"/>
      <c r="AH252" s="183"/>
      <c r="AI252" s="177">
        <v>4.0</v>
      </c>
      <c r="AJ252" s="177">
        <v>2.0</v>
      </c>
      <c r="AK252" s="183"/>
      <c r="AL252" s="183"/>
      <c r="AM252" s="33"/>
      <c r="AN252" s="33"/>
      <c r="AO252" s="33"/>
      <c r="AP252" s="33"/>
      <c r="AQ252" s="33"/>
      <c r="AR252" s="33"/>
      <c r="AS252" s="33"/>
    </row>
    <row r="253" hidden="1" outlineLevel="1">
      <c r="A253" s="184" t="s">
        <v>75</v>
      </c>
      <c r="B253" s="176">
        <v>1957.0</v>
      </c>
      <c r="C253" s="180">
        <f t="array" ref="C253">xlookup(B253,DATA_LEAGUE_AVG!A:A,DATA_LEAGUE_AVG!H:H)</f>
        <v>278.3</v>
      </c>
      <c r="D253" s="177" t="b">
        <f t="shared" si="1"/>
        <v>1</v>
      </c>
      <c r="E253" s="177">
        <v>31.0</v>
      </c>
      <c r="F253" s="181" t="s">
        <v>375</v>
      </c>
      <c r="G253" s="181" t="s">
        <v>369</v>
      </c>
      <c r="H253" s="181" t="s">
        <v>90</v>
      </c>
      <c r="I253" s="180">
        <f t="array" ref="I253">xlookup(B253,DATA_LEAGUE_AVG!A:A,DATA_LEAGUE_AVG!C:C)</f>
        <v>1841</v>
      </c>
      <c r="J253" s="180">
        <f t="array" ref="J253">xlookup(B253,DATA_LEAGUE_AVG!A:A,DATA_LEAGUE_AVG!D:D)</f>
        <v>14.2</v>
      </c>
      <c r="K253" s="177">
        <f t="shared" ref="K253:L253" si="236">S253/I253</f>
        <v>1.171645845</v>
      </c>
      <c r="L253" s="177">
        <f t="shared" si="236"/>
        <v>0.9154929577</v>
      </c>
      <c r="M253" s="177">
        <v>12.0</v>
      </c>
      <c r="N253" s="177">
        <v>11.0</v>
      </c>
      <c r="O253" s="182">
        <v>36711.0</v>
      </c>
      <c r="P253" s="177">
        <v>176.0</v>
      </c>
      <c r="Q253" s="177">
        <v>279.0</v>
      </c>
      <c r="R253" s="177">
        <v>63.1</v>
      </c>
      <c r="S253" s="177">
        <v>2157.0</v>
      </c>
      <c r="T253" s="177">
        <v>13.0</v>
      </c>
      <c r="U253" s="177">
        <v>4.7</v>
      </c>
      <c r="V253" s="177">
        <v>15.0</v>
      </c>
      <c r="W253" s="177">
        <v>5.4</v>
      </c>
      <c r="X253" s="177">
        <v>46.0</v>
      </c>
      <c r="Y253" s="177">
        <v>7.7</v>
      </c>
      <c r="Z253" s="177">
        <v>6.24</v>
      </c>
      <c r="AA253" s="177">
        <v>12.3</v>
      </c>
      <c r="AB253" s="177">
        <v>179.8</v>
      </c>
      <c r="AC253" s="177">
        <v>80.0</v>
      </c>
      <c r="AD253" s="183"/>
      <c r="AE253" s="177">
        <v>362.0</v>
      </c>
      <c r="AF253" s="183"/>
      <c r="AG253" s="183"/>
      <c r="AH253" s="183"/>
      <c r="AI253" s="177">
        <v>5.0</v>
      </c>
      <c r="AJ253" s="177">
        <v>6.0</v>
      </c>
      <c r="AK253" s="183"/>
      <c r="AL253" s="181" t="s">
        <v>412</v>
      </c>
      <c r="AM253" s="33"/>
      <c r="AN253" s="33"/>
      <c r="AO253" s="33"/>
      <c r="AP253" s="33"/>
      <c r="AQ253" s="33"/>
      <c r="AR253" s="33"/>
      <c r="AS253" s="33"/>
    </row>
    <row r="254" hidden="1" outlineLevel="1">
      <c r="A254" s="184" t="s">
        <v>75</v>
      </c>
      <c r="B254" s="176">
        <v>1958.0</v>
      </c>
      <c r="C254" s="180">
        <f t="array" ref="C254">xlookup(B254,DATA_LEAGUE_AVG!A:A,DATA_LEAGUE_AVG!H:H)</f>
        <v>329.3</v>
      </c>
      <c r="D254" s="177" t="b">
        <f t="shared" si="1"/>
        <v>1</v>
      </c>
      <c r="E254" s="177">
        <v>32.0</v>
      </c>
      <c r="F254" s="181" t="s">
        <v>375</v>
      </c>
      <c r="G254" s="181" t="s">
        <v>369</v>
      </c>
      <c r="H254" s="181" t="s">
        <v>90</v>
      </c>
      <c r="I254" s="180">
        <f t="array" ref="I254">xlookup(B254,DATA_LEAGUE_AVG!A:A,DATA_LEAGUE_AVG!C:C)</f>
        <v>2164.3</v>
      </c>
      <c r="J254" s="180">
        <f t="array" ref="J254">xlookup(B254,DATA_LEAGUE_AVG!A:A,DATA_LEAGUE_AVG!D:D)</f>
        <v>17.6</v>
      </c>
      <c r="K254" s="177">
        <f t="shared" ref="K254:L254" si="237">S254/I254</f>
        <v>0.6778173081</v>
      </c>
      <c r="L254" s="177">
        <f t="shared" si="237"/>
        <v>0.5113636364</v>
      </c>
      <c r="M254" s="177">
        <v>11.0</v>
      </c>
      <c r="N254" s="177">
        <v>6.0</v>
      </c>
      <c r="O254" s="182">
        <v>36588.0</v>
      </c>
      <c r="P254" s="177">
        <v>120.0</v>
      </c>
      <c r="Q254" s="177">
        <v>208.0</v>
      </c>
      <c r="R254" s="177">
        <v>57.7</v>
      </c>
      <c r="S254" s="177">
        <v>1467.0</v>
      </c>
      <c r="T254" s="177">
        <v>9.0</v>
      </c>
      <c r="U254" s="177">
        <v>4.3</v>
      </c>
      <c r="V254" s="177">
        <v>15.0</v>
      </c>
      <c r="W254" s="177">
        <v>7.2</v>
      </c>
      <c r="X254" s="177">
        <v>64.0</v>
      </c>
      <c r="Y254" s="177">
        <v>7.1</v>
      </c>
      <c r="Z254" s="177">
        <v>4.67</v>
      </c>
      <c r="AA254" s="177">
        <v>12.2</v>
      </c>
      <c r="AB254" s="177">
        <v>133.4</v>
      </c>
      <c r="AC254" s="177">
        <v>63.9</v>
      </c>
      <c r="AD254" s="183"/>
      <c r="AE254" s="177">
        <v>149.0</v>
      </c>
      <c r="AF254" s="183"/>
      <c r="AG254" s="183"/>
      <c r="AH254" s="183"/>
      <c r="AI254" s="177">
        <v>1.0</v>
      </c>
      <c r="AJ254" s="177">
        <v>2.0</v>
      </c>
      <c r="AK254" s="183"/>
      <c r="AL254" s="183"/>
      <c r="AM254" s="33"/>
      <c r="AN254" s="33"/>
      <c r="AO254" s="33"/>
      <c r="AP254" s="33"/>
      <c r="AQ254" s="33"/>
      <c r="AR254" s="33"/>
      <c r="AS254" s="33"/>
    </row>
    <row r="255" hidden="1" outlineLevel="1">
      <c r="A255" s="184" t="s">
        <v>75</v>
      </c>
      <c r="B255" s="176">
        <v>1959.0</v>
      </c>
      <c r="C255" s="180">
        <f t="array" ref="C255">xlookup(B255,DATA_LEAGUE_AVG!A:A,DATA_LEAGUE_AVG!H:H)</f>
        <v>309.5</v>
      </c>
      <c r="D255" s="177" t="b">
        <f t="shared" si="1"/>
        <v>1</v>
      </c>
      <c r="E255" s="177">
        <v>33.0</v>
      </c>
      <c r="F255" s="181" t="s">
        <v>375</v>
      </c>
      <c r="G255" s="181" t="s">
        <v>369</v>
      </c>
      <c r="H255" s="181" t="s">
        <v>90</v>
      </c>
      <c r="I255" s="180">
        <f t="array" ref="I255">xlookup(B255,DATA_LEAGUE_AVG!A:A,DATA_LEAGUE_AVG!C:C)</f>
        <v>2037.7</v>
      </c>
      <c r="J255" s="180">
        <f t="array" ref="J255">xlookup(B255,DATA_LEAGUE_AVG!A:A,DATA_LEAGUE_AVG!D:D)</f>
        <v>16.4</v>
      </c>
      <c r="K255" s="177">
        <f t="shared" ref="K255:L255" si="238">S255/I255</f>
        <v>0.6531874172</v>
      </c>
      <c r="L255" s="177">
        <f t="shared" si="238"/>
        <v>0.6097560976</v>
      </c>
      <c r="M255" s="177">
        <v>11.0</v>
      </c>
      <c r="N255" s="177">
        <v>10.0</v>
      </c>
      <c r="O255" s="182">
        <v>36681.0</v>
      </c>
      <c r="P255" s="177">
        <v>102.0</v>
      </c>
      <c r="Q255" s="177">
        <v>199.0</v>
      </c>
      <c r="R255" s="177">
        <v>51.3</v>
      </c>
      <c r="S255" s="177">
        <v>1331.0</v>
      </c>
      <c r="T255" s="177">
        <v>10.0</v>
      </c>
      <c r="U255" s="177">
        <v>5.0</v>
      </c>
      <c r="V255" s="177">
        <v>15.0</v>
      </c>
      <c r="W255" s="177">
        <v>7.5</v>
      </c>
      <c r="X255" s="177">
        <v>75.0</v>
      </c>
      <c r="Y255" s="177">
        <v>6.7</v>
      </c>
      <c r="Z255" s="177">
        <v>4.3</v>
      </c>
      <c r="AA255" s="177">
        <v>13.0</v>
      </c>
      <c r="AB255" s="177">
        <v>121.0</v>
      </c>
      <c r="AC255" s="177">
        <v>58.0</v>
      </c>
      <c r="AD255" s="183"/>
      <c r="AE255" s="177">
        <v>136.0</v>
      </c>
      <c r="AF255" s="183"/>
      <c r="AG255" s="183"/>
      <c r="AH255" s="183"/>
      <c r="AI255" s="177">
        <v>1.0</v>
      </c>
      <c r="AJ255" s="177">
        <v>1.0</v>
      </c>
      <c r="AK255" s="183"/>
      <c r="AL255" s="181" t="s">
        <v>380</v>
      </c>
      <c r="AM255" s="33"/>
      <c r="AN255" s="33"/>
      <c r="AO255" s="33"/>
      <c r="AP255" s="33"/>
      <c r="AQ255" s="33"/>
      <c r="AR255" s="33"/>
      <c r="AS255" s="33"/>
    </row>
    <row r="256" hidden="1" outlineLevel="1">
      <c r="A256" s="184" t="s">
        <v>75</v>
      </c>
      <c r="B256" s="176">
        <v>1961.0</v>
      </c>
      <c r="C256" s="180">
        <f t="array" ref="C256">xlookup(B256,DATA_LEAGUE_AVG!A:A,DATA_LEAGUE_AVG!H:H)</f>
        <v>378</v>
      </c>
      <c r="D256" s="177" t="b">
        <f t="shared" si="1"/>
        <v>1</v>
      </c>
      <c r="E256" s="177">
        <v>35.0</v>
      </c>
      <c r="F256" s="181" t="s">
        <v>430</v>
      </c>
      <c r="G256" s="181" t="s">
        <v>369</v>
      </c>
      <c r="H256" s="181" t="s">
        <v>90</v>
      </c>
      <c r="I256" s="180">
        <f t="array" ref="I256">xlookup(B256,DATA_LEAGUE_AVG!A:A,DATA_LEAGUE_AVG!C:C)</f>
        <v>2526.6</v>
      </c>
      <c r="J256" s="180">
        <f t="array" ref="J256">xlookup(B256,DATA_LEAGUE_AVG!A:A,DATA_LEAGUE_AVG!D:D)</f>
        <v>20.4</v>
      </c>
      <c r="K256" s="177">
        <f t="shared" ref="K256:L256" si="239">S256/I256</f>
        <v>0.8992321697</v>
      </c>
      <c r="L256" s="177">
        <f t="shared" si="239"/>
        <v>0.8333333333</v>
      </c>
      <c r="M256" s="177">
        <v>13.0</v>
      </c>
      <c r="N256" s="177">
        <v>10.0</v>
      </c>
      <c r="O256" s="182">
        <v>37104.0</v>
      </c>
      <c r="P256" s="177">
        <v>163.0</v>
      </c>
      <c r="Q256" s="177">
        <v>285.0</v>
      </c>
      <c r="R256" s="177">
        <v>57.2</v>
      </c>
      <c r="S256" s="177">
        <v>2272.0</v>
      </c>
      <c r="T256" s="177">
        <v>17.0</v>
      </c>
      <c r="U256" s="177">
        <v>6.0</v>
      </c>
      <c r="V256" s="177">
        <v>12.0</v>
      </c>
      <c r="W256" s="177">
        <v>4.2</v>
      </c>
      <c r="X256" s="177">
        <v>62.0</v>
      </c>
      <c r="Y256" s="177">
        <v>8.0</v>
      </c>
      <c r="Z256" s="177">
        <v>7.27</v>
      </c>
      <c r="AA256" s="177">
        <v>13.9</v>
      </c>
      <c r="AB256" s="177">
        <v>174.8</v>
      </c>
      <c r="AC256" s="177">
        <v>85.3</v>
      </c>
      <c r="AD256" s="177">
        <v>15.0</v>
      </c>
      <c r="AE256" s="177">
        <v>161.0</v>
      </c>
      <c r="AF256" s="177">
        <v>5.0</v>
      </c>
      <c r="AG256" s="177">
        <v>7.04</v>
      </c>
      <c r="AH256" s="177">
        <v>6.37</v>
      </c>
      <c r="AI256" s="177">
        <v>1.0</v>
      </c>
      <c r="AJ256" s="177">
        <v>1.0</v>
      </c>
      <c r="AK256" s="177">
        <v>10.0</v>
      </c>
      <c r="AL256" s="181" t="s">
        <v>380</v>
      </c>
      <c r="AM256" s="33"/>
      <c r="AN256" s="33"/>
      <c r="AO256" s="33"/>
      <c r="AP256" s="33"/>
      <c r="AQ256" s="33"/>
      <c r="AR256" s="33"/>
      <c r="AS256" s="33"/>
    </row>
    <row r="257" hidden="1" outlineLevel="1">
      <c r="A257" s="184" t="s">
        <v>75</v>
      </c>
      <c r="B257" s="176">
        <v>1962.0</v>
      </c>
      <c r="C257" s="180">
        <f t="array" ref="C257">xlookup(B257,DATA_LEAGUE_AVG!A:A,DATA_LEAGUE_AVG!H:H)</f>
        <v>382.6</v>
      </c>
      <c r="D257" s="177" t="b">
        <f t="shared" si="1"/>
        <v>1</v>
      </c>
      <c r="E257" s="177">
        <v>36.0</v>
      </c>
      <c r="F257" s="181" t="s">
        <v>430</v>
      </c>
      <c r="G257" s="181" t="s">
        <v>369</v>
      </c>
      <c r="H257" s="181" t="s">
        <v>90</v>
      </c>
      <c r="I257" s="180">
        <f t="array" ref="I257">xlookup(B257,DATA_LEAGUE_AVG!A:A,DATA_LEAGUE_AVG!C:C)</f>
        <v>2713.4</v>
      </c>
      <c r="J257" s="180">
        <f t="array" ref="J257">xlookup(B257,DATA_LEAGUE_AVG!A:A,DATA_LEAGUE_AVG!D:D)</f>
        <v>21.4</v>
      </c>
      <c r="K257" s="177">
        <f t="shared" ref="K257:L257" si="240">S257/I257</f>
        <v>1.188177195</v>
      </c>
      <c r="L257" s="177">
        <f t="shared" si="240"/>
        <v>1.542056075</v>
      </c>
      <c r="M257" s="177">
        <v>14.0</v>
      </c>
      <c r="N257" s="177">
        <v>14.0</v>
      </c>
      <c r="O257" s="182">
        <v>36862.0</v>
      </c>
      <c r="P257" s="177">
        <v>200.0</v>
      </c>
      <c r="Q257" s="177">
        <v>375.0</v>
      </c>
      <c r="R257" s="177">
        <v>53.3</v>
      </c>
      <c r="S257" s="177">
        <v>3224.0</v>
      </c>
      <c r="T257" s="177">
        <v>33.0</v>
      </c>
      <c r="U257" s="177">
        <v>8.8</v>
      </c>
      <c r="V257" s="177">
        <v>20.0</v>
      </c>
      <c r="W257" s="177">
        <v>5.3</v>
      </c>
      <c r="X257" s="177">
        <v>69.0</v>
      </c>
      <c r="Y257" s="177">
        <v>8.6</v>
      </c>
      <c r="Z257" s="177">
        <v>7.96</v>
      </c>
      <c r="AA257" s="177">
        <v>16.1</v>
      </c>
      <c r="AB257" s="177">
        <v>230.3</v>
      </c>
      <c r="AC257" s="177">
        <v>89.5</v>
      </c>
      <c r="AD257" s="177">
        <v>10.0</v>
      </c>
      <c r="AE257" s="177">
        <v>92.0</v>
      </c>
      <c r="AF257" s="177">
        <v>2.6</v>
      </c>
      <c r="AG257" s="177">
        <v>8.14</v>
      </c>
      <c r="AH257" s="177">
        <v>7.51</v>
      </c>
      <c r="AI257" s="177">
        <v>1.0</v>
      </c>
      <c r="AJ257" s="177">
        <v>1.0</v>
      </c>
      <c r="AK257" s="177">
        <v>15.0</v>
      </c>
      <c r="AL257" s="181" t="s">
        <v>412</v>
      </c>
      <c r="AM257" s="33"/>
      <c r="AN257" s="33"/>
      <c r="AO257" s="33"/>
      <c r="AP257" s="33"/>
      <c r="AQ257" s="33"/>
      <c r="AR257" s="33"/>
      <c r="AS257" s="33"/>
    </row>
    <row r="258" hidden="1" outlineLevel="1">
      <c r="A258" s="184" t="s">
        <v>75</v>
      </c>
      <c r="B258" s="176">
        <v>1963.0</v>
      </c>
      <c r="C258" s="180">
        <f t="array" ref="C258">xlookup(B258,DATA_LEAGUE_AVG!A:A,DATA_LEAGUE_AVG!H:H)</f>
        <v>386.8</v>
      </c>
      <c r="D258" s="177" t="b">
        <f t="shared" si="1"/>
        <v>1</v>
      </c>
      <c r="E258" s="177">
        <v>37.0</v>
      </c>
      <c r="F258" s="181" t="s">
        <v>430</v>
      </c>
      <c r="G258" s="181" t="s">
        <v>369</v>
      </c>
      <c r="H258" s="181" t="s">
        <v>90</v>
      </c>
      <c r="I258" s="180">
        <f t="array" ref="I258">xlookup(B258,DATA_LEAGUE_AVG!A:A,DATA_LEAGUE_AVG!C:C)</f>
        <v>2600.4</v>
      </c>
      <c r="J258" s="180">
        <f t="array" ref="J258">xlookup(B258,DATA_LEAGUE_AVG!A:A,DATA_LEAGUE_AVG!D:D)</f>
        <v>21.6</v>
      </c>
      <c r="K258" s="177">
        <f t="shared" ref="K258:L258" si="241">S258/I258</f>
        <v>1.209429319</v>
      </c>
      <c r="L258" s="177">
        <f t="shared" si="241"/>
        <v>1.666666667</v>
      </c>
      <c r="M258" s="177">
        <v>13.0</v>
      </c>
      <c r="N258" s="177">
        <v>13.0</v>
      </c>
      <c r="O258" s="182">
        <v>36832.0</v>
      </c>
      <c r="P258" s="177">
        <v>221.0</v>
      </c>
      <c r="Q258" s="177">
        <v>367.0</v>
      </c>
      <c r="R258" s="177">
        <v>60.2</v>
      </c>
      <c r="S258" s="177">
        <v>3145.0</v>
      </c>
      <c r="T258" s="177">
        <v>36.0</v>
      </c>
      <c r="U258" s="177">
        <v>9.8</v>
      </c>
      <c r="V258" s="177">
        <v>14.0</v>
      </c>
      <c r="W258" s="177">
        <v>3.8</v>
      </c>
      <c r="X258" s="177">
        <v>70.0</v>
      </c>
      <c r="Y258" s="177">
        <v>8.6</v>
      </c>
      <c r="Z258" s="177">
        <v>8.81</v>
      </c>
      <c r="AA258" s="177">
        <v>14.2</v>
      </c>
      <c r="AB258" s="177">
        <v>241.9</v>
      </c>
      <c r="AC258" s="177">
        <v>104.8</v>
      </c>
      <c r="AD258" s="177">
        <v>24.0</v>
      </c>
      <c r="AE258" s="177">
        <v>205.0</v>
      </c>
      <c r="AF258" s="177">
        <v>6.14</v>
      </c>
      <c r="AG258" s="177">
        <v>7.52</v>
      </c>
      <c r="AH258" s="177">
        <v>7.75</v>
      </c>
      <c r="AI258" s="177">
        <v>1.0</v>
      </c>
      <c r="AJ258" s="177">
        <v>1.0</v>
      </c>
      <c r="AK258" s="177">
        <v>16.0</v>
      </c>
      <c r="AL258" s="181" t="s">
        <v>403</v>
      </c>
      <c r="AM258" s="33"/>
      <c r="AN258" s="33"/>
      <c r="AO258" s="33"/>
      <c r="AP258" s="33"/>
      <c r="AQ258" s="33"/>
      <c r="AR258" s="33"/>
      <c r="AS258" s="33"/>
    </row>
    <row r="259" hidden="1" outlineLevel="1">
      <c r="A259" s="184" t="s">
        <v>75</v>
      </c>
      <c r="B259" s="176">
        <v>1964.0</v>
      </c>
      <c r="C259" s="180">
        <f t="array" ref="C259">xlookup(B259,DATA_LEAGUE_AVG!A:A,DATA_LEAGUE_AVG!H:H)</f>
        <v>388.4</v>
      </c>
      <c r="D259" s="177" t="b">
        <f t="shared" si="1"/>
        <v>1</v>
      </c>
      <c r="E259" s="177">
        <v>38.0</v>
      </c>
      <c r="F259" s="181" t="s">
        <v>430</v>
      </c>
      <c r="G259" s="181" t="s">
        <v>369</v>
      </c>
      <c r="H259" s="181" t="s">
        <v>90</v>
      </c>
      <c r="I259" s="180">
        <f t="array" ref="I259">xlookup(B259,DATA_LEAGUE_AVG!A:A,DATA_LEAGUE_AVG!C:C)</f>
        <v>2431</v>
      </c>
      <c r="J259" s="180">
        <f t="array" ref="J259">xlookup(B259,DATA_LEAGUE_AVG!A:A,DATA_LEAGUE_AVG!D:D)</f>
        <v>19.9</v>
      </c>
      <c r="K259" s="177">
        <f t="shared" ref="K259:L259" si="242">S259/I259</f>
        <v>0.7396133278</v>
      </c>
      <c r="L259" s="177">
        <f t="shared" si="242"/>
        <v>0.5025125628</v>
      </c>
      <c r="M259" s="177">
        <v>14.0</v>
      </c>
      <c r="N259" s="177">
        <v>11.0</v>
      </c>
      <c r="O259" s="182">
        <v>37264.0</v>
      </c>
      <c r="P259" s="177">
        <v>147.0</v>
      </c>
      <c r="Q259" s="177">
        <v>281.0</v>
      </c>
      <c r="R259" s="177">
        <v>52.3</v>
      </c>
      <c r="S259" s="177">
        <v>1798.0</v>
      </c>
      <c r="T259" s="177">
        <v>10.0</v>
      </c>
      <c r="U259" s="177">
        <v>3.6</v>
      </c>
      <c r="V259" s="177">
        <v>22.0</v>
      </c>
      <c r="W259" s="177">
        <v>7.8</v>
      </c>
      <c r="X259" s="177">
        <v>54.0</v>
      </c>
      <c r="Y259" s="177">
        <v>6.4</v>
      </c>
      <c r="Z259" s="177">
        <v>3.59</v>
      </c>
      <c r="AA259" s="177">
        <v>12.2</v>
      </c>
      <c r="AB259" s="177">
        <v>128.4</v>
      </c>
      <c r="AC259" s="177">
        <v>51.6</v>
      </c>
      <c r="AD259" s="177">
        <v>30.0</v>
      </c>
      <c r="AE259" s="177">
        <v>243.0</v>
      </c>
      <c r="AF259" s="177">
        <v>9.65</v>
      </c>
      <c r="AG259" s="177">
        <v>5.0</v>
      </c>
      <c r="AH259" s="177">
        <v>2.46</v>
      </c>
      <c r="AI259" s="177">
        <v>2.0</v>
      </c>
      <c r="AJ259" s="177">
        <v>1.0</v>
      </c>
      <c r="AK259" s="177">
        <v>3.0</v>
      </c>
      <c r="AL259" s="183"/>
      <c r="AM259" s="33"/>
      <c r="AN259" s="33"/>
      <c r="AO259" s="33"/>
      <c r="AP259" s="33"/>
      <c r="AQ259" s="33"/>
      <c r="AR259" s="33"/>
      <c r="AS259" s="33"/>
    </row>
    <row r="260" collapsed="1">
      <c r="A260" s="184" t="s">
        <v>71</v>
      </c>
      <c r="B260" s="176" t="s">
        <v>348</v>
      </c>
      <c r="C260" s="177" t="str">
        <f t="array" ref="C260">xlookup(B260,DATA_LEAGUE_AVG!A:A,DATA_LEAGUE_AVG!H:H)</f>
        <v>#N/A</v>
      </c>
      <c r="D260" s="177" t="str">
        <f t="shared" si="1"/>
        <v>#N/A</v>
      </c>
      <c r="E260" s="176" t="s">
        <v>351</v>
      </c>
      <c r="F260" s="176" t="s">
        <v>352</v>
      </c>
      <c r="G260" s="176" t="s">
        <v>353</v>
      </c>
      <c r="H260" s="176" t="s">
        <v>354</v>
      </c>
      <c r="I260" s="185" t="s">
        <v>355</v>
      </c>
      <c r="J260" s="185" t="s">
        <v>356</v>
      </c>
      <c r="K260" s="185" t="s">
        <v>272</v>
      </c>
      <c r="L260" s="185" t="s">
        <v>357</v>
      </c>
      <c r="M260" s="176" t="s">
        <v>358</v>
      </c>
      <c r="N260" s="176" t="s">
        <v>359</v>
      </c>
      <c r="O260" s="176" t="s">
        <v>360</v>
      </c>
      <c r="P260" s="176" t="s">
        <v>330</v>
      </c>
      <c r="Q260" s="176" t="s">
        <v>331</v>
      </c>
      <c r="R260" s="176" t="s">
        <v>332</v>
      </c>
      <c r="S260" s="176" t="s">
        <v>326</v>
      </c>
      <c r="T260" s="176" t="s">
        <v>327</v>
      </c>
      <c r="U260" s="176" t="s">
        <v>335</v>
      </c>
      <c r="V260" s="176" t="s">
        <v>336</v>
      </c>
      <c r="W260" s="176" t="s">
        <v>337</v>
      </c>
      <c r="X260" s="176" t="s">
        <v>361</v>
      </c>
      <c r="Y260" s="176" t="s">
        <v>362</v>
      </c>
      <c r="Z260" s="176" t="s">
        <v>363</v>
      </c>
      <c r="AA260" s="176" t="s">
        <v>338</v>
      </c>
      <c r="AB260" s="176" t="s">
        <v>339</v>
      </c>
      <c r="AC260" s="176" t="s">
        <v>340</v>
      </c>
      <c r="AD260" s="176" t="s">
        <v>341</v>
      </c>
      <c r="AE260" s="176" t="s">
        <v>342</v>
      </c>
      <c r="AF260" s="176" t="s">
        <v>404</v>
      </c>
      <c r="AG260" s="176" t="s">
        <v>343</v>
      </c>
      <c r="AH260" s="176" t="s">
        <v>326</v>
      </c>
      <c r="AI260" s="176" t="s">
        <v>345</v>
      </c>
      <c r="AJ260" s="176" t="s">
        <v>346</v>
      </c>
      <c r="AK260" s="176" t="s">
        <v>347</v>
      </c>
      <c r="AL260" s="176" t="s">
        <v>364</v>
      </c>
      <c r="AM260" s="176" t="s">
        <v>365</v>
      </c>
      <c r="AN260" s="176" t="s">
        <v>366</v>
      </c>
      <c r="AO260" s="176" t="s">
        <v>367</v>
      </c>
      <c r="AP260" s="33"/>
      <c r="AQ260" s="33"/>
      <c r="AR260" s="33"/>
      <c r="AS260" s="33"/>
    </row>
    <row r="261" hidden="1" outlineLevel="1">
      <c r="A261" s="184" t="s">
        <v>71</v>
      </c>
      <c r="B261" s="176">
        <v>2004.0</v>
      </c>
      <c r="C261" s="180">
        <f t="array" ref="C261">xlookup(B261,DATA_LEAGUE_AVG!A:A,DATA_LEAGUE_AVG!H:H)</f>
        <v>511.1</v>
      </c>
      <c r="D261" s="177" t="b">
        <f t="shared" si="1"/>
        <v>1</v>
      </c>
      <c r="E261" s="177">
        <v>22.0</v>
      </c>
      <c r="F261" s="181" t="s">
        <v>105</v>
      </c>
      <c r="G261" s="181" t="s">
        <v>369</v>
      </c>
      <c r="H261" s="181" t="s">
        <v>90</v>
      </c>
      <c r="I261" s="180">
        <f t="array" ref="I261">xlookup(B261,DATA_LEAGUE_AVG!A:A,DATA_LEAGUE_AVG!C:C)</f>
        <v>3368.7</v>
      </c>
      <c r="J261" s="180">
        <f t="array" ref="J261">xlookup(B261,DATA_LEAGUE_AVG!A:A,DATA_LEAGUE_AVG!D:D)</f>
        <v>22.9</v>
      </c>
      <c r="K261" s="177">
        <f t="shared" ref="K261:L261" si="243">S261/I261</f>
        <v>0.7780449432</v>
      </c>
      <c r="L261" s="177">
        <f t="shared" si="243"/>
        <v>0.7423580786</v>
      </c>
      <c r="M261" s="177">
        <v>14.0</v>
      </c>
      <c r="N261" s="177">
        <v>13.0</v>
      </c>
      <c r="O261" s="181" t="s">
        <v>438</v>
      </c>
      <c r="P261" s="177">
        <v>196.0</v>
      </c>
      <c r="Q261" s="177">
        <v>295.0</v>
      </c>
      <c r="R261" s="177">
        <v>66.4</v>
      </c>
      <c r="S261" s="177">
        <v>2621.0</v>
      </c>
      <c r="T261" s="177">
        <v>17.0</v>
      </c>
      <c r="U261" s="177">
        <v>5.8</v>
      </c>
      <c r="V261" s="177">
        <v>11.0</v>
      </c>
      <c r="W261" s="177">
        <v>3.7</v>
      </c>
      <c r="X261" s="177">
        <v>130.0</v>
      </c>
      <c r="Y261" s="177">
        <v>49.8</v>
      </c>
      <c r="Z261" s="177">
        <v>58.0</v>
      </c>
      <c r="AA261" s="177">
        <v>8.9</v>
      </c>
      <c r="AB261" s="177">
        <v>8.36</v>
      </c>
      <c r="AC261" s="177">
        <v>13.4</v>
      </c>
      <c r="AD261" s="177">
        <v>187.2</v>
      </c>
      <c r="AE261" s="177">
        <v>98.1</v>
      </c>
      <c r="AF261" s="183"/>
      <c r="AG261" s="177">
        <v>30.0</v>
      </c>
      <c r="AH261" s="177">
        <v>213.0</v>
      </c>
      <c r="AI261" s="177">
        <v>9.23</v>
      </c>
      <c r="AJ261" s="177">
        <v>7.41</v>
      </c>
      <c r="AK261" s="177">
        <v>6.93</v>
      </c>
      <c r="AL261" s="177">
        <v>4.0</v>
      </c>
      <c r="AM261" s="177">
        <v>5.0</v>
      </c>
      <c r="AN261" s="177">
        <v>12.0</v>
      </c>
      <c r="AO261" s="181" t="s">
        <v>439</v>
      </c>
      <c r="AP261" s="33"/>
      <c r="AQ261" s="33"/>
      <c r="AR261" s="33"/>
      <c r="AS261" s="33"/>
    </row>
    <row r="262" hidden="1" outlineLevel="1">
      <c r="A262" s="184" t="s">
        <v>71</v>
      </c>
      <c r="B262" s="176">
        <v>2005.0</v>
      </c>
      <c r="C262" s="180">
        <f t="array" ref="C262">xlookup(B262,DATA_LEAGUE_AVG!A:A,DATA_LEAGUE_AVG!H:H)</f>
        <v>514.5</v>
      </c>
      <c r="D262" s="177" t="b">
        <f t="shared" si="1"/>
        <v>1</v>
      </c>
      <c r="E262" s="177">
        <v>23.0</v>
      </c>
      <c r="F262" s="181" t="s">
        <v>105</v>
      </c>
      <c r="G262" s="181" t="s">
        <v>369</v>
      </c>
      <c r="H262" s="181" t="s">
        <v>90</v>
      </c>
      <c r="I262" s="180">
        <f t="array" ref="I262">xlookup(B262,DATA_LEAGUE_AVG!A:A,DATA_LEAGUE_AVG!C:C)</f>
        <v>3255.3</v>
      </c>
      <c r="J262" s="180">
        <f t="array" ref="J262">xlookup(B262,DATA_LEAGUE_AVG!A:A,DATA_LEAGUE_AVG!D:D)</f>
        <v>20.1</v>
      </c>
      <c r="K262" s="177">
        <f t="shared" ref="K262:L262" si="244">S262/I262</f>
        <v>0.7326513685</v>
      </c>
      <c r="L262" s="177">
        <f t="shared" si="244"/>
        <v>0.8457711443</v>
      </c>
      <c r="M262" s="177">
        <v>12.0</v>
      </c>
      <c r="N262" s="177">
        <v>12.0</v>
      </c>
      <c r="O262" s="182">
        <v>36772.0</v>
      </c>
      <c r="P262" s="177">
        <v>168.0</v>
      </c>
      <c r="Q262" s="177">
        <v>268.0</v>
      </c>
      <c r="R262" s="177">
        <v>62.7</v>
      </c>
      <c r="S262" s="177">
        <v>2385.0</v>
      </c>
      <c r="T262" s="177">
        <v>17.0</v>
      </c>
      <c r="U262" s="177">
        <v>6.3</v>
      </c>
      <c r="V262" s="177">
        <v>9.0</v>
      </c>
      <c r="W262" s="177">
        <v>3.4</v>
      </c>
      <c r="X262" s="177">
        <v>110.0</v>
      </c>
      <c r="Y262" s="177">
        <v>49.5</v>
      </c>
      <c r="Z262" s="177">
        <v>85.0</v>
      </c>
      <c r="AA262" s="177">
        <v>8.9</v>
      </c>
      <c r="AB262" s="177">
        <v>8.66</v>
      </c>
      <c r="AC262" s="177">
        <v>14.2</v>
      </c>
      <c r="AD262" s="177">
        <v>198.8</v>
      </c>
      <c r="AE262" s="177">
        <v>98.6</v>
      </c>
      <c r="AF262" s="183"/>
      <c r="AG262" s="177">
        <v>23.0</v>
      </c>
      <c r="AH262" s="177">
        <v>129.0</v>
      </c>
      <c r="AI262" s="177">
        <v>7.9</v>
      </c>
      <c r="AJ262" s="177">
        <v>7.75</v>
      </c>
      <c r="AK262" s="177">
        <v>7.53</v>
      </c>
      <c r="AL262" s="177">
        <v>2.0</v>
      </c>
      <c r="AM262" s="177">
        <v>2.0</v>
      </c>
      <c r="AN262" s="177">
        <v>11.0</v>
      </c>
      <c r="AO262" s="183"/>
      <c r="AP262" s="33"/>
      <c r="AQ262" s="33"/>
      <c r="AR262" s="33"/>
      <c r="AS262" s="33"/>
    </row>
    <row r="263" hidden="1" outlineLevel="1">
      <c r="A263" s="184" t="s">
        <v>71</v>
      </c>
      <c r="B263" s="176">
        <v>2006.0</v>
      </c>
      <c r="C263" s="180">
        <f t="array" ref="C263">xlookup(B263,DATA_LEAGUE_AVG!A:A,DATA_LEAGUE_AVG!H:H)</f>
        <v>512.2</v>
      </c>
      <c r="D263" s="177" t="b">
        <f t="shared" si="1"/>
        <v>1</v>
      </c>
      <c r="E263" s="177">
        <v>24.0</v>
      </c>
      <c r="F263" s="181" t="s">
        <v>105</v>
      </c>
      <c r="G263" s="181" t="s">
        <v>369</v>
      </c>
      <c r="H263" s="181" t="s">
        <v>90</v>
      </c>
      <c r="I263" s="180">
        <f t="array" ref="I263">xlookup(B263,DATA_LEAGUE_AVG!A:A,DATA_LEAGUE_AVG!C:C)</f>
        <v>3277</v>
      </c>
      <c r="J263" s="180">
        <f t="array" ref="J263">xlookup(B263,DATA_LEAGUE_AVG!A:A,DATA_LEAGUE_AVG!D:D)</f>
        <v>20.3</v>
      </c>
      <c r="K263" s="177">
        <f t="shared" ref="K263:L263" si="245">S263/I263</f>
        <v>1.072017089</v>
      </c>
      <c r="L263" s="177">
        <f t="shared" si="245"/>
        <v>0.8866995074</v>
      </c>
      <c r="M263" s="177">
        <v>15.0</v>
      </c>
      <c r="N263" s="177">
        <v>15.0</v>
      </c>
      <c r="O263" s="182">
        <v>36715.0</v>
      </c>
      <c r="P263" s="177">
        <v>280.0</v>
      </c>
      <c r="Q263" s="177">
        <v>469.0</v>
      </c>
      <c r="R263" s="177">
        <v>59.7</v>
      </c>
      <c r="S263" s="177">
        <v>3513.0</v>
      </c>
      <c r="T263" s="177">
        <v>18.0</v>
      </c>
      <c r="U263" s="177">
        <v>3.8</v>
      </c>
      <c r="V263" s="177">
        <v>23.0</v>
      </c>
      <c r="W263" s="177">
        <v>4.9</v>
      </c>
      <c r="X263" s="177">
        <v>178.0</v>
      </c>
      <c r="Y263" s="177">
        <v>44.5</v>
      </c>
      <c r="Z263" s="177">
        <v>67.0</v>
      </c>
      <c r="AA263" s="177">
        <v>7.5</v>
      </c>
      <c r="AB263" s="177">
        <v>6.05</v>
      </c>
      <c r="AC263" s="177">
        <v>12.5</v>
      </c>
      <c r="AD263" s="177">
        <v>234.2</v>
      </c>
      <c r="AE263" s="177">
        <v>75.4</v>
      </c>
      <c r="AF263" s="177">
        <v>58.0</v>
      </c>
      <c r="AG263" s="177">
        <v>46.0</v>
      </c>
      <c r="AH263" s="177">
        <v>280.0</v>
      </c>
      <c r="AI263" s="177">
        <v>8.93</v>
      </c>
      <c r="AJ263" s="177">
        <v>6.28</v>
      </c>
      <c r="AK263" s="177">
        <v>4.97</v>
      </c>
      <c r="AL263" s="177">
        <v>2.0</v>
      </c>
      <c r="AM263" s="177">
        <v>3.0</v>
      </c>
      <c r="AN263" s="177">
        <v>11.0</v>
      </c>
      <c r="AO263" s="183"/>
      <c r="AP263" s="33"/>
      <c r="AQ263" s="33"/>
      <c r="AR263" s="33"/>
      <c r="AS263" s="33"/>
    </row>
    <row r="264" hidden="1" outlineLevel="1">
      <c r="A264" s="184" t="s">
        <v>71</v>
      </c>
      <c r="B264" s="176">
        <v>2007.0</v>
      </c>
      <c r="C264" s="180">
        <f t="array" ref="C264">xlookup(B264,DATA_LEAGUE_AVG!A:A,DATA_LEAGUE_AVG!H:H)</f>
        <v>532.7</v>
      </c>
      <c r="D264" s="177" t="b">
        <f t="shared" si="1"/>
        <v>1</v>
      </c>
      <c r="E264" s="177">
        <v>25.0</v>
      </c>
      <c r="F264" s="181" t="s">
        <v>105</v>
      </c>
      <c r="G264" s="181" t="s">
        <v>369</v>
      </c>
      <c r="H264" s="181" t="s">
        <v>90</v>
      </c>
      <c r="I264" s="180">
        <f t="array" ref="I264">xlookup(B264,DATA_LEAGUE_AVG!A:A,DATA_LEAGUE_AVG!C:C)</f>
        <v>3428.8</v>
      </c>
      <c r="J264" s="180">
        <f t="array" ref="J264">xlookup(B264,DATA_LEAGUE_AVG!A:A,DATA_LEAGUE_AVG!D:D)</f>
        <v>22.5</v>
      </c>
      <c r="K264" s="177">
        <f t="shared" ref="K264:L264" si="246">S264/I264</f>
        <v>0.919855343</v>
      </c>
      <c r="L264" s="177">
        <f t="shared" si="246"/>
        <v>1.422222222</v>
      </c>
      <c r="M264" s="177">
        <v>15.0</v>
      </c>
      <c r="N264" s="177">
        <v>15.0</v>
      </c>
      <c r="O264" s="182">
        <v>36804.0</v>
      </c>
      <c r="P264" s="177">
        <v>264.0</v>
      </c>
      <c r="Q264" s="177">
        <v>404.0</v>
      </c>
      <c r="R264" s="177">
        <v>65.3</v>
      </c>
      <c r="S264" s="177">
        <v>3154.0</v>
      </c>
      <c r="T264" s="177">
        <v>32.0</v>
      </c>
      <c r="U264" s="177">
        <v>7.9</v>
      </c>
      <c r="V264" s="177">
        <v>11.0</v>
      </c>
      <c r="W264" s="177">
        <v>2.7</v>
      </c>
      <c r="X264" s="177">
        <v>167.0</v>
      </c>
      <c r="Y264" s="177">
        <v>47.7</v>
      </c>
      <c r="Z264" s="177">
        <v>83.0</v>
      </c>
      <c r="AA264" s="177">
        <v>7.8</v>
      </c>
      <c r="AB264" s="177">
        <v>8.17</v>
      </c>
      <c r="AC264" s="177">
        <v>11.9</v>
      </c>
      <c r="AD264" s="177">
        <v>210.3</v>
      </c>
      <c r="AE264" s="177">
        <v>104.1</v>
      </c>
      <c r="AF264" s="177">
        <v>70.5</v>
      </c>
      <c r="AG264" s="177">
        <v>47.0</v>
      </c>
      <c r="AH264" s="177">
        <v>347.0</v>
      </c>
      <c r="AI264" s="177">
        <v>10.42</v>
      </c>
      <c r="AJ264" s="177">
        <v>6.22</v>
      </c>
      <c r="AK264" s="177">
        <v>6.55</v>
      </c>
      <c r="AL264" s="177">
        <v>1.0</v>
      </c>
      <c r="AM264" s="177">
        <v>2.0</v>
      </c>
      <c r="AN264" s="177">
        <v>14.0</v>
      </c>
      <c r="AO264" s="181" t="s">
        <v>440</v>
      </c>
      <c r="AP264" s="33"/>
      <c r="AQ264" s="33"/>
      <c r="AR264" s="33"/>
      <c r="AS264" s="33"/>
    </row>
    <row r="265" hidden="1" outlineLevel="1">
      <c r="A265" s="184" t="s">
        <v>71</v>
      </c>
      <c r="B265" s="176">
        <v>2008.0</v>
      </c>
      <c r="C265" s="180">
        <f t="array" ref="C265">xlookup(B265,DATA_LEAGUE_AVG!A:A,DATA_LEAGUE_AVG!H:H)</f>
        <v>516.4</v>
      </c>
      <c r="D265" s="177" t="b">
        <f t="shared" si="1"/>
        <v>1</v>
      </c>
      <c r="E265" s="177">
        <v>26.0</v>
      </c>
      <c r="F265" s="181" t="s">
        <v>105</v>
      </c>
      <c r="G265" s="181" t="s">
        <v>369</v>
      </c>
      <c r="H265" s="181" t="s">
        <v>90</v>
      </c>
      <c r="I265" s="180">
        <f t="array" ref="I265">xlookup(B265,DATA_LEAGUE_AVG!A:A,DATA_LEAGUE_AVG!C:C)</f>
        <v>3380.5</v>
      </c>
      <c r="J265" s="180">
        <f t="array" ref="J265">xlookup(B265,DATA_LEAGUE_AVG!A:A,DATA_LEAGUE_AVG!D:D)</f>
        <v>20.2</v>
      </c>
      <c r="K265" s="177">
        <f t="shared" ref="K265:L265" si="247">S265/I265</f>
        <v>0.9764827688</v>
      </c>
      <c r="L265" s="177">
        <f t="shared" si="247"/>
        <v>0.8415841584</v>
      </c>
      <c r="M265" s="177">
        <v>16.0</v>
      </c>
      <c r="N265" s="177">
        <v>16.0</v>
      </c>
      <c r="O265" s="182">
        <v>36864.0</v>
      </c>
      <c r="P265" s="177">
        <v>281.0</v>
      </c>
      <c r="Q265" s="177">
        <v>469.0</v>
      </c>
      <c r="R265" s="177">
        <v>59.9</v>
      </c>
      <c r="S265" s="177">
        <v>3301.0</v>
      </c>
      <c r="T265" s="177">
        <v>17.0</v>
      </c>
      <c r="U265" s="177">
        <v>3.6</v>
      </c>
      <c r="V265" s="177">
        <v>15.0</v>
      </c>
      <c r="W265" s="177">
        <v>3.2</v>
      </c>
      <c r="X265" s="177">
        <v>162.0</v>
      </c>
      <c r="Y265" s="177">
        <v>44.3</v>
      </c>
      <c r="Z265" s="177">
        <v>65.0</v>
      </c>
      <c r="AA265" s="177">
        <v>7.0</v>
      </c>
      <c r="AB265" s="177">
        <v>6.32</v>
      </c>
      <c r="AC265" s="177">
        <v>11.7</v>
      </c>
      <c r="AD265" s="177">
        <v>206.3</v>
      </c>
      <c r="AE265" s="177">
        <v>80.1</v>
      </c>
      <c r="AF265" s="177">
        <v>47.1</v>
      </c>
      <c r="AG265" s="177">
        <v>46.0</v>
      </c>
      <c r="AH265" s="177">
        <v>284.0</v>
      </c>
      <c r="AI265" s="177">
        <v>8.93</v>
      </c>
      <c r="AJ265" s="177">
        <v>5.86</v>
      </c>
      <c r="AK265" s="177">
        <v>5.21</v>
      </c>
      <c r="AL265" s="177">
        <v>4.0</v>
      </c>
      <c r="AM265" s="177">
        <v>4.0</v>
      </c>
      <c r="AN265" s="177">
        <v>11.0</v>
      </c>
      <c r="AO265" s="183"/>
      <c r="AP265" s="33"/>
      <c r="AQ265" s="33"/>
      <c r="AR265" s="33"/>
      <c r="AS265" s="33"/>
    </row>
    <row r="266" hidden="1" outlineLevel="1">
      <c r="A266" s="184" t="s">
        <v>71</v>
      </c>
      <c r="B266" s="176">
        <v>2009.0</v>
      </c>
      <c r="C266" s="180">
        <f t="array" ref="C266">xlookup(B266,DATA_LEAGUE_AVG!A:A,DATA_LEAGUE_AVG!H:H)</f>
        <v>532.3</v>
      </c>
      <c r="D266" s="177" t="b">
        <f t="shared" si="1"/>
        <v>1</v>
      </c>
      <c r="E266" s="177">
        <v>27.0</v>
      </c>
      <c r="F266" s="181" t="s">
        <v>105</v>
      </c>
      <c r="G266" s="181" t="s">
        <v>369</v>
      </c>
      <c r="H266" s="181" t="s">
        <v>90</v>
      </c>
      <c r="I266" s="180">
        <f t="array" ref="I266">xlookup(B266,DATA_LEAGUE_AVG!A:A,DATA_LEAGUE_AVG!C:C)</f>
        <v>3495.3</v>
      </c>
      <c r="J266" s="180">
        <f t="array" ref="J266">xlookup(B266,DATA_LEAGUE_AVG!A:A,DATA_LEAGUE_AVG!D:D)</f>
        <v>22.2</v>
      </c>
      <c r="K266" s="177">
        <f t="shared" ref="K266:L266" si="248">S266/I266</f>
        <v>1.2382342</v>
      </c>
      <c r="L266" s="177">
        <f t="shared" si="248"/>
        <v>1.171171171</v>
      </c>
      <c r="M266" s="177">
        <v>15.0</v>
      </c>
      <c r="N266" s="177">
        <v>15.0</v>
      </c>
      <c r="O266" s="182">
        <v>36775.0</v>
      </c>
      <c r="P266" s="177">
        <v>337.0</v>
      </c>
      <c r="Q266" s="177">
        <v>506.0</v>
      </c>
      <c r="R266" s="177">
        <v>66.6</v>
      </c>
      <c r="S266" s="177">
        <v>4328.0</v>
      </c>
      <c r="T266" s="177">
        <v>26.0</v>
      </c>
      <c r="U266" s="177">
        <v>5.1</v>
      </c>
      <c r="V266" s="177">
        <v>12.0</v>
      </c>
      <c r="W266" s="177">
        <v>2.4</v>
      </c>
      <c r="X266" s="177">
        <v>201.0</v>
      </c>
      <c r="Y266" s="177">
        <v>50.7</v>
      </c>
      <c r="Z266" s="177">
        <v>60.0</v>
      </c>
      <c r="AA266" s="177">
        <v>8.6</v>
      </c>
      <c r="AB266" s="177">
        <v>8.51</v>
      </c>
      <c r="AC266" s="177">
        <v>12.8</v>
      </c>
      <c r="AD266" s="177">
        <v>288.5</v>
      </c>
      <c r="AE266" s="177">
        <v>100.5</v>
      </c>
      <c r="AF266" s="177">
        <v>69.0</v>
      </c>
      <c r="AG266" s="177">
        <v>50.0</v>
      </c>
      <c r="AH266" s="177">
        <v>348.0</v>
      </c>
      <c r="AI266" s="177">
        <v>8.99</v>
      </c>
      <c r="AJ266" s="177">
        <v>7.16</v>
      </c>
      <c r="AK266" s="177">
        <v>7.12</v>
      </c>
      <c r="AL266" s="177">
        <v>2.0</v>
      </c>
      <c r="AM266" s="177">
        <v>3.0</v>
      </c>
      <c r="AN266" s="177">
        <v>14.0</v>
      </c>
      <c r="AO266" s="183"/>
      <c r="AP266" s="33"/>
      <c r="AQ266" s="33"/>
      <c r="AR266" s="33"/>
      <c r="AS266" s="33"/>
    </row>
    <row r="267" hidden="1" outlineLevel="1">
      <c r="A267" s="184" t="s">
        <v>71</v>
      </c>
      <c r="B267" s="176">
        <v>2010.0</v>
      </c>
      <c r="C267" s="180">
        <f t="array" ref="C267">xlookup(B267,DATA_LEAGUE_AVG!A:A,DATA_LEAGUE_AVG!H:H)</f>
        <v>539.7</v>
      </c>
      <c r="D267" s="177" t="b">
        <f t="shared" si="1"/>
        <v>1</v>
      </c>
      <c r="E267" s="177">
        <v>28.0</v>
      </c>
      <c r="F267" s="181" t="s">
        <v>105</v>
      </c>
      <c r="G267" s="181" t="s">
        <v>369</v>
      </c>
      <c r="H267" s="181" t="s">
        <v>90</v>
      </c>
      <c r="I267" s="180">
        <f t="array" ref="I267">xlookup(B267,DATA_LEAGUE_AVG!A:A,DATA_LEAGUE_AVG!C:C)</f>
        <v>3544.8</v>
      </c>
      <c r="J267" s="180">
        <f t="array" ref="J267">xlookup(B267,DATA_LEAGUE_AVG!A:A,DATA_LEAGUE_AVG!D:D)</f>
        <v>23.5</v>
      </c>
      <c r="K267" s="177">
        <f t="shared" ref="K267:L267" si="249">S267/I267</f>
        <v>0.9027307606</v>
      </c>
      <c r="L267" s="177">
        <f t="shared" si="249"/>
        <v>0.7234042553</v>
      </c>
      <c r="M267" s="177">
        <v>12.0</v>
      </c>
      <c r="N267" s="177">
        <v>12.0</v>
      </c>
      <c r="O267" s="182">
        <v>36772.0</v>
      </c>
      <c r="P267" s="177">
        <v>240.0</v>
      </c>
      <c r="Q267" s="177">
        <v>389.0</v>
      </c>
      <c r="R267" s="177">
        <v>61.7</v>
      </c>
      <c r="S267" s="177">
        <v>3200.0</v>
      </c>
      <c r="T267" s="177">
        <v>17.0</v>
      </c>
      <c r="U267" s="177">
        <v>4.4</v>
      </c>
      <c r="V267" s="177">
        <v>5.0</v>
      </c>
      <c r="W267" s="177">
        <v>1.3</v>
      </c>
      <c r="X267" s="177">
        <v>149.0</v>
      </c>
      <c r="Y267" s="177">
        <v>46.8</v>
      </c>
      <c r="Z267" s="177">
        <v>56.0</v>
      </c>
      <c r="AA267" s="177">
        <v>8.2</v>
      </c>
      <c r="AB267" s="177">
        <v>8.52</v>
      </c>
      <c r="AC267" s="177">
        <v>13.3</v>
      </c>
      <c r="AD267" s="177">
        <v>266.7</v>
      </c>
      <c r="AE267" s="177">
        <v>97.0</v>
      </c>
      <c r="AF267" s="177">
        <v>67.4</v>
      </c>
      <c r="AG267" s="177">
        <v>32.0</v>
      </c>
      <c r="AH267" s="177">
        <v>220.0</v>
      </c>
      <c r="AI267" s="177">
        <v>7.6</v>
      </c>
      <c r="AJ267" s="177">
        <v>7.08</v>
      </c>
      <c r="AK267" s="177">
        <v>7.35</v>
      </c>
      <c r="AL267" s="177">
        <v>2.0</v>
      </c>
      <c r="AM267" s="177">
        <v>3.0</v>
      </c>
      <c r="AN267" s="177">
        <v>12.0</v>
      </c>
      <c r="AO267" s="183"/>
      <c r="AP267" s="33"/>
      <c r="AQ267" s="33"/>
      <c r="AR267" s="33"/>
      <c r="AS267" s="33"/>
    </row>
    <row r="268" hidden="1" outlineLevel="1">
      <c r="A268" s="184" t="s">
        <v>71</v>
      </c>
      <c r="B268" s="176">
        <v>2011.0</v>
      </c>
      <c r="C268" s="180">
        <f t="array" ref="C268">xlookup(B268,DATA_LEAGUE_AVG!A:A,DATA_LEAGUE_AVG!H:H)</f>
        <v>544.1</v>
      </c>
      <c r="D268" s="177" t="b">
        <f t="shared" si="1"/>
        <v>1</v>
      </c>
      <c r="E268" s="177">
        <v>29.0</v>
      </c>
      <c r="F268" s="181" t="s">
        <v>105</v>
      </c>
      <c r="G268" s="181" t="s">
        <v>369</v>
      </c>
      <c r="H268" s="181" t="s">
        <v>90</v>
      </c>
      <c r="I268" s="180">
        <f t="array" ref="I268">xlookup(B268,DATA_LEAGUE_AVG!A:A,DATA_LEAGUE_AVG!C:C)</f>
        <v>3675</v>
      </c>
      <c r="J268" s="180">
        <f t="array" ref="J268">xlookup(B268,DATA_LEAGUE_AVG!A:A,DATA_LEAGUE_AVG!D:D)</f>
        <v>23.3</v>
      </c>
      <c r="K268" s="177">
        <f t="shared" ref="K268:L268" si="250">S268/I268</f>
        <v>1.109387755</v>
      </c>
      <c r="L268" s="177">
        <f t="shared" si="250"/>
        <v>0.9012875536</v>
      </c>
      <c r="M268" s="177">
        <v>15.0</v>
      </c>
      <c r="N268" s="177">
        <v>15.0</v>
      </c>
      <c r="O268" s="182">
        <v>36834.0</v>
      </c>
      <c r="P268" s="177">
        <v>324.0</v>
      </c>
      <c r="Q268" s="177">
        <v>513.0</v>
      </c>
      <c r="R268" s="177">
        <v>63.2</v>
      </c>
      <c r="S268" s="177">
        <v>4077.0</v>
      </c>
      <c r="T268" s="177">
        <v>21.0</v>
      </c>
      <c r="U268" s="177">
        <v>4.1</v>
      </c>
      <c r="V268" s="177">
        <v>14.0</v>
      </c>
      <c r="W268" s="177">
        <v>2.7</v>
      </c>
      <c r="X268" s="177">
        <v>210.0</v>
      </c>
      <c r="Y268" s="177">
        <v>48.5</v>
      </c>
      <c r="Z268" s="177">
        <v>95.0</v>
      </c>
      <c r="AA268" s="177">
        <v>7.9</v>
      </c>
      <c r="AB268" s="177">
        <v>7.54</v>
      </c>
      <c r="AC268" s="177">
        <v>12.6</v>
      </c>
      <c r="AD268" s="177">
        <v>271.8</v>
      </c>
      <c r="AE268" s="177">
        <v>90.1</v>
      </c>
      <c r="AF268" s="177">
        <v>68.3</v>
      </c>
      <c r="AG268" s="177">
        <v>40.0</v>
      </c>
      <c r="AH268" s="177">
        <v>269.0</v>
      </c>
      <c r="AI268" s="177">
        <v>7.23</v>
      </c>
      <c r="AJ268" s="177">
        <v>6.89</v>
      </c>
      <c r="AK268" s="177">
        <v>6.51</v>
      </c>
      <c r="AL268" s="177">
        <v>1.0</v>
      </c>
      <c r="AM268" s="177">
        <v>1.0</v>
      </c>
      <c r="AN268" s="177">
        <v>12.0</v>
      </c>
      <c r="AO268" s="181" t="s">
        <v>380</v>
      </c>
      <c r="AP268" s="33"/>
      <c r="AQ268" s="33"/>
      <c r="AR268" s="33"/>
      <c r="AS268" s="33"/>
    </row>
    <row r="269" hidden="1" outlineLevel="1">
      <c r="A269" s="184" t="s">
        <v>71</v>
      </c>
      <c r="B269" s="176">
        <v>2012.0</v>
      </c>
      <c r="C269" s="180">
        <f t="array" ref="C269">xlookup(B269,DATA_LEAGUE_AVG!A:A,DATA_LEAGUE_AVG!H:H)</f>
        <v>555.9</v>
      </c>
      <c r="D269" s="177" t="b">
        <f t="shared" si="1"/>
        <v>1</v>
      </c>
      <c r="E269" s="177">
        <v>30.0</v>
      </c>
      <c r="F269" s="181" t="s">
        <v>105</v>
      </c>
      <c r="G269" s="181" t="s">
        <v>369</v>
      </c>
      <c r="H269" s="181" t="s">
        <v>90</v>
      </c>
      <c r="I269" s="180">
        <f t="array" ref="I269">xlookup(B269,DATA_LEAGUE_AVG!A:A,DATA_LEAGUE_AVG!C:C)</f>
        <v>3700.6</v>
      </c>
      <c r="J269" s="180">
        <f t="array" ref="J269">xlookup(B269,DATA_LEAGUE_AVG!A:A,DATA_LEAGUE_AVG!D:D)</f>
        <v>23.7</v>
      </c>
      <c r="K269" s="177">
        <f t="shared" ref="K269:L269" si="251">S269/I269</f>
        <v>0.8822893585</v>
      </c>
      <c r="L269" s="177">
        <f t="shared" si="251"/>
        <v>1.097046414</v>
      </c>
      <c r="M269" s="177">
        <v>13.0</v>
      </c>
      <c r="N269" s="177">
        <v>13.0</v>
      </c>
      <c r="O269" s="182">
        <v>36713.0</v>
      </c>
      <c r="P269" s="177">
        <v>284.0</v>
      </c>
      <c r="Q269" s="177">
        <v>449.0</v>
      </c>
      <c r="R269" s="177">
        <v>63.3</v>
      </c>
      <c r="S269" s="177">
        <v>3265.0</v>
      </c>
      <c r="T269" s="177">
        <v>26.0</v>
      </c>
      <c r="U269" s="177">
        <v>5.8</v>
      </c>
      <c r="V269" s="177">
        <v>8.0</v>
      </c>
      <c r="W269" s="177">
        <v>1.8</v>
      </c>
      <c r="X269" s="177">
        <v>167.0</v>
      </c>
      <c r="Y269" s="177">
        <v>48.6</v>
      </c>
      <c r="Z269" s="177">
        <v>82.0</v>
      </c>
      <c r="AA269" s="177">
        <v>7.3</v>
      </c>
      <c r="AB269" s="177">
        <v>7.63</v>
      </c>
      <c r="AC269" s="177">
        <v>11.5</v>
      </c>
      <c r="AD269" s="177">
        <v>251.2</v>
      </c>
      <c r="AE269" s="177">
        <v>97.0</v>
      </c>
      <c r="AF269" s="177">
        <v>71.3</v>
      </c>
      <c r="AG269" s="177">
        <v>30.0</v>
      </c>
      <c r="AH269" s="177">
        <v>182.0</v>
      </c>
      <c r="AI269" s="177">
        <v>6.26</v>
      </c>
      <c r="AJ269" s="177">
        <v>6.44</v>
      </c>
      <c r="AK269" s="177">
        <v>6.77</v>
      </c>
      <c r="AL269" s="177">
        <v>2.0</v>
      </c>
      <c r="AM269" s="177">
        <v>3.0</v>
      </c>
      <c r="AN269" s="177">
        <v>10.0</v>
      </c>
      <c r="AO269" s="183"/>
      <c r="AP269" s="33"/>
      <c r="AQ269" s="33"/>
      <c r="AR269" s="33"/>
      <c r="AS269" s="33"/>
    </row>
    <row r="270" hidden="1" outlineLevel="1">
      <c r="A270" s="184" t="s">
        <v>71</v>
      </c>
      <c r="B270" s="176">
        <v>2013.0</v>
      </c>
      <c r="C270" s="180">
        <f t="array" ref="C270">xlookup(B270,DATA_LEAGUE_AVG!A:A,DATA_LEAGUE_AVG!H:H)</f>
        <v>566.8</v>
      </c>
      <c r="D270" s="177" t="b">
        <f t="shared" si="1"/>
        <v>1</v>
      </c>
      <c r="E270" s="177">
        <v>31.0</v>
      </c>
      <c r="F270" s="181" t="s">
        <v>105</v>
      </c>
      <c r="G270" s="181" t="s">
        <v>369</v>
      </c>
      <c r="H270" s="181" t="s">
        <v>90</v>
      </c>
      <c r="I270" s="180">
        <f t="array" ref="I270">xlookup(B270,DATA_LEAGUE_AVG!A:A,DATA_LEAGUE_AVG!C:C)</f>
        <v>3769.6</v>
      </c>
      <c r="J270" s="180">
        <f t="array" ref="J270">xlookup(B270,DATA_LEAGUE_AVG!A:A,DATA_LEAGUE_AVG!D:D)</f>
        <v>25.1</v>
      </c>
      <c r="K270" s="177">
        <f t="shared" ref="K270:L270" si="252">S270/I270</f>
        <v>1.130358659</v>
      </c>
      <c r="L270" s="177">
        <f t="shared" si="252"/>
        <v>1.115537849</v>
      </c>
      <c r="M270" s="177">
        <v>16.0</v>
      </c>
      <c r="N270" s="177">
        <v>16.0</v>
      </c>
      <c r="O270" s="182">
        <v>36746.0</v>
      </c>
      <c r="P270" s="177">
        <v>375.0</v>
      </c>
      <c r="Q270" s="177">
        <v>584.0</v>
      </c>
      <c r="R270" s="177">
        <v>64.2</v>
      </c>
      <c r="S270" s="177">
        <v>4261.0</v>
      </c>
      <c r="T270" s="177">
        <v>28.0</v>
      </c>
      <c r="U270" s="177">
        <v>4.8</v>
      </c>
      <c r="V270" s="177">
        <v>14.0</v>
      </c>
      <c r="W270" s="177">
        <v>2.4</v>
      </c>
      <c r="X270" s="177">
        <v>211.0</v>
      </c>
      <c r="Y270" s="177">
        <v>47.4</v>
      </c>
      <c r="Z270" s="177">
        <v>67.0</v>
      </c>
      <c r="AA270" s="177">
        <v>7.3</v>
      </c>
      <c r="AB270" s="177">
        <v>7.18</v>
      </c>
      <c r="AC270" s="177">
        <v>11.4</v>
      </c>
      <c r="AD270" s="177">
        <v>266.3</v>
      </c>
      <c r="AE270" s="177">
        <v>92.0</v>
      </c>
      <c r="AF270" s="177">
        <v>58.0</v>
      </c>
      <c r="AG270" s="177">
        <v>42.0</v>
      </c>
      <c r="AH270" s="177">
        <v>282.0</v>
      </c>
      <c r="AI270" s="177">
        <v>6.71</v>
      </c>
      <c r="AJ270" s="177">
        <v>6.36</v>
      </c>
      <c r="AK270" s="177">
        <v>6.24</v>
      </c>
      <c r="AL270" s="177">
        <v>1.0</v>
      </c>
      <c r="AM270" s="177">
        <v>3.0</v>
      </c>
      <c r="AN270" s="177">
        <v>13.0</v>
      </c>
      <c r="AO270" s="183"/>
      <c r="AP270" s="33"/>
      <c r="AQ270" s="33"/>
      <c r="AR270" s="33"/>
      <c r="AS270" s="33"/>
    </row>
    <row r="271" hidden="1" outlineLevel="1">
      <c r="A271" s="184" t="s">
        <v>71</v>
      </c>
      <c r="B271" s="176">
        <v>2014.0</v>
      </c>
      <c r="C271" s="180">
        <f t="array" ref="C271">xlookup(B271,DATA_LEAGUE_AVG!A:A,DATA_LEAGUE_AVG!H:H)</f>
        <v>558.7</v>
      </c>
      <c r="D271" s="177" t="b">
        <f t="shared" si="1"/>
        <v>1</v>
      </c>
      <c r="E271" s="177">
        <v>32.0</v>
      </c>
      <c r="F271" s="181" t="s">
        <v>105</v>
      </c>
      <c r="G271" s="181" t="s">
        <v>369</v>
      </c>
      <c r="H271" s="181" t="s">
        <v>90</v>
      </c>
      <c r="I271" s="180">
        <f t="array" ref="I271">xlookup(B271,DATA_LEAGUE_AVG!A:A,DATA_LEAGUE_AVG!C:C)</f>
        <v>3789</v>
      </c>
      <c r="J271" s="180">
        <f t="array" ref="J271">xlookup(B271,DATA_LEAGUE_AVG!A:A,DATA_LEAGUE_AVG!D:D)</f>
        <v>25.2</v>
      </c>
      <c r="K271" s="177">
        <f t="shared" ref="K271:L271" si="253">S271/I271</f>
        <v>1.306941145</v>
      </c>
      <c r="L271" s="177">
        <f t="shared" si="253"/>
        <v>1.26984127</v>
      </c>
      <c r="M271" s="177">
        <v>16.0</v>
      </c>
      <c r="N271" s="177">
        <v>16.0</v>
      </c>
      <c r="O271" s="182">
        <v>36835.0</v>
      </c>
      <c r="P271" s="177">
        <v>408.0</v>
      </c>
      <c r="Q271" s="177">
        <v>608.0</v>
      </c>
      <c r="R271" s="177">
        <v>67.1</v>
      </c>
      <c r="S271" s="177">
        <v>4952.0</v>
      </c>
      <c r="T271" s="177">
        <v>32.0</v>
      </c>
      <c r="U271" s="177">
        <v>5.3</v>
      </c>
      <c r="V271" s="177">
        <v>9.0</v>
      </c>
      <c r="W271" s="177">
        <v>1.5</v>
      </c>
      <c r="X271" s="177">
        <v>244.0</v>
      </c>
      <c r="Y271" s="177">
        <v>51.6</v>
      </c>
      <c r="Z271" s="177">
        <v>94.0</v>
      </c>
      <c r="AA271" s="177">
        <v>8.1</v>
      </c>
      <c r="AB271" s="177">
        <v>8.53</v>
      </c>
      <c r="AC271" s="177">
        <v>12.1</v>
      </c>
      <c r="AD271" s="177">
        <v>309.5</v>
      </c>
      <c r="AE271" s="177">
        <v>103.3</v>
      </c>
      <c r="AF271" s="177">
        <v>69.4</v>
      </c>
      <c r="AG271" s="177">
        <v>33.0</v>
      </c>
      <c r="AH271" s="177">
        <v>172.0</v>
      </c>
      <c r="AI271" s="177">
        <v>5.15</v>
      </c>
      <c r="AJ271" s="177">
        <v>7.46</v>
      </c>
      <c r="AK271" s="177">
        <v>7.82</v>
      </c>
      <c r="AL271" s="177">
        <v>2.0</v>
      </c>
      <c r="AM271" s="177">
        <v>3.0</v>
      </c>
      <c r="AN271" s="177">
        <v>16.0</v>
      </c>
      <c r="AO271" s="181" t="s">
        <v>380</v>
      </c>
      <c r="AP271" s="33"/>
      <c r="AQ271" s="33"/>
      <c r="AR271" s="33"/>
      <c r="AS271" s="33"/>
    </row>
    <row r="272" hidden="1" outlineLevel="1">
      <c r="A272" s="184" t="s">
        <v>71</v>
      </c>
      <c r="B272" s="176">
        <v>2015.0</v>
      </c>
      <c r="C272" s="180">
        <f t="array" ref="C272">xlookup(B272,DATA_LEAGUE_AVG!A:A,DATA_LEAGUE_AVG!H:H)</f>
        <v>571.8</v>
      </c>
      <c r="D272" s="177" t="b">
        <f t="shared" si="1"/>
        <v>1</v>
      </c>
      <c r="E272" s="177">
        <v>33.0</v>
      </c>
      <c r="F272" s="181" t="s">
        <v>105</v>
      </c>
      <c r="G272" s="181" t="s">
        <v>369</v>
      </c>
      <c r="H272" s="181" t="s">
        <v>90</v>
      </c>
      <c r="I272" s="180">
        <f t="array" ref="I272">xlookup(B272,DATA_LEAGUE_AVG!A:A,DATA_LEAGUE_AVG!C:C)</f>
        <v>3901.1</v>
      </c>
      <c r="J272" s="180">
        <f t="array" ref="J272">xlookup(B272,DATA_LEAGUE_AVG!A:A,DATA_LEAGUE_AVG!D:D)</f>
        <v>26.3</v>
      </c>
      <c r="K272" s="177">
        <f t="shared" ref="K272:L272" si="254">S272/I272</f>
        <v>1.009458871</v>
      </c>
      <c r="L272" s="177">
        <f t="shared" si="254"/>
        <v>0.7984790875</v>
      </c>
      <c r="M272" s="177">
        <v>12.0</v>
      </c>
      <c r="N272" s="177">
        <v>11.0</v>
      </c>
      <c r="O272" s="182">
        <v>36711.0</v>
      </c>
      <c r="P272" s="177">
        <v>319.0</v>
      </c>
      <c r="Q272" s="177">
        <v>469.0</v>
      </c>
      <c r="R272" s="177">
        <v>68.0</v>
      </c>
      <c r="S272" s="177">
        <v>3938.0</v>
      </c>
      <c r="T272" s="177">
        <v>21.0</v>
      </c>
      <c r="U272" s="177">
        <v>4.5</v>
      </c>
      <c r="V272" s="177">
        <v>16.0</v>
      </c>
      <c r="W272" s="177">
        <v>3.4</v>
      </c>
      <c r="X272" s="177">
        <v>175.0</v>
      </c>
      <c r="Y272" s="177">
        <v>52.6</v>
      </c>
      <c r="Z272" s="177">
        <v>69.0</v>
      </c>
      <c r="AA272" s="177">
        <v>8.4</v>
      </c>
      <c r="AB272" s="177">
        <v>7.76</v>
      </c>
      <c r="AC272" s="177">
        <v>12.3</v>
      </c>
      <c r="AD272" s="177">
        <v>328.2</v>
      </c>
      <c r="AE272" s="177">
        <v>94.5</v>
      </c>
      <c r="AF272" s="177">
        <v>72.8</v>
      </c>
      <c r="AG272" s="177">
        <v>20.0</v>
      </c>
      <c r="AH272" s="177">
        <v>141.0</v>
      </c>
      <c r="AI272" s="177">
        <v>4.09</v>
      </c>
      <c r="AJ272" s="177">
        <v>7.76</v>
      </c>
      <c r="AK272" s="177">
        <v>7.15</v>
      </c>
      <c r="AL272" s="177">
        <v>1.0</v>
      </c>
      <c r="AM272" s="177">
        <v>1.0</v>
      </c>
      <c r="AN272" s="177">
        <v>12.0</v>
      </c>
      <c r="AO272" s="181" t="s">
        <v>380</v>
      </c>
      <c r="AP272" s="33"/>
      <c r="AQ272" s="33"/>
      <c r="AR272" s="33"/>
      <c r="AS272" s="33"/>
    </row>
    <row r="273" hidden="1" outlineLevel="1">
      <c r="A273" s="184" t="s">
        <v>71</v>
      </c>
      <c r="B273" s="176">
        <v>2016.0</v>
      </c>
      <c r="C273" s="180">
        <f t="array" ref="C273">xlookup(B273,DATA_LEAGUE_AVG!A:A,DATA_LEAGUE_AVG!H:H)</f>
        <v>571.7</v>
      </c>
      <c r="D273" s="177" t="b">
        <f t="shared" si="1"/>
        <v>1</v>
      </c>
      <c r="E273" s="177">
        <v>34.0</v>
      </c>
      <c r="F273" s="181" t="s">
        <v>105</v>
      </c>
      <c r="G273" s="181" t="s">
        <v>369</v>
      </c>
      <c r="H273" s="181" t="s">
        <v>90</v>
      </c>
      <c r="I273" s="180">
        <f t="array" ref="I273">xlookup(B273,DATA_LEAGUE_AVG!A:A,DATA_LEAGUE_AVG!C:C)</f>
        <v>3863.7</v>
      </c>
      <c r="J273" s="180">
        <f t="array" ref="J273">xlookup(B273,DATA_LEAGUE_AVG!A:A,DATA_LEAGUE_AVG!D:D)</f>
        <v>24.6</v>
      </c>
      <c r="K273" s="177">
        <f t="shared" ref="K273:L273" si="255">S273/I273</f>
        <v>0.9884307788</v>
      </c>
      <c r="L273" s="177">
        <f t="shared" si="255"/>
        <v>1.178861789</v>
      </c>
      <c r="M273" s="177">
        <v>14.0</v>
      </c>
      <c r="N273" s="177">
        <v>14.0</v>
      </c>
      <c r="O273" s="182">
        <v>36803.0</v>
      </c>
      <c r="P273" s="177">
        <v>328.0</v>
      </c>
      <c r="Q273" s="177">
        <v>509.0</v>
      </c>
      <c r="R273" s="177">
        <v>64.4</v>
      </c>
      <c r="S273" s="177">
        <v>3819.0</v>
      </c>
      <c r="T273" s="177">
        <v>29.0</v>
      </c>
      <c r="U273" s="177">
        <v>5.7</v>
      </c>
      <c r="V273" s="177">
        <v>13.0</v>
      </c>
      <c r="W273" s="177">
        <v>2.6</v>
      </c>
      <c r="X273" s="177">
        <v>184.0</v>
      </c>
      <c r="Y273" s="177">
        <v>48.7</v>
      </c>
      <c r="Z273" s="177">
        <v>72.0</v>
      </c>
      <c r="AA273" s="177">
        <v>7.5</v>
      </c>
      <c r="AB273" s="177">
        <v>7.49</v>
      </c>
      <c r="AC273" s="177">
        <v>11.6</v>
      </c>
      <c r="AD273" s="177">
        <v>272.8</v>
      </c>
      <c r="AE273" s="177">
        <v>95.4</v>
      </c>
      <c r="AF273" s="177">
        <v>60.5</v>
      </c>
      <c r="AG273" s="177">
        <v>17.0</v>
      </c>
      <c r="AH273" s="177">
        <v>141.0</v>
      </c>
      <c r="AI273" s="177">
        <v>3.23</v>
      </c>
      <c r="AJ273" s="177">
        <v>6.99</v>
      </c>
      <c r="AK273" s="177">
        <v>6.98</v>
      </c>
      <c r="AL273" s="177">
        <v>2.0</v>
      </c>
      <c r="AM273" s="177">
        <v>2.0</v>
      </c>
      <c r="AN273" s="177">
        <v>12.0</v>
      </c>
      <c r="AO273" s="181" t="s">
        <v>380</v>
      </c>
      <c r="AP273" s="33"/>
      <c r="AQ273" s="33"/>
      <c r="AR273" s="33"/>
      <c r="AS273" s="33"/>
    </row>
    <row r="274" hidden="1" outlineLevel="1">
      <c r="A274" s="184" t="s">
        <v>71</v>
      </c>
      <c r="B274" s="176">
        <v>2017.0</v>
      </c>
      <c r="C274" s="180">
        <f t="array" ref="C274">xlookup(B274,DATA_LEAGUE_AVG!A:A,DATA_LEAGUE_AVG!H:H)</f>
        <v>546.5</v>
      </c>
      <c r="D274" s="177" t="b">
        <f t="shared" si="1"/>
        <v>1</v>
      </c>
      <c r="E274" s="177">
        <v>35.0</v>
      </c>
      <c r="F274" s="181" t="s">
        <v>105</v>
      </c>
      <c r="G274" s="181" t="s">
        <v>369</v>
      </c>
      <c r="H274" s="181" t="s">
        <v>90</v>
      </c>
      <c r="I274" s="180">
        <f t="array" ref="I274">xlookup(B274,DATA_LEAGUE_AVG!A:A,DATA_LEAGUE_AVG!C:C)</f>
        <v>3589.7</v>
      </c>
      <c r="J274" s="180">
        <f t="array" ref="J274">xlookup(B274,DATA_LEAGUE_AVG!A:A,DATA_LEAGUE_AVG!D:D)</f>
        <v>23.2</v>
      </c>
      <c r="K274" s="177">
        <f t="shared" ref="K274:L274" si="256">S274/I274</f>
        <v>1.184221523</v>
      </c>
      <c r="L274" s="177">
        <f t="shared" si="256"/>
        <v>1.206896552</v>
      </c>
      <c r="M274" s="177">
        <v>15.0</v>
      </c>
      <c r="N274" s="177">
        <v>15.0</v>
      </c>
      <c r="O274" s="182">
        <v>36863.0</v>
      </c>
      <c r="P274" s="177">
        <v>360.0</v>
      </c>
      <c r="Q274" s="177">
        <v>561.0</v>
      </c>
      <c r="R274" s="177">
        <v>64.2</v>
      </c>
      <c r="S274" s="177">
        <v>4251.0</v>
      </c>
      <c r="T274" s="177">
        <v>28.0</v>
      </c>
      <c r="U274" s="177">
        <v>5.0</v>
      </c>
      <c r="V274" s="177">
        <v>14.0</v>
      </c>
      <c r="W274" s="177">
        <v>2.5</v>
      </c>
      <c r="X274" s="177">
        <v>204.0</v>
      </c>
      <c r="Y274" s="177">
        <v>47.9</v>
      </c>
      <c r="Z274" s="177">
        <v>97.0</v>
      </c>
      <c r="AA274" s="177">
        <v>7.6</v>
      </c>
      <c r="AB274" s="177">
        <v>7.45</v>
      </c>
      <c r="AC274" s="177">
        <v>11.8</v>
      </c>
      <c r="AD274" s="177">
        <v>283.4</v>
      </c>
      <c r="AE274" s="177">
        <v>93.4</v>
      </c>
      <c r="AF274" s="177">
        <v>67.2</v>
      </c>
      <c r="AG274" s="177">
        <v>21.0</v>
      </c>
      <c r="AH274" s="177">
        <v>139.0</v>
      </c>
      <c r="AI274" s="177">
        <v>3.61</v>
      </c>
      <c r="AJ274" s="177">
        <v>7.07</v>
      </c>
      <c r="AK274" s="177">
        <v>6.95</v>
      </c>
      <c r="AL274" s="177">
        <v>3.0</v>
      </c>
      <c r="AM274" s="177">
        <v>4.0</v>
      </c>
      <c r="AN274" s="177">
        <v>14.0</v>
      </c>
      <c r="AO274" s="181" t="s">
        <v>380</v>
      </c>
      <c r="AP274" s="33"/>
      <c r="AQ274" s="33"/>
      <c r="AR274" s="33"/>
      <c r="AS274" s="33"/>
    </row>
    <row r="275" hidden="1" outlineLevel="1">
      <c r="A275" s="184" t="s">
        <v>71</v>
      </c>
      <c r="B275" s="176">
        <v>2018.0</v>
      </c>
      <c r="C275" s="180">
        <f t="array" ref="C275">xlookup(B275,DATA_LEAGUE_AVG!A:A,DATA_LEAGUE_AVG!H:H)</f>
        <v>552.2</v>
      </c>
      <c r="D275" s="177" t="b">
        <f t="shared" si="1"/>
        <v>1</v>
      </c>
      <c r="E275" s="177">
        <v>36.0</v>
      </c>
      <c r="F275" s="181" t="s">
        <v>105</v>
      </c>
      <c r="G275" s="181" t="s">
        <v>369</v>
      </c>
      <c r="H275" s="181" t="s">
        <v>90</v>
      </c>
      <c r="I275" s="180">
        <f t="array" ref="I275">xlookup(B275,DATA_LEAGUE_AVG!A:A,DATA_LEAGUE_AVG!C:C)</f>
        <v>3804.3</v>
      </c>
      <c r="J275" s="180">
        <f t="array" ref="J275">xlookup(B275,DATA_LEAGUE_AVG!A:A,DATA_LEAGUE_AVG!D:D)</f>
        <v>26.5</v>
      </c>
      <c r="K275" s="177">
        <f t="shared" ref="K275:L275" si="257">S275/I275</f>
        <v>1.348211235</v>
      </c>
      <c r="L275" s="177">
        <f t="shared" si="257"/>
        <v>1.283018868</v>
      </c>
      <c r="M275" s="177">
        <v>16.0</v>
      </c>
      <c r="N275" s="177">
        <v>16.0</v>
      </c>
      <c r="O275" s="182">
        <v>37140.0</v>
      </c>
      <c r="P275" s="177">
        <v>452.0</v>
      </c>
      <c r="Q275" s="177">
        <v>675.0</v>
      </c>
      <c r="R275" s="177">
        <v>67.0</v>
      </c>
      <c r="S275" s="177">
        <v>5129.0</v>
      </c>
      <c r="T275" s="177">
        <v>34.0</v>
      </c>
      <c r="U275" s="177">
        <v>5.0</v>
      </c>
      <c r="V275" s="177">
        <v>16.0</v>
      </c>
      <c r="W275" s="177">
        <v>2.4</v>
      </c>
      <c r="X275" s="177">
        <v>248.0</v>
      </c>
      <c r="Y275" s="177">
        <v>50.9</v>
      </c>
      <c r="Z275" s="177">
        <v>97.0</v>
      </c>
      <c r="AA275" s="177">
        <v>7.6</v>
      </c>
      <c r="AB275" s="177">
        <v>7.54</v>
      </c>
      <c r="AC275" s="177">
        <v>11.3</v>
      </c>
      <c r="AD275" s="177">
        <v>320.6</v>
      </c>
      <c r="AE275" s="177">
        <v>96.5</v>
      </c>
      <c r="AF275" s="177">
        <v>69.6</v>
      </c>
      <c r="AG275" s="177">
        <v>24.0</v>
      </c>
      <c r="AH275" s="177">
        <v>166.0</v>
      </c>
      <c r="AI275" s="177">
        <v>3.43</v>
      </c>
      <c r="AJ275" s="177">
        <v>7.1</v>
      </c>
      <c r="AK275" s="177">
        <v>7.04</v>
      </c>
      <c r="AL275" s="177">
        <v>2.0</v>
      </c>
      <c r="AM275" s="177">
        <v>3.0</v>
      </c>
      <c r="AN275" s="177">
        <v>14.0</v>
      </c>
      <c r="AO275" s="183"/>
      <c r="AP275" s="33"/>
      <c r="AQ275" s="33"/>
      <c r="AR275" s="33"/>
      <c r="AS275" s="33"/>
    </row>
    <row r="276" hidden="1" outlineLevel="1">
      <c r="A276" s="184" t="s">
        <v>71</v>
      </c>
      <c r="B276" s="176">
        <v>2020.0</v>
      </c>
      <c r="C276" s="180">
        <f t="array" ref="C276">xlookup(B276,DATA_LEAGUE_AVG!A:A,DATA_LEAGUE_AVG!H:H)</f>
        <v>563.1</v>
      </c>
      <c r="D276" s="177" t="b">
        <f t="shared" si="1"/>
        <v>1</v>
      </c>
      <c r="E276" s="177">
        <v>38.0</v>
      </c>
      <c r="F276" s="181" t="s">
        <v>105</v>
      </c>
      <c r="G276" s="181" t="s">
        <v>369</v>
      </c>
      <c r="H276" s="181" t="s">
        <v>90</v>
      </c>
      <c r="I276" s="180">
        <f t="array" ref="I276">xlookup(B276,DATA_LEAGUE_AVG!A:A,DATA_LEAGUE_AVG!C:C)</f>
        <v>3842.4</v>
      </c>
      <c r="J276" s="180">
        <f t="array" ref="J276">xlookup(B276,DATA_LEAGUE_AVG!A:A,DATA_LEAGUE_AVG!D:D)</f>
        <v>27.2</v>
      </c>
      <c r="K276" s="177">
        <f t="shared" ref="K276:L276" si="258">S276/I276</f>
        <v>0.9897459921</v>
      </c>
      <c r="L276" s="177">
        <f t="shared" si="258"/>
        <v>1.213235294</v>
      </c>
      <c r="M276" s="177">
        <v>15.0</v>
      </c>
      <c r="N276" s="177">
        <v>15.0</v>
      </c>
      <c r="O276" s="182">
        <v>36863.0</v>
      </c>
      <c r="P276" s="177">
        <v>399.0</v>
      </c>
      <c r="Q276" s="177">
        <v>608.0</v>
      </c>
      <c r="R276" s="177">
        <v>65.6</v>
      </c>
      <c r="S276" s="177">
        <v>3803.0</v>
      </c>
      <c r="T276" s="177">
        <v>33.0</v>
      </c>
      <c r="U276" s="177">
        <v>5.4</v>
      </c>
      <c r="V276" s="177">
        <v>10.0</v>
      </c>
      <c r="W276" s="177">
        <v>1.6</v>
      </c>
      <c r="X276" s="177">
        <v>193.0</v>
      </c>
      <c r="Y276" s="177">
        <v>48.6</v>
      </c>
      <c r="Z276" s="177">
        <v>84.0</v>
      </c>
      <c r="AA276" s="177">
        <v>6.3</v>
      </c>
      <c r="AB276" s="177">
        <v>6.6</v>
      </c>
      <c r="AC276" s="177">
        <v>9.5</v>
      </c>
      <c r="AD276" s="177">
        <v>253.5</v>
      </c>
      <c r="AE276" s="177">
        <v>94.1</v>
      </c>
      <c r="AF276" s="177">
        <v>52.5</v>
      </c>
      <c r="AG276" s="177">
        <v>13.0</v>
      </c>
      <c r="AH276" s="177">
        <v>118.0</v>
      </c>
      <c r="AI276" s="177">
        <v>2.09</v>
      </c>
      <c r="AJ276" s="177">
        <v>5.93</v>
      </c>
      <c r="AK276" s="177">
        <v>6.27</v>
      </c>
      <c r="AL276" s="177">
        <v>4.0</v>
      </c>
      <c r="AM276" s="177">
        <v>4.0</v>
      </c>
      <c r="AN276" s="177">
        <v>10.0</v>
      </c>
      <c r="AO276" s="181" t="s">
        <v>441</v>
      </c>
      <c r="AP276" s="33"/>
      <c r="AQ276" s="33"/>
      <c r="AR276" s="33"/>
      <c r="AS276" s="33"/>
    </row>
    <row r="277" hidden="1" outlineLevel="1">
      <c r="A277" s="184" t="s">
        <v>71</v>
      </c>
      <c r="B277" s="176">
        <v>2021.0</v>
      </c>
      <c r="C277" s="180">
        <f t="array" ref="C277">xlookup(B277,DATA_LEAGUE_AVG!A:A,DATA_LEAGUE_AVG!H:H)</f>
        <v>584.8</v>
      </c>
      <c r="D277" s="177" t="b">
        <f t="shared" si="1"/>
        <v>1</v>
      </c>
      <c r="E277" s="177">
        <v>39.0</v>
      </c>
      <c r="F277" s="181" t="s">
        <v>105</v>
      </c>
      <c r="G277" s="181" t="s">
        <v>369</v>
      </c>
      <c r="H277" s="181" t="s">
        <v>90</v>
      </c>
      <c r="I277" s="180">
        <f t="array" ref="I277">xlookup(B277,DATA_LEAGUE_AVG!A:A,DATA_LEAGUE_AVG!C:C)</f>
        <v>3881.3</v>
      </c>
      <c r="J277" s="180">
        <f t="array" ref="J277">xlookup(B277,DATA_LEAGUE_AVG!A:A,DATA_LEAGUE_AVG!D:D)</f>
        <v>26.3</v>
      </c>
      <c r="K277" s="177">
        <f t="shared" ref="K277:L277" si="259">S277/I277</f>
        <v>0.9635946719</v>
      </c>
      <c r="L277" s="177">
        <f t="shared" si="259"/>
        <v>0.8365019011</v>
      </c>
      <c r="M277" s="177">
        <v>16.0</v>
      </c>
      <c r="N277" s="177">
        <v>16.0</v>
      </c>
      <c r="O277" s="182">
        <v>36776.0</v>
      </c>
      <c r="P277" s="177">
        <v>390.0</v>
      </c>
      <c r="Q277" s="177">
        <v>605.0</v>
      </c>
      <c r="R277" s="177">
        <v>64.5</v>
      </c>
      <c r="S277" s="177">
        <v>3740.0</v>
      </c>
      <c r="T277" s="177">
        <v>22.0</v>
      </c>
      <c r="U277" s="177">
        <v>3.6</v>
      </c>
      <c r="V277" s="177">
        <v>10.0</v>
      </c>
      <c r="W277" s="177">
        <v>1.7</v>
      </c>
      <c r="X277" s="177">
        <v>188.0</v>
      </c>
      <c r="Y277" s="177">
        <v>42.6</v>
      </c>
      <c r="Z277" s="177">
        <v>59.0</v>
      </c>
      <c r="AA277" s="177">
        <v>6.2</v>
      </c>
      <c r="AB277" s="177">
        <v>6.17</v>
      </c>
      <c r="AC277" s="177">
        <v>9.6</v>
      </c>
      <c r="AD277" s="177">
        <v>233.8</v>
      </c>
      <c r="AE277" s="177">
        <v>86.8</v>
      </c>
      <c r="AF277" s="177">
        <v>41.3</v>
      </c>
      <c r="AG277" s="177">
        <v>38.0</v>
      </c>
      <c r="AH277" s="177">
        <v>239.0</v>
      </c>
      <c r="AI277" s="177">
        <v>5.91</v>
      </c>
      <c r="AJ277" s="177">
        <v>5.44</v>
      </c>
      <c r="AK277" s="177">
        <v>5.43</v>
      </c>
      <c r="AL277" s="177">
        <v>6.0</v>
      </c>
      <c r="AM277" s="177">
        <v>7.0</v>
      </c>
      <c r="AN277" s="177">
        <v>9.0</v>
      </c>
      <c r="AO277" s="183"/>
      <c r="AP277" s="33"/>
      <c r="AQ277" s="33"/>
      <c r="AR277" s="33"/>
      <c r="AS277" s="33"/>
    </row>
    <row r="278" collapsed="1">
      <c r="A278" s="184" t="s">
        <v>63</v>
      </c>
      <c r="B278" s="176" t="s">
        <v>348</v>
      </c>
      <c r="C278" s="177" t="str">
        <f t="array" ref="C278">xlookup(B278,DATA_LEAGUE_AVG!A:A,DATA_LEAGUE_AVG!H:H)</f>
        <v>#N/A</v>
      </c>
      <c r="D278" s="177" t="str">
        <f t="shared" si="1"/>
        <v>#N/A</v>
      </c>
      <c r="E278" s="176" t="s">
        <v>351</v>
      </c>
      <c r="F278" s="176" t="s">
        <v>352</v>
      </c>
      <c r="G278" s="176" t="s">
        <v>353</v>
      </c>
      <c r="H278" s="176" t="s">
        <v>354</v>
      </c>
      <c r="I278" s="185" t="s">
        <v>355</v>
      </c>
      <c r="J278" s="185" t="s">
        <v>356</v>
      </c>
      <c r="K278" s="185" t="s">
        <v>272</v>
      </c>
      <c r="L278" s="185" t="s">
        <v>357</v>
      </c>
      <c r="M278" s="176" t="s">
        <v>358</v>
      </c>
      <c r="N278" s="176" t="s">
        <v>359</v>
      </c>
      <c r="O278" s="176" t="s">
        <v>360</v>
      </c>
      <c r="P278" s="176" t="s">
        <v>330</v>
      </c>
      <c r="Q278" s="176" t="s">
        <v>331</v>
      </c>
      <c r="R278" s="176" t="s">
        <v>332</v>
      </c>
      <c r="S278" s="176" t="s">
        <v>326</v>
      </c>
      <c r="T278" s="176" t="s">
        <v>327</v>
      </c>
      <c r="U278" s="176" t="s">
        <v>335</v>
      </c>
      <c r="V278" s="176" t="s">
        <v>336</v>
      </c>
      <c r="W278" s="176" t="s">
        <v>337</v>
      </c>
      <c r="X278" s="176" t="s">
        <v>361</v>
      </c>
      <c r="Y278" s="176" t="s">
        <v>362</v>
      </c>
      <c r="Z278" s="176" t="s">
        <v>363</v>
      </c>
      <c r="AA278" s="176" t="s">
        <v>338</v>
      </c>
      <c r="AB278" s="176" t="s">
        <v>339</v>
      </c>
      <c r="AC278" s="176" t="s">
        <v>340</v>
      </c>
      <c r="AD278" s="176" t="s">
        <v>341</v>
      </c>
      <c r="AE278" s="176" t="s">
        <v>342</v>
      </c>
      <c r="AF278" s="176" t="s">
        <v>343</v>
      </c>
      <c r="AG278" s="176" t="s">
        <v>326</v>
      </c>
      <c r="AH278" s="176" t="s">
        <v>345</v>
      </c>
      <c r="AI278" s="176" t="s">
        <v>346</v>
      </c>
      <c r="AJ278" s="176" t="s">
        <v>347</v>
      </c>
      <c r="AK278" s="176" t="s">
        <v>364</v>
      </c>
      <c r="AL278" s="176" t="s">
        <v>365</v>
      </c>
      <c r="AM278" s="176" t="s">
        <v>366</v>
      </c>
      <c r="AN278" s="176" t="s">
        <v>367</v>
      </c>
      <c r="AO278" s="33"/>
      <c r="AP278" s="33"/>
      <c r="AQ278" s="33"/>
      <c r="AR278" s="33"/>
      <c r="AS278" s="33"/>
    </row>
    <row r="279" hidden="1" outlineLevel="1">
      <c r="A279" s="184" t="s">
        <v>63</v>
      </c>
      <c r="B279" s="176">
        <v>1973.0</v>
      </c>
      <c r="C279" s="180">
        <f t="array" ref="C279">xlookup(B279,DATA_LEAGUE_AVG!A:A,DATA_LEAGUE_AVG!H:H)</f>
        <v>340.2</v>
      </c>
      <c r="D279" s="177" t="b">
        <f t="shared" si="1"/>
        <v>1</v>
      </c>
      <c r="E279" s="177">
        <v>22.0</v>
      </c>
      <c r="F279" s="181" t="s">
        <v>124</v>
      </c>
      <c r="G279" s="181" t="s">
        <v>369</v>
      </c>
      <c r="H279" s="181" t="s">
        <v>90</v>
      </c>
      <c r="I279" s="180">
        <f t="array" ref="I279">xlookup(B279,DATA_LEAGUE_AVG!A:A,DATA_LEAGUE_AVG!C:C)</f>
        <v>1973</v>
      </c>
      <c r="J279" s="180">
        <f t="array" ref="J279">xlookup(B279,DATA_LEAGUE_AVG!A:A,DATA_LEAGUE_AVG!D:D)</f>
        <v>14.5</v>
      </c>
      <c r="K279" s="177">
        <f t="shared" ref="K279:L279" si="260">S279/I279</f>
        <v>0.5707045109</v>
      </c>
      <c r="L279" s="177">
        <f t="shared" si="260"/>
        <v>0.4137931034</v>
      </c>
      <c r="M279" s="177">
        <v>10.0</v>
      </c>
      <c r="N279" s="177">
        <v>6.0</v>
      </c>
      <c r="O279" s="186">
        <v>36647.0</v>
      </c>
      <c r="P279" s="177">
        <v>87.0</v>
      </c>
      <c r="Q279" s="177">
        <v>194.0</v>
      </c>
      <c r="R279" s="177">
        <v>44.8</v>
      </c>
      <c r="S279" s="177">
        <v>1126.0</v>
      </c>
      <c r="T279" s="177">
        <v>6.0</v>
      </c>
      <c r="U279" s="177">
        <v>3.1</v>
      </c>
      <c r="V279" s="177">
        <v>13.0</v>
      </c>
      <c r="W279" s="177">
        <v>6.7</v>
      </c>
      <c r="X279" s="183"/>
      <c r="Y279" s="183"/>
      <c r="Z279" s="177">
        <v>69.0</v>
      </c>
      <c r="AA279" s="177">
        <v>5.8</v>
      </c>
      <c r="AB279" s="177">
        <v>3.41</v>
      </c>
      <c r="AC279" s="177">
        <v>12.9</v>
      </c>
      <c r="AD279" s="177">
        <v>112.6</v>
      </c>
      <c r="AE279" s="177">
        <v>46.0</v>
      </c>
      <c r="AF279" s="177">
        <v>14.0</v>
      </c>
      <c r="AG279" s="177">
        <v>129.0</v>
      </c>
      <c r="AH279" s="177">
        <v>6.73</v>
      </c>
      <c r="AI279" s="177">
        <v>4.79</v>
      </c>
      <c r="AJ279" s="177">
        <v>2.56</v>
      </c>
      <c r="AK279" s="177">
        <v>1.0</v>
      </c>
      <c r="AL279" s="177">
        <v>0.0</v>
      </c>
      <c r="AM279" s="177">
        <v>2.0</v>
      </c>
      <c r="AN279" s="183"/>
      <c r="AO279" s="33"/>
      <c r="AP279" s="33"/>
      <c r="AQ279" s="33"/>
      <c r="AR279" s="33"/>
      <c r="AS279" s="33"/>
    </row>
    <row r="280" hidden="1" outlineLevel="1">
      <c r="A280" s="184" t="s">
        <v>63</v>
      </c>
      <c r="B280" s="176">
        <v>1974.0</v>
      </c>
      <c r="C280" s="180">
        <f t="array" ref="C280">xlookup(B280,DATA_LEAGUE_AVG!A:A,DATA_LEAGUE_AVG!H:H)</f>
        <v>369.6</v>
      </c>
      <c r="D280" s="177" t="b">
        <f t="shared" si="1"/>
        <v>1</v>
      </c>
      <c r="E280" s="177">
        <v>23.0</v>
      </c>
      <c r="F280" s="181" t="s">
        <v>124</v>
      </c>
      <c r="G280" s="181" t="s">
        <v>369</v>
      </c>
      <c r="H280" s="181" t="s">
        <v>90</v>
      </c>
      <c r="I280" s="180">
        <f t="array" ref="I280">xlookup(B280,DATA_LEAGUE_AVG!A:A,DATA_LEAGUE_AVG!C:C)</f>
        <v>2145.4</v>
      </c>
      <c r="J280" s="180">
        <f t="array" ref="J280">xlookup(B280,DATA_LEAGUE_AVG!A:A,DATA_LEAGUE_AVG!D:D)</f>
        <v>14.5</v>
      </c>
      <c r="K280" s="177">
        <f t="shared" ref="K280:L280" si="261">S280/I280</f>
        <v>0.8073086604</v>
      </c>
      <c r="L280" s="177">
        <f t="shared" si="261"/>
        <v>0.5517241379</v>
      </c>
      <c r="M280" s="177">
        <v>11.0</v>
      </c>
      <c r="N280" s="177">
        <v>11.0</v>
      </c>
      <c r="O280" s="182">
        <v>36593.0</v>
      </c>
      <c r="P280" s="177">
        <v>115.0</v>
      </c>
      <c r="Q280" s="177">
        <v>237.0</v>
      </c>
      <c r="R280" s="177">
        <v>48.5</v>
      </c>
      <c r="S280" s="177">
        <v>1732.0</v>
      </c>
      <c r="T280" s="177">
        <v>8.0</v>
      </c>
      <c r="U280" s="177">
        <v>3.4</v>
      </c>
      <c r="V280" s="177">
        <v>13.0</v>
      </c>
      <c r="W280" s="177">
        <v>5.5</v>
      </c>
      <c r="X280" s="183"/>
      <c r="Y280" s="183"/>
      <c r="Z280" s="177">
        <v>75.0</v>
      </c>
      <c r="AA280" s="177">
        <v>7.3</v>
      </c>
      <c r="AB280" s="177">
        <v>5.51</v>
      </c>
      <c r="AC280" s="177">
        <v>15.1</v>
      </c>
      <c r="AD280" s="177">
        <v>157.5</v>
      </c>
      <c r="AE280" s="177">
        <v>61.4</v>
      </c>
      <c r="AF280" s="177">
        <v>12.0</v>
      </c>
      <c r="AG280" s="177">
        <v>99.0</v>
      </c>
      <c r="AH280" s="177">
        <v>4.82</v>
      </c>
      <c r="AI280" s="177">
        <v>6.56</v>
      </c>
      <c r="AJ280" s="177">
        <v>4.85</v>
      </c>
      <c r="AK280" s="177">
        <v>2.0</v>
      </c>
      <c r="AL280" s="177">
        <v>2.0</v>
      </c>
      <c r="AM280" s="177">
        <v>7.0</v>
      </c>
      <c r="AN280" s="183"/>
      <c r="AO280" s="33"/>
      <c r="AP280" s="33"/>
      <c r="AQ280" s="33"/>
      <c r="AR280" s="33"/>
      <c r="AS280" s="33"/>
    </row>
    <row r="281" hidden="1" outlineLevel="1">
      <c r="A281" s="184" t="s">
        <v>63</v>
      </c>
      <c r="B281" s="176">
        <v>1975.0</v>
      </c>
      <c r="C281" s="180">
        <f t="array" ref="C281">xlookup(B281,DATA_LEAGUE_AVG!A:A,DATA_LEAGUE_AVG!H:H)</f>
        <v>383.6</v>
      </c>
      <c r="D281" s="177" t="b">
        <f t="shared" si="1"/>
        <v>1</v>
      </c>
      <c r="E281" s="177">
        <v>24.0</v>
      </c>
      <c r="F281" s="181" t="s">
        <v>124</v>
      </c>
      <c r="G281" s="181" t="s">
        <v>369</v>
      </c>
      <c r="H281" s="181" t="s">
        <v>90</v>
      </c>
      <c r="I281" s="180">
        <f t="array" ref="I281">xlookup(B281,DATA_LEAGUE_AVG!A:A,DATA_LEAGUE_AVG!C:C)</f>
        <v>2279.1</v>
      </c>
      <c r="J281" s="180">
        <f t="array" ref="J281">xlookup(B281,DATA_LEAGUE_AVG!A:A,DATA_LEAGUE_AVG!D:D)</f>
        <v>16.7</v>
      </c>
      <c r="K281" s="177">
        <f t="shared" ref="K281:L281" si="262">S281/I281</f>
        <v>0.6125224869</v>
      </c>
      <c r="L281" s="177">
        <f t="shared" si="262"/>
        <v>0.119760479</v>
      </c>
      <c r="M281" s="177">
        <v>10.0</v>
      </c>
      <c r="N281" s="177">
        <v>9.0</v>
      </c>
      <c r="O281" s="182">
        <v>36563.0</v>
      </c>
      <c r="P281" s="177">
        <v>106.0</v>
      </c>
      <c r="Q281" s="177">
        <v>195.0</v>
      </c>
      <c r="R281" s="177">
        <v>54.4</v>
      </c>
      <c r="S281" s="177">
        <v>1396.0</v>
      </c>
      <c r="T281" s="177">
        <v>2.0</v>
      </c>
      <c r="U281" s="177">
        <v>1.0</v>
      </c>
      <c r="V281" s="177">
        <v>10.0</v>
      </c>
      <c r="W281" s="177">
        <v>5.1</v>
      </c>
      <c r="X281" s="183"/>
      <c r="Y281" s="183"/>
      <c r="Z281" s="177">
        <v>57.0</v>
      </c>
      <c r="AA281" s="177">
        <v>7.2</v>
      </c>
      <c r="AB281" s="177">
        <v>5.06</v>
      </c>
      <c r="AC281" s="177">
        <v>13.2</v>
      </c>
      <c r="AD281" s="177">
        <v>139.6</v>
      </c>
      <c r="AE281" s="177">
        <v>59.3</v>
      </c>
      <c r="AF281" s="177">
        <v>25.0</v>
      </c>
      <c r="AG281" s="177">
        <v>197.0</v>
      </c>
      <c r="AH281" s="177">
        <v>11.36</v>
      </c>
      <c r="AI281" s="177">
        <v>5.45</v>
      </c>
      <c r="AJ281" s="177">
        <v>3.59</v>
      </c>
      <c r="AK281" s="177">
        <v>1.0</v>
      </c>
      <c r="AL281" s="177">
        <v>1.0</v>
      </c>
      <c r="AM281" s="177">
        <v>6.0</v>
      </c>
      <c r="AN281" s="183"/>
      <c r="AO281" s="33"/>
      <c r="AP281" s="33"/>
      <c r="AQ281" s="33"/>
      <c r="AR281" s="33"/>
      <c r="AS281" s="33"/>
    </row>
    <row r="282" hidden="1" outlineLevel="1">
      <c r="A282" s="184" t="s">
        <v>63</v>
      </c>
      <c r="B282" s="176">
        <v>1976.0</v>
      </c>
      <c r="C282" s="180">
        <f t="array" ref="C282">xlookup(B282,DATA_LEAGUE_AVG!A:A,DATA_LEAGUE_AVG!H:H)</f>
        <v>366.4</v>
      </c>
      <c r="D282" s="177" t="b">
        <f t="shared" si="1"/>
        <v>1</v>
      </c>
      <c r="E282" s="177">
        <v>25.0</v>
      </c>
      <c r="F282" s="181" t="s">
        <v>124</v>
      </c>
      <c r="G282" s="181" t="s">
        <v>369</v>
      </c>
      <c r="H282" s="181" t="s">
        <v>90</v>
      </c>
      <c r="I282" s="180">
        <f t="array" ref="I282">xlookup(B282,DATA_LEAGUE_AVG!A:A,DATA_LEAGUE_AVG!C:C)</f>
        <v>2128.4</v>
      </c>
      <c r="J282" s="180">
        <f t="array" ref="J282">xlookup(B282,DATA_LEAGUE_AVG!A:A,DATA_LEAGUE_AVG!D:D)</f>
        <v>15.4</v>
      </c>
      <c r="K282" s="177">
        <f t="shared" ref="K282:L282" si="263">S282/I282</f>
        <v>1.19103552</v>
      </c>
      <c r="L282" s="177">
        <f t="shared" si="263"/>
        <v>0.9090909091</v>
      </c>
      <c r="M282" s="177">
        <v>14.0</v>
      </c>
      <c r="N282" s="177">
        <v>13.0</v>
      </c>
      <c r="O282" s="182">
        <v>36654.0</v>
      </c>
      <c r="P282" s="177">
        <v>208.0</v>
      </c>
      <c r="Q282" s="177">
        <v>359.0</v>
      </c>
      <c r="R282" s="177">
        <v>57.9</v>
      </c>
      <c r="S282" s="177">
        <v>2535.0</v>
      </c>
      <c r="T282" s="177">
        <v>14.0</v>
      </c>
      <c r="U282" s="177">
        <v>3.9</v>
      </c>
      <c r="V282" s="177">
        <v>15.0</v>
      </c>
      <c r="W282" s="177">
        <v>4.2</v>
      </c>
      <c r="X282" s="183"/>
      <c r="Y282" s="183"/>
      <c r="Z282" s="177">
        <v>81.0</v>
      </c>
      <c r="AA282" s="177">
        <v>7.1</v>
      </c>
      <c r="AB282" s="177">
        <v>5.96</v>
      </c>
      <c r="AC282" s="177">
        <v>12.2</v>
      </c>
      <c r="AD282" s="177">
        <v>181.1</v>
      </c>
      <c r="AE282" s="177">
        <v>75.4</v>
      </c>
      <c r="AF282" s="177">
        <v>39.0</v>
      </c>
      <c r="AG282" s="177">
        <v>220.0</v>
      </c>
      <c r="AH282" s="177">
        <v>9.8</v>
      </c>
      <c r="AI282" s="177">
        <v>5.82</v>
      </c>
      <c r="AJ282" s="177">
        <v>4.82</v>
      </c>
      <c r="AK282" s="177">
        <v>1.0</v>
      </c>
      <c r="AL282" s="177">
        <v>2.0</v>
      </c>
      <c r="AM282" s="177">
        <v>11.0</v>
      </c>
      <c r="AN282" s="183"/>
      <c r="AO282" s="33"/>
      <c r="AP282" s="33"/>
      <c r="AQ282" s="33"/>
      <c r="AR282" s="33"/>
      <c r="AS282" s="33"/>
    </row>
    <row r="283" hidden="1" outlineLevel="1">
      <c r="A283" s="184" t="s">
        <v>63</v>
      </c>
      <c r="B283" s="176">
        <v>1978.0</v>
      </c>
      <c r="C283" s="180">
        <f t="array" ref="C283">xlookup(B283,DATA_LEAGUE_AVG!A:A,DATA_LEAGUE_AVG!H:H)</f>
        <v>422.5</v>
      </c>
      <c r="D283" s="177" t="b">
        <f t="shared" si="1"/>
        <v>1</v>
      </c>
      <c r="E283" s="177">
        <v>27.0</v>
      </c>
      <c r="F283" s="181" t="s">
        <v>124</v>
      </c>
      <c r="G283" s="181" t="s">
        <v>369</v>
      </c>
      <c r="H283" s="181" t="s">
        <v>90</v>
      </c>
      <c r="I283" s="180">
        <f t="array" ref="I283">xlookup(B283,DATA_LEAGUE_AVG!A:A,DATA_LEAGUE_AVG!C:C)</f>
        <v>2541.4</v>
      </c>
      <c r="J283" s="180">
        <f t="array" ref="J283">xlookup(B283,DATA_LEAGUE_AVG!A:A,DATA_LEAGUE_AVG!D:D)</f>
        <v>16.7</v>
      </c>
      <c r="K283" s="177">
        <f t="shared" ref="K283:L283" si="264">S283/I283</f>
        <v>1.180058236</v>
      </c>
      <c r="L283" s="177">
        <f t="shared" si="264"/>
        <v>1.437125749</v>
      </c>
      <c r="M283" s="177">
        <v>15.0</v>
      </c>
      <c r="N283" s="177">
        <v>14.0</v>
      </c>
      <c r="O283" s="182">
        <v>36774.0</v>
      </c>
      <c r="P283" s="177">
        <v>224.0</v>
      </c>
      <c r="Q283" s="177">
        <v>381.0</v>
      </c>
      <c r="R283" s="177">
        <v>58.8</v>
      </c>
      <c r="S283" s="177">
        <v>2999.0</v>
      </c>
      <c r="T283" s="177">
        <v>24.0</v>
      </c>
      <c r="U283" s="177">
        <v>6.3</v>
      </c>
      <c r="V283" s="177">
        <v>20.0</v>
      </c>
      <c r="W283" s="177">
        <v>5.2</v>
      </c>
      <c r="X283" s="177">
        <v>146.0</v>
      </c>
      <c r="Y283" s="177">
        <v>45.4</v>
      </c>
      <c r="Z283" s="177">
        <v>55.0</v>
      </c>
      <c r="AA283" s="177">
        <v>7.9</v>
      </c>
      <c r="AB283" s="177">
        <v>6.77</v>
      </c>
      <c r="AC283" s="177">
        <v>13.4</v>
      </c>
      <c r="AD283" s="177">
        <v>199.9</v>
      </c>
      <c r="AE283" s="177">
        <v>83.0</v>
      </c>
      <c r="AF283" s="177">
        <v>22.0</v>
      </c>
      <c r="AG283" s="177">
        <v>130.0</v>
      </c>
      <c r="AH283" s="177">
        <v>5.46</v>
      </c>
      <c r="AI283" s="177">
        <v>7.12</v>
      </c>
      <c r="AJ283" s="177">
        <v>6.08</v>
      </c>
      <c r="AK283" s="177">
        <v>1.0</v>
      </c>
      <c r="AL283" s="177">
        <v>2.0</v>
      </c>
      <c r="AM283" s="177">
        <v>12.0</v>
      </c>
      <c r="AN283" s="183"/>
      <c r="AO283" s="33"/>
      <c r="AP283" s="33"/>
      <c r="AQ283" s="33"/>
      <c r="AR283" s="33"/>
      <c r="AS283" s="33"/>
    </row>
    <row r="284" hidden="1" outlineLevel="1">
      <c r="A284" s="184" t="s">
        <v>63</v>
      </c>
      <c r="B284" s="176">
        <v>1979.0</v>
      </c>
      <c r="C284" s="180">
        <f t="array" ref="C284">xlookup(B284,DATA_LEAGUE_AVG!A:A,DATA_LEAGUE_AVG!H:H)</f>
        <v>463.5</v>
      </c>
      <c r="D284" s="177" t="b">
        <f t="shared" si="1"/>
        <v>1</v>
      </c>
      <c r="E284" s="177">
        <v>28.0</v>
      </c>
      <c r="F284" s="181" t="s">
        <v>124</v>
      </c>
      <c r="G284" s="181" t="s">
        <v>369</v>
      </c>
      <c r="H284" s="181" t="s">
        <v>90</v>
      </c>
      <c r="I284" s="180">
        <f t="array" ref="I284">xlookup(B284,DATA_LEAGUE_AVG!A:A,DATA_LEAGUE_AVG!C:C)</f>
        <v>2886</v>
      </c>
      <c r="J284" s="180">
        <f t="array" ref="J284">xlookup(B284,DATA_LEAGUE_AVG!A:A,DATA_LEAGUE_AVG!D:D)</f>
        <v>19.2</v>
      </c>
      <c r="K284" s="177">
        <f t="shared" ref="K284:L284" si="265">S284/I284</f>
        <v>1.414414414</v>
      </c>
      <c r="L284" s="177">
        <f t="shared" si="265"/>
        <v>1.25</v>
      </c>
      <c r="M284" s="177">
        <v>16.0</v>
      </c>
      <c r="N284" s="177">
        <v>16.0</v>
      </c>
      <c r="O284" s="182">
        <v>36864.0</v>
      </c>
      <c r="P284" s="177">
        <v>332.0</v>
      </c>
      <c r="Q284" s="177">
        <v>530.0</v>
      </c>
      <c r="R284" s="177">
        <v>62.6</v>
      </c>
      <c r="S284" s="177">
        <v>4082.0</v>
      </c>
      <c r="T284" s="177">
        <v>24.0</v>
      </c>
      <c r="U284" s="177">
        <v>4.5</v>
      </c>
      <c r="V284" s="177">
        <v>24.0</v>
      </c>
      <c r="W284" s="177">
        <v>4.5</v>
      </c>
      <c r="X284" s="177">
        <v>190.0</v>
      </c>
      <c r="Y284" s="177">
        <v>50.2</v>
      </c>
      <c r="Z284" s="177">
        <v>65.0</v>
      </c>
      <c r="AA284" s="177">
        <v>7.7</v>
      </c>
      <c r="AB284" s="177">
        <v>6.57</v>
      </c>
      <c r="AC284" s="177">
        <v>12.3</v>
      </c>
      <c r="AD284" s="177">
        <v>255.1</v>
      </c>
      <c r="AE284" s="177">
        <v>82.6</v>
      </c>
      <c r="AF284" s="177">
        <v>28.0</v>
      </c>
      <c r="AG284" s="177">
        <v>195.0</v>
      </c>
      <c r="AH284" s="177">
        <v>5.02</v>
      </c>
      <c r="AI284" s="177">
        <v>6.97</v>
      </c>
      <c r="AJ284" s="177">
        <v>5.89</v>
      </c>
      <c r="AK284" s="177">
        <v>1.0</v>
      </c>
      <c r="AL284" s="177">
        <v>1.0</v>
      </c>
      <c r="AM284" s="177">
        <v>16.0</v>
      </c>
      <c r="AN284" s="181" t="s">
        <v>388</v>
      </c>
      <c r="AO284" s="33"/>
      <c r="AP284" s="33"/>
      <c r="AQ284" s="33"/>
      <c r="AR284" s="33"/>
      <c r="AS284" s="33"/>
    </row>
    <row r="285" hidden="1" outlineLevel="1">
      <c r="A285" s="184" t="s">
        <v>63</v>
      </c>
      <c r="B285" s="176">
        <v>1980.0</v>
      </c>
      <c r="C285" s="180">
        <f t="array" ref="C285">xlookup(B285,DATA_LEAGUE_AVG!A:A,DATA_LEAGUE_AVG!H:H)</f>
        <v>489.5</v>
      </c>
      <c r="D285" s="177" t="b">
        <f t="shared" si="1"/>
        <v>1</v>
      </c>
      <c r="E285" s="177">
        <v>29.0</v>
      </c>
      <c r="F285" s="181" t="s">
        <v>124</v>
      </c>
      <c r="G285" s="181" t="s">
        <v>369</v>
      </c>
      <c r="H285" s="181" t="s">
        <v>90</v>
      </c>
      <c r="I285" s="180">
        <f t="array" ref="I285">xlookup(B285,DATA_LEAGUE_AVG!A:A,DATA_LEAGUE_AVG!C:C)</f>
        <v>3135.3</v>
      </c>
      <c r="J285" s="180">
        <f t="array" ref="J285">xlookup(B285,DATA_LEAGUE_AVG!A:A,DATA_LEAGUE_AVG!D:D)</f>
        <v>21.6</v>
      </c>
      <c r="K285" s="177">
        <f t="shared" ref="K285:L285" si="266">S285/I285</f>
        <v>1.503843332</v>
      </c>
      <c r="L285" s="177">
        <f t="shared" si="266"/>
        <v>1.388888889</v>
      </c>
      <c r="M285" s="177">
        <v>16.0</v>
      </c>
      <c r="N285" s="177">
        <v>16.0</v>
      </c>
      <c r="O285" s="182">
        <v>36835.0</v>
      </c>
      <c r="P285" s="177">
        <v>348.0</v>
      </c>
      <c r="Q285" s="177">
        <v>589.0</v>
      </c>
      <c r="R285" s="177">
        <v>59.1</v>
      </c>
      <c r="S285" s="177">
        <v>4715.0</v>
      </c>
      <c r="T285" s="177">
        <v>30.0</v>
      </c>
      <c r="U285" s="177">
        <v>5.1</v>
      </c>
      <c r="V285" s="177">
        <v>24.0</v>
      </c>
      <c r="W285" s="177">
        <v>4.1</v>
      </c>
      <c r="X285" s="177">
        <v>241.0</v>
      </c>
      <c r="Y285" s="177">
        <v>49.9</v>
      </c>
      <c r="Z285" s="177">
        <v>65.0</v>
      </c>
      <c r="AA285" s="177">
        <v>8.0</v>
      </c>
      <c r="AB285" s="177">
        <v>7.19</v>
      </c>
      <c r="AC285" s="177">
        <v>13.5</v>
      </c>
      <c r="AD285" s="177">
        <v>294.7</v>
      </c>
      <c r="AE285" s="177">
        <v>84.7</v>
      </c>
      <c r="AF285" s="177">
        <v>32.0</v>
      </c>
      <c r="AG285" s="177">
        <v>210.0</v>
      </c>
      <c r="AH285" s="177">
        <v>5.15</v>
      </c>
      <c r="AI285" s="177">
        <v>7.25</v>
      </c>
      <c r="AJ285" s="177">
        <v>6.48</v>
      </c>
      <c r="AK285" s="177">
        <v>1.0</v>
      </c>
      <c r="AL285" s="177">
        <v>2.0</v>
      </c>
      <c r="AM285" s="177">
        <v>17.0</v>
      </c>
      <c r="AN285" s="181" t="s">
        <v>442</v>
      </c>
      <c r="AO285" s="33"/>
      <c r="AP285" s="33"/>
      <c r="AQ285" s="33"/>
      <c r="AR285" s="33"/>
      <c r="AS285" s="33"/>
    </row>
    <row r="286" hidden="1" outlineLevel="1">
      <c r="A286" s="184" t="s">
        <v>63</v>
      </c>
      <c r="B286" s="176">
        <v>1981.0</v>
      </c>
      <c r="C286" s="180">
        <f t="array" ref="C286">xlookup(B286,DATA_LEAGUE_AVG!A:A,DATA_LEAGUE_AVG!H:H)</f>
        <v>506.4</v>
      </c>
      <c r="D286" s="177" t="b">
        <f t="shared" si="1"/>
        <v>1</v>
      </c>
      <c r="E286" s="177">
        <v>30.0</v>
      </c>
      <c r="F286" s="181" t="s">
        <v>124</v>
      </c>
      <c r="G286" s="181" t="s">
        <v>369</v>
      </c>
      <c r="H286" s="181" t="s">
        <v>90</v>
      </c>
      <c r="I286" s="180">
        <f t="array" ref="I286">xlookup(B286,DATA_LEAGUE_AVG!A:A,DATA_LEAGUE_AVG!C:C)</f>
        <v>3269.8</v>
      </c>
      <c r="J286" s="180">
        <f t="array" ref="J286">xlookup(B286,DATA_LEAGUE_AVG!A:A,DATA_LEAGUE_AVG!D:D)</f>
        <v>21.1</v>
      </c>
      <c r="K286" s="177">
        <f t="shared" ref="K286:L286" si="267">S286/I286</f>
        <v>1.468591351</v>
      </c>
      <c r="L286" s="177">
        <f t="shared" si="267"/>
        <v>1.563981043</v>
      </c>
      <c r="M286" s="177">
        <v>16.0</v>
      </c>
      <c r="N286" s="177">
        <v>16.0</v>
      </c>
      <c r="O286" s="182">
        <v>36805.0</v>
      </c>
      <c r="P286" s="177">
        <v>360.0</v>
      </c>
      <c r="Q286" s="177">
        <v>609.0</v>
      </c>
      <c r="R286" s="177">
        <v>59.1</v>
      </c>
      <c r="S286" s="177">
        <v>4802.0</v>
      </c>
      <c r="T286" s="177">
        <v>33.0</v>
      </c>
      <c r="U286" s="177">
        <v>5.4</v>
      </c>
      <c r="V286" s="177">
        <v>17.0</v>
      </c>
      <c r="W286" s="177">
        <v>2.8</v>
      </c>
      <c r="X286" s="177">
        <v>221.0</v>
      </c>
      <c r="Y286" s="177">
        <v>49.0</v>
      </c>
      <c r="Z286" s="177">
        <v>67.0</v>
      </c>
      <c r="AA286" s="177">
        <v>7.9</v>
      </c>
      <c r="AB286" s="177">
        <v>7.71</v>
      </c>
      <c r="AC286" s="177">
        <v>13.3</v>
      </c>
      <c r="AD286" s="177">
        <v>300.1</v>
      </c>
      <c r="AE286" s="177">
        <v>90.6</v>
      </c>
      <c r="AF286" s="177">
        <v>19.0</v>
      </c>
      <c r="AG286" s="177">
        <v>134.0</v>
      </c>
      <c r="AH286" s="177">
        <v>3.03</v>
      </c>
      <c r="AI286" s="177">
        <v>7.43</v>
      </c>
      <c r="AJ286" s="177">
        <v>7.27</v>
      </c>
      <c r="AK286" s="177">
        <v>3.0</v>
      </c>
      <c r="AL286" s="177">
        <v>3.0</v>
      </c>
      <c r="AM286" s="177">
        <v>19.0</v>
      </c>
      <c r="AN286" s="181" t="s">
        <v>443</v>
      </c>
      <c r="AO286" s="33"/>
      <c r="AP286" s="33"/>
      <c r="AQ286" s="33"/>
      <c r="AR286" s="33"/>
      <c r="AS286" s="33"/>
    </row>
    <row r="287" hidden="1" outlineLevel="1">
      <c r="A287" s="184" t="s">
        <v>63</v>
      </c>
      <c r="B287" s="176">
        <v>1982.0</v>
      </c>
      <c r="C287" s="180">
        <f t="array" ref="C287">xlookup(B287,DATA_LEAGUE_AVG!A:A,DATA_LEAGUE_AVG!H:H)</f>
        <v>283.3</v>
      </c>
      <c r="D287" s="177" t="b">
        <f t="shared" si="1"/>
        <v>1</v>
      </c>
      <c r="E287" s="177">
        <v>31.0</v>
      </c>
      <c r="F287" s="181" t="s">
        <v>124</v>
      </c>
      <c r="G287" s="181" t="s">
        <v>369</v>
      </c>
      <c r="H287" s="181" t="s">
        <v>90</v>
      </c>
      <c r="I287" s="180">
        <f t="array" ref="I287">xlookup(B287,DATA_LEAGUE_AVG!A:A,DATA_LEAGUE_AVG!C:C)</f>
        <v>1794.9</v>
      </c>
      <c r="J287" s="180">
        <f t="array" ref="J287">xlookup(B287,DATA_LEAGUE_AVG!A:A,DATA_LEAGUE_AVG!D:D)</f>
        <v>11.4</v>
      </c>
      <c r="K287" s="177">
        <f t="shared" ref="K287:L287" si="268">S287/I287</f>
        <v>1.606217617</v>
      </c>
      <c r="L287" s="177">
        <f t="shared" si="268"/>
        <v>1.49122807</v>
      </c>
      <c r="M287" s="177">
        <v>9.0</v>
      </c>
      <c r="N287" s="177">
        <v>9.0</v>
      </c>
      <c r="O287" s="182">
        <v>36680.0</v>
      </c>
      <c r="P287" s="177">
        <v>204.0</v>
      </c>
      <c r="Q287" s="177">
        <v>330.0</v>
      </c>
      <c r="R287" s="177">
        <v>61.8</v>
      </c>
      <c r="S287" s="177">
        <v>2883.0</v>
      </c>
      <c r="T287" s="177">
        <v>17.0</v>
      </c>
      <c r="U287" s="177">
        <v>5.2</v>
      </c>
      <c r="V287" s="177">
        <v>11.0</v>
      </c>
      <c r="W287" s="177">
        <v>3.3</v>
      </c>
      <c r="X287" s="177">
        <v>142.0</v>
      </c>
      <c r="Y287" s="177">
        <v>51.8</v>
      </c>
      <c r="Z287" s="177">
        <v>44.0</v>
      </c>
      <c r="AA287" s="177">
        <v>8.7</v>
      </c>
      <c r="AB287" s="177">
        <v>8.27</v>
      </c>
      <c r="AC287" s="177">
        <v>14.1</v>
      </c>
      <c r="AD287" s="177">
        <v>320.3</v>
      </c>
      <c r="AE287" s="177">
        <v>93.3</v>
      </c>
      <c r="AF287" s="177">
        <v>12.0</v>
      </c>
      <c r="AG287" s="177">
        <v>94.0</v>
      </c>
      <c r="AH287" s="177">
        <v>3.51</v>
      </c>
      <c r="AI287" s="177">
        <v>8.15</v>
      </c>
      <c r="AJ287" s="177">
        <v>7.7</v>
      </c>
      <c r="AK287" s="177">
        <v>1.0</v>
      </c>
      <c r="AL287" s="177">
        <v>2.0</v>
      </c>
      <c r="AM287" s="177">
        <v>21.0</v>
      </c>
      <c r="AN287" s="181" t="s">
        <v>444</v>
      </c>
      <c r="AO287" s="33"/>
      <c r="AP287" s="33"/>
      <c r="AQ287" s="33"/>
      <c r="AR287" s="33"/>
      <c r="AS287" s="33"/>
    </row>
    <row r="288" hidden="1" outlineLevel="1">
      <c r="A288" s="184" t="s">
        <v>63</v>
      </c>
      <c r="B288" s="176">
        <v>1983.0</v>
      </c>
      <c r="C288" s="180">
        <f t="array" ref="C288">xlookup(B288,DATA_LEAGUE_AVG!A:A,DATA_LEAGUE_AVG!H:H)</f>
        <v>501.7</v>
      </c>
      <c r="D288" s="177" t="b">
        <f t="shared" si="1"/>
        <v>1</v>
      </c>
      <c r="E288" s="177">
        <v>32.0</v>
      </c>
      <c r="F288" s="181" t="s">
        <v>124</v>
      </c>
      <c r="G288" s="181" t="s">
        <v>369</v>
      </c>
      <c r="H288" s="181" t="s">
        <v>90</v>
      </c>
      <c r="I288" s="180">
        <f t="array" ref="I288">xlookup(B288,DATA_LEAGUE_AVG!A:A,DATA_LEAGUE_AVG!C:C)</f>
        <v>3274</v>
      </c>
      <c r="J288" s="180">
        <f t="array" ref="J288">xlookup(B288,DATA_LEAGUE_AVG!A:A,DATA_LEAGUE_AVG!D:D)</f>
        <v>22.3</v>
      </c>
      <c r="K288" s="177">
        <f t="shared" ref="K288:L288" si="269">S288/I288</f>
        <v>0.9086744044</v>
      </c>
      <c r="L288" s="177">
        <f t="shared" si="269"/>
        <v>0.8968609865</v>
      </c>
      <c r="M288" s="177">
        <v>10.0</v>
      </c>
      <c r="N288" s="177">
        <v>10.0</v>
      </c>
      <c r="O288" s="182">
        <v>36651.0</v>
      </c>
      <c r="P288" s="177">
        <v>215.0</v>
      </c>
      <c r="Q288" s="177">
        <v>340.0</v>
      </c>
      <c r="R288" s="177">
        <v>63.2</v>
      </c>
      <c r="S288" s="177">
        <v>2975.0</v>
      </c>
      <c r="T288" s="177">
        <v>20.0</v>
      </c>
      <c r="U288" s="177">
        <v>5.9</v>
      </c>
      <c r="V288" s="177">
        <v>15.0</v>
      </c>
      <c r="W288" s="177">
        <v>4.4</v>
      </c>
      <c r="X288" s="177">
        <v>145.0</v>
      </c>
      <c r="Y288" s="177">
        <v>54.2</v>
      </c>
      <c r="Z288" s="177">
        <v>59.0</v>
      </c>
      <c r="AA288" s="177">
        <v>8.8</v>
      </c>
      <c r="AB288" s="177">
        <v>7.94</v>
      </c>
      <c r="AC288" s="177">
        <v>13.8</v>
      </c>
      <c r="AD288" s="177">
        <v>297.5</v>
      </c>
      <c r="AE288" s="177">
        <v>92.5</v>
      </c>
      <c r="AF288" s="177">
        <v>14.0</v>
      </c>
      <c r="AG288" s="177">
        <v>107.0</v>
      </c>
      <c r="AH288" s="177">
        <v>3.95</v>
      </c>
      <c r="AI288" s="177">
        <v>8.1</v>
      </c>
      <c r="AJ288" s="177">
        <v>7.32</v>
      </c>
      <c r="AK288" s="177">
        <v>2.0</v>
      </c>
      <c r="AL288" s="177">
        <v>1.0</v>
      </c>
      <c r="AM288" s="177">
        <v>10.0</v>
      </c>
      <c r="AN288" s="181" t="s">
        <v>380</v>
      </c>
      <c r="AO288" s="33"/>
      <c r="AP288" s="33"/>
      <c r="AQ288" s="33"/>
      <c r="AR288" s="33"/>
      <c r="AS288" s="33"/>
    </row>
    <row r="289" hidden="1" outlineLevel="1">
      <c r="A289" s="184" t="s">
        <v>63</v>
      </c>
      <c r="B289" s="176">
        <v>1984.0</v>
      </c>
      <c r="C289" s="180">
        <f t="array" ref="C289">xlookup(B289,DATA_LEAGUE_AVG!A:A,DATA_LEAGUE_AVG!H:H)</f>
        <v>511.6</v>
      </c>
      <c r="D289" s="177" t="b">
        <f t="shared" si="1"/>
        <v>1</v>
      </c>
      <c r="E289" s="177">
        <v>33.0</v>
      </c>
      <c r="F289" s="181" t="s">
        <v>124</v>
      </c>
      <c r="G289" s="181" t="s">
        <v>369</v>
      </c>
      <c r="H289" s="181" t="s">
        <v>90</v>
      </c>
      <c r="I289" s="180">
        <f t="array" ref="I289">xlookup(B289,DATA_LEAGUE_AVG!A:A,DATA_LEAGUE_AVG!C:C)</f>
        <v>3294.2</v>
      </c>
      <c r="J289" s="180">
        <f t="array" ref="J289">xlookup(B289,DATA_LEAGUE_AVG!A:A,DATA_LEAGUE_AVG!D:D)</f>
        <v>22</v>
      </c>
      <c r="K289" s="177">
        <f t="shared" ref="K289:L289" si="270">S289/I289</f>
        <v>1.13532876</v>
      </c>
      <c r="L289" s="177">
        <f t="shared" si="270"/>
        <v>0.8636363636</v>
      </c>
      <c r="M289" s="177">
        <v>13.0</v>
      </c>
      <c r="N289" s="177">
        <v>13.0</v>
      </c>
      <c r="O289" s="182">
        <v>36684.0</v>
      </c>
      <c r="P289" s="177">
        <v>317.0</v>
      </c>
      <c r="Q289" s="177">
        <v>507.0</v>
      </c>
      <c r="R289" s="177">
        <v>62.5</v>
      </c>
      <c r="S289" s="177">
        <v>3740.0</v>
      </c>
      <c r="T289" s="177">
        <v>19.0</v>
      </c>
      <c r="U289" s="177">
        <v>3.7</v>
      </c>
      <c r="V289" s="177">
        <v>17.0</v>
      </c>
      <c r="W289" s="177">
        <v>3.4</v>
      </c>
      <c r="X289" s="177">
        <v>189.0</v>
      </c>
      <c r="Y289" s="177">
        <v>51.1</v>
      </c>
      <c r="Z289" s="177">
        <v>61.0</v>
      </c>
      <c r="AA289" s="177">
        <v>7.4</v>
      </c>
      <c r="AB289" s="177">
        <v>6.62</v>
      </c>
      <c r="AC289" s="177">
        <v>11.8</v>
      </c>
      <c r="AD289" s="177">
        <v>287.7</v>
      </c>
      <c r="AE289" s="177">
        <v>83.4</v>
      </c>
      <c r="AF289" s="177">
        <v>29.0</v>
      </c>
      <c r="AG289" s="177">
        <v>228.0</v>
      </c>
      <c r="AH289" s="177">
        <v>5.41</v>
      </c>
      <c r="AI289" s="177">
        <v>6.55</v>
      </c>
      <c r="AJ289" s="177">
        <v>5.83</v>
      </c>
      <c r="AK289" s="177">
        <v>1.0</v>
      </c>
      <c r="AL289" s="177">
        <v>1.0</v>
      </c>
      <c r="AM289" s="177">
        <v>11.0</v>
      </c>
      <c r="AN289" s="183"/>
      <c r="AO289" s="33"/>
      <c r="AP289" s="33"/>
      <c r="AQ289" s="33"/>
      <c r="AR289" s="33"/>
      <c r="AS289" s="33"/>
    </row>
    <row r="290" hidden="1" outlineLevel="1">
      <c r="A290" s="184" t="s">
        <v>63</v>
      </c>
      <c r="B290" s="176">
        <v>1985.0</v>
      </c>
      <c r="C290" s="180">
        <f t="array" ref="C290">xlookup(B290,DATA_LEAGUE_AVG!A:A,DATA_LEAGUE_AVG!H:H)</f>
        <v>515.1</v>
      </c>
      <c r="D290" s="177" t="b">
        <f t="shared" si="1"/>
        <v>1</v>
      </c>
      <c r="E290" s="177">
        <v>34.0</v>
      </c>
      <c r="F290" s="181" t="s">
        <v>124</v>
      </c>
      <c r="G290" s="181" t="s">
        <v>369</v>
      </c>
      <c r="H290" s="181" t="s">
        <v>90</v>
      </c>
      <c r="I290" s="180">
        <f t="array" ref="I290">xlookup(B290,DATA_LEAGUE_AVG!A:A,DATA_LEAGUE_AVG!C:C)</f>
        <v>3272.2</v>
      </c>
      <c r="J290" s="180">
        <f t="array" ref="J290">xlookup(B290,DATA_LEAGUE_AVG!A:A,DATA_LEAGUE_AVG!D:D)</f>
        <v>21.4</v>
      </c>
      <c r="K290" s="177">
        <f t="shared" ref="K290:L290" si="271">S290/I290</f>
        <v>1.111790233</v>
      </c>
      <c r="L290" s="177">
        <f t="shared" si="271"/>
        <v>1.261682243</v>
      </c>
      <c r="M290" s="177">
        <v>14.0</v>
      </c>
      <c r="N290" s="177">
        <v>12.0</v>
      </c>
      <c r="O290" s="182">
        <v>36712.0</v>
      </c>
      <c r="P290" s="177">
        <v>254.0</v>
      </c>
      <c r="Q290" s="177">
        <v>430.0</v>
      </c>
      <c r="R290" s="177">
        <v>59.1</v>
      </c>
      <c r="S290" s="177">
        <v>3638.0</v>
      </c>
      <c r="T290" s="177">
        <v>27.0</v>
      </c>
      <c r="U290" s="177">
        <v>6.3</v>
      </c>
      <c r="V290" s="177">
        <v>20.0</v>
      </c>
      <c r="W290" s="177">
        <v>4.7</v>
      </c>
      <c r="X290" s="177">
        <v>177.0</v>
      </c>
      <c r="Y290" s="177">
        <v>51.1</v>
      </c>
      <c r="Z290" s="177">
        <v>75.0</v>
      </c>
      <c r="AA290" s="177">
        <v>8.5</v>
      </c>
      <c r="AB290" s="177">
        <v>7.62</v>
      </c>
      <c r="AC290" s="177">
        <v>14.3</v>
      </c>
      <c r="AD290" s="177">
        <v>259.9</v>
      </c>
      <c r="AE290" s="177">
        <v>88.1</v>
      </c>
      <c r="AF290" s="177">
        <v>18.0</v>
      </c>
      <c r="AG290" s="177">
        <v>135.0</v>
      </c>
      <c r="AH290" s="177">
        <v>4.02</v>
      </c>
      <c r="AI290" s="177">
        <v>7.82</v>
      </c>
      <c r="AJ290" s="177">
        <v>7.02</v>
      </c>
      <c r="AK290" s="177">
        <v>3.0</v>
      </c>
      <c r="AL290" s="177">
        <v>3.0</v>
      </c>
      <c r="AM290" s="177">
        <v>13.0</v>
      </c>
      <c r="AN290" s="181" t="s">
        <v>379</v>
      </c>
      <c r="AO290" s="33"/>
      <c r="AP290" s="33"/>
      <c r="AQ290" s="33"/>
      <c r="AR290" s="33"/>
      <c r="AS290" s="33"/>
    </row>
    <row r="291" hidden="1" outlineLevel="1">
      <c r="A291" s="184" t="s">
        <v>63</v>
      </c>
      <c r="B291" s="176">
        <v>1986.0</v>
      </c>
      <c r="C291" s="180">
        <f t="array" ref="C291">xlookup(B291,DATA_LEAGUE_AVG!A:A,DATA_LEAGUE_AVG!H:H)</f>
        <v>516.8</v>
      </c>
      <c r="D291" s="177" t="b">
        <f t="shared" si="1"/>
        <v>1</v>
      </c>
      <c r="E291" s="177">
        <v>35.0</v>
      </c>
      <c r="F291" s="181" t="s">
        <v>124</v>
      </c>
      <c r="G291" s="181" t="s">
        <v>369</v>
      </c>
      <c r="H291" s="181" t="s">
        <v>90</v>
      </c>
      <c r="I291" s="180">
        <f t="array" ref="I291">xlookup(B291,DATA_LEAGUE_AVG!A:A,DATA_LEAGUE_AVG!C:C)</f>
        <v>3288.6</v>
      </c>
      <c r="J291" s="180">
        <f t="array" ref="J291">xlookup(B291,DATA_LEAGUE_AVG!A:A,DATA_LEAGUE_AVG!D:D)</f>
        <v>20.9</v>
      </c>
      <c r="K291" s="177">
        <f t="shared" ref="K291:L291" si="272">S291/I291</f>
        <v>0.9216687952</v>
      </c>
      <c r="L291" s="177">
        <f t="shared" si="272"/>
        <v>0.7655502392</v>
      </c>
      <c r="M291" s="177">
        <v>12.0</v>
      </c>
      <c r="N291" s="177">
        <v>12.0</v>
      </c>
      <c r="O291" s="182">
        <v>36594.0</v>
      </c>
      <c r="P291" s="177">
        <v>252.0</v>
      </c>
      <c r="Q291" s="177">
        <v>430.0</v>
      </c>
      <c r="R291" s="177">
        <v>58.6</v>
      </c>
      <c r="S291" s="177">
        <v>3031.0</v>
      </c>
      <c r="T291" s="177">
        <v>16.0</v>
      </c>
      <c r="U291" s="177">
        <v>3.7</v>
      </c>
      <c r="V291" s="177">
        <v>22.0</v>
      </c>
      <c r="W291" s="177">
        <v>5.1</v>
      </c>
      <c r="X291" s="177">
        <v>157.0</v>
      </c>
      <c r="Y291" s="177">
        <v>46.8</v>
      </c>
      <c r="Z291" s="177">
        <v>65.0</v>
      </c>
      <c r="AA291" s="177">
        <v>7.0</v>
      </c>
      <c r="AB291" s="177">
        <v>5.49</v>
      </c>
      <c r="AC291" s="177">
        <v>12.0</v>
      </c>
      <c r="AD291" s="177">
        <v>252.6</v>
      </c>
      <c r="AE291" s="177">
        <v>71.4</v>
      </c>
      <c r="AF291" s="177">
        <v>21.0</v>
      </c>
      <c r="AG291" s="177">
        <v>173.0</v>
      </c>
      <c r="AH291" s="177">
        <v>4.66</v>
      </c>
      <c r="AI291" s="177">
        <v>6.34</v>
      </c>
      <c r="AJ291" s="177">
        <v>4.85</v>
      </c>
      <c r="AK291" s="177">
        <v>0.0</v>
      </c>
      <c r="AL291" s="177">
        <v>0.0</v>
      </c>
      <c r="AM291" s="177">
        <v>9.0</v>
      </c>
      <c r="AN291" s="183"/>
      <c r="AO291" s="33"/>
      <c r="AP291" s="33"/>
      <c r="AQ291" s="33"/>
      <c r="AR291" s="33"/>
      <c r="AS291" s="33"/>
    </row>
    <row r="292" hidden="1" outlineLevel="1">
      <c r="A292" s="184" t="s">
        <v>63</v>
      </c>
      <c r="B292" s="176">
        <v>1987.0</v>
      </c>
      <c r="C292" s="180">
        <f t="array" ref="C292">xlookup(B292,DATA_LEAGUE_AVG!A:A,DATA_LEAGUE_AVG!H:H)</f>
        <v>481.8</v>
      </c>
      <c r="D292" s="177" t="b">
        <f t="shared" si="1"/>
        <v>1</v>
      </c>
      <c r="E292" s="177">
        <v>36.0</v>
      </c>
      <c r="F292" s="181" t="s">
        <v>124</v>
      </c>
      <c r="G292" s="181" t="s">
        <v>369</v>
      </c>
      <c r="H292" s="181" t="s">
        <v>90</v>
      </c>
      <c r="I292" s="180">
        <f t="array" ref="I292">xlookup(B292,DATA_LEAGUE_AVG!A:A,DATA_LEAGUE_AVG!C:C)</f>
        <v>3058.8</v>
      </c>
      <c r="J292" s="180">
        <f t="array" ref="J292">xlookup(B292,DATA_LEAGUE_AVG!A:A,DATA_LEAGUE_AVG!D:D)</f>
        <v>21.8</v>
      </c>
      <c r="K292" s="177">
        <f t="shared" ref="K292:L292" si="273">S292/I292</f>
        <v>0.8228717144</v>
      </c>
      <c r="L292" s="177">
        <f t="shared" si="273"/>
        <v>0.4587155963</v>
      </c>
      <c r="M292" s="177">
        <v>11.0</v>
      </c>
      <c r="N292" s="177">
        <v>10.0</v>
      </c>
      <c r="O292" s="182">
        <v>36651.0</v>
      </c>
      <c r="P292" s="177">
        <v>206.0</v>
      </c>
      <c r="Q292" s="177">
        <v>364.0</v>
      </c>
      <c r="R292" s="177">
        <v>56.6</v>
      </c>
      <c r="S292" s="177">
        <v>2517.0</v>
      </c>
      <c r="T292" s="177">
        <v>10.0</v>
      </c>
      <c r="U292" s="177">
        <v>2.7</v>
      </c>
      <c r="V292" s="177">
        <v>15.0</v>
      </c>
      <c r="W292" s="177">
        <v>4.1</v>
      </c>
      <c r="X292" s="177">
        <v>130.0</v>
      </c>
      <c r="Y292" s="177">
        <v>43.0</v>
      </c>
      <c r="Z292" s="177">
        <v>46.0</v>
      </c>
      <c r="AA292" s="177">
        <v>6.9</v>
      </c>
      <c r="AB292" s="177">
        <v>5.61</v>
      </c>
      <c r="AC292" s="177">
        <v>12.2</v>
      </c>
      <c r="AD292" s="177">
        <v>228.8</v>
      </c>
      <c r="AE292" s="177">
        <v>70.0</v>
      </c>
      <c r="AF292" s="177">
        <v>24.0</v>
      </c>
      <c r="AG292" s="177">
        <v>176.0</v>
      </c>
      <c r="AH292" s="177">
        <v>6.19</v>
      </c>
      <c r="AI292" s="177">
        <v>6.03</v>
      </c>
      <c r="AJ292" s="177">
        <v>4.81</v>
      </c>
      <c r="AK292" s="177">
        <v>2.0</v>
      </c>
      <c r="AL292" s="177">
        <v>2.0</v>
      </c>
      <c r="AM292" s="177">
        <v>5.0</v>
      </c>
      <c r="AN292" s="183"/>
      <c r="AO292" s="33"/>
      <c r="AP292" s="33"/>
      <c r="AQ292" s="33"/>
      <c r="AR292" s="33"/>
      <c r="AS292" s="33"/>
    </row>
    <row r="293" collapsed="1">
      <c r="A293" s="184" t="s">
        <v>69</v>
      </c>
      <c r="B293" s="176" t="s">
        <v>348</v>
      </c>
      <c r="C293" s="177" t="str">
        <f t="array" ref="C293">xlookup(B293,DATA_LEAGUE_AVG!A:A,DATA_LEAGUE_AVG!H:H)</f>
        <v>#N/A</v>
      </c>
      <c r="D293" s="177" t="str">
        <f t="shared" si="1"/>
        <v>#N/A</v>
      </c>
      <c r="E293" s="176" t="s">
        <v>351</v>
      </c>
      <c r="F293" s="176" t="s">
        <v>352</v>
      </c>
      <c r="G293" s="176" t="s">
        <v>353</v>
      </c>
      <c r="H293" s="176" t="s">
        <v>354</v>
      </c>
      <c r="I293" s="185" t="s">
        <v>355</v>
      </c>
      <c r="J293" s="185" t="s">
        <v>356</v>
      </c>
      <c r="K293" s="185" t="s">
        <v>272</v>
      </c>
      <c r="L293" s="185" t="s">
        <v>357</v>
      </c>
      <c r="M293" s="176" t="s">
        <v>358</v>
      </c>
      <c r="N293" s="176" t="s">
        <v>359</v>
      </c>
      <c r="O293" s="176" t="s">
        <v>360</v>
      </c>
      <c r="P293" s="176" t="s">
        <v>330</v>
      </c>
      <c r="Q293" s="176" t="s">
        <v>331</v>
      </c>
      <c r="R293" s="176" t="s">
        <v>332</v>
      </c>
      <c r="S293" s="176" t="s">
        <v>326</v>
      </c>
      <c r="T293" s="176" t="s">
        <v>327</v>
      </c>
      <c r="U293" s="176" t="s">
        <v>335</v>
      </c>
      <c r="V293" s="176" t="s">
        <v>336</v>
      </c>
      <c r="W293" s="176" t="s">
        <v>337</v>
      </c>
      <c r="X293" s="176" t="s">
        <v>361</v>
      </c>
      <c r="Y293" s="176" t="s">
        <v>362</v>
      </c>
      <c r="Z293" s="176" t="s">
        <v>363</v>
      </c>
      <c r="AA293" s="176" t="s">
        <v>338</v>
      </c>
      <c r="AB293" s="176" t="s">
        <v>339</v>
      </c>
      <c r="AC293" s="176" t="s">
        <v>340</v>
      </c>
      <c r="AD293" s="176" t="s">
        <v>341</v>
      </c>
      <c r="AE293" s="176" t="s">
        <v>342</v>
      </c>
      <c r="AF293" s="176" t="s">
        <v>404</v>
      </c>
      <c r="AG293" s="176" t="s">
        <v>343</v>
      </c>
      <c r="AH293" s="176" t="s">
        <v>326</v>
      </c>
      <c r="AI293" s="176" t="s">
        <v>345</v>
      </c>
      <c r="AJ293" s="176" t="s">
        <v>346</v>
      </c>
      <c r="AK293" s="176" t="s">
        <v>347</v>
      </c>
      <c r="AL293" s="176" t="s">
        <v>364</v>
      </c>
      <c r="AM293" s="176" t="s">
        <v>365</v>
      </c>
      <c r="AN293" s="176" t="s">
        <v>366</v>
      </c>
      <c r="AO293" s="176" t="s">
        <v>367</v>
      </c>
      <c r="AP293" s="33"/>
      <c r="AQ293" s="33"/>
      <c r="AR293" s="33"/>
      <c r="AS293" s="33"/>
    </row>
    <row r="294" hidden="1" outlineLevel="1">
      <c r="A294" s="184" t="s">
        <v>69</v>
      </c>
      <c r="B294" s="176">
        <v>2019.0</v>
      </c>
      <c r="C294" s="180">
        <f t="array" ref="C294">xlookup(B294,DATA_LEAGUE_AVG!A:A,DATA_LEAGUE_AVG!H:H)</f>
        <v>557.9</v>
      </c>
      <c r="D294" s="177" t="b">
        <f t="shared" si="1"/>
        <v>1</v>
      </c>
      <c r="E294" s="177">
        <v>22.0</v>
      </c>
      <c r="F294" s="181" t="s">
        <v>132</v>
      </c>
      <c r="G294" s="181" t="s">
        <v>369</v>
      </c>
      <c r="H294" s="181" t="s">
        <v>90</v>
      </c>
      <c r="I294" s="180">
        <f t="array" ref="I294">xlookup(B294,DATA_LEAGUE_AVG!A:A,DATA_LEAGUE_AVG!C:C)</f>
        <v>3759.4</v>
      </c>
      <c r="J294" s="180">
        <f t="array" ref="J294">xlookup(B294,DATA_LEAGUE_AVG!A:A,DATA_LEAGUE_AVG!D:D)</f>
        <v>24.9</v>
      </c>
      <c r="K294" s="177">
        <f t="shared" ref="K294:L294" si="274">S294/I294</f>
        <v>0.8317816673</v>
      </c>
      <c r="L294" s="177">
        <f t="shared" si="274"/>
        <v>1.445783133</v>
      </c>
      <c r="M294" s="177">
        <v>15.0</v>
      </c>
      <c r="N294" s="177">
        <v>15.0</v>
      </c>
      <c r="O294" s="181" t="s">
        <v>396</v>
      </c>
      <c r="P294" s="177">
        <v>265.0</v>
      </c>
      <c r="Q294" s="177">
        <v>401.0</v>
      </c>
      <c r="R294" s="177">
        <v>66.1</v>
      </c>
      <c r="S294" s="177">
        <v>3127.0</v>
      </c>
      <c r="T294" s="177">
        <v>36.0</v>
      </c>
      <c r="U294" s="177">
        <v>9.0</v>
      </c>
      <c r="V294" s="177">
        <v>6.0</v>
      </c>
      <c r="W294" s="177">
        <v>1.5</v>
      </c>
      <c r="X294" s="177">
        <v>161.0</v>
      </c>
      <c r="Y294" s="177">
        <v>50.5</v>
      </c>
      <c r="Z294" s="177">
        <v>83.0</v>
      </c>
      <c r="AA294" s="177">
        <v>7.8</v>
      </c>
      <c r="AB294" s="177">
        <v>8.92</v>
      </c>
      <c r="AC294" s="177">
        <v>11.8</v>
      </c>
      <c r="AD294" s="177">
        <v>208.5</v>
      </c>
      <c r="AE294" s="177">
        <v>113.3</v>
      </c>
      <c r="AF294" s="177">
        <v>83.0</v>
      </c>
      <c r="AG294" s="177">
        <v>23.0</v>
      </c>
      <c r="AH294" s="177">
        <v>106.0</v>
      </c>
      <c r="AI294" s="177">
        <v>5.42</v>
      </c>
      <c r="AJ294" s="177">
        <v>7.13</v>
      </c>
      <c r="AK294" s="177">
        <v>8.19</v>
      </c>
      <c r="AL294" s="177">
        <v>1.0</v>
      </c>
      <c r="AM294" s="177">
        <v>2.0</v>
      </c>
      <c r="AN294" s="177">
        <v>25.0</v>
      </c>
      <c r="AO294" s="181" t="s">
        <v>390</v>
      </c>
      <c r="AP294" s="33"/>
      <c r="AQ294" s="33"/>
      <c r="AR294" s="33"/>
      <c r="AS294" s="33"/>
    </row>
    <row r="295" hidden="1" outlineLevel="1">
      <c r="A295" s="184" t="s">
        <v>69</v>
      </c>
      <c r="B295" s="176">
        <v>2020.0</v>
      </c>
      <c r="C295" s="180">
        <f t="array" ref="C295">xlookup(B295,DATA_LEAGUE_AVG!A:A,DATA_LEAGUE_AVG!H:H)</f>
        <v>563.1</v>
      </c>
      <c r="D295" s="177" t="b">
        <f t="shared" si="1"/>
        <v>1</v>
      </c>
      <c r="E295" s="177">
        <v>23.0</v>
      </c>
      <c r="F295" s="181" t="s">
        <v>132</v>
      </c>
      <c r="G295" s="181" t="s">
        <v>369</v>
      </c>
      <c r="H295" s="181" t="s">
        <v>90</v>
      </c>
      <c r="I295" s="180">
        <f t="array" ref="I295">xlookup(B295,DATA_LEAGUE_AVG!A:A,DATA_LEAGUE_AVG!C:C)</f>
        <v>3842.4</v>
      </c>
      <c r="J295" s="180">
        <f t="array" ref="J295">xlookup(B295,DATA_LEAGUE_AVG!A:A,DATA_LEAGUE_AVG!D:D)</f>
        <v>27.2</v>
      </c>
      <c r="K295" s="177">
        <f t="shared" ref="K295:L295" si="275">S295/I295</f>
        <v>0.7175202998</v>
      </c>
      <c r="L295" s="177">
        <f t="shared" si="275"/>
        <v>0.9558823529</v>
      </c>
      <c r="M295" s="177">
        <v>15.0</v>
      </c>
      <c r="N295" s="177">
        <v>15.0</v>
      </c>
      <c r="O295" s="182">
        <v>36834.0</v>
      </c>
      <c r="P295" s="177">
        <v>242.0</v>
      </c>
      <c r="Q295" s="177">
        <v>376.0</v>
      </c>
      <c r="R295" s="177">
        <v>64.4</v>
      </c>
      <c r="S295" s="177">
        <v>2757.0</v>
      </c>
      <c r="T295" s="177">
        <v>26.0</v>
      </c>
      <c r="U295" s="177">
        <v>6.9</v>
      </c>
      <c r="V295" s="177">
        <v>9.0</v>
      </c>
      <c r="W295" s="177">
        <v>2.4</v>
      </c>
      <c r="X295" s="177">
        <v>138.0</v>
      </c>
      <c r="Y295" s="177">
        <v>46.2</v>
      </c>
      <c r="Z295" s="177">
        <v>47.0</v>
      </c>
      <c r="AA295" s="177">
        <v>7.3</v>
      </c>
      <c r="AB295" s="177">
        <v>7.64</v>
      </c>
      <c r="AC295" s="177">
        <v>11.4</v>
      </c>
      <c r="AD295" s="177">
        <v>183.8</v>
      </c>
      <c r="AE295" s="177">
        <v>99.3</v>
      </c>
      <c r="AF295" s="177">
        <v>67.3</v>
      </c>
      <c r="AG295" s="177">
        <v>29.0</v>
      </c>
      <c r="AH295" s="177">
        <v>160.0</v>
      </c>
      <c r="AI295" s="177">
        <v>7.16</v>
      </c>
      <c r="AJ295" s="177">
        <v>6.41</v>
      </c>
      <c r="AK295" s="177">
        <v>6.7</v>
      </c>
      <c r="AL295" s="177">
        <v>1.0</v>
      </c>
      <c r="AM295" s="177">
        <v>1.0</v>
      </c>
      <c r="AN295" s="177">
        <v>18.0</v>
      </c>
      <c r="AO295" s="183"/>
      <c r="AP295" s="33"/>
      <c r="AQ295" s="33"/>
      <c r="AR295" s="33"/>
      <c r="AS295" s="33"/>
    </row>
    <row r="296" hidden="1" outlineLevel="1">
      <c r="A296" s="184" t="s">
        <v>69</v>
      </c>
      <c r="B296" s="176">
        <v>2021.0</v>
      </c>
      <c r="C296" s="180">
        <f t="array" ref="C296">xlookup(B296,DATA_LEAGUE_AVG!A:A,DATA_LEAGUE_AVG!H:H)</f>
        <v>584.8</v>
      </c>
      <c r="D296" s="177" t="b">
        <f t="shared" si="1"/>
        <v>1</v>
      </c>
      <c r="E296" s="177">
        <v>24.0</v>
      </c>
      <c r="F296" s="181" t="s">
        <v>132</v>
      </c>
      <c r="G296" s="181" t="s">
        <v>369</v>
      </c>
      <c r="H296" s="181" t="s">
        <v>90</v>
      </c>
      <c r="I296" s="180">
        <f t="array" ref="I296">xlookup(B296,DATA_LEAGUE_AVG!A:A,DATA_LEAGUE_AVG!C:C)</f>
        <v>3881.3</v>
      </c>
      <c r="J296" s="180">
        <f t="array" ref="J296">xlookup(B296,DATA_LEAGUE_AVG!A:A,DATA_LEAGUE_AVG!D:D)</f>
        <v>26.3</v>
      </c>
      <c r="K296" s="177">
        <f t="shared" ref="K296:L296" si="276">S296/I296</f>
        <v>0.7425347177</v>
      </c>
      <c r="L296" s="177">
        <f t="shared" si="276"/>
        <v>0.608365019</v>
      </c>
      <c r="M296" s="177">
        <v>12.0</v>
      </c>
      <c r="N296" s="177">
        <v>12.0</v>
      </c>
      <c r="O296" s="182">
        <v>36712.0</v>
      </c>
      <c r="P296" s="177">
        <v>246.0</v>
      </c>
      <c r="Q296" s="177">
        <v>382.0</v>
      </c>
      <c r="R296" s="177">
        <v>64.4</v>
      </c>
      <c r="S296" s="177">
        <v>2882.0</v>
      </c>
      <c r="T296" s="177">
        <v>16.0</v>
      </c>
      <c r="U296" s="177">
        <v>4.2</v>
      </c>
      <c r="V296" s="177">
        <v>13.0</v>
      </c>
      <c r="W296" s="177">
        <v>3.4</v>
      </c>
      <c r="X296" s="177">
        <v>135.0</v>
      </c>
      <c r="Y296" s="177">
        <v>46.9</v>
      </c>
      <c r="Z296" s="177">
        <v>49.0</v>
      </c>
      <c r="AA296" s="177">
        <v>7.5</v>
      </c>
      <c r="AB296" s="177">
        <v>6.85</v>
      </c>
      <c r="AC296" s="177">
        <v>11.7</v>
      </c>
      <c r="AD296" s="177">
        <v>240.2</v>
      </c>
      <c r="AE296" s="177">
        <v>87.0</v>
      </c>
      <c r="AF296" s="177">
        <v>56.8</v>
      </c>
      <c r="AG296" s="177">
        <v>38.0</v>
      </c>
      <c r="AH296" s="177">
        <v>190.0</v>
      </c>
      <c r="AI296" s="177">
        <v>9.05</v>
      </c>
      <c r="AJ296" s="177">
        <v>6.41</v>
      </c>
      <c r="AK296" s="177">
        <v>5.78</v>
      </c>
      <c r="AL296" s="177">
        <v>4.0</v>
      </c>
      <c r="AM296" s="177">
        <v>4.0</v>
      </c>
      <c r="AN296" s="177">
        <v>11.0</v>
      </c>
      <c r="AO296" s="181" t="s">
        <v>380</v>
      </c>
      <c r="AP296" s="33"/>
      <c r="AQ296" s="33"/>
      <c r="AR296" s="33"/>
      <c r="AS296" s="33"/>
    </row>
    <row r="297" hidden="1" outlineLevel="1">
      <c r="A297" s="184" t="s">
        <v>69</v>
      </c>
      <c r="B297" s="176">
        <v>2022.0</v>
      </c>
      <c r="C297" s="180">
        <f t="array" ref="C297">xlookup(B297,DATA_LEAGUE_AVG!A:A,DATA_LEAGUE_AVG!H:H)</f>
        <v>564.7</v>
      </c>
      <c r="D297" s="177" t="b">
        <f t="shared" si="1"/>
        <v>1</v>
      </c>
      <c r="E297" s="177">
        <v>25.0</v>
      </c>
      <c r="F297" s="181" t="s">
        <v>132</v>
      </c>
      <c r="G297" s="181" t="s">
        <v>369</v>
      </c>
      <c r="H297" s="181" t="s">
        <v>90</v>
      </c>
      <c r="I297" s="180">
        <f t="array" ref="I297">xlookup(B297,DATA_LEAGUE_AVG!A:A,DATA_LEAGUE_AVG!C:C)</f>
        <v>3701.2</v>
      </c>
      <c r="J297" s="180">
        <f t="array" ref="J297">xlookup(B297,DATA_LEAGUE_AVG!A:A,DATA_LEAGUE_AVG!D:D)</f>
        <v>23.4</v>
      </c>
      <c r="K297" s="177">
        <f t="shared" ref="K297:L297" si="277">S297/I297</f>
        <v>0.6057494867</v>
      </c>
      <c r="L297" s="177">
        <f t="shared" si="277"/>
        <v>0.7264957265</v>
      </c>
      <c r="M297" s="177">
        <v>12.0</v>
      </c>
      <c r="N297" s="177">
        <v>12.0</v>
      </c>
      <c r="O297" s="182">
        <v>36742.0</v>
      </c>
      <c r="P297" s="177">
        <v>203.0</v>
      </c>
      <c r="Q297" s="177">
        <v>326.0</v>
      </c>
      <c r="R297" s="177">
        <v>62.3</v>
      </c>
      <c r="S297" s="177">
        <v>2242.0</v>
      </c>
      <c r="T297" s="177">
        <v>17.0</v>
      </c>
      <c r="U297" s="177">
        <v>5.2</v>
      </c>
      <c r="V297" s="177">
        <v>7.0</v>
      </c>
      <c r="W297" s="177">
        <v>2.1</v>
      </c>
      <c r="X297" s="177">
        <v>105.0</v>
      </c>
      <c r="Y297" s="177">
        <v>44.6</v>
      </c>
      <c r="Z297" s="177">
        <v>75.0</v>
      </c>
      <c r="AA297" s="177">
        <v>6.9</v>
      </c>
      <c r="AB297" s="177">
        <v>6.95</v>
      </c>
      <c r="AC297" s="177">
        <v>11.0</v>
      </c>
      <c r="AD297" s="177">
        <v>186.8</v>
      </c>
      <c r="AE297" s="177">
        <v>91.1</v>
      </c>
      <c r="AF297" s="177">
        <v>61.1</v>
      </c>
      <c r="AG297" s="177">
        <v>26.0</v>
      </c>
      <c r="AH297" s="177">
        <v>114.0</v>
      </c>
      <c r="AI297" s="177">
        <v>7.39</v>
      </c>
      <c r="AJ297" s="177">
        <v>6.05</v>
      </c>
      <c r="AK297" s="177">
        <v>6.12</v>
      </c>
      <c r="AL297" s="177">
        <v>1.0</v>
      </c>
      <c r="AM297" s="177">
        <v>2.0</v>
      </c>
      <c r="AN297" s="177">
        <v>12.0</v>
      </c>
      <c r="AO297" s="183"/>
      <c r="AP297" s="33"/>
      <c r="AQ297" s="33"/>
      <c r="AR297" s="33"/>
      <c r="AS297" s="33"/>
    </row>
    <row r="298" hidden="1" outlineLevel="1">
      <c r="A298" s="184" t="s">
        <v>69</v>
      </c>
      <c r="B298" s="176">
        <v>2023.0</v>
      </c>
      <c r="C298" s="180">
        <f t="array" ref="C298">xlookup(B298,DATA_LEAGUE_AVG!A:A,DATA_LEAGUE_AVG!H:H)</f>
        <v>572.3</v>
      </c>
      <c r="D298" s="177" t="b">
        <f t="shared" si="1"/>
        <v>1</v>
      </c>
      <c r="E298" s="177">
        <v>26.0</v>
      </c>
      <c r="F298" s="181" t="s">
        <v>132</v>
      </c>
      <c r="G298" s="181" t="s">
        <v>369</v>
      </c>
      <c r="H298" s="181" t="s">
        <v>90</v>
      </c>
      <c r="I298" s="180">
        <f t="array" ref="I298">xlookup(B298,DATA_LEAGUE_AVG!A:A,DATA_LEAGUE_AVG!C:C)</f>
        <v>3721.7</v>
      </c>
      <c r="J298" s="180">
        <f t="array" ref="J298">xlookup(B298,DATA_LEAGUE_AVG!A:A,DATA_LEAGUE_AVG!D:D)</f>
        <v>23.6</v>
      </c>
      <c r="K298" s="177">
        <f t="shared" ref="K298:L298" si="278">S298/I298</f>
        <v>0.9882580541</v>
      </c>
      <c r="L298" s="177">
        <f t="shared" si="278"/>
        <v>1.016949153</v>
      </c>
      <c r="M298" s="177">
        <v>16.0</v>
      </c>
      <c r="N298" s="177">
        <v>16.0</v>
      </c>
      <c r="O298" s="181" t="s">
        <v>372</v>
      </c>
      <c r="P298" s="177">
        <v>307.0</v>
      </c>
      <c r="Q298" s="177">
        <v>457.0</v>
      </c>
      <c r="R298" s="177">
        <v>67.2</v>
      </c>
      <c r="S298" s="177">
        <v>3678.0</v>
      </c>
      <c r="T298" s="177">
        <v>24.0</v>
      </c>
      <c r="U298" s="177">
        <v>5.3</v>
      </c>
      <c r="V298" s="177">
        <v>7.0</v>
      </c>
      <c r="W298" s="177">
        <v>1.5</v>
      </c>
      <c r="X298" s="177">
        <v>167.0</v>
      </c>
      <c r="Y298" s="177">
        <v>48.2</v>
      </c>
      <c r="Z298" s="177">
        <v>80.0</v>
      </c>
      <c r="AA298" s="177">
        <v>8.0</v>
      </c>
      <c r="AB298" s="177">
        <v>8.41</v>
      </c>
      <c r="AC298" s="177">
        <v>12.0</v>
      </c>
      <c r="AD298" s="177">
        <v>229.9</v>
      </c>
      <c r="AE298" s="177">
        <v>102.7</v>
      </c>
      <c r="AF298" s="177">
        <v>65.4</v>
      </c>
      <c r="AG298" s="177">
        <v>37.0</v>
      </c>
      <c r="AH298" s="177">
        <v>218.0</v>
      </c>
      <c r="AI298" s="177">
        <v>7.49</v>
      </c>
      <c r="AJ298" s="177">
        <v>7.0</v>
      </c>
      <c r="AK298" s="177">
        <v>7.34</v>
      </c>
      <c r="AL298" s="177">
        <v>1.0</v>
      </c>
      <c r="AM298" s="177">
        <v>0.0</v>
      </c>
      <c r="AN298" s="177">
        <v>19.0</v>
      </c>
      <c r="AO298" s="181" t="s">
        <v>445</v>
      </c>
      <c r="AP298" s="33"/>
      <c r="AQ298" s="33"/>
      <c r="AR298" s="33"/>
      <c r="AS298" s="33"/>
    </row>
    <row r="299" hidden="1" outlineLevel="1">
      <c r="A299" s="184" t="s">
        <v>69</v>
      </c>
      <c r="B299" s="176">
        <v>2024.0</v>
      </c>
      <c r="C299" s="180">
        <f t="array" ref="C299">xlookup(B299,DATA_LEAGUE_AVG!A:A,DATA_LEAGUE_AVG!H:H)</f>
        <v>556.6</v>
      </c>
      <c r="D299" s="177" t="b">
        <f t="shared" si="1"/>
        <v>1</v>
      </c>
      <c r="E299" s="177">
        <v>27.0</v>
      </c>
      <c r="F299" s="181" t="s">
        <v>132</v>
      </c>
      <c r="G299" s="181" t="s">
        <v>369</v>
      </c>
      <c r="H299" s="181" t="s">
        <v>90</v>
      </c>
      <c r="I299" s="180">
        <f t="array" ref="I299">xlookup(B299,DATA_LEAGUE_AVG!A:A,DATA_LEAGUE_AVG!C:C)</f>
        <v>3699.5</v>
      </c>
      <c r="J299" s="180">
        <f t="array" ref="J299">xlookup(B299,DATA_LEAGUE_AVG!A:A,DATA_LEAGUE_AVG!D:D)</f>
        <v>25.3</v>
      </c>
      <c r="K299" s="177">
        <f t="shared" ref="K299:L299" si="279">S299/I299</f>
        <v>1.127719962</v>
      </c>
      <c r="L299" s="177">
        <f t="shared" si="279"/>
        <v>1.62055336</v>
      </c>
      <c r="M299" s="177">
        <v>17.0</v>
      </c>
      <c r="N299" s="177">
        <v>17.0</v>
      </c>
      <c r="O299" s="182">
        <v>36865.0</v>
      </c>
      <c r="P299" s="177">
        <v>316.0</v>
      </c>
      <c r="Q299" s="177">
        <v>474.0</v>
      </c>
      <c r="R299" s="177">
        <v>66.7</v>
      </c>
      <c r="S299" s="177">
        <v>4172.0</v>
      </c>
      <c r="T299" s="177">
        <v>41.0</v>
      </c>
      <c r="U299" s="177">
        <v>8.6</v>
      </c>
      <c r="V299" s="177">
        <v>4.0</v>
      </c>
      <c r="W299" s="177">
        <v>0.8</v>
      </c>
      <c r="X299" s="177">
        <v>198.0</v>
      </c>
      <c r="Y299" s="177">
        <v>51.3</v>
      </c>
      <c r="Z299" s="177">
        <v>84.0</v>
      </c>
      <c r="AA299" s="177">
        <v>8.8</v>
      </c>
      <c r="AB299" s="177">
        <v>10.15</v>
      </c>
      <c r="AC299" s="177">
        <v>13.2</v>
      </c>
      <c r="AD299" s="177">
        <v>245.4</v>
      </c>
      <c r="AE299" s="177">
        <v>119.6</v>
      </c>
      <c r="AF299" s="177">
        <v>74.8</v>
      </c>
      <c r="AG299" s="177">
        <v>23.0</v>
      </c>
      <c r="AH299" s="177">
        <v>149.0</v>
      </c>
      <c r="AI299" s="177">
        <v>4.63</v>
      </c>
      <c r="AJ299" s="177">
        <v>8.09</v>
      </c>
      <c r="AK299" s="177">
        <v>9.38</v>
      </c>
      <c r="AL299" s="177">
        <v>2.0</v>
      </c>
      <c r="AM299" s="177">
        <v>2.0</v>
      </c>
      <c r="AN299" s="177">
        <v>21.0</v>
      </c>
      <c r="AO299" s="181" t="s">
        <v>388</v>
      </c>
      <c r="AP299" s="33"/>
      <c r="AQ299" s="33"/>
      <c r="AR299" s="33"/>
      <c r="AS299" s="33"/>
    </row>
    <row r="300" hidden="1" outlineLevel="1">
      <c r="A300" s="184" t="s">
        <v>69</v>
      </c>
      <c r="B300" s="176">
        <v>2025.0</v>
      </c>
      <c r="C300" s="180">
        <f t="array" ref="C300">xlookup(B300,DATA_LEAGUE_AVG!A:A,DATA_LEAGUE_AVG!H:H)</f>
        <v>545</v>
      </c>
      <c r="D300" s="177" t="b">
        <f t="shared" si="1"/>
        <v>1</v>
      </c>
      <c r="E300" s="177">
        <v>28.0</v>
      </c>
      <c r="F300" s="181" t="s">
        <v>132</v>
      </c>
      <c r="G300" s="181" t="s">
        <v>369</v>
      </c>
      <c r="H300" s="181" t="s">
        <v>90</v>
      </c>
      <c r="I300" s="180">
        <f t="array" ref="I300">xlookup(B300,DATA_LEAGUE_AVG!A:A,DATA_LEAGUE_AVG!C:C)</f>
        <v>3564.9</v>
      </c>
      <c r="J300" s="180">
        <f t="array" ref="J300">xlookup(B300,DATA_LEAGUE_AVG!A:A,DATA_LEAGUE_AVG!D:D)</f>
        <v>25.3</v>
      </c>
      <c r="K300" s="177">
        <f t="shared" ref="K300:L300" si="280">S300/I300</f>
        <v>0.7150270695</v>
      </c>
      <c r="L300" s="177">
        <f t="shared" si="280"/>
        <v>0.8300395257</v>
      </c>
      <c r="M300" s="177">
        <v>13.0</v>
      </c>
      <c r="N300" s="177">
        <v>13.0</v>
      </c>
      <c r="O300" s="182">
        <v>36684.0</v>
      </c>
      <c r="P300" s="177">
        <v>192.0</v>
      </c>
      <c r="Q300" s="177">
        <v>302.0</v>
      </c>
      <c r="R300" s="177">
        <v>63.6</v>
      </c>
      <c r="S300" s="177">
        <v>2549.0</v>
      </c>
      <c r="T300" s="177">
        <v>21.0</v>
      </c>
      <c r="U300" s="177">
        <v>7.0</v>
      </c>
      <c r="V300" s="177">
        <v>7.0</v>
      </c>
      <c r="W300" s="177">
        <v>2.3</v>
      </c>
      <c r="X300" s="177">
        <v>109.0</v>
      </c>
      <c r="Y300" s="177">
        <v>46.2</v>
      </c>
      <c r="Z300" s="177">
        <v>64.0</v>
      </c>
      <c r="AA300" s="177">
        <v>8.4</v>
      </c>
      <c r="AB300" s="177">
        <v>8.79</v>
      </c>
      <c r="AC300" s="177">
        <v>13.3</v>
      </c>
      <c r="AD300" s="177">
        <v>196.1</v>
      </c>
      <c r="AE300" s="177">
        <v>103.8</v>
      </c>
      <c r="AF300" s="177">
        <v>62.8</v>
      </c>
      <c r="AG300" s="177">
        <v>36.0</v>
      </c>
      <c r="AH300" s="177">
        <v>239.0</v>
      </c>
      <c r="AI300" s="177">
        <v>10.65</v>
      </c>
      <c r="AJ300" s="177">
        <v>6.83</v>
      </c>
      <c r="AK300" s="177">
        <v>7.14</v>
      </c>
      <c r="AL300" s="177">
        <v>1.0</v>
      </c>
      <c r="AM300" s="177">
        <v>1.0</v>
      </c>
      <c r="AN300" s="177">
        <v>13.0</v>
      </c>
      <c r="AO300" s="183"/>
      <c r="AP300" s="33"/>
      <c r="AQ300" s="33"/>
      <c r="AR300" s="33"/>
      <c r="AS300" s="33"/>
    </row>
    <row r="301" collapsed="1">
      <c r="A301" s="184" t="s">
        <v>67</v>
      </c>
      <c r="B301" s="176" t="s">
        <v>348</v>
      </c>
      <c r="C301" s="177" t="str">
        <f t="array" ref="C301">xlookup(B301,DATA_LEAGUE_AVG!A:A,DATA_LEAGUE_AVG!H:H)</f>
        <v>#N/A</v>
      </c>
      <c r="D301" s="177" t="str">
        <f t="shared" si="1"/>
        <v>#N/A</v>
      </c>
      <c r="E301" s="176" t="s">
        <v>351</v>
      </c>
      <c r="F301" s="176" t="s">
        <v>352</v>
      </c>
      <c r="G301" s="176" t="s">
        <v>353</v>
      </c>
      <c r="H301" s="176" t="s">
        <v>354</v>
      </c>
      <c r="I301" s="185" t="s">
        <v>355</v>
      </c>
      <c r="J301" s="185" t="s">
        <v>356</v>
      </c>
      <c r="K301" s="185" t="s">
        <v>272</v>
      </c>
      <c r="L301" s="185" t="s">
        <v>357</v>
      </c>
      <c r="M301" s="176" t="s">
        <v>358</v>
      </c>
      <c r="N301" s="176" t="s">
        <v>359</v>
      </c>
      <c r="O301" s="176" t="s">
        <v>360</v>
      </c>
      <c r="P301" s="176" t="s">
        <v>330</v>
      </c>
      <c r="Q301" s="176" t="s">
        <v>331</v>
      </c>
      <c r="R301" s="176" t="s">
        <v>332</v>
      </c>
      <c r="S301" s="176" t="s">
        <v>326</v>
      </c>
      <c r="T301" s="176" t="s">
        <v>327</v>
      </c>
      <c r="U301" s="176" t="s">
        <v>335</v>
      </c>
      <c r="V301" s="176" t="s">
        <v>336</v>
      </c>
      <c r="W301" s="176" t="s">
        <v>337</v>
      </c>
      <c r="X301" s="176" t="s">
        <v>361</v>
      </c>
      <c r="Y301" s="176" t="s">
        <v>362</v>
      </c>
      <c r="Z301" s="176" t="s">
        <v>363</v>
      </c>
      <c r="AA301" s="176" t="s">
        <v>338</v>
      </c>
      <c r="AB301" s="176" t="s">
        <v>339</v>
      </c>
      <c r="AC301" s="176" t="s">
        <v>340</v>
      </c>
      <c r="AD301" s="176" t="s">
        <v>341</v>
      </c>
      <c r="AE301" s="176" t="s">
        <v>342</v>
      </c>
      <c r="AF301" s="176" t="s">
        <v>404</v>
      </c>
      <c r="AG301" s="176" t="s">
        <v>343</v>
      </c>
      <c r="AH301" s="176" t="s">
        <v>326</v>
      </c>
      <c r="AI301" s="176" t="s">
        <v>345</v>
      </c>
      <c r="AJ301" s="176" t="s">
        <v>346</v>
      </c>
      <c r="AK301" s="176" t="s">
        <v>347</v>
      </c>
      <c r="AL301" s="176" t="s">
        <v>364</v>
      </c>
      <c r="AM301" s="176" t="s">
        <v>365</v>
      </c>
      <c r="AN301" s="176" t="s">
        <v>366</v>
      </c>
      <c r="AO301" s="176" t="s">
        <v>367</v>
      </c>
      <c r="AP301" s="33"/>
      <c r="AQ301" s="33"/>
      <c r="AR301" s="33"/>
      <c r="AS301" s="33"/>
    </row>
    <row r="302" hidden="1" outlineLevel="1">
      <c r="A302" s="184" t="s">
        <v>67</v>
      </c>
      <c r="B302" s="176">
        <v>1999.0</v>
      </c>
      <c r="C302" s="180">
        <f t="array" ref="C302">xlookup(B302,DATA_LEAGUE_AVG!A:A,DATA_LEAGUE_AVG!H:H)</f>
        <v>540.6</v>
      </c>
      <c r="D302" s="177" t="b">
        <f t="shared" si="1"/>
        <v>1</v>
      </c>
      <c r="E302" s="177">
        <v>28.0</v>
      </c>
      <c r="F302" s="181" t="s">
        <v>446</v>
      </c>
      <c r="G302" s="181" t="s">
        <v>369</v>
      </c>
      <c r="H302" s="181" t="s">
        <v>90</v>
      </c>
      <c r="I302" s="180">
        <f t="array" ref="I302">xlookup(B302,DATA_LEAGUE_AVG!A:A,DATA_LEAGUE_AVG!C:C)</f>
        <v>3396.4</v>
      </c>
      <c r="J302" s="180">
        <f t="array" ref="J302">xlookup(B302,DATA_LEAGUE_AVG!A:A,DATA_LEAGUE_AVG!D:D)</f>
        <v>21.5</v>
      </c>
      <c r="K302" s="177">
        <f t="shared" ref="K302:L302" si="281">S302/I302</f>
        <v>1.28165116</v>
      </c>
      <c r="L302" s="177">
        <f t="shared" si="281"/>
        <v>1.906976744</v>
      </c>
      <c r="M302" s="177">
        <v>16.0</v>
      </c>
      <c r="N302" s="177">
        <v>16.0</v>
      </c>
      <c r="O302" s="181" t="s">
        <v>372</v>
      </c>
      <c r="P302" s="177">
        <v>325.0</v>
      </c>
      <c r="Q302" s="177">
        <v>499.0</v>
      </c>
      <c r="R302" s="177">
        <v>65.1</v>
      </c>
      <c r="S302" s="177">
        <v>4353.0</v>
      </c>
      <c r="T302" s="177">
        <v>41.0</v>
      </c>
      <c r="U302" s="177">
        <v>8.2</v>
      </c>
      <c r="V302" s="177">
        <v>13.0</v>
      </c>
      <c r="W302" s="177">
        <v>2.6</v>
      </c>
      <c r="X302" s="177">
        <v>197.0</v>
      </c>
      <c r="Y302" s="177">
        <v>50.8</v>
      </c>
      <c r="Z302" s="177">
        <v>75.0</v>
      </c>
      <c r="AA302" s="177">
        <v>8.7</v>
      </c>
      <c r="AB302" s="177">
        <v>9.19</v>
      </c>
      <c r="AC302" s="177">
        <v>13.4</v>
      </c>
      <c r="AD302" s="177">
        <v>272.1</v>
      </c>
      <c r="AE302" s="177">
        <v>109.2</v>
      </c>
      <c r="AF302" s="183"/>
      <c r="AG302" s="177">
        <v>29.0</v>
      </c>
      <c r="AH302" s="177">
        <v>201.0</v>
      </c>
      <c r="AI302" s="177">
        <v>5.49</v>
      </c>
      <c r="AJ302" s="177">
        <v>7.86</v>
      </c>
      <c r="AK302" s="177">
        <v>8.31</v>
      </c>
      <c r="AL302" s="177">
        <v>0.0</v>
      </c>
      <c r="AM302" s="177">
        <v>0.0</v>
      </c>
      <c r="AN302" s="177">
        <v>19.0</v>
      </c>
      <c r="AO302" s="181" t="s">
        <v>390</v>
      </c>
      <c r="AP302" s="33"/>
      <c r="AQ302" s="33"/>
      <c r="AR302" s="33"/>
      <c r="AS302" s="33"/>
    </row>
    <row r="303" hidden="1" outlineLevel="1">
      <c r="A303" s="184" t="s">
        <v>67</v>
      </c>
      <c r="B303" s="176">
        <v>2000.0</v>
      </c>
      <c r="C303" s="180">
        <f t="array" ref="C303">xlookup(B303,DATA_LEAGUE_AVG!A:A,DATA_LEAGUE_AVG!H:H)</f>
        <v>526.5</v>
      </c>
      <c r="D303" s="177" t="b">
        <f t="shared" si="1"/>
        <v>1</v>
      </c>
      <c r="E303" s="177">
        <v>29.0</v>
      </c>
      <c r="F303" s="181" t="s">
        <v>446</v>
      </c>
      <c r="G303" s="181" t="s">
        <v>369</v>
      </c>
      <c r="H303" s="181" t="s">
        <v>90</v>
      </c>
      <c r="I303" s="180">
        <f t="array" ref="I303">xlookup(B303,DATA_LEAGUE_AVG!A:A,DATA_LEAGUE_AVG!C:C)</f>
        <v>3309.9</v>
      </c>
      <c r="J303" s="180">
        <f t="array" ref="J303">xlookup(B303,DATA_LEAGUE_AVG!A:A,DATA_LEAGUE_AVG!D:D)</f>
        <v>20.5</v>
      </c>
      <c r="K303" s="177">
        <f t="shared" ref="K303:L303" si="282">S303/I303</f>
        <v>1.03598296</v>
      </c>
      <c r="L303" s="177">
        <f t="shared" si="282"/>
        <v>1.024390244</v>
      </c>
      <c r="M303" s="177">
        <v>11.0</v>
      </c>
      <c r="N303" s="177">
        <v>11.0</v>
      </c>
      <c r="O303" s="182">
        <v>36741.0</v>
      </c>
      <c r="P303" s="177">
        <v>235.0</v>
      </c>
      <c r="Q303" s="177">
        <v>347.0</v>
      </c>
      <c r="R303" s="177">
        <v>67.7</v>
      </c>
      <c r="S303" s="177">
        <v>3429.0</v>
      </c>
      <c r="T303" s="177">
        <v>21.0</v>
      </c>
      <c r="U303" s="177">
        <v>6.1</v>
      </c>
      <c r="V303" s="177">
        <v>18.0</v>
      </c>
      <c r="W303" s="177">
        <v>5.2</v>
      </c>
      <c r="X303" s="177">
        <v>153.0</v>
      </c>
      <c r="Y303" s="177">
        <v>55.6</v>
      </c>
      <c r="Z303" s="177">
        <v>85.0</v>
      </c>
      <c r="AA303" s="177">
        <v>9.9</v>
      </c>
      <c r="AB303" s="177">
        <v>8.76</v>
      </c>
      <c r="AC303" s="177">
        <v>14.6</v>
      </c>
      <c r="AD303" s="177">
        <v>311.7</v>
      </c>
      <c r="AE303" s="177">
        <v>98.3</v>
      </c>
      <c r="AF303" s="183"/>
      <c r="AG303" s="177">
        <v>20.0</v>
      </c>
      <c r="AH303" s="177">
        <v>115.0</v>
      </c>
      <c r="AI303" s="177">
        <v>5.45</v>
      </c>
      <c r="AJ303" s="177">
        <v>9.03</v>
      </c>
      <c r="AK303" s="177">
        <v>7.97</v>
      </c>
      <c r="AL303" s="177">
        <v>1.0</v>
      </c>
      <c r="AM303" s="177">
        <v>2.0</v>
      </c>
      <c r="AN303" s="177">
        <v>15.0</v>
      </c>
      <c r="AO303" s="181" t="s">
        <v>380</v>
      </c>
      <c r="AP303" s="33"/>
      <c r="AQ303" s="33"/>
      <c r="AR303" s="33"/>
      <c r="AS303" s="33"/>
    </row>
    <row r="304" hidden="1" outlineLevel="1">
      <c r="A304" s="184" t="s">
        <v>67</v>
      </c>
      <c r="B304" s="176">
        <v>2001.0</v>
      </c>
      <c r="C304" s="180">
        <f t="array" ref="C304">xlookup(B304,DATA_LEAGUE_AVG!A:A,DATA_LEAGUE_AVG!H:H)</f>
        <v>522</v>
      </c>
      <c r="D304" s="177" t="b">
        <f t="shared" si="1"/>
        <v>1</v>
      </c>
      <c r="E304" s="177">
        <v>30.0</v>
      </c>
      <c r="F304" s="181" t="s">
        <v>446</v>
      </c>
      <c r="G304" s="181" t="s">
        <v>369</v>
      </c>
      <c r="H304" s="181" t="s">
        <v>90</v>
      </c>
      <c r="I304" s="180">
        <f t="array" ref="I304">xlookup(B304,DATA_LEAGUE_AVG!A:A,DATA_LEAGUE_AVG!C:C)</f>
        <v>3292.9</v>
      </c>
      <c r="J304" s="180">
        <f t="array" ref="J304">xlookup(B304,DATA_LEAGUE_AVG!A:A,DATA_LEAGUE_AVG!D:D)</f>
        <v>20.5</v>
      </c>
      <c r="K304" s="177">
        <f t="shared" ref="K304:L304" si="283">S304/I304</f>
        <v>1.466792189</v>
      </c>
      <c r="L304" s="177">
        <f t="shared" si="283"/>
        <v>1.756097561</v>
      </c>
      <c r="M304" s="177">
        <v>16.0</v>
      </c>
      <c r="N304" s="177">
        <v>16.0</v>
      </c>
      <c r="O304" s="181" t="s">
        <v>370</v>
      </c>
      <c r="P304" s="177">
        <v>375.0</v>
      </c>
      <c r="Q304" s="177">
        <v>546.0</v>
      </c>
      <c r="R304" s="177">
        <v>68.7</v>
      </c>
      <c r="S304" s="177">
        <v>4830.0</v>
      </c>
      <c r="T304" s="177">
        <v>36.0</v>
      </c>
      <c r="U304" s="177">
        <v>6.6</v>
      </c>
      <c r="V304" s="177">
        <v>22.0</v>
      </c>
      <c r="W304" s="177">
        <v>4.0</v>
      </c>
      <c r="X304" s="177">
        <v>233.0</v>
      </c>
      <c r="Y304" s="177">
        <v>53.8</v>
      </c>
      <c r="Z304" s="177">
        <v>65.0</v>
      </c>
      <c r="AA304" s="177">
        <v>8.8</v>
      </c>
      <c r="AB304" s="177">
        <v>8.35</v>
      </c>
      <c r="AC304" s="177">
        <v>12.9</v>
      </c>
      <c r="AD304" s="177">
        <v>301.9</v>
      </c>
      <c r="AE304" s="177">
        <v>101.4</v>
      </c>
      <c r="AF304" s="183"/>
      <c r="AG304" s="177">
        <v>38.0</v>
      </c>
      <c r="AH304" s="177">
        <v>233.0</v>
      </c>
      <c r="AI304" s="177">
        <v>6.51</v>
      </c>
      <c r="AJ304" s="177">
        <v>7.87</v>
      </c>
      <c r="AK304" s="177">
        <v>7.41</v>
      </c>
      <c r="AL304" s="177">
        <v>1.0</v>
      </c>
      <c r="AM304" s="177">
        <v>2.0</v>
      </c>
      <c r="AN304" s="177">
        <v>20.0</v>
      </c>
      <c r="AO304" s="181" t="s">
        <v>390</v>
      </c>
      <c r="AP304" s="33"/>
      <c r="AQ304" s="33"/>
      <c r="AR304" s="33"/>
      <c r="AS304" s="33"/>
    </row>
    <row r="305" hidden="1" outlineLevel="1">
      <c r="A305" s="184" t="s">
        <v>67</v>
      </c>
      <c r="B305" s="176">
        <v>2004.0</v>
      </c>
      <c r="C305" s="180">
        <f t="array" ref="C305">xlookup(B305,DATA_LEAGUE_AVG!A:A,DATA_LEAGUE_AVG!H:H)</f>
        <v>511.1</v>
      </c>
      <c r="D305" s="177" t="b">
        <f t="shared" si="1"/>
        <v>1</v>
      </c>
      <c r="E305" s="177">
        <v>33.0</v>
      </c>
      <c r="F305" s="181" t="s">
        <v>430</v>
      </c>
      <c r="G305" s="181" t="s">
        <v>369</v>
      </c>
      <c r="H305" s="181" t="s">
        <v>90</v>
      </c>
      <c r="I305" s="180">
        <f t="array" ref="I305">xlookup(B305,DATA_LEAGUE_AVG!A:A,DATA_LEAGUE_AVG!C:C)</f>
        <v>3368.7</v>
      </c>
      <c r="J305" s="180">
        <f t="array" ref="J305">xlookup(B305,DATA_LEAGUE_AVG!A:A,DATA_LEAGUE_AVG!D:D)</f>
        <v>22.9</v>
      </c>
      <c r="K305" s="177">
        <f t="shared" ref="K305:L305" si="284">S305/I305</f>
        <v>0.6097307567</v>
      </c>
      <c r="L305" s="177">
        <f t="shared" si="284"/>
        <v>0.2620087336</v>
      </c>
      <c r="M305" s="177">
        <v>10.0</v>
      </c>
      <c r="N305" s="177">
        <v>9.0</v>
      </c>
      <c r="O305" s="182">
        <v>36650.0</v>
      </c>
      <c r="P305" s="177">
        <v>174.0</v>
      </c>
      <c r="Q305" s="177">
        <v>277.0</v>
      </c>
      <c r="R305" s="177">
        <v>62.8</v>
      </c>
      <c r="S305" s="177">
        <v>2054.0</v>
      </c>
      <c r="T305" s="177">
        <v>6.0</v>
      </c>
      <c r="U305" s="177">
        <v>2.2</v>
      </c>
      <c r="V305" s="177">
        <v>4.0</v>
      </c>
      <c r="W305" s="177">
        <v>1.4</v>
      </c>
      <c r="X305" s="177">
        <v>94.0</v>
      </c>
      <c r="Y305" s="177">
        <v>44.6</v>
      </c>
      <c r="Z305" s="177">
        <v>62.0</v>
      </c>
      <c r="AA305" s="177">
        <v>7.4</v>
      </c>
      <c r="AB305" s="177">
        <v>7.2</v>
      </c>
      <c r="AC305" s="177">
        <v>11.8</v>
      </c>
      <c r="AD305" s="177">
        <v>205.4</v>
      </c>
      <c r="AE305" s="177">
        <v>86.5</v>
      </c>
      <c r="AF305" s="183"/>
      <c r="AG305" s="177">
        <v>39.0</v>
      </c>
      <c r="AH305" s="177">
        <v>196.0</v>
      </c>
      <c r="AI305" s="177">
        <v>12.34</v>
      </c>
      <c r="AJ305" s="177">
        <v>5.88</v>
      </c>
      <c r="AK305" s="177">
        <v>5.69</v>
      </c>
      <c r="AL305" s="177">
        <v>0.0</v>
      </c>
      <c r="AM305" s="177">
        <v>1.0</v>
      </c>
      <c r="AN305" s="177">
        <v>7.0</v>
      </c>
      <c r="AO305" s="183"/>
      <c r="AP305" s="33"/>
      <c r="AQ305" s="33"/>
      <c r="AR305" s="33"/>
      <c r="AS305" s="33"/>
    </row>
    <row r="306" hidden="1" outlineLevel="1">
      <c r="A306" s="184" t="s">
        <v>67</v>
      </c>
      <c r="B306" s="176">
        <v>2005.0</v>
      </c>
      <c r="C306" s="180">
        <f t="array" ref="C306">xlookup(B306,DATA_LEAGUE_AVG!A:A,DATA_LEAGUE_AVG!H:H)</f>
        <v>514.5</v>
      </c>
      <c r="D306" s="177" t="b">
        <f t="shared" si="1"/>
        <v>1</v>
      </c>
      <c r="E306" s="177">
        <v>34.0</v>
      </c>
      <c r="F306" s="181" t="s">
        <v>447</v>
      </c>
      <c r="G306" s="181" t="s">
        <v>369</v>
      </c>
      <c r="H306" s="181" t="s">
        <v>90</v>
      </c>
      <c r="I306" s="180">
        <f t="array" ref="I306">xlookup(B306,DATA_LEAGUE_AVG!A:A,DATA_LEAGUE_AVG!C:C)</f>
        <v>3255.3</v>
      </c>
      <c r="J306" s="180">
        <f t="array" ref="J306">xlookup(B306,DATA_LEAGUE_AVG!A:A,DATA_LEAGUE_AVG!D:D)</f>
        <v>20.1</v>
      </c>
      <c r="K306" s="177">
        <f t="shared" ref="K306:L306" si="285">S306/I306</f>
        <v>0.8334101312</v>
      </c>
      <c r="L306" s="177">
        <f t="shared" si="285"/>
        <v>0.5472636816</v>
      </c>
      <c r="M306" s="177">
        <v>10.0</v>
      </c>
      <c r="N306" s="177">
        <v>10.0</v>
      </c>
      <c r="O306" s="182">
        <v>36564.0</v>
      </c>
      <c r="P306" s="177">
        <v>242.0</v>
      </c>
      <c r="Q306" s="177">
        <v>375.0</v>
      </c>
      <c r="R306" s="177">
        <v>64.5</v>
      </c>
      <c r="S306" s="177">
        <v>2713.0</v>
      </c>
      <c r="T306" s="177">
        <v>11.0</v>
      </c>
      <c r="U306" s="177">
        <v>2.9</v>
      </c>
      <c r="V306" s="177">
        <v>9.0</v>
      </c>
      <c r="W306" s="177">
        <v>2.4</v>
      </c>
      <c r="X306" s="177">
        <v>133.0</v>
      </c>
      <c r="Y306" s="177">
        <v>45.5</v>
      </c>
      <c r="Z306" s="177">
        <v>63.0</v>
      </c>
      <c r="AA306" s="177">
        <v>7.2</v>
      </c>
      <c r="AB306" s="177">
        <v>6.74</v>
      </c>
      <c r="AC306" s="177">
        <v>11.2</v>
      </c>
      <c r="AD306" s="177">
        <v>271.3</v>
      </c>
      <c r="AE306" s="177">
        <v>85.8</v>
      </c>
      <c r="AF306" s="183"/>
      <c r="AG306" s="177">
        <v>23.0</v>
      </c>
      <c r="AH306" s="177">
        <v>158.0</v>
      </c>
      <c r="AI306" s="177">
        <v>5.78</v>
      </c>
      <c r="AJ306" s="177">
        <v>6.42</v>
      </c>
      <c r="AK306" s="177">
        <v>5.95</v>
      </c>
      <c r="AL306" s="177">
        <v>2.0</v>
      </c>
      <c r="AM306" s="177">
        <v>2.0</v>
      </c>
      <c r="AN306" s="177">
        <v>7.0</v>
      </c>
      <c r="AO306" s="183"/>
      <c r="AP306" s="33"/>
      <c r="AQ306" s="33"/>
      <c r="AR306" s="33"/>
      <c r="AS306" s="33"/>
    </row>
    <row r="307" hidden="1" outlineLevel="1">
      <c r="A307" s="184" t="s">
        <v>67</v>
      </c>
      <c r="B307" s="176">
        <v>2007.0</v>
      </c>
      <c r="C307" s="180">
        <f t="array" ref="C307">xlookup(B307,DATA_LEAGUE_AVG!A:A,DATA_LEAGUE_AVG!H:H)</f>
        <v>532.7</v>
      </c>
      <c r="D307" s="177" t="b">
        <f t="shared" si="1"/>
        <v>1</v>
      </c>
      <c r="E307" s="177">
        <v>36.0</v>
      </c>
      <c r="F307" s="181" t="s">
        <v>447</v>
      </c>
      <c r="G307" s="181" t="s">
        <v>369</v>
      </c>
      <c r="H307" s="181" t="s">
        <v>90</v>
      </c>
      <c r="I307" s="180">
        <f t="array" ref="I307">xlookup(B307,DATA_LEAGUE_AVG!A:A,DATA_LEAGUE_AVG!C:C)</f>
        <v>3428.8</v>
      </c>
      <c r="J307" s="180">
        <f t="array" ref="J307">xlookup(B307,DATA_LEAGUE_AVG!A:A,DATA_LEAGUE_AVG!D:D)</f>
        <v>22.5</v>
      </c>
      <c r="K307" s="177">
        <f t="shared" ref="K307:L307" si="286">S307/I307</f>
        <v>0.9965585628</v>
      </c>
      <c r="L307" s="177">
        <f t="shared" si="286"/>
        <v>1.2</v>
      </c>
      <c r="M307" s="177">
        <v>14.0</v>
      </c>
      <c r="N307" s="177">
        <v>11.0</v>
      </c>
      <c r="O307" s="182">
        <v>36652.0</v>
      </c>
      <c r="P307" s="177">
        <v>281.0</v>
      </c>
      <c r="Q307" s="177">
        <v>451.0</v>
      </c>
      <c r="R307" s="177">
        <v>62.3</v>
      </c>
      <c r="S307" s="177">
        <v>3417.0</v>
      </c>
      <c r="T307" s="177">
        <v>27.0</v>
      </c>
      <c r="U307" s="177">
        <v>6.0</v>
      </c>
      <c r="V307" s="177">
        <v>17.0</v>
      </c>
      <c r="W307" s="177">
        <v>3.8</v>
      </c>
      <c r="X307" s="177">
        <v>169.0</v>
      </c>
      <c r="Y307" s="177">
        <v>48.2</v>
      </c>
      <c r="Z307" s="177">
        <v>62.0</v>
      </c>
      <c r="AA307" s="177">
        <v>7.6</v>
      </c>
      <c r="AB307" s="177">
        <v>7.08</v>
      </c>
      <c r="AC307" s="177">
        <v>12.2</v>
      </c>
      <c r="AD307" s="177">
        <v>244.1</v>
      </c>
      <c r="AE307" s="177">
        <v>89.8</v>
      </c>
      <c r="AF307" s="177">
        <v>67.9</v>
      </c>
      <c r="AG307" s="177">
        <v>20.0</v>
      </c>
      <c r="AH307" s="177">
        <v>140.0</v>
      </c>
      <c r="AI307" s="177">
        <v>4.25</v>
      </c>
      <c r="AJ307" s="177">
        <v>6.96</v>
      </c>
      <c r="AK307" s="177">
        <v>6.48</v>
      </c>
      <c r="AL307" s="177">
        <v>1.0</v>
      </c>
      <c r="AM307" s="177">
        <v>1.0</v>
      </c>
      <c r="AN307" s="177">
        <v>10.0</v>
      </c>
      <c r="AO307" s="183"/>
      <c r="AP307" s="33"/>
      <c r="AQ307" s="33"/>
      <c r="AR307" s="33"/>
      <c r="AS307" s="33"/>
    </row>
    <row r="308" hidden="1" outlineLevel="1">
      <c r="A308" s="184" t="s">
        <v>67</v>
      </c>
      <c r="B308" s="176">
        <v>2008.0</v>
      </c>
      <c r="C308" s="180">
        <f t="array" ref="C308">xlookup(B308,DATA_LEAGUE_AVG!A:A,DATA_LEAGUE_AVG!H:H)</f>
        <v>516.4</v>
      </c>
      <c r="D308" s="177" t="b">
        <f t="shared" si="1"/>
        <v>1</v>
      </c>
      <c r="E308" s="177">
        <v>37.0</v>
      </c>
      <c r="F308" s="181" t="s">
        <v>447</v>
      </c>
      <c r="G308" s="181" t="s">
        <v>369</v>
      </c>
      <c r="H308" s="181" t="s">
        <v>90</v>
      </c>
      <c r="I308" s="180">
        <f t="array" ref="I308">xlookup(B308,DATA_LEAGUE_AVG!A:A,DATA_LEAGUE_AVG!C:C)</f>
        <v>3380.5</v>
      </c>
      <c r="J308" s="180">
        <f t="array" ref="J308">xlookup(B308,DATA_LEAGUE_AVG!A:A,DATA_LEAGUE_AVG!D:D)</f>
        <v>20.2</v>
      </c>
      <c r="K308" s="177">
        <f t="shared" ref="K308:L308" si="287">S308/I308</f>
        <v>1.35571661</v>
      </c>
      <c r="L308" s="177">
        <f t="shared" si="287"/>
        <v>1.485148515</v>
      </c>
      <c r="M308" s="177">
        <v>16.0</v>
      </c>
      <c r="N308" s="177">
        <v>16.0</v>
      </c>
      <c r="O308" s="182">
        <v>36776.0</v>
      </c>
      <c r="P308" s="177">
        <v>401.0</v>
      </c>
      <c r="Q308" s="177">
        <v>598.0</v>
      </c>
      <c r="R308" s="177">
        <v>67.1</v>
      </c>
      <c r="S308" s="177">
        <v>4583.0</v>
      </c>
      <c r="T308" s="177">
        <v>30.0</v>
      </c>
      <c r="U308" s="177">
        <v>5.0</v>
      </c>
      <c r="V308" s="177">
        <v>14.0</v>
      </c>
      <c r="W308" s="177">
        <v>2.3</v>
      </c>
      <c r="X308" s="177">
        <v>224.0</v>
      </c>
      <c r="Y308" s="177">
        <v>51.4</v>
      </c>
      <c r="Z308" s="177">
        <v>79.0</v>
      </c>
      <c r="AA308" s="177">
        <v>7.7</v>
      </c>
      <c r="AB308" s="177">
        <v>7.61</v>
      </c>
      <c r="AC308" s="177">
        <v>11.4</v>
      </c>
      <c r="AD308" s="177">
        <v>286.4</v>
      </c>
      <c r="AE308" s="177">
        <v>96.9</v>
      </c>
      <c r="AF308" s="177">
        <v>68.5</v>
      </c>
      <c r="AG308" s="177">
        <v>26.0</v>
      </c>
      <c r="AH308" s="177">
        <v>182.0</v>
      </c>
      <c r="AI308" s="177">
        <v>4.17</v>
      </c>
      <c r="AJ308" s="177">
        <v>7.05</v>
      </c>
      <c r="AK308" s="177">
        <v>7.0</v>
      </c>
      <c r="AL308" s="177">
        <v>1.0</v>
      </c>
      <c r="AM308" s="177">
        <v>1.0</v>
      </c>
      <c r="AN308" s="177">
        <v>16.0</v>
      </c>
      <c r="AO308" s="181" t="s">
        <v>448</v>
      </c>
      <c r="AP308" s="33"/>
      <c r="AQ308" s="33"/>
      <c r="AR308" s="33"/>
      <c r="AS308" s="33"/>
    </row>
    <row r="309" hidden="1" outlineLevel="1">
      <c r="A309" s="184" t="s">
        <v>67</v>
      </c>
      <c r="B309" s="176">
        <v>2009.0</v>
      </c>
      <c r="C309" s="180">
        <f t="array" ref="C309">xlookup(B309,DATA_LEAGUE_AVG!A:A,DATA_LEAGUE_AVG!H:H)</f>
        <v>532.3</v>
      </c>
      <c r="D309" s="177" t="b">
        <f t="shared" si="1"/>
        <v>1</v>
      </c>
      <c r="E309" s="177">
        <v>38.0</v>
      </c>
      <c r="F309" s="181" t="s">
        <v>447</v>
      </c>
      <c r="G309" s="181" t="s">
        <v>369</v>
      </c>
      <c r="H309" s="181" t="s">
        <v>90</v>
      </c>
      <c r="I309" s="180">
        <f t="array" ref="I309">xlookup(B309,DATA_LEAGUE_AVG!A:A,DATA_LEAGUE_AVG!C:C)</f>
        <v>3495.3</v>
      </c>
      <c r="J309" s="180">
        <f t="array" ref="J309">xlookup(B309,DATA_LEAGUE_AVG!A:A,DATA_LEAGUE_AVG!D:D)</f>
        <v>22.2</v>
      </c>
      <c r="K309" s="177">
        <f t="shared" ref="K309:L309" si="288">S309/I309</f>
        <v>1.073727577</v>
      </c>
      <c r="L309" s="177">
        <f t="shared" si="288"/>
        <v>1.171171171</v>
      </c>
      <c r="M309" s="177">
        <v>15.0</v>
      </c>
      <c r="N309" s="177">
        <v>15.0</v>
      </c>
      <c r="O309" s="182">
        <v>36804.0</v>
      </c>
      <c r="P309" s="177">
        <v>339.0</v>
      </c>
      <c r="Q309" s="177">
        <v>513.0</v>
      </c>
      <c r="R309" s="177">
        <v>66.1</v>
      </c>
      <c r="S309" s="177">
        <v>3753.0</v>
      </c>
      <c r="T309" s="177">
        <v>26.0</v>
      </c>
      <c r="U309" s="177">
        <v>5.1</v>
      </c>
      <c r="V309" s="177">
        <v>14.0</v>
      </c>
      <c r="W309" s="177">
        <v>2.7</v>
      </c>
      <c r="X309" s="177">
        <v>192.0</v>
      </c>
      <c r="Y309" s="177">
        <v>50.5</v>
      </c>
      <c r="Z309" s="177">
        <v>45.0</v>
      </c>
      <c r="AA309" s="177">
        <v>7.3</v>
      </c>
      <c r="AB309" s="177">
        <v>7.1</v>
      </c>
      <c r="AC309" s="177">
        <v>11.1</v>
      </c>
      <c r="AD309" s="177">
        <v>250.2</v>
      </c>
      <c r="AE309" s="177">
        <v>93.2</v>
      </c>
      <c r="AF309" s="177">
        <v>66.2</v>
      </c>
      <c r="AG309" s="177">
        <v>24.0</v>
      </c>
      <c r="AH309" s="177">
        <v>172.0</v>
      </c>
      <c r="AI309" s="177">
        <v>4.47</v>
      </c>
      <c r="AJ309" s="177">
        <v>6.67</v>
      </c>
      <c r="AK309" s="177">
        <v>6.46</v>
      </c>
      <c r="AL309" s="177">
        <v>1.0</v>
      </c>
      <c r="AM309" s="177">
        <v>2.0</v>
      </c>
      <c r="AN309" s="177">
        <v>11.0</v>
      </c>
      <c r="AO309" s="183"/>
      <c r="AP309" s="33"/>
      <c r="AQ309" s="33"/>
      <c r="AR309" s="33"/>
      <c r="AS309" s="33"/>
    </row>
    <row r="310" collapsed="1">
      <c r="A310" s="184" t="s">
        <v>60</v>
      </c>
      <c r="B310" s="176" t="s">
        <v>348</v>
      </c>
      <c r="C310" s="177" t="str">
        <f t="array" ref="C310">xlookup(B310,DATA_LEAGUE_AVG!A:A,DATA_LEAGUE_AVG!H:H)</f>
        <v>#N/A</v>
      </c>
      <c r="D310" s="177" t="str">
        <f t="shared" si="1"/>
        <v>#N/A</v>
      </c>
      <c r="E310" s="176" t="s">
        <v>351</v>
      </c>
      <c r="F310" s="176" t="s">
        <v>352</v>
      </c>
      <c r="G310" s="176" t="s">
        <v>353</v>
      </c>
      <c r="H310" s="176" t="s">
        <v>354</v>
      </c>
      <c r="I310" s="185" t="s">
        <v>355</v>
      </c>
      <c r="J310" s="185" t="s">
        <v>356</v>
      </c>
      <c r="K310" s="185" t="s">
        <v>272</v>
      </c>
      <c r="L310" s="185" t="s">
        <v>357</v>
      </c>
      <c r="M310" s="176" t="s">
        <v>358</v>
      </c>
      <c r="N310" s="176" t="s">
        <v>359</v>
      </c>
      <c r="O310" s="176" t="s">
        <v>360</v>
      </c>
      <c r="P310" s="176" t="s">
        <v>330</v>
      </c>
      <c r="Q310" s="176" t="s">
        <v>331</v>
      </c>
      <c r="R310" s="176" t="s">
        <v>332</v>
      </c>
      <c r="S310" s="176" t="s">
        <v>326</v>
      </c>
      <c r="T310" s="176" t="s">
        <v>327</v>
      </c>
      <c r="U310" s="176" t="s">
        <v>335</v>
      </c>
      <c r="V310" s="176" t="s">
        <v>336</v>
      </c>
      <c r="W310" s="176" t="s">
        <v>337</v>
      </c>
      <c r="X310" s="176" t="s">
        <v>363</v>
      </c>
      <c r="Y310" s="176" t="s">
        <v>338</v>
      </c>
      <c r="Z310" s="176" t="s">
        <v>339</v>
      </c>
      <c r="AA310" s="176" t="s">
        <v>340</v>
      </c>
      <c r="AB310" s="176" t="s">
        <v>341</v>
      </c>
      <c r="AC310" s="176" t="s">
        <v>342</v>
      </c>
      <c r="AD310" s="176" t="s">
        <v>326</v>
      </c>
      <c r="AE310" s="176" t="s">
        <v>364</v>
      </c>
      <c r="AF310" s="176" t="s">
        <v>365</v>
      </c>
      <c r="AG310" s="176" t="s">
        <v>367</v>
      </c>
      <c r="AH310" s="33"/>
      <c r="AI310" s="33"/>
      <c r="AJ310" s="33"/>
      <c r="AK310" s="33"/>
      <c r="AL310" s="33"/>
      <c r="AM310" s="33"/>
      <c r="AN310" s="33"/>
      <c r="AO310" s="33"/>
      <c r="AP310" s="33"/>
      <c r="AQ310" s="33"/>
      <c r="AR310" s="33"/>
      <c r="AS310" s="33"/>
    </row>
    <row r="311" hidden="1" outlineLevel="1">
      <c r="A311" s="184" t="s">
        <v>60</v>
      </c>
      <c r="B311" s="176">
        <v>1937.0</v>
      </c>
      <c r="C311" s="180">
        <f t="array" ref="C311">xlookup(B311,DATA_LEAGUE_AVG!A:A,DATA_LEAGUE_AVG!H:H)</f>
        <v>181.5</v>
      </c>
      <c r="D311" s="177" t="b">
        <f t="shared" si="1"/>
        <v>1</v>
      </c>
      <c r="E311" s="177">
        <v>23.0</v>
      </c>
      <c r="F311" s="181" t="s">
        <v>102</v>
      </c>
      <c r="G311" s="181" t="s">
        <v>369</v>
      </c>
      <c r="H311" s="181" t="s">
        <v>449</v>
      </c>
      <c r="I311" s="180">
        <f t="array" ref="I311">xlookup(B311,DATA_LEAGUE_AVG!A:A,DATA_LEAGUE_AVG!C:C)</f>
        <v>1022.7</v>
      </c>
      <c r="J311" s="180">
        <f t="array" ref="J311">xlookup(B311,DATA_LEAGUE_AVG!A:A,DATA_LEAGUE_AVG!D:D)</f>
        <v>9</v>
      </c>
      <c r="K311" s="177">
        <f t="shared" ref="K311:L311" si="289">S311/I311</f>
        <v>1.101984942</v>
      </c>
      <c r="L311" s="177">
        <f t="shared" si="289"/>
        <v>0.8888888889</v>
      </c>
      <c r="M311" s="177">
        <v>11.0</v>
      </c>
      <c r="N311" s="177">
        <v>5.0</v>
      </c>
      <c r="O311" s="183"/>
      <c r="P311" s="177">
        <v>81.0</v>
      </c>
      <c r="Q311" s="177">
        <v>171.0</v>
      </c>
      <c r="R311" s="177">
        <v>47.4</v>
      </c>
      <c r="S311" s="177">
        <v>1127.0</v>
      </c>
      <c r="T311" s="177">
        <v>8.0</v>
      </c>
      <c r="U311" s="177">
        <v>4.7</v>
      </c>
      <c r="V311" s="177">
        <v>14.0</v>
      </c>
      <c r="W311" s="177">
        <v>8.2</v>
      </c>
      <c r="X311" s="177">
        <v>59.0</v>
      </c>
      <c r="Y311" s="177">
        <v>6.6</v>
      </c>
      <c r="Z311" s="177">
        <v>3.84</v>
      </c>
      <c r="AA311" s="177">
        <v>13.9</v>
      </c>
      <c r="AB311" s="177">
        <v>102.5</v>
      </c>
      <c r="AC311" s="177">
        <v>50.5</v>
      </c>
      <c r="AD311" s="183"/>
      <c r="AE311" s="177">
        <v>0.0</v>
      </c>
      <c r="AF311" s="177">
        <v>1.0</v>
      </c>
      <c r="AG311" s="181" t="s">
        <v>433</v>
      </c>
      <c r="AH311" s="33"/>
      <c r="AI311" s="33"/>
      <c r="AJ311" s="33"/>
      <c r="AK311" s="33"/>
      <c r="AL311" s="33"/>
      <c r="AM311" s="33"/>
      <c r="AN311" s="33"/>
      <c r="AO311" s="33"/>
      <c r="AP311" s="33"/>
      <c r="AQ311" s="33"/>
      <c r="AR311" s="33"/>
      <c r="AS311" s="33"/>
    </row>
    <row r="312" hidden="1" outlineLevel="1">
      <c r="A312" s="184" t="s">
        <v>60</v>
      </c>
      <c r="B312" s="176">
        <v>1938.0</v>
      </c>
      <c r="C312" s="180">
        <f t="array" ref="C312">xlookup(B312,DATA_LEAGUE_AVG!A:A,DATA_LEAGUE_AVG!H:H)</f>
        <v>203</v>
      </c>
      <c r="D312" s="177" t="b">
        <f t="shared" si="1"/>
        <v>1</v>
      </c>
      <c r="E312" s="177">
        <v>24.0</v>
      </c>
      <c r="F312" s="181" t="s">
        <v>102</v>
      </c>
      <c r="G312" s="181" t="s">
        <v>369</v>
      </c>
      <c r="H312" s="181" t="s">
        <v>449</v>
      </c>
      <c r="I312" s="180">
        <f t="array" ref="I312">xlookup(B312,DATA_LEAGUE_AVG!A:A,DATA_LEAGUE_AVG!C:C)</f>
        <v>1164.1</v>
      </c>
      <c r="J312" s="180">
        <f t="array" ref="J312">xlookup(B312,DATA_LEAGUE_AVG!A:A,DATA_LEAGUE_AVG!D:D)</f>
        <v>9.3</v>
      </c>
      <c r="K312" s="177">
        <f t="shared" ref="K312:L312" si="290">S312/I312</f>
        <v>0.732754918</v>
      </c>
      <c r="L312" s="177">
        <f t="shared" si="290"/>
        <v>0.5376344086</v>
      </c>
      <c r="M312" s="177">
        <v>9.0</v>
      </c>
      <c r="N312" s="177">
        <v>3.0</v>
      </c>
      <c r="O312" s="183"/>
      <c r="P312" s="177">
        <v>63.0</v>
      </c>
      <c r="Q312" s="177">
        <v>128.0</v>
      </c>
      <c r="R312" s="177">
        <v>49.2</v>
      </c>
      <c r="S312" s="177">
        <v>853.0</v>
      </c>
      <c r="T312" s="177">
        <v>5.0</v>
      </c>
      <c r="U312" s="177">
        <v>3.9</v>
      </c>
      <c r="V312" s="177">
        <v>11.0</v>
      </c>
      <c r="W312" s="177">
        <v>8.6</v>
      </c>
      <c r="X312" s="177">
        <v>60.0</v>
      </c>
      <c r="Y312" s="177">
        <v>6.7</v>
      </c>
      <c r="Z312" s="177">
        <v>3.58</v>
      </c>
      <c r="AA312" s="177">
        <v>13.5</v>
      </c>
      <c r="AB312" s="177">
        <v>94.8</v>
      </c>
      <c r="AC312" s="177">
        <v>48.1</v>
      </c>
      <c r="AD312" s="183"/>
      <c r="AE312" s="177">
        <v>1.0</v>
      </c>
      <c r="AF312" s="177">
        <v>1.0</v>
      </c>
      <c r="AG312" s="181" t="s">
        <v>379</v>
      </c>
      <c r="AH312" s="33"/>
      <c r="AI312" s="33"/>
      <c r="AJ312" s="33"/>
      <c r="AK312" s="33"/>
      <c r="AL312" s="33"/>
      <c r="AM312" s="33"/>
      <c r="AN312" s="33"/>
      <c r="AO312" s="33"/>
      <c r="AP312" s="33"/>
      <c r="AQ312" s="33"/>
      <c r="AR312" s="33"/>
      <c r="AS312" s="33"/>
    </row>
    <row r="313" hidden="1" outlineLevel="1">
      <c r="A313" s="184" t="s">
        <v>60</v>
      </c>
      <c r="B313" s="176">
        <v>1940.0</v>
      </c>
      <c r="C313" s="180">
        <f t="array" ref="C313">xlookup(B313,DATA_LEAGUE_AVG!A:A,DATA_LEAGUE_AVG!H:H)</f>
        <v>225.4</v>
      </c>
      <c r="D313" s="177" t="b">
        <f t="shared" si="1"/>
        <v>1</v>
      </c>
      <c r="E313" s="177">
        <v>26.0</v>
      </c>
      <c r="F313" s="181" t="s">
        <v>102</v>
      </c>
      <c r="G313" s="181" t="s">
        <v>369</v>
      </c>
      <c r="H313" s="181" t="s">
        <v>449</v>
      </c>
      <c r="I313" s="180">
        <f t="array" ref="I313">xlookup(B313,DATA_LEAGUE_AVG!A:A,DATA_LEAGUE_AVG!C:C)</f>
        <v>1378.8</v>
      </c>
      <c r="J313" s="180">
        <f t="array" ref="J313">xlookup(B313,DATA_LEAGUE_AVG!A:A,DATA_LEAGUE_AVG!D:D)</f>
        <v>10</v>
      </c>
      <c r="K313" s="177">
        <f t="shared" ref="K313:L313" si="291">S313/I313</f>
        <v>0.9914418335</v>
      </c>
      <c r="L313" s="177">
        <f t="shared" si="291"/>
        <v>1.2</v>
      </c>
      <c r="M313" s="177">
        <v>11.0</v>
      </c>
      <c r="N313" s="177">
        <v>11.0</v>
      </c>
      <c r="O313" s="183"/>
      <c r="P313" s="177">
        <v>111.0</v>
      </c>
      <c r="Q313" s="177">
        <v>177.0</v>
      </c>
      <c r="R313" s="177">
        <v>62.7</v>
      </c>
      <c r="S313" s="177">
        <v>1367.0</v>
      </c>
      <c r="T313" s="177">
        <v>12.0</v>
      </c>
      <c r="U313" s="177">
        <v>6.8</v>
      </c>
      <c r="V313" s="177">
        <v>10.0</v>
      </c>
      <c r="W313" s="177">
        <v>5.6</v>
      </c>
      <c r="X313" s="177">
        <v>81.0</v>
      </c>
      <c r="Y313" s="177">
        <v>7.7</v>
      </c>
      <c r="Z313" s="177">
        <v>6.54</v>
      </c>
      <c r="AA313" s="177">
        <v>12.3</v>
      </c>
      <c r="AB313" s="177">
        <v>124.3</v>
      </c>
      <c r="AC313" s="177">
        <v>85.6</v>
      </c>
      <c r="AD313" s="183"/>
      <c r="AE313" s="177">
        <v>0.0</v>
      </c>
      <c r="AF313" s="177">
        <v>0.0</v>
      </c>
      <c r="AG313" s="181" t="s">
        <v>420</v>
      </c>
      <c r="AH313" s="33"/>
      <c r="AI313" s="33"/>
      <c r="AJ313" s="33"/>
      <c r="AK313" s="33"/>
      <c r="AL313" s="33"/>
      <c r="AM313" s="33"/>
      <c r="AN313" s="33"/>
      <c r="AO313" s="33"/>
      <c r="AP313" s="33"/>
      <c r="AQ313" s="33"/>
      <c r="AR313" s="33"/>
      <c r="AS313" s="33"/>
    </row>
    <row r="314" hidden="1" outlineLevel="1">
      <c r="A314" s="184" t="s">
        <v>60</v>
      </c>
      <c r="B314" s="176">
        <v>1941.0</v>
      </c>
      <c r="C314" s="180">
        <f t="array" ref="C314">xlookup(B314,DATA_LEAGUE_AVG!A:A,DATA_LEAGUE_AVG!H:H)</f>
        <v>221</v>
      </c>
      <c r="D314" s="177" t="b">
        <f t="shared" si="1"/>
        <v>1</v>
      </c>
      <c r="E314" s="177">
        <v>27.0</v>
      </c>
      <c r="F314" s="181" t="s">
        <v>102</v>
      </c>
      <c r="G314" s="181" t="s">
        <v>369</v>
      </c>
      <c r="H314" s="181" t="s">
        <v>449</v>
      </c>
      <c r="I314" s="180">
        <f t="array" ref="I314">xlookup(B314,DATA_LEAGUE_AVG!A:A,DATA_LEAGUE_AVG!C:C)</f>
        <v>1339.7</v>
      </c>
      <c r="J314" s="180">
        <f t="array" ref="J314">xlookup(B314,DATA_LEAGUE_AVG!A:A,DATA_LEAGUE_AVG!D:D)</f>
        <v>9.9</v>
      </c>
      <c r="K314" s="177">
        <f t="shared" ref="K314:L314" si="292">S314/I314</f>
        <v>0.9225946107</v>
      </c>
      <c r="L314" s="177">
        <f t="shared" si="292"/>
        <v>1.01010101</v>
      </c>
      <c r="M314" s="177">
        <v>11.0</v>
      </c>
      <c r="N314" s="177">
        <v>1.0</v>
      </c>
      <c r="O314" s="183"/>
      <c r="P314" s="177">
        <v>106.0</v>
      </c>
      <c r="Q314" s="177">
        <v>193.0</v>
      </c>
      <c r="R314" s="177">
        <v>54.9</v>
      </c>
      <c r="S314" s="177">
        <v>1236.0</v>
      </c>
      <c r="T314" s="177">
        <v>10.0</v>
      </c>
      <c r="U314" s="177">
        <v>5.2</v>
      </c>
      <c r="V314" s="177">
        <v>19.0</v>
      </c>
      <c r="W314" s="177">
        <v>9.8</v>
      </c>
      <c r="X314" s="177">
        <v>55.0</v>
      </c>
      <c r="Y314" s="177">
        <v>6.4</v>
      </c>
      <c r="Z314" s="177">
        <v>3.01</v>
      </c>
      <c r="AA314" s="177">
        <v>11.7</v>
      </c>
      <c r="AB314" s="177">
        <v>112.4</v>
      </c>
      <c r="AC314" s="177">
        <v>52.2</v>
      </c>
      <c r="AD314" s="183"/>
      <c r="AE314" s="177">
        <v>1.0</v>
      </c>
      <c r="AF314" s="177">
        <v>1.0</v>
      </c>
      <c r="AG314" s="181" t="s">
        <v>380</v>
      </c>
      <c r="AH314" s="33"/>
      <c r="AI314" s="33"/>
      <c r="AJ314" s="33"/>
      <c r="AK314" s="33"/>
      <c r="AL314" s="33"/>
      <c r="AM314" s="33"/>
      <c r="AN314" s="33"/>
      <c r="AO314" s="33"/>
      <c r="AP314" s="33"/>
      <c r="AQ314" s="33"/>
      <c r="AR314" s="33"/>
      <c r="AS314" s="33"/>
    </row>
    <row r="315" hidden="1" outlineLevel="1">
      <c r="A315" s="184" t="s">
        <v>60</v>
      </c>
      <c r="B315" s="176">
        <v>1942.0</v>
      </c>
      <c r="C315" s="180">
        <f t="array" ref="C315">xlookup(B315,DATA_LEAGUE_AVG!A:A,DATA_LEAGUE_AVG!H:H)</f>
        <v>224.9</v>
      </c>
      <c r="D315" s="177" t="b">
        <f t="shared" si="1"/>
        <v>1</v>
      </c>
      <c r="E315" s="177">
        <v>28.0</v>
      </c>
      <c r="F315" s="181" t="s">
        <v>102</v>
      </c>
      <c r="G315" s="181" t="s">
        <v>369</v>
      </c>
      <c r="H315" s="181" t="s">
        <v>449</v>
      </c>
      <c r="I315" s="180">
        <f t="array" ref="I315">xlookup(B315,DATA_LEAGUE_AVG!A:A,DATA_LEAGUE_AVG!C:C)</f>
        <v>1361.8</v>
      </c>
      <c r="J315" s="180">
        <f t="array" ref="J315">xlookup(B315,DATA_LEAGUE_AVG!A:A,DATA_LEAGUE_AVG!D:D)</f>
        <v>10.8</v>
      </c>
      <c r="K315" s="177">
        <f t="shared" ref="K315:L315" si="293">S315/I315</f>
        <v>1.119107064</v>
      </c>
      <c r="L315" s="177">
        <f t="shared" si="293"/>
        <v>1.481481481</v>
      </c>
      <c r="M315" s="177">
        <v>11.0</v>
      </c>
      <c r="N315" s="177">
        <v>8.0</v>
      </c>
      <c r="O315" s="183"/>
      <c r="P315" s="177">
        <v>132.0</v>
      </c>
      <c r="Q315" s="177">
        <v>225.0</v>
      </c>
      <c r="R315" s="177">
        <v>58.7</v>
      </c>
      <c r="S315" s="177">
        <v>1524.0</v>
      </c>
      <c r="T315" s="177">
        <v>16.0</v>
      </c>
      <c r="U315" s="177">
        <v>7.1</v>
      </c>
      <c r="V315" s="177">
        <v>11.0</v>
      </c>
      <c r="W315" s="177">
        <v>4.9</v>
      </c>
      <c r="X315" s="177">
        <v>53.0</v>
      </c>
      <c r="Y315" s="177">
        <v>6.8</v>
      </c>
      <c r="Z315" s="177">
        <v>6.0</v>
      </c>
      <c r="AA315" s="177">
        <v>11.5</v>
      </c>
      <c r="AB315" s="177">
        <v>138.5</v>
      </c>
      <c r="AC315" s="177">
        <v>82.5</v>
      </c>
      <c r="AD315" s="183"/>
      <c r="AE315" s="177">
        <v>0.0</v>
      </c>
      <c r="AF315" s="177">
        <v>2.0</v>
      </c>
      <c r="AG315" s="181" t="s">
        <v>420</v>
      </c>
      <c r="AH315" s="33"/>
      <c r="AI315" s="33"/>
      <c r="AJ315" s="33"/>
      <c r="AK315" s="33"/>
      <c r="AL315" s="33"/>
      <c r="AM315" s="33"/>
      <c r="AN315" s="33"/>
      <c r="AO315" s="33"/>
      <c r="AP315" s="33"/>
      <c r="AQ315" s="33"/>
      <c r="AR315" s="33"/>
      <c r="AS315" s="33"/>
    </row>
    <row r="316" hidden="1" outlineLevel="1">
      <c r="A316" s="184" t="s">
        <v>60</v>
      </c>
      <c r="B316" s="176">
        <v>1943.0</v>
      </c>
      <c r="C316" s="180">
        <f t="array" ref="C316">xlookup(B316,DATA_LEAGUE_AVG!A:A,DATA_LEAGUE_AVG!H:H)</f>
        <v>173.2</v>
      </c>
      <c r="D316" s="177" t="b">
        <f t="shared" si="1"/>
        <v>1</v>
      </c>
      <c r="E316" s="177">
        <v>29.0</v>
      </c>
      <c r="F316" s="181" t="s">
        <v>102</v>
      </c>
      <c r="G316" s="181" t="s">
        <v>369</v>
      </c>
      <c r="H316" s="181" t="s">
        <v>449</v>
      </c>
      <c r="I316" s="180">
        <f t="array" ref="I316">xlookup(B316,DATA_LEAGUE_AVG!A:A,DATA_LEAGUE_AVG!C:C)</f>
        <v>1130.8</v>
      </c>
      <c r="J316" s="180">
        <f t="array" ref="J316">xlookup(B316,DATA_LEAGUE_AVG!A:A,DATA_LEAGUE_AVG!D:D)</f>
        <v>11.4</v>
      </c>
      <c r="K316" s="177">
        <f t="shared" ref="K316:L316" si="294">S316/I316</f>
        <v>1.551114255</v>
      </c>
      <c r="L316" s="177">
        <f t="shared" si="294"/>
        <v>2.01754386</v>
      </c>
      <c r="M316" s="177">
        <v>10.0</v>
      </c>
      <c r="N316" s="177">
        <v>7.0</v>
      </c>
      <c r="O316" s="183"/>
      <c r="P316" s="177">
        <v>133.0</v>
      </c>
      <c r="Q316" s="177">
        <v>239.0</v>
      </c>
      <c r="R316" s="177">
        <v>55.6</v>
      </c>
      <c r="S316" s="177">
        <v>1754.0</v>
      </c>
      <c r="T316" s="177">
        <v>23.0</v>
      </c>
      <c r="U316" s="177">
        <v>9.6</v>
      </c>
      <c r="V316" s="177">
        <v>19.0</v>
      </c>
      <c r="W316" s="177">
        <v>7.9</v>
      </c>
      <c r="X316" s="177">
        <v>72.0</v>
      </c>
      <c r="Y316" s="177">
        <v>7.3</v>
      </c>
      <c r="Z316" s="177">
        <v>5.69</v>
      </c>
      <c r="AA316" s="177">
        <v>13.2</v>
      </c>
      <c r="AB316" s="177">
        <v>175.4</v>
      </c>
      <c r="AC316" s="177">
        <v>78.0</v>
      </c>
      <c r="AD316" s="183"/>
      <c r="AE316" s="177">
        <v>0.0</v>
      </c>
      <c r="AF316" s="177">
        <v>0.0</v>
      </c>
      <c r="AG316" s="181" t="s">
        <v>433</v>
      </c>
      <c r="AH316" s="33"/>
      <c r="AI316" s="33"/>
      <c r="AJ316" s="33"/>
      <c r="AK316" s="33"/>
      <c r="AL316" s="33"/>
      <c r="AM316" s="33"/>
      <c r="AN316" s="33"/>
      <c r="AO316" s="33"/>
      <c r="AP316" s="33"/>
      <c r="AQ316" s="33"/>
      <c r="AR316" s="33"/>
      <c r="AS316" s="33"/>
    </row>
    <row r="317" hidden="1" outlineLevel="1">
      <c r="A317" s="184" t="s">
        <v>60</v>
      </c>
      <c r="B317" s="176">
        <v>1944.0</v>
      </c>
      <c r="C317" s="180">
        <f t="array" ref="C317">xlookup(B317,DATA_LEAGUE_AVG!A:A,DATA_LEAGUE_AVG!H:H)</f>
        <v>192.2</v>
      </c>
      <c r="D317" s="177" t="b">
        <f t="shared" si="1"/>
        <v>1</v>
      </c>
      <c r="E317" s="177">
        <v>30.0</v>
      </c>
      <c r="F317" s="181" t="s">
        <v>102</v>
      </c>
      <c r="G317" s="181" t="s">
        <v>369</v>
      </c>
      <c r="H317" s="181" t="s">
        <v>90</v>
      </c>
      <c r="I317" s="180">
        <f t="array" ref="I317">xlookup(B317,DATA_LEAGUE_AVG!A:A,DATA_LEAGUE_AVG!C:C)</f>
        <v>1175</v>
      </c>
      <c r="J317" s="180">
        <f t="array" ref="J317">xlookup(B317,DATA_LEAGUE_AVG!A:A,DATA_LEAGUE_AVG!D:D)</f>
        <v>10.6</v>
      </c>
      <c r="K317" s="177">
        <f t="shared" ref="K317:L317" si="295">S317/I317</f>
        <v>0.7225531915</v>
      </c>
      <c r="L317" s="177">
        <f t="shared" si="295"/>
        <v>0.3773584906</v>
      </c>
      <c r="M317" s="177">
        <v>8.0</v>
      </c>
      <c r="N317" s="177">
        <v>4.0</v>
      </c>
      <c r="O317" s="183"/>
      <c r="P317" s="177">
        <v>82.0</v>
      </c>
      <c r="Q317" s="177">
        <v>146.0</v>
      </c>
      <c r="R317" s="177">
        <v>56.2</v>
      </c>
      <c r="S317" s="177">
        <v>849.0</v>
      </c>
      <c r="T317" s="177">
        <v>4.0</v>
      </c>
      <c r="U317" s="177">
        <v>2.7</v>
      </c>
      <c r="V317" s="177">
        <v>8.0</v>
      </c>
      <c r="W317" s="177">
        <v>5.5</v>
      </c>
      <c r="X317" s="177">
        <v>71.0</v>
      </c>
      <c r="Y317" s="177">
        <v>5.8</v>
      </c>
      <c r="Z317" s="177">
        <v>3.9</v>
      </c>
      <c r="AA317" s="177">
        <v>10.4</v>
      </c>
      <c r="AB317" s="177">
        <v>106.1</v>
      </c>
      <c r="AC317" s="177">
        <v>59.4</v>
      </c>
      <c r="AD317" s="183"/>
      <c r="AE317" s="177">
        <v>0.0</v>
      </c>
      <c r="AF317" s="177">
        <v>1.0</v>
      </c>
      <c r="AG317" s="183"/>
      <c r="AH317" s="33"/>
      <c r="AI317" s="33"/>
      <c r="AJ317" s="33"/>
      <c r="AK317" s="33"/>
      <c r="AL317" s="33"/>
      <c r="AM317" s="33"/>
      <c r="AN317" s="33"/>
      <c r="AO317" s="33"/>
      <c r="AP317" s="33"/>
      <c r="AQ317" s="33"/>
      <c r="AR317" s="33"/>
      <c r="AS317" s="33"/>
    </row>
    <row r="318" hidden="1" outlineLevel="1">
      <c r="A318" s="184" t="s">
        <v>60</v>
      </c>
      <c r="B318" s="176">
        <v>1945.0</v>
      </c>
      <c r="C318" s="180">
        <f t="array" ref="C318">xlookup(B318,DATA_LEAGUE_AVG!A:A,DATA_LEAGUE_AVG!H:H)</f>
        <v>210.7</v>
      </c>
      <c r="D318" s="177" t="b">
        <f t="shared" si="1"/>
        <v>1</v>
      </c>
      <c r="E318" s="177">
        <v>31.0</v>
      </c>
      <c r="F318" s="181" t="s">
        <v>102</v>
      </c>
      <c r="G318" s="181" t="s">
        <v>369</v>
      </c>
      <c r="H318" s="181" t="s">
        <v>90</v>
      </c>
      <c r="I318" s="180">
        <f t="array" ref="I318">xlookup(B318,DATA_LEAGUE_AVG!A:A,DATA_LEAGUE_AVG!C:C)</f>
        <v>1437.7</v>
      </c>
      <c r="J318" s="180">
        <f t="array" ref="J318">xlookup(B318,DATA_LEAGUE_AVG!A:A,DATA_LEAGUE_AVG!D:D)</f>
        <v>10.9</v>
      </c>
      <c r="K318" s="177">
        <f t="shared" ref="K318:L318" si="296">S318/I318</f>
        <v>1.160881964</v>
      </c>
      <c r="L318" s="177">
        <f t="shared" si="296"/>
        <v>1.009174312</v>
      </c>
      <c r="M318" s="177">
        <v>10.0</v>
      </c>
      <c r="N318" s="177">
        <v>8.0</v>
      </c>
      <c r="O318" s="183"/>
      <c r="P318" s="177">
        <v>128.0</v>
      </c>
      <c r="Q318" s="177">
        <v>182.0</v>
      </c>
      <c r="R318" s="177">
        <v>70.3</v>
      </c>
      <c r="S318" s="177">
        <v>1669.0</v>
      </c>
      <c r="T318" s="177">
        <v>11.0</v>
      </c>
      <c r="U318" s="177">
        <v>6.0</v>
      </c>
      <c r="V318" s="177">
        <v>4.0</v>
      </c>
      <c r="W318" s="177">
        <v>2.2</v>
      </c>
      <c r="X318" s="177">
        <v>70.0</v>
      </c>
      <c r="Y318" s="177">
        <v>9.2</v>
      </c>
      <c r="Z318" s="177">
        <v>9.39</v>
      </c>
      <c r="AA318" s="177">
        <v>13.0</v>
      </c>
      <c r="AB318" s="177">
        <v>166.9</v>
      </c>
      <c r="AC318" s="177">
        <v>109.9</v>
      </c>
      <c r="AD318" s="183"/>
      <c r="AE318" s="177">
        <v>0.0</v>
      </c>
      <c r="AF318" s="177">
        <v>1.0</v>
      </c>
      <c r="AG318" s="183"/>
      <c r="AH318" s="33"/>
      <c r="AI318" s="33"/>
      <c r="AJ318" s="33"/>
      <c r="AK318" s="33"/>
      <c r="AL318" s="33"/>
      <c r="AM318" s="33"/>
      <c r="AN318" s="33"/>
      <c r="AO318" s="33"/>
      <c r="AP318" s="33"/>
      <c r="AQ318" s="33"/>
      <c r="AR318" s="33"/>
      <c r="AS318" s="33"/>
    </row>
    <row r="319" hidden="1" outlineLevel="1">
      <c r="A319" s="184" t="s">
        <v>60</v>
      </c>
      <c r="B319" s="176">
        <v>1946.0</v>
      </c>
      <c r="C319" s="180">
        <f t="array" ref="C319">xlookup(B319,DATA_LEAGUE_AVG!A:A,DATA_LEAGUE_AVG!H:H)</f>
        <v>234.1</v>
      </c>
      <c r="D319" s="177" t="b">
        <f t="shared" si="1"/>
        <v>1</v>
      </c>
      <c r="E319" s="177">
        <v>32.0</v>
      </c>
      <c r="F319" s="181" t="s">
        <v>102</v>
      </c>
      <c r="G319" s="181" t="s">
        <v>369</v>
      </c>
      <c r="H319" s="181" t="s">
        <v>90</v>
      </c>
      <c r="I319" s="180">
        <f t="array" ref="I319">xlookup(B319,DATA_LEAGUE_AVG!A:A,DATA_LEAGUE_AVG!C:C)</f>
        <v>1573.6</v>
      </c>
      <c r="J319" s="180">
        <f t="array" ref="J319">xlookup(B319,DATA_LEAGUE_AVG!A:A,DATA_LEAGUE_AVG!D:D)</f>
        <v>12.6</v>
      </c>
      <c r="K319" s="177">
        <f t="shared" ref="K319:L319" si="297">S319/I319</f>
        <v>0.7390696492</v>
      </c>
      <c r="L319" s="177">
        <f t="shared" si="297"/>
        <v>0.6349206349</v>
      </c>
      <c r="M319" s="177">
        <v>11.0</v>
      </c>
      <c r="N319" s="177">
        <v>2.0</v>
      </c>
      <c r="O319" s="183"/>
      <c r="P319" s="177">
        <v>87.0</v>
      </c>
      <c r="Q319" s="177">
        <v>161.0</v>
      </c>
      <c r="R319" s="177">
        <v>54.0</v>
      </c>
      <c r="S319" s="177">
        <v>1163.0</v>
      </c>
      <c r="T319" s="177">
        <v>8.0</v>
      </c>
      <c r="U319" s="177">
        <v>5.0</v>
      </c>
      <c r="V319" s="177">
        <v>17.0</v>
      </c>
      <c r="W319" s="177">
        <v>10.6</v>
      </c>
      <c r="X319" s="177">
        <v>51.0</v>
      </c>
      <c r="Y319" s="177">
        <v>7.2</v>
      </c>
      <c r="Z319" s="177">
        <v>3.47</v>
      </c>
      <c r="AA319" s="177">
        <v>13.4</v>
      </c>
      <c r="AB319" s="177">
        <v>105.7</v>
      </c>
      <c r="AC319" s="177">
        <v>54.2</v>
      </c>
      <c r="AD319" s="183"/>
      <c r="AE319" s="177">
        <v>0.0</v>
      </c>
      <c r="AF319" s="177">
        <v>1.0</v>
      </c>
      <c r="AG319" s="183"/>
      <c r="AH319" s="33"/>
      <c r="AI319" s="33"/>
      <c r="AJ319" s="33"/>
      <c r="AK319" s="33"/>
      <c r="AL319" s="33"/>
      <c r="AM319" s="33"/>
      <c r="AN319" s="33"/>
      <c r="AO319" s="33"/>
      <c r="AP319" s="33"/>
      <c r="AQ319" s="33"/>
      <c r="AR319" s="33"/>
      <c r="AS319" s="33"/>
    </row>
    <row r="320" hidden="1" outlineLevel="1">
      <c r="A320" s="184" t="s">
        <v>60</v>
      </c>
      <c r="B320" s="176">
        <v>1947.0</v>
      </c>
      <c r="C320" s="180">
        <f t="array" ref="C320">xlookup(B320,DATA_LEAGUE_AVG!A:A,DATA_LEAGUE_AVG!H:H)</f>
        <v>299.1</v>
      </c>
      <c r="D320" s="177" t="b">
        <f t="shared" si="1"/>
        <v>1</v>
      </c>
      <c r="E320" s="177">
        <v>33.0</v>
      </c>
      <c r="F320" s="181" t="s">
        <v>102</v>
      </c>
      <c r="G320" s="181" t="s">
        <v>369</v>
      </c>
      <c r="H320" s="181" t="s">
        <v>90</v>
      </c>
      <c r="I320" s="180">
        <f t="array" ref="I320">xlookup(B320,DATA_LEAGUE_AVG!A:A,DATA_LEAGUE_AVG!C:C)</f>
        <v>2167</v>
      </c>
      <c r="J320" s="180">
        <f t="array" ref="J320">xlookup(B320,DATA_LEAGUE_AVG!A:A,DATA_LEAGUE_AVG!D:D)</f>
        <v>18.8</v>
      </c>
      <c r="K320" s="177">
        <f t="shared" ref="K320:L320" si="298">S320/I320</f>
        <v>1.355791417</v>
      </c>
      <c r="L320" s="177">
        <f t="shared" si="298"/>
        <v>1.329787234</v>
      </c>
      <c r="M320" s="177">
        <v>12.0</v>
      </c>
      <c r="N320" s="177">
        <v>1.0</v>
      </c>
      <c r="O320" s="183"/>
      <c r="P320" s="177">
        <v>210.0</v>
      </c>
      <c r="Q320" s="177">
        <v>354.0</v>
      </c>
      <c r="R320" s="177">
        <v>59.3</v>
      </c>
      <c r="S320" s="177">
        <v>2938.0</v>
      </c>
      <c r="T320" s="177">
        <v>25.0</v>
      </c>
      <c r="U320" s="177">
        <v>7.1</v>
      </c>
      <c r="V320" s="177">
        <v>15.0</v>
      </c>
      <c r="W320" s="177">
        <v>4.2</v>
      </c>
      <c r="X320" s="177">
        <v>74.0</v>
      </c>
      <c r="Y320" s="177">
        <v>8.3</v>
      </c>
      <c r="Z320" s="177">
        <v>7.81</v>
      </c>
      <c r="AA320" s="177">
        <v>14.0</v>
      </c>
      <c r="AB320" s="177">
        <v>244.8</v>
      </c>
      <c r="AC320" s="177">
        <v>92.0</v>
      </c>
      <c r="AD320" s="177">
        <v>153.0</v>
      </c>
      <c r="AE320" s="177">
        <v>1.0</v>
      </c>
      <c r="AF320" s="177">
        <v>1.0</v>
      </c>
      <c r="AG320" s="181" t="s">
        <v>402</v>
      </c>
      <c r="AH320" s="33"/>
      <c r="AI320" s="33"/>
      <c r="AJ320" s="33"/>
      <c r="AK320" s="33"/>
      <c r="AL320" s="33"/>
      <c r="AM320" s="33"/>
      <c r="AN320" s="33"/>
      <c r="AO320" s="33"/>
      <c r="AP320" s="33"/>
      <c r="AQ320" s="33"/>
      <c r="AR320" s="33"/>
      <c r="AS320" s="33"/>
    </row>
    <row r="321" hidden="1" outlineLevel="1">
      <c r="A321" s="184" t="s">
        <v>60</v>
      </c>
      <c r="B321" s="176">
        <v>1948.0</v>
      </c>
      <c r="C321" s="180">
        <f t="array" ref="C321">xlookup(B321,DATA_LEAGUE_AVG!A:A,DATA_LEAGUE_AVG!H:H)</f>
        <v>311.6</v>
      </c>
      <c r="D321" s="177" t="b">
        <f t="shared" si="1"/>
        <v>1</v>
      </c>
      <c r="E321" s="177">
        <v>34.0</v>
      </c>
      <c r="F321" s="181" t="s">
        <v>102</v>
      </c>
      <c r="G321" s="181" t="s">
        <v>369</v>
      </c>
      <c r="H321" s="181" t="s">
        <v>90</v>
      </c>
      <c r="I321" s="180">
        <f t="array" ref="I321">xlookup(B321,DATA_LEAGUE_AVG!A:A,DATA_LEAGUE_AVG!C:C)</f>
        <v>2087.1</v>
      </c>
      <c r="J321" s="180">
        <f t="array" ref="J321">xlookup(B321,DATA_LEAGUE_AVG!A:A,DATA_LEAGUE_AVG!D:D)</f>
        <v>19.6</v>
      </c>
      <c r="K321" s="177">
        <f t="shared" ref="K321:L321" si="299">S321/I321</f>
        <v>1.245268554</v>
      </c>
      <c r="L321" s="177">
        <f t="shared" si="299"/>
        <v>1.12244898</v>
      </c>
      <c r="M321" s="177">
        <v>12.0</v>
      </c>
      <c r="N321" s="177">
        <v>3.0</v>
      </c>
      <c r="O321" s="183"/>
      <c r="P321" s="177">
        <v>185.0</v>
      </c>
      <c r="Q321" s="177">
        <v>315.0</v>
      </c>
      <c r="R321" s="177">
        <v>58.7</v>
      </c>
      <c r="S321" s="177">
        <v>2599.0</v>
      </c>
      <c r="T321" s="177">
        <v>22.0</v>
      </c>
      <c r="U321" s="177">
        <v>7.0</v>
      </c>
      <c r="V321" s="177">
        <v>23.0</v>
      </c>
      <c r="W321" s="177">
        <v>7.3</v>
      </c>
      <c r="X321" s="177">
        <v>86.0</v>
      </c>
      <c r="Y321" s="177">
        <v>8.3</v>
      </c>
      <c r="Z321" s="177">
        <v>6.36</v>
      </c>
      <c r="AA321" s="177">
        <v>14.0</v>
      </c>
      <c r="AB321" s="177">
        <v>216.6</v>
      </c>
      <c r="AC321" s="177">
        <v>78.3</v>
      </c>
      <c r="AD321" s="177">
        <v>69.0</v>
      </c>
      <c r="AE321" s="177">
        <v>1.0</v>
      </c>
      <c r="AF321" s="177">
        <v>3.0</v>
      </c>
      <c r="AG321" s="181" t="s">
        <v>402</v>
      </c>
      <c r="AH321" s="33"/>
      <c r="AI321" s="33"/>
      <c r="AJ321" s="33"/>
      <c r="AK321" s="33"/>
      <c r="AL321" s="33"/>
      <c r="AM321" s="33"/>
      <c r="AN321" s="33"/>
      <c r="AO321" s="33"/>
      <c r="AP321" s="33"/>
      <c r="AQ321" s="33"/>
      <c r="AR321" s="33"/>
      <c r="AS321" s="33"/>
    </row>
    <row r="322" hidden="1" outlineLevel="1">
      <c r="A322" s="184" t="s">
        <v>60</v>
      </c>
      <c r="B322" s="176">
        <v>1949.0</v>
      </c>
      <c r="C322" s="180">
        <f t="array" ref="C322">xlookup(B322,DATA_LEAGUE_AVG!A:A,DATA_LEAGUE_AVG!H:H)</f>
        <v>327.5</v>
      </c>
      <c r="D322" s="177" t="b">
        <f t="shared" si="1"/>
        <v>1</v>
      </c>
      <c r="E322" s="177">
        <v>35.0</v>
      </c>
      <c r="F322" s="181" t="s">
        <v>102</v>
      </c>
      <c r="G322" s="181" t="s">
        <v>369</v>
      </c>
      <c r="H322" s="181" t="s">
        <v>90</v>
      </c>
      <c r="I322" s="180">
        <f t="array" ref="I322">xlookup(B322,DATA_LEAGUE_AVG!A:A,DATA_LEAGUE_AVG!C:C)</f>
        <v>1932.4</v>
      </c>
      <c r="J322" s="180">
        <f t="array" ref="J322">xlookup(B322,DATA_LEAGUE_AVG!A:A,DATA_LEAGUE_AVG!D:D)</f>
        <v>16.8</v>
      </c>
      <c r="K322" s="177">
        <f t="shared" ref="K322:L322" si="300">S322/I322</f>
        <v>0.9847857586</v>
      </c>
      <c r="L322" s="177">
        <f t="shared" si="300"/>
        <v>1.071428571</v>
      </c>
      <c r="M322" s="177">
        <v>12.0</v>
      </c>
      <c r="N322" s="177">
        <v>9.0</v>
      </c>
      <c r="O322" s="183"/>
      <c r="P322" s="177">
        <v>145.0</v>
      </c>
      <c r="Q322" s="177">
        <v>255.0</v>
      </c>
      <c r="R322" s="177">
        <v>56.9</v>
      </c>
      <c r="S322" s="177">
        <v>1903.0</v>
      </c>
      <c r="T322" s="177">
        <v>18.0</v>
      </c>
      <c r="U322" s="177">
        <v>7.1</v>
      </c>
      <c r="V322" s="177">
        <v>14.0</v>
      </c>
      <c r="W322" s="177">
        <v>5.5</v>
      </c>
      <c r="X322" s="177">
        <v>76.0</v>
      </c>
      <c r="Y322" s="177">
        <v>7.5</v>
      </c>
      <c r="Z322" s="177">
        <v>6.4</v>
      </c>
      <c r="AA322" s="177">
        <v>13.1</v>
      </c>
      <c r="AB322" s="177">
        <v>158.6</v>
      </c>
      <c r="AC322" s="177">
        <v>81.2</v>
      </c>
      <c r="AD322" s="177">
        <v>85.0</v>
      </c>
      <c r="AE322" s="177">
        <v>1.0</v>
      </c>
      <c r="AF322" s="177">
        <v>1.0</v>
      </c>
      <c r="AG322" s="183"/>
      <c r="AH322" s="33"/>
      <c r="AI322" s="33"/>
      <c r="AJ322" s="33"/>
      <c r="AK322" s="33"/>
      <c r="AL322" s="33"/>
      <c r="AM322" s="33"/>
      <c r="AN322" s="33"/>
      <c r="AO322" s="33"/>
      <c r="AP322" s="33"/>
      <c r="AQ322" s="33"/>
      <c r="AR322" s="33"/>
      <c r="AS322" s="33"/>
    </row>
    <row r="323" hidden="1" outlineLevel="1">
      <c r="A323" s="184" t="s">
        <v>60</v>
      </c>
      <c r="B323" s="176">
        <v>1950.0</v>
      </c>
      <c r="C323" s="180">
        <f t="array" ref="C323">xlookup(B323,DATA_LEAGUE_AVG!A:A,DATA_LEAGUE_AVG!H:H)</f>
        <v>331.3</v>
      </c>
      <c r="D323" s="177" t="b">
        <f t="shared" si="1"/>
        <v>1</v>
      </c>
      <c r="E323" s="177">
        <v>36.0</v>
      </c>
      <c r="F323" s="181" t="s">
        <v>102</v>
      </c>
      <c r="G323" s="181" t="s">
        <v>369</v>
      </c>
      <c r="H323" s="181" t="s">
        <v>90</v>
      </c>
      <c r="I323" s="180">
        <f t="array" ref="I323">xlookup(B323,DATA_LEAGUE_AVG!A:A,DATA_LEAGUE_AVG!C:C)</f>
        <v>1988.9</v>
      </c>
      <c r="J323" s="180">
        <f t="array" ref="J323">xlookup(B323,DATA_LEAGUE_AVG!A:A,DATA_LEAGUE_AVG!D:D)</f>
        <v>16.9</v>
      </c>
      <c r="K323" s="177">
        <f t="shared" ref="K323:L323" si="301">S323/I323</f>
        <v>0.5681532505</v>
      </c>
      <c r="L323" s="177">
        <f t="shared" si="301"/>
        <v>0.5917159763</v>
      </c>
      <c r="M323" s="177">
        <v>11.0</v>
      </c>
      <c r="N323" s="177">
        <v>7.0</v>
      </c>
      <c r="O323" s="182">
        <v>36589.0</v>
      </c>
      <c r="P323" s="177">
        <v>90.0</v>
      </c>
      <c r="Q323" s="177">
        <v>166.0</v>
      </c>
      <c r="R323" s="177">
        <v>54.2</v>
      </c>
      <c r="S323" s="177">
        <v>1130.0</v>
      </c>
      <c r="T323" s="177">
        <v>10.0</v>
      </c>
      <c r="U323" s="177">
        <v>6.0</v>
      </c>
      <c r="V323" s="177">
        <v>11.0</v>
      </c>
      <c r="W323" s="177">
        <v>6.6</v>
      </c>
      <c r="X323" s="177">
        <v>56.0</v>
      </c>
      <c r="Y323" s="177">
        <v>6.8</v>
      </c>
      <c r="Z323" s="177">
        <v>5.03</v>
      </c>
      <c r="AA323" s="177">
        <v>12.6</v>
      </c>
      <c r="AB323" s="177">
        <v>102.7</v>
      </c>
      <c r="AC323" s="177">
        <v>68.1</v>
      </c>
      <c r="AD323" s="177">
        <v>77.0</v>
      </c>
      <c r="AE323" s="177">
        <v>0.0</v>
      </c>
      <c r="AF323" s="177">
        <v>0.0</v>
      </c>
      <c r="AG323" s="183"/>
      <c r="AH323" s="33"/>
      <c r="AI323" s="33"/>
      <c r="AJ323" s="33"/>
      <c r="AK323" s="33"/>
      <c r="AL323" s="33"/>
      <c r="AM323" s="33"/>
      <c r="AN323" s="33"/>
      <c r="AO323" s="33"/>
      <c r="AP323" s="33"/>
      <c r="AQ323" s="33"/>
      <c r="AR323" s="33"/>
      <c r="AS323" s="33"/>
    </row>
    <row r="324" collapsed="1">
      <c r="A324" s="184" t="s">
        <v>72</v>
      </c>
      <c r="B324" s="176" t="s">
        <v>348</v>
      </c>
      <c r="C324" s="177" t="str">
        <f t="array" ref="C324">xlookup(B324,DATA_LEAGUE_AVG!A:A,DATA_LEAGUE_AVG!H:H)</f>
        <v>#N/A</v>
      </c>
      <c r="D324" s="177" t="str">
        <f t="shared" si="1"/>
        <v>#N/A</v>
      </c>
      <c r="E324" s="176" t="s">
        <v>351</v>
      </c>
      <c r="F324" s="176" t="s">
        <v>352</v>
      </c>
      <c r="G324" s="176" t="s">
        <v>353</v>
      </c>
      <c r="H324" s="176" t="s">
        <v>354</v>
      </c>
      <c r="I324" s="185" t="s">
        <v>355</v>
      </c>
      <c r="J324" s="185" t="s">
        <v>356</v>
      </c>
      <c r="K324" s="185" t="s">
        <v>272</v>
      </c>
      <c r="L324" s="185" t="s">
        <v>357</v>
      </c>
      <c r="M324" s="176" t="s">
        <v>358</v>
      </c>
      <c r="N324" s="176" t="s">
        <v>359</v>
      </c>
      <c r="O324" s="176" t="s">
        <v>360</v>
      </c>
      <c r="P324" s="176" t="s">
        <v>330</v>
      </c>
      <c r="Q324" s="176" t="s">
        <v>331</v>
      </c>
      <c r="R324" s="176" t="s">
        <v>332</v>
      </c>
      <c r="S324" s="176" t="s">
        <v>326</v>
      </c>
      <c r="T324" s="176" t="s">
        <v>327</v>
      </c>
      <c r="U324" s="176" t="s">
        <v>335</v>
      </c>
      <c r="V324" s="176" t="s">
        <v>336</v>
      </c>
      <c r="W324" s="176" t="s">
        <v>337</v>
      </c>
      <c r="X324" s="176" t="s">
        <v>361</v>
      </c>
      <c r="Y324" s="176" t="s">
        <v>362</v>
      </c>
      <c r="Z324" s="176" t="s">
        <v>363</v>
      </c>
      <c r="AA324" s="176" t="s">
        <v>338</v>
      </c>
      <c r="AB324" s="176" t="s">
        <v>339</v>
      </c>
      <c r="AC324" s="176" t="s">
        <v>340</v>
      </c>
      <c r="AD324" s="176" t="s">
        <v>341</v>
      </c>
      <c r="AE324" s="176" t="s">
        <v>342</v>
      </c>
      <c r="AF324" s="176" t="s">
        <v>343</v>
      </c>
      <c r="AG324" s="176" t="s">
        <v>326</v>
      </c>
      <c r="AH324" s="176" t="s">
        <v>345</v>
      </c>
      <c r="AI324" s="176" t="s">
        <v>346</v>
      </c>
      <c r="AJ324" s="176" t="s">
        <v>347</v>
      </c>
      <c r="AK324" s="176" t="s">
        <v>364</v>
      </c>
      <c r="AL324" s="176" t="s">
        <v>365</v>
      </c>
      <c r="AM324" s="176" t="s">
        <v>366</v>
      </c>
      <c r="AN324" s="176" t="s">
        <v>367</v>
      </c>
      <c r="AO324" s="33"/>
      <c r="AP324" s="33"/>
      <c r="AQ324" s="33"/>
      <c r="AR324" s="33"/>
      <c r="AS324" s="33"/>
    </row>
    <row r="325" hidden="1" outlineLevel="1">
      <c r="A325" s="184" t="s">
        <v>72</v>
      </c>
      <c r="B325" s="176">
        <v>1984.0</v>
      </c>
      <c r="C325" s="180">
        <f t="array" ref="C325">xlookup(B325,DATA_LEAGUE_AVG!A:A,DATA_LEAGUE_AVG!H:H)</f>
        <v>511.6</v>
      </c>
      <c r="D325" s="177" t="b">
        <f t="shared" si="1"/>
        <v>1</v>
      </c>
      <c r="E325" s="177">
        <v>28.0</v>
      </c>
      <c r="F325" s="181" t="s">
        <v>450</v>
      </c>
      <c r="G325" s="181" t="s">
        <v>369</v>
      </c>
      <c r="H325" s="181" t="s">
        <v>90</v>
      </c>
      <c r="I325" s="180">
        <f t="array" ref="I325">xlookup(B325,DATA_LEAGUE_AVG!A:A,DATA_LEAGUE_AVG!C:C)</f>
        <v>3294.2</v>
      </c>
      <c r="J325" s="180">
        <f t="array" ref="J325">xlookup(B325,DATA_LEAGUE_AVG!A:A,DATA_LEAGUE_AVG!D:D)</f>
        <v>22</v>
      </c>
      <c r="K325" s="177">
        <f t="shared" ref="K325:L325" si="302">S325/I325</f>
        <v>1.013296096</v>
      </c>
      <c r="L325" s="177">
        <f t="shared" si="302"/>
        <v>0.5454545455</v>
      </c>
      <c r="M325" s="177">
        <v>16.0</v>
      </c>
      <c r="N325" s="177">
        <v>16.0</v>
      </c>
      <c r="O325" s="182">
        <v>36598.0</v>
      </c>
      <c r="P325" s="177">
        <v>259.0</v>
      </c>
      <c r="Q325" s="177">
        <v>450.0</v>
      </c>
      <c r="R325" s="177">
        <v>57.6</v>
      </c>
      <c r="S325" s="177">
        <v>3338.0</v>
      </c>
      <c r="T325" s="177">
        <v>12.0</v>
      </c>
      <c r="U325" s="177">
        <v>2.7</v>
      </c>
      <c r="V325" s="177">
        <v>14.0</v>
      </c>
      <c r="W325" s="177">
        <v>3.1</v>
      </c>
      <c r="X325" s="177">
        <v>153.0</v>
      </c>
      <c r="Y325" s="177">
        <v>45.3</v>
      </c>
      <c r="Z325" s="177">
        <v>76.0</v>
      </c>
      <c r="AA325" s="177">
        <v>7.4</v>
      </c>
      <c r="AB325" s="177">
        <v>6.55</v>
      </c>
      <c r="AC325" s="177">
        <v>12.9</v>
      </c>
      <c r="AD325" s="177">
        <v>208.6</v>
      </c>
      <c r="AE325" s="177">
        <v>76.9</v>
      </c>
      <c r="AF325" s="177">
        <v>47.0</v>
      </c>
      <c r="AG325" s="177">
        <v>371.0</v>
      </c>
      <c r="AH325" s="177">
        <v>9.46</v>
      </c>
      <c r="AI325" s="177">
        <v>5.97</v>
      </c>
      <c r="AJ325" s="177">
        <v>5.19</v>
      </c>
      <c r="AK325" s="177">
        <v>1.0</v>
      </c>
      <c r="AL325" s="177">
        <v>2.0</v>
      </c>
      <c r="AM325" s="177">
        <v>10.0</v>
      </c>
      <c r="AN325" s="183"/>
      <c r="AO325" s="33"/>
      <c r="AP325" s="33"/>
      <c r="AQ325" s="33"/>
      <c r="AR325" s="33"/>
      <c r="AS325" s="33"/>
    </row>
    <row r="326" hidden="1" outlineLevel="1">
      <c r="A326" s="184" t="s">
        <v>72</v>
      </c>
      <c r="B326" s="176">
        <v>1985.0</v>
      </c>
      <c r="C326" s="180">
        <f t="array" ref="C326">xlookup(B326,DATA_LEAGUE_AVG!A:A,DATA_LEAGUE_AVG!H:H)</f>
        <v>515.1</v>
      </c>
      <c r="D326" s="177" t="b">
        <f t="shared" si="1"/>
        <v>1</v>
      </c>
      <c r="E326" s="177">
        <v>29.0</v>
      </c>
      <c r="F326" s="181" t="s">
        <v>450</v>
      </c>
      <c r="G326" s="181" t="s">
        <v>369</v>
      </c>
      <c r="H326" s="181" t="s">
        <v>90</v>
      </c>
      <c r="I326" s="180">
        <f t="array" ref="I326">xlookup(B326,DATA_LEAGUE_AVG!A:A,DATA_LEAGUE_AVG!C:C)</f>
        <v>3272.2</v>
      </c>
      <c r="J326" s="180">
        <f t="array" ref="J326">xlookup(B326,DATA_LEAGUE_AVG!A:A,DATA_LEAGUE_AVG!D:D)</f>
        <v>21.4</v>
      </c>
      <c r="K326" s="177">
        <f t="shared" ref="K326:L326" si="303">S326/I326</f>
        <v>0.8278833812</v>
      </c>
      <c r="L326" s="177">
        <f t="shared" si="303"/>
        <v>0.7009345794</v>
      </c>
      <c r="M326" s="177">
        <v>14.0</v>
      </c>
      <c r="N326" s="177">
        <v>14.0</v>
      </c>
      <c r="O326" s="182">
        <v>36626.0</v>
      </c>
      <c r="P326" s="177">
        <v>200.0</v>
      </c>
      <c r="Q326" s="177">
        <v>377.0</v>
      </c>
      <c r="R326" s="177">
        <v>53.1</v>
      </c>
      <c r="S326" s="177">
        <v>2709.0</v>
      </c>
      <c r="T326" s="177">
        <v>15.0</v>
      </c>
      <c r="U326" s="177">
        <v>4.0</v>
      </c>
      <c r="V326" s="177">
        <v>19.0</v>
      </c>
      <c r="W326" s="177">
        <v>5.0</v>
      </c>
      <c r="X326" s="177">
        <v>113.0</v>
      </c>
      <c r="Y326" s="177">
        <v>38.8</v>
      </c>
      <c r="Z326" s="177">
        <v>80.0</v>
      </c>
      <c r="AA326" s="177">
        <v>7.2</v>
      </c>
      <c r="AB326" s="177">
        <v>5.71</v>
      </c>
      <c r="AC326" s="177">
        <v>13.5</v>
      </c>
      <c r="AD326" s="177">
        <v>193.5</v>
      </c>
      <c r="AE326" s="177">
        <v>68.5</v>
      </c>
      <c r="AF326" s="177">
        <v>46.0</v>
      </c>
      <c r="AG326" s="177">
        <v>366.0</v>
      </c>
      <c r="AH326" s="177">
        <v>10.87</v>
      </c>
      <c r="AI326" s="177">
        <v>5.54</v>
      </c>
      <c r="AJ326" s="177">
        <v>4.23</v>
      </c>
      <c r="AK326" s="177">
        <v>2.0</v>
      </c>
      <c r="AL326" s="177">
        <v>3.0</v>
      </c>
      <c r="AM326" s="177">
        <v>8.0</v>
      </c>
      <c r="AN326" s="183"/>
      <c r="AO326" s="33"/>
      <c r="AP326" s="33"/>
      <c r="AQ326" s="33"/>
      <c r="AR326" s="33"/>
      <c r="AS326" s="33"/>
    </row>
    <row r="327" hidden="1" outlineLevel="1">
      <c r="A327" s="184" t="s">
        <v>72</v>
      </c>
      <c r="B327" s="176">
        <v>1986.0</v>
      </c>
      <c r="C327" s="180">
        <f t="array" ref="C327">xlookup(B327,DATA_LEAGUE_AVG!A:A,DATA_LEAGUE_AVG!H:H)</f>
        <v>516.8</v>
      </c>
      <c r="D327" s="177" t="b">
        <f t="shared" si="1"/>
        <v>1</v>
      </c>
      <c r="E327" s="177">
        <v>30.0</v>
      </c>
      <c r="F327" s="181" t="s">
        <v>450</v>
      </c>
      <c r="G327" s="181" t="s">
        <v>369</v>
      </c>
      <c r="H327" s="181" t="s">
        <v>90</v>
      </c>
      <c r="I327" s="180">
        <f t="array" ref="I327">xlookup(B327,DATA_LEAGUE_AVG!A:A,DATA_LEAGUE_AVG!C:C)</f>
        <v>3288.6</v>
      </c>
      <c r="J327" s="180">
        <f t="array" ref="J327">xlookup(B327,DATA_LEAGUE_AVG!A:A,DATA_LEAGUE_AVG!D:D)</f>
        <v>20.9</v>
      </c>
      <c r="K327" s="177">
        <f t="shared" ref="K327:L327" si="304">S327/I327</f>
        <v>1.060937785</v>
      </c>
      <c r="L327" s="177">
        <f t="shared" si="304"/>
        <v>0.6220095694</v>
      </c>
      <c r="M327" s="177">
        <v>15.0</v>
      </c>
      <c r="N327" s="177">
        <v>15.0</v>
      </c>
      <c r="O327" s="182">
        <v>36656.0</v>
      </c>
      <c r="P327" s="177">
        <v>256.0</v>
      </c>
      <c r="Q327" s="177">
        <v>488.0</v>
      </c>
      <c r="R327" s="177">
        <v>52.5</v>
      </c>
      <c r="S327" s="177">
        <v>3489.0</v>
      </c>
      <c r="T327" s="177">
        <v>13.0</v>
      </c>
      <c r="U327" s="177">
        <v>2.7</v>
      </c>
      <c r="V327" s="177">
        <v>26.0</v>
      </c>
      <c r="W327" s="177">
        <v>5.3</v>
      </c>
      <c r="X327" s="177">
        <v>159.0</v>
      </c>
      <c r="Y327" s="177">
        <v>39.9</v>
      </c>
      <c r="Z327" s="177">
        <v>81.0</v>
      </c>
      <c r="AA327" s="177">
        <v>7.1</v>
      </c>
      <c r="AB327" s="177">
        <v>5.28</v>
      </c>
      <c r="AC327" s="177">
        <v>13.6</v>
      </c>
      <c r="AD327" s="177">
        <v>232.6</v>
      </c>
      <c r="AE327" s="177">
        <v>62.3</v>
      </c>
      <c r="AF327" s="177">
        <v>41.0</v>
      </c>
      <c r="AG327" s="177">
        <v>332.0</v>
      </c>
      <c r="AH327" s="177">
        <v>7.75</v>
      </c>
      <c r="AI327" s="177">
        <v>5.97</v>
      </c>
      <c r="AJ327" s="177">
        <v>4.25</v>
      </c>
      <c r="AK327" s="177">
        <v>0.0</v>
      </c>
      <c r="AL327" s="177">
        <v>0.0</v>
      </c>
      <c r="AM327" s="177">
        <v>9.0</v>
      </c>
      <c r="AN327" s="183"/>
      <c r="AO327" s="33"/>
      <c r="AP327" s="33"/>
      <c r="AQ327" s="33"/>
      <c r="AR327" s="33"/>
      <c r="AS327" s="33"/>
    </row>
    <row r="328" hidden="1" outlineLevel="1">
      <c r="A328" s="184" t="s">
        <v>72</v>
      </c>
      <c r="B328" s="176">
        <v>1987.0</v>
      </c>
      <c r="C328" s="180">
        <f t="array" ref="C328">xlookup(B328,DATA_LEAGUE_AVG!A:A,DATA_LEAGUE_AVG!H:H)</f>
        <v>481.8</v>
      </c>
      <c r="D328" s="177" t="b">
        <f t="shared" si="1"/>
        <v>1</v>
      </c>
      <c r="E328" s="177">
        <v>31.0</v>
      </c>
      <c r="F328" s="181" t="s">
        <v>450</v>
      </c>
      <c r="G328" s="181" t="s">
        <v>369</v>
      </c>
      <c r="H328" s="181" t="s">
        <v>90</v>
      </c>
      <c r="I328" s="180">
        <f t="array" ref="I328">xlookup(B328,DATA_LEAGUE_AVG!A:A,DATA_LEAGUE_AVG!C:C)</f>
        <v>3058.8</v>
      </c>
      <c r="J328" s="180">
        <f t="array" ref="J328">xlookup(B328,DATA_LEAGUE_AVG!A:A,DATA_LEAGUE_AVG!D:D)</f>
        <v>21.8</v>
      </c>
      <c r="K328" s="177">
        <f t="shared" ref="K328:L328" si="305">S328/I328</f>
        <v>0.9173532104</v>
      </c>
      <c r="L328" s="177">
        <f t="shared" si="305"/>
        <v>0.9633027523</v>
      </c>
      <c r="M328" s="177">
        <v>12.0</v>
      </c>
      <c r="N328" s="177">
        <v>12.0</v>
      </c>
      <c r="O328" s="182">
        <v>36712.0</v>
      </c>
      <c r="P328" s="177">
        <v>184.0</v>
      </c>
      <c r="Q328" s="177">
        <v>368.0</v>
      </c>
      <c r="R328" s="177">
        <v>50.0</v>
      </c>
      <c r="S328" s="177">
        <v>2806.0</v>
      </c>
      <c r="T328" s="177">
        <v>21.0</v>
      </c>
      <c r="U328" s="177">
        <v>5.7</v>
      </c>
      <c r="V328" s="177">
        <v>18.0</v>
      </c>
      <c r="W328" s="177">
        <v>4.9</v>
      </c>
      <c r="X328" s="177">
        <v>121.0</v>
      </c>
      <c r="Y328" s="177">
        <v>39.4</v>
      </c>
      <c r="Z328" s="177">
        <v>83.0</v>
      </c>
      <c r="AA328" s="177">
        <v>7.6</v>
      </c>
      <c r="AB328" s="177">
        <v>6.57</v>
      </c>
      <c r="AC328" s="177">
        <v>15.3</v>
      </c>
      <c r="AD328" s="177">
        <v>233.8</v>
      </c>
      <c r="AE328" s="177">
        <v>74.2</v>
      </c>
      <c r="AF328" s="177">
        <v>25.0</v>
      </c>
      <c r="AG328" s="177">
        <v>198.0</v>
      </c>
      <c r="AH328" s="177">
        <v>6.36</v>
      </c>
      <c r="AI328" s="177">
        <v>6.64</v>
      </c>
      <c r="AJ328" s="177">
        <v>5.64</v>
      </c>
      <c r="AK328" s="177">
        <v>3.0</v>
      </c>
      <c r="AL328" s="177">
        <v>3.0</v>
      </c>
      <c r="AM328" s="177">
        <v>10.0</v>
      </c>
      <c r="AN328" s="183"/>
      <c r="AO328" s="33"/>
      <c r="AP328" s="33"/>
      <c r="AQ328" s="33"/>
      <c r="AR328" s="33"/>
      <c r="AS328" s="33"/>
    </row>
    <row r="329" hidden="1" outlineLevel="1">
      <c r="A329" s="184" t="s">
        <v>72</v>
      </c>
      <c r="B329" s="176">
        <v>1988.0</v>
      </c>
      <c r="C329" s="180">
        <f t="array" ref="C329">xlookup(B329,DATA_LEAGUE_AVG!A:A,DATA_LEAGUE_AVG!H:H)</f>
        <v>504.7</v>
      </c>
      <c r="D329" s="177" t="b">
        <f t="shared" si="1"/>
        <v>1</v>
      </c>
      <c r="E329" s="177">
        <v>32.0</v>
      </c>
      <c r="F329" s="181" t="s">
        <v>450</v>
      </c>
      <c r="G329" s="181" t="s">
        <v>369</v>
      </c>
      <c r="H329" s="181" t="s">
        <v>90</v>
      </c>
      <c r="I329" s="180">
        <f t="array" ref="I329">xlookup(B329,DATA_LEAGUE_AVG!A:A,DATA_LEAGUE_AVG!C:C)</f>
        <v>3210.5</v>
      </c>
      <c r="J329" s="180">
        <f t="array" ref="J329">xlookup(B329,DATA_LEAGUE_AVG!A:A,DATA_LEAGUE_AVG!D:D)</f>
        <v>19.9</v>
      </c>
      <c r="K329" s="177">
        <f t="shared" ref="K329:L329" si="306">S329/I329</f>
        <v>0.7248092197</v>
      </c>
      <c r="L329" s="177">
        <f t="shared" si="306"/>
        <v>0.8542713568</v>
      </c>
      <c r="M329" s="177">
        <v>11.0</v>
      </c>
      <c r="N329" s="177">
        <v>11.0</v>
      </c>
      <c r="O329" s="182">
        <v>36711.0</v>
      </c>
      <c r="P329" s="177">
        <v>160.0</v>
      </c>
      <c r="Q329" s="177">
        <v>294.0</v>
      </c>
      <c r="R329" s="177">
        <v>54.4</v>
      </c>
      <c r="S329" s="177">
        <v>2327.0</v>
      </c>
      <c r="T329" s="177">
        <v>17.0</v>
      </c>
      <c r="U329" s="177">
        <v>5.8</v>
      </c>
      <c r="V329" s="177">
        <v>8.0</v>
      </c>
      <c r="W329" s="177">
        <v>2.7</v>
      </c>
      <c r="X329" s="177">
        <v>110.0</v>
      </c>
      <c r="Y329" s="177">
        <v>46.4</v>
      </c>
      <c r="Z329" s="177">
        <v>57.0</v>
      </c>
      <c r="AA329" s="177">
        <v>7.9</v>
      </c>
      <c r="AB329" s="177">
        <v>7.85</v>
      </c>
      <c r="AC329" s="177">
        <v>14.5</v>
      </c>
      <c r="AD329" s="177">
        <v>211.5</v>
      </c>
      <c r="AE329" s="177">
        <v>88.4</v>
      </c>
      <c r="AF329" s="177">
        <v>12.0</v>
      </c>
      <c r="AG329" s="177">
        <v>120.0</v>
      </c>
      <c r="AH329" s="177">
        <v>3.92</v>
      </c>
      <c r="AI329" s="177">
        <v>7.21</v>
      </c>
      <c r="AJ329" s="177">
        <v>7.15</v>
      </c>
      <c r="AK329" s="177">
        <v>1.0</v>
      </c>
      <c r="AL329" s="177">
        <v>1.0</v>
      </c>
      <c r="AM329" s="177">
        <v>11.0</v>
      </c>
      <c r="AN329" s="181" t="s">
        <v>451</v>
      </c>
      <c r="AO329" s="33"/>
      <c r="AP329" s="33"/>
      <c r="AQ329" s="33"/>
      <c r="AR329" s="33"/>
      <c r="AS329" s="33"/>
    </row>
    <row r="330" hidden="1" outlineLevel="1">
      <c r="A330" s="184" t="s">
        <v>72</v>
      </c>
      <c r="B330" s="176">
        <v>1989.0</v>
      </c>
      <c r="C330" s="180">
        <f t="array" ref="C330">xlookup(B330,DATA_LEAGUE_AVG!A:A,DATA_LEAGUE_AVG!H:H)</f>
        <v>512.1</v>
      </c>
      <c r="D330" s="177" t="b">
        <f t="shared" si="1"/>
        <v>1</v>
      </c>
      <c r="E330" s="177">
        <v>33.0</v>
      </c>
      <c r="F330" s="181" t="s">
        <v>450</v>
      </c>
      <c r="G330" s="181" t="s">
        <v>369</v>
      </c>
      <c r="H330" s="181" t="s">
        <v>90</v>
      </c>
      <c r="I330" s="180">
        <f t="array" ref="I330">xlookup(B330,DATA_LEAGUE_AVG!A:A,DATA_LEAGUE_AVG!C:C)</f>
        <v>3374.1</v>
      </c>
      <c r="J330" s="180">
        <f t="array" ref="J330">xlookup(B330,DATA_LEAGUE_AVG!A:A,DATA_LEAGUE_AVG!D:D)</f>
        <v>20.8</v>
      </c>
      <c r="K330" s="177">
        <f t="shared" ref="K330:L330" si="307">S330/I330</f>
        <v>1.076138822</v>
      </c>
      <c r="L330" s="177">
        <f t="shared" si="307"/>
        <v>1.105769231</v>
      </c>
      <c r="M330" s="177">
        <v>16.0</v>
      </c>
      <c r="N330" s="177">
        <v>16.0</v>
      </c>
      <c r="O330" s="182">
        <v>36776.0</v>
      </c>
      <c r="P330" s="177">
        <v>280.0</v>
      </c>
      <c r="Q330" s="177">
        <v>464.0</v>
      </c>
      <c r="R330" s="177">
        <v>60.3</v>
      </c>
      <c r="S330" s="177">
        <v>3631.0</v>
      </c>
      <c r="T330" s="177">
        <v>23.0</v>
      </c>
      <c r="U330" s="177">
        <v>5.0</v>
      </c>
      <c r="V330" s="177">
        <v>14.0</v>
      </c>
      <c r="W330" s="177">
        <v>3.0</v>
      </c>
      <c r="X330" s="177">
        <v>176.0</v>
      </c>
      <c r="Y330" s="177">
        <v>48.5</v>
      </c>
      <c r="Z330" s="177">
        <v>55.0</v>
      </c>
      <c r="AA330" s="177">
        <v>7.8</v>
      </c>
      <c r="AB330" s="177">
        <v>7.46</v>
      </c>
      <c r="AC330" s="177">
        <v>13.0</v>
      </c>
      <c r="AD330" s="177">
        <v>226.9</v>
      </c>
      <c r="AE330" s="177">
        <v>88.9</v>
      </c>
      <c r="AF330" s="177">
        <v>35.0</v>
      </c>
      <c r="AG330" s="177">
        <v>267.0</v>
      </c>
      <c r="AH330" s="177">
        <v>7.01</v>
      </c>
      <c r="AI330" s="177">
        <v>6.74</v>
      </c>
      <c r="AJ330" s="177">
        <v>6.4</v>
      </c>
      <c r="AK330" s="177">
        <v>2.0</v>
      </c>
      <c r="AL330" s="177">
        <v>3.0</v>
      </c>
      <c r="AM330" s="177">
        <v>13.0</v>
      </c>
      <c r="AN330" s="181" t="s">
        <v>380</v>
      </c>
      <c r="AO330" s="33"/>
      <c r="AP330" s="33"/>
      <c r="AQ330" s="33"/>
      <c r="AR330" s="33"/>
      <c r="AS330" s="33"/>
    </row>
    <row r="331" hidden="1" outlineLevel="1">
      <c r="A331" s="184" t="s">
        <v>72</v>
      </c>
      <c r="B331" s="176">
        <v>1990.0</v>
      </c>
      <c r="C331" s="180">
        <f t="array" ref="C331">xlookup(B331,DATA_LEAGUE_AVG!A:A,DATA_LEAGUE_AVG!H:H)</f>
        <v>482.7</v>
      </c>
      <c r="D331" s="177" t="b">
        <f t="shared" si="1"/>
        <v>1</v>
      </c>
      <c r="E331" s="177">
        <v>34.0</v>
      </c>
      <c r="F331" s="181" t="s">
        <v>450</v>
      </c>
      <c r="G331" s="181" t="s">
        <v>369</v>
      </c>
      <c r="H331" s="181" t="s">
        <v>90</v>
      </c>
      <c r="I331" s="180">
        <f t="array" ref="I331">xlookup(B331,DATA_LEAGUE_AVG!A:A,DATA_LEAGUE_AVG!C:C)</f>
        <v>3116</v>
      </c>
      <c r="J331" s="180">
        <f t="array" ref="J331">xlookup(B331,DATA_LEAGUE_AVG!A:A,DATA_LEAGUE_AVG!D:D)</f>
        <v>20.5</v>
      </c>
      <c r="K331" s="177">
        <f t="shared" ref="K331:L331" si="308">S331/I331</f>
        <v>1.504813864</v>
      </c>
      <c r="L331" s="177">
        <f t="shared" si="308"/>
        <v>1.609756098</v>
      </c>
      <c r="M331" s="177">
        <v>15.0</v>
      </c>
      <c r="N331" s="177">
        <v>15.0</v>
      </c>
      <c r="O331" s="182">
        <v>36745.0</v>
      </c>
      <c r="P331" s="177">
        <v>362.0</v>
      </c>
      <c r="Q331" s="177">
        <v>584.0</v>
      </c>
      <c r="R331" s="177">
        <v>62.0</v>
      </c>
      <c r="S331" s="177">
        <v>4689.0</v>
      </c>
      <c r="T331" s="177">
        <v>33.0</v>
      </c>
      <c r="U331" s="177">
        <v>5.7</v>
      </c>
      <c r="V331" s="177">
        <v>13.0</v>
      </c>
      <c r="W331" s="177">
        <v>2.2</v>
      </c>
      <c r="X331" s="177">
        <v>232.0</v>
      </c>
      <c r="Y331" s="177">
        <v>51.3</v>
      </c>
      <c r="Z331" s="177">
        <v>87.0</v>
      </c>
      <c r="AA331" s="177">
        <v>8.0</v>
      </c>
      <c r="AB331" s="177">
        <v>8.16</v>
      </c>
      <c r="AC331" s="177">
        <v>13.0</v>
      </c>
      <c r="AD331" s="177">
        <v>312.6</v>
      </c>
      <c r="AE331" s="177">
        <v>96.8</v>
      </c>
      <c r="AF331" s="177">
        <v>36.0</v>
      </c>
      <c r="AG331" s="177">
        <v>252.0</v>
      </c>
      <c r="AH331" s="177">
        <v>5.81</v>
      </c>
      <c r="AI331" s="177">
        <v>7.16</v>
      </c>
      <c r="AJ331" s="177">
        <v>7.28</v>
      </c>
      <c r="AK331" s="177">
        <v>1.0</v>
      </c>
      <c r="AL331" s="177">
        <v>1.0</v>
      </c>
      <c r="AM331" s="177">
        <v>18.0</v>
      </c>
      <c r="AN331" s="181" t="s">
        <v>452</v>
      </c>
      <c r="AO331" s="33"/>
      <c r="AP331" s="33"/>
      <c r="AQ331" s="33"/>
      <c r="AR331" s="33"/>
      <c r="AS331" s="33"/>
    </row>
    <row r="332" hidden="1" outlineLevel="1">
      <c r="A332" s="184" t="s">
        <v>72</v>
      </c>
      <c r="B332" s="176">
        <v>1991.0</v>
      </c>
      <c r="C332" s="180">
        <f t="array" ref="C332">xlookup(B332,DATA_LEAGUE_AVG!A:A,DATA_LEAGUE_AVG!H:H)</f>
        <v>498.2</v>
      </c>
      <c r="D332" s="177" t="b">
        <f t="shared" si="1"/>
        <v>1</v>
      </c>
      <c r="E332" s="177">
        <v>35.0</v>
      </c>
      <c r="F332" s="181" t="s">
        <v>450</v>
      </c>
      <c r="G332" s="181" t="s">
        <v>369</v>
      </c>
      <c r="H332" s="181" t="s">
        <v>90</v>
      </c>
      <c r="I332" s="180">
        <f t="array" ref="I332">xlookup(B332,DATA_LEAGUE_AVG!A:A,DATA_LEAGUE_AVG!C:C)</f>
        <v>3185.8</v>
      </c>
      <c r="J332" s="180">
        <f t="array" ref="J332">xlookup(B332,DATA_LEAGUE_AVG!A:A,DATA_LEAGUE_AVG!D:D)</f>
        <v>18.3</v>
      </c>
      <c r="K332" s="177">
        <f t="shared" ref="K332:L332" si="309">S332/I332</f>
        <v>1.4721577</v>
      </c>
      <c r="L332" s="177">
        <f t="shared" si="309"/>
        <v>1.256830601</v>
      </c>
      <c r="M332" s="177">
        <v>16.0</v>
      </c>
      <c r="N332" s="177">
        <v>16.0</v>
      </c>
      <c r="O332" s="182">
        <v>36835.0</v>
      </c>
      <c r="P332" s="177">
        <v>404.0</v>
      </c>
      <c r="Q332" s="177">
        <v>655.0</v>
      </c>
      <c r="R332" s="177">
        <v>61.7</v>
      </c>
      <c r="S332" s="177">
        <v>4690.0</v>
      </c>
      <c r="T332" s="177">
        <v>23.0</v>
      </c>
      <c r="U332" s="177">
        <v>3.5</v>
      </c>
      <c r="V332" s="177">
        <v>21.0</v>
      </c>
      <c r="W332" s="177">
        <v>3.2</v>
      </c>
      <c r="X332" s="177">
        <v>230.0</v>
      </c>
      <c r="Y332" s="177">
        <v>51.5</v>
      </c>
      <c r="Z332" s="177">
        <v>61.0</v>
      </c>
      <c r="AA332" s="177">
        <v>7.2</v>
      </c>
      <c r="AB332" s="177">
        <v>6.42</v>
      </c>
      <c r="AC332" s="177">
        <v>11.6</v>
      </c>
      <c r="AD332" s="177">
        <v>293.1</v>
      </c>
      <c r="AE332" s="177">
        <v>81.7</v>
      </c>
      <c r="AF332" s="177">
        <v>23.0</v>
      </c>
      <c r="AG332" s="177">
        <v>174.0</v>
      </c>
      <c r="AH332" s="177">
        <v>3.39</v>
      </c>
      <c r="AI332" s="177">
        <v>6.66</v>
      </c>
      <c r="AJ332" s="177">
        <v>5.95</v>
      </c>
      <c r="AK332" s="177">
        <v>4.0</v>
      </c>
      <c r="AL332" s="177">
        <v>5.0</v>
      </c>
      <c r="AM332" s="177">
        <v>15.0</v>
      </c>
      <c r="AN332" s="181" t="s">
        <v>380</v>
      </c>
      <c r="AO332" s="33"/>
      <c r="AP332" s="33"/>
      <c r="AQ332" s="33"/>
      <c r="AR332" s="33"/>
      <c r="AS332" s="33"/>
    </row>
    <row r="333" hidden="1" outlineLevel="1">
      <c r="A333" s="184" t="s">
        <v>72</v>
      </c>
      <c r="B333" s="176">
        <v>1992.0</v>
      </c>
      <c r="C333" s="180">
        <f t="array" ref="C333">xlookup(B333,DATA_LEAGUE_AVG!A:A,DATA_LEAGUE_AVG!H:H)</f>
        <v>478.9</v>
      </c>
      <c r="D333" s="177" t="b">
        <f t="shared" si="1"/>
        <v>1</v>
      </c>
      <c r="E333" s="177">
        <v>36.0</v>
      </c>
      <c r="F333" s="181" t="s">
        <v>450</v>
      </c>
      <c r="G333" s="181" t="s">
        <v>369</v>
      </c>
      <c r="H333" s="181" t="s">
        <v>90</v>
      </c>
      <c r="I333" s="180">
        <f t="array" ref="I333">xlookup(B333,DATA_LEAGUE_AVG!A:A,DATA_LEAGUE_AVG!C:C)</f>
        <v>3002.3</v>
      </c>
      <c r="J333" s="180">
        <f t="array" ref="J333">xlookup(B333,DATA_LEAGUE_AVG!A:A,DATA_LEAGUE_AVG!D:D)</f>
        <v>18.4</v>
      </c>
      <c r="K333" s="177">
        <f t="shared" ref="K333:L333" si="310">S333/I333</f>
        <v>0.8396895713</v>
      </c>
      <c r="L333" s="177">
        <f t="shared" si="310"/>
        <v>0.9782608696</v>
      </c>
      <c r="M333" s="177">
        <v>11.0</v>
      </c>
      <c r="N333" s="177">
        <v>10.0</v>
      </c>
      <c r="O333" s="182">
        <v>36681.0</v>
      </c>
      <c r="P333" s="177">
        <v>224.0</v>
      </c>
      <c r="Q333" s="177">
        <v>346.0</v>
      </c>
      <c r="R333" s="177">
        <v>64.7</v>
      </c>
      <c r="S333" s="177">
        <v>2521.0</v>
      </c>
      <c r="T333" s="177">
        <v>18.0</v>
      </c>
      <c r="U333" s="177">
        <v>5.2</v>
      </c>
      <c r="V333" s="177">
        <v>12.0</v>
      </c>
      <c r="W333" s="177">
        <v>3.5</v>
      </c>
      <c r="X333" s="177">
        <v>132.0</v>
      </c>
      <c r="Y333" s="177">
        <v>51.9</v>
      </c>
      <c r="Z333" s="177">
        <v>72.0</v>
      </c>
      <c r="AA333" s="177">
        <v>7.3</v>
      </c>
      <c r="AB333" s="177">
        <v>6.77</v>
      </c>
      <c r="AC333" s="177">
        <v>11.3</v>
      </c>
      <c r="AD333" s="177">
        <v>229.2</v>
      </c>
      <c r="AE333" s="177">
        <v>89.3</v>
      </c>
      <c r="AF333" s="177">
        <v>16.0</v>
      </c>
      <c r="AG333" s="177">
        <v>105.0</v>
      </c>
      <c r="AH333" s="177">
        <v>4.42</v>
      </c>
      <c r="AI333" s="177">
        <v>6.67</v>
      </c>
      <c r="AJ333" s="177">
        <v>6.18</v>
      </c>
      <c r="AK333" s="177">
        <v>2.0</v>
      </c>
      <c r="AL333" s="177">
        <v>2.0</v>
      </c>
      <c r="AM333" s="177">
        <v>11.0</v>
      </c>
      <c r="AN333" s="181" t="s">
        <v>380</v>
      </c>
      <c r="AO333" s="33"/>
      <c r="AP333" s="33"/>
      <c r="AQ333" s="33"/>
      <c r="AR333" s="33"/>
      <c r="AS333" s="33"/>
    </row>
    <row r="334" hidden="1" outlineLevel="1">
      <c r="A334" s="184" t="s">
        <v>72</v>
      </c>
      <c r="B334" s="176">
        <v>1993.0</v>
      </c>
      <c r="C334" s="180">
        <f t="array" ref="C334">xlookup(B334,DATA_LEAGUE_AVG!A:A,DATA_LEAGUE_AVG!H:H)</f>
        <v>514.8</v>
      </c>
      <c r="D334" s="177" t="b">
        <f t="shared" si="1"/>
        <v>1</v>
      </c>
      <c r="E334" s="177">
        <v>37.0</v>
      </c>
      <c r="F334" s="181" t="s">
        <v>450</v>
      </c>
      <c r="G334" s="181" t="s">
        <v>369</v>
      </c>
      <c r="H334" s="181" t="s">
        <v>90</v>
      </c>
      <c r="I334" s="180">
        <f t="array" ref="I334">xlookup(B334,DATA_LEAGUE_AVG!A:A,DATA_LEAGUE_AVG!C:C)</f>
        <v>3209.8</v>
      </c>
      <c r="J334" s="180">
        <f t="array" ref="J334">xlookup(B334,DATA_LEAGUE_AVG!A:A,DATA_LEAGUE_AVG!D:D)</f>
        <v>18.5</v>
      </c>
      <c r="K334" s="177">
        <f t="shared" ref="K334:L334" si="311">S334/I334</f>
        <v>1.085737429</v>
      </c>
      <c r="L334" s="177">
        <f t="shared" si="311"/>
        <v>1.135135135</v>
      </c>
      <c r="M334" s="177">
        <v>15.0</v>
      </c>
      <c r="N334" s="177">
        <v>14.0</v>
      </c>
      <c r="O334" s="182">
        <v>36803.0</v>
      </c>
      <c r="P334" s="177">
        <v>303.0</v>
      </c>
      <c r="Q334" s="177">
        <v>520.0</v>
      </c>
      <c r="R334" s="177">
        <v>58.3</v>
      </c>
      <c r="S334" s="177">
        <v>3485.0</v>
      </c>
      <c r="T334" s="177">
        <v>21.0</v>
      </c>
      <c r="U334" s="177">
        <v>4.0</v>
      </c>
      <c r="V334" s="177">
        <v>21.0</v>
      </c>
      <c r="W334" s="177">
        <v>4.0</v>
      </c>
      <c r="X334" s="177">
        <v>178.0</v>
      </c>
      <c r="Y334" s="177">
        <v>48.2</v>
      </c>
      <c r="Z334" s="177">
        <v>80.0</v>
      </c>
      <c r="AA334" s="177">
        <v>6.7</v>
      </c>
      <c r="AB334" s="177">
        <v>5.69</v>
      </c>
      <c r="AC334" s="177">
        <v>11.5</v>
      </c>
      <c r="AD334" s="177">
        <v>232.3</v>
      </c>
      <c r="AE334" s="177">
        <v>75.2</v>
      </c>
      <c r="AF334" s="177">
        <v>34.0</v>
      </c>
      <c r="AG334" s="177">
        <v>218.0</v>
      </c>
      <c r="AH334" s="177">
        <v>6.14</v>
      </c>
      <c r="AI334" s="177">
        <v>5.9</v>
      </c>
      <c r="AJ334" s="177">
        <v>4.95</v>
      </c>
      <c r="AK334" s="177">
        <v>1.0</v>
      </c>
      <c r="AL334" s="177">
        <v>1.0</v>
      </c>
      <c r="AM334" s="177">
        <v>12.0</v>
      </c>
      <c r="AN334" s="181" t="s">
        <v>453</v>
      </c>
      <c r="AO334" s="33"/>
      <c r="AP334" s="33"/>
      <c r="AQ334" s="33"/>
      <c r="AR334" s="33"/>
      <c r="AS334" s="33"/>
    </row>
    <row r="335" hidden="1" outlineLevel="1">
      <c r="A335" s="184" t="s">
        <v>72</v>
      </c>
      <c r="B335" s="176">
        <v>1994.0</v>
      </c>
      <c r="C335" s="180">
        <f t="array" ref="C335">xlookup(B335,DATA_LEAGUE_AVG!A:A,DATA_LEAGUE_AVG!H:H)</f>
        <v>537.7</v>
      </c>
      <c r="D335" s="177" t="b">
        <f t="shared" si="1"/>
        <v>1</v>
      </c>
      <c r="E335" s="177">
        <v>38.0</v>
      </c>
      <c r="F335" s="181" t="s">
        <v>309</v>
      </c>
      <c r="G335" s="181" t="s">
        <v>369</v>
      </c>
      <c r="H335" s="181" t="s">
        <v>90</v>
      </c>
      <c r="I335" s="180">
        <f t="array" ref="I335">xlookup(B335,DATA_LEAGUE_AVG!A:A,DATA_LEAGUE_AVG!C:C)</f>
        <v>3417.6</v>
      </c>
      <c r="J335" s="180">
        <f t="array" ref="J335">xlookup(B335,DATA_LEAGUE_AVG!A:A,DATA_LEAGUE_AVG!D:D)</f>
        <v>20.8</v>
      </c>
      <c r="K335" s="177">
        <f t="shared" ref="K335:L335" si="312">S335/I335</f>
        <v>1.247659176</v>
      </c>
      <c r="L335" s="177">
        <f t="shared" si="312"/>
        <v>0.8653846154</v>
      </c>
      <c r="M335" s="177">
        <v>15.0</v>
      </c>
      <c r="N335" s="177">
        <v>15.0</v>
      </c>
      <c r="O335" s="182">
        <v>36775.0</v>
      </c>
      <c r="P335" s="177">
        <v>371.0</v>
      </c>
      <c r="Q335" s="177">
        <v>601.0</v>
      </c>
      <c r="R335" s="177">
        <v>61.7</v>
      </c>
      <c r="S335" s="177">
        <v>4264.0</v>
      </c>
      <c r="T335" s="177">
        <v>18.0</v>
      </c>
      <c r="U335" s="177">
        <v>3.0</v>
      </c>
      <c r="V335" s="177">
        <v>19.0</v>
      </c>
      <c r="W335" s="177">
        <v>3.2</v>
      </c>
      <c r="X335" s="177">
        <v>201.0</v>
      </c>
      <c r="Y335" s="177">
        <v>48.1</v>
      </c>
      <c r="Z335" s="177">
        <v>65.0</v>
      </c>
      <c r="AA335" s="177">
        <v>7.1</v>
      </c>
      <c r="AB335" s="177">
        <v>6.27</v>
      </c>
      <c r="AC335" s="177">
        <v>11.5</v>
      </c>
      <c r="AD335" s="177">
        <v>284.3</v>
      </c>
      <c r="AE335" s="177">
        <v>79.9</v>
      </c>
      <c r="AF335" s="177">
        <v>29.0</v>
      </c>
      <c r="AG335" s="177">
        <v>235.0</v>
      </c>
      <c r="AH335" s="177">
        <v>4.6</v>
      </c>
      <c r="AI335" s="177">
        <v>6.4</v>
      </c>
      <c r="AJ335" s="177">
        <v>5.61</v>
      </c>
      <c r="AK335" s="177">
        <v>4.0</v>
      </c>
      <c r="AL335" s="177">
        <v>5.0</v>
      </c>
      <c r="AM335" s="177">
        <v>11.0</v>
      </c>
      <c r="AN335" s="181" t="s">
        <v>380</v>
      </c>
      <c r="AO335" s="33"/>
      <c r="AP335" s="33"/>
      <c r="AQ335" s="33"/>
      <c r="AR335" s="33"/>
      <c r="AS335" s="33"/>
    </row>
    <row r="336" hidden="1" outlineLevel="1">
      <c r="A336" s="184" t="s">
        <v>72</v>
      </c>
      <c r="B336" s="176">
        <v>1995.0</v>
      </c>
      <c r="C336" s="180">
        <f t="array" ref="C336">xlookup(B336,DATA_LEAGUE_AVG!A:A,DATA_LEAGUE_AVG!H:H)</f>
        <v>556.6</v>
      </c>
      <c r="D336" s="177" t="b">
        <f t="shared" si="1"/>
        <v>1</v>
      </c>
      <c r="E336" s="177">
        <v>39.0</v>
      </c>
      <c r="F336" s="181" t="s">
        <v>309</v>
      </c>
      <c r="G336" s="181" t="s">
        <v>369</v>
      </c>
      <c r="H336" s="181" t="s">
        <v>90</v>
      </c>
      <c r="I336" s="180">
        <f t="array" ref="I336">xlookup(B336,DATA_LEAGUE_AVG!A:A,DATA_LEAGUE_AVG!C:C)</f>
        <v>3532.5</v>
      </c>
      <c r="J336" s="180">
        <f t="array" ref="J336">xlookup(B336,DATA_LEAGUE_AVG!A:A,DATA_LEAGUE_AVG!D:D)</f>
        <v>22.1</v>
      </c>
      <c r="K336" s="177">
        <f t="shared" ref="K336:L336" si="313">S336/I336</f>
        <v>1.196886058</v>
      </c>
      <c r="L336" s="177">
        <f t="shared" si="313"/>
        <v>1.49321267</v>
      </c>
      <c r="M336" s="177">
        <v>16.0</v>
      </c>
      <c r="N336" s="177">
        <v>16.0</v>
      </c>
      <c r="O336" s="182">
        <v>36746.0</v>
      </c>
      <c r="P336" s="177">
        <v>377.0</v>
      </c>
      <c r="Q336" s="177">
        <v>606.0</v>
      </c>
      <c r="R336" s="177">
        <v>62.2</v>
      </c>
      <c r="S336" s="177">
        <v>4228.0</v>
      </c>
      <c r="T336" s="177">
        <v>33.0</v>
      </c>
      <c r="U336" s="177">
        <v>5.4</v>
      </c>
      <c r="V336" s="177">
        <v>14.0</v>
      </c>
      <c r="W336" s="177">
        <v>2.3</v>
      </c>
      <c r="X336" s="177">
        <v>213.0</v>
      </c>
      <c r="Y336" s="177">
        <v>48.1</v>
      </c>
      <c r="Z336" s="177">
        <v>85.0</v>
      </c>
      <c r="AA336" s="177">
        <v>7.0</v>
      </c>
      <c r="AB336" s="177">
        <v>7.03</v>
      </c>
      <c r="AC336" s="177">
        <v>11.2</v>
      </c>
      <c r="AD336" s="177">
        <v>264.3</v>
      </c>
      <c r="AE336" s="177">
        <v>91.5</v>
      </c>
      <c r="AF336" s="177">
        <v>38.0</v>
      </c>
      <c r="AG336" s="177">
        <v>277.0</v>
      </c>
      <c r="AH336" s="177">
        <v>5.9</v>
      </c>
      <c r="AI336" s="177">
        <v>6.14</v>
      </c>
      <c r="AJ336" s="177">
        <v>6.18</v>
      </c>
      <c r="AK336" s="177">
        <v>0.0</v>
      </c>
      <c r="AL336" s="177">
        <v>3.0</v>
      </c>
      <c r="AM336" s="177">
        <v>13.0</v>
      </c>
      <c r="AN336" s="181" t="s">
        <v>380</v>
      </c>
      <c r="AO336" s="33"/>
      <c r="AP336" s="33"/>
      <c r="AQ336" s="33"/>
      <c r="AR336" s="33"/>
      <c r="AS336" s="33"/>
    </row>
    <row r="337" hidden="1" outlineLevel="1">
      <c r="A337" s="184" t="s">
        <v>72</v>
      </c>
      <c r="B337" s="176">
        <v>1997.0</v>
      </c>
      <c r="C337" s="180">
        <f t="array" ref="C337">xlookup(B337,DATA_LEAGUE_AVG!A:A,DATA_LEAGUE_AVG!H:H)</f>
        <v>524.3</v>
      </c>
      <c r="D337" s="177" t="b">
        <f t="shared" si="1"/>
        <v>1</v>
      </c>
      <c r="E337" s="177">
        <v>41.0</v>
      </c>
      <c r="F337" s="181" t="s">
        <v>454</v>
      </c>
      <c r="G337" s="181" t="s">
        <v>369</v>
      </c>
      <c r="H337" s="181" t="s">
        <v>90</v>
      </c>
      <c r="I337" s="180">
        <f t="array" ref="I337">xlookup(B337,DATA_LEAGUE_AVG!A:A,DATA_LEAGUE_AVG!C:C)</f>
        <v>3229.2</v>
      </c>
      <c r="J337" s="180">
        <f t="array" ref="J337">xlookup(B337,DATA_LEAGUE_AVG!A:A,DATA_LEAGUE_AVG!D:D)</f>
        <v>20.6</v>
      </c>
      <c r="K337" s="177">
        <f t="shared" ref="K337:L337" si="314">S337/I337</f>
        <v>1.138981791</v>
      </c>
      <c r="L337" s="177">
        <f t="shared" si="314"/>
        <v>1.213592233</v>
      </c>
      <c r="M337" s="177">
        <v>15.0</v>
      </c>
      <c r="N337" s="177">
        <v>14.0</v>
      </c>
      <c r="O337" s="182">
        <v>36714.0</v>
      </c>
      <c r="P337" s="177">
        <v>313.0</v>
      </c>
      <c r="Q337" s="177">
        <v>528.0</v>
      </c>
      <c r="R337" s="177">
        <v>59.3</v>
      </c>
      <c r="S337" s="177">
        <v>3678.0</v>
      </c>
      <c r="T337" s="177">
        <v>25.0</v>
      </c>
      <c r="U337" s="177">
        <v>4.7</v>
      </c>
      <c r="V337" s="177">
        <v>16.0</v>
      </c>
      <c r="W337" s="177">
        <v>3.0</v>
      </c>
      <c r="X337" s="177">
        <v>179.0</v>
      </c>
      <c r="Y337" s="177">
        <v>44.8</v>
      </c>
      <c r="Z337" s="177">
        <v>60.0</v>
      </c>
      <c r="AA337" s="177">
        <v>7.0</v>
      </c>
      <c r="AB337" s="177">
        <v>6.55</v>
      </c>
      <c r="AC337" s="177">
        <v>11.8</v>
      </c>
      <c r="AD337" s="177">
        <v>245.2</v>
      </c>
      <c r="AE337" s="177">
        <v>83.7</v>
      </c>
      <c r="AF337" s="177">
        <v>30.0</v>
      </c>
      <c r="AG337" s="177">
        <v>192.0</v>
      </c>
      <c r="AH337" s="177">
        <v>5.38</v>
      </c>
      <c r="AI337" s="177">
        <v>6.25</v>
      </c>
      <c r="AJ337" s="177">
        <v>5.85</v>
      </c>
      <c r="AK337" s="177">
        <v>3.0</v>
      </c>
      <c r="AL337" s="177">
        <v>4.0</v>
      </c>
      <c r="AM337" s="177">
        <v>12.0</v>
      </c>
      <c r="AN337" s="181" t="s">
        <v>380</v>
      </c>
      <c r="AO337" s="33"/>
      <c r="AP337" s="33"/>
      <c r="AQ337" s="33"/>
      <c r="AR337" s="33"/>
      <c r="AS337" s="33"/>
    </row>
    <row r="338" collapsed="1">
      <c r="A338" s="184" t="s">
        <v>73</v>
      </c>
      <c r="B338" s="176" t="s">
        <v>348</v>
      </c>
      <c r="C338" s="177" t="str">
        <f t="array" ref="C338">xlookup(B338,DATA_LEAGUE_AVG!A:A,DATA_LEAGUE_AVG!H:H)</f>
        <v>#N/A</v>
      </c>
      <c r="D338" s="177" t="str">
        <f t="shared" si="1"/>
        <v>#N/A</v>
      </c>
      <c r="E338" s="176" t="s">
        <v>351</v>
      </c>
      <c r="F338" s="176" t="s">
        <v>352</v>
      </c>
      <c r="G338" s="176" t="s">
        <v>353</v>
      </c>
      <c r="H338" s="176" t="s">
        <v>354</v>
      </c>
      <c r="I338" s="185" t="s">
        <v>355</v>
      </c>
      <c r="J338" s="185" t="s">
        <v>356</v>
      </c>
      <c r="K338" s="185" t="s">
        <v>272</v>
      </c>
      <c r="L338" s="185" t="s">
        <v>357</v>
      </c>
      <c r="M338" s="176" t="s">
        <v>358</v>
      </c>
      <c r="N338" s="176" t="s">
        <v>359</v>
      </c>
      <c r="O338" s="176" t="s">
        <v>360</v>
      </c>
      <c r="P338" s="176" t="s">
        <v>330</v>
      </c>
      <c r="Q338" s="176" t="s">
        <v>331</v>
      </c>
      <c r="R338" s="176" t="s">
        <v>332</v>
      </c>
      <c r="S338" s="176" t="s">
        <v>326</v>
      </c>
      <c r="T338" s="176" t="s">
        <v>327</v>
      </c>
      <c r="U338" s="176" t="s">
        <v>335</v>
      </c>
      <c r="V338" s="176" t="s">
        <v>336</v>
      </c>
      <c r="W338" s="176" t="s">
        <v>337</v>
      </c>
      <c r="X338" s="176" t="s">
        <v>361</v>
      </c>
      <c r="Y338" s="176" t="s">
        <v>362</v>
      </c>
      <c r="Z338" s="176" t="s">
        <v>363</v>
      </c>
      <c r="AA338" s="176" t="s">
        <v>338</v>
      </c>
      <c r="AB338" s="176" t="s">
        <v>339</v>
      </c>
      <c r="AC338" s="176" t="s">
        <v>340</v>
      </c>
      <c r="AD338" s="176" t="s">
        <v>341</v>
      </c>
      <c r="AE338" s="176" t="s">
        <v>342</v>
      </c>
      <c r="AF338" s="176" t="s">
        <v>343</v>
      </c>
      <c r="AG338" s="176" t="s">
        <v>326</v>
      </c>
      <c r="AH338" s="176" t="s">
        <v>345</v>
      </c>
      <c r="AI338" s="176" t="s">
        <v>346</v>
      </c>
      <c r="AJ338" s="176" t="s">
        <v>347</v>
      </c>
      <c r="AK338" s="176" t="s">
        <v>364</v>
      </c>
      <c r="AL338" s="176" t="s">
        <v>365</v>
      </c>
      <c r="AM338" s="176" t="s">
        <v>366</v>
      </c>
      <c r="AN338" s="176" t="s">
        <v>367</v>
      </c>
      <c r="AO338" s="33"/>
      <c r="AP338" s="33"/>
      <c r="AQ338" s="33"/>
      <c r="AR338" s="33"/>
      <c r="AS338" s="33"/>
    </row>
    <row r="339" hidden="1" outlineLevel="1">
      <c r="A339" s="184" t="s">
        <v>73</v>
      </c>
      <c r="B339" s="176">
        <v>1986.0</v>
      </c>
      <c r="C339" s="180">
        <f t="array" ref="C339">xlookup(B339,DATA_LEAGUE_AVG!A:A,DATA_LEAGUE_AVG!H:H)</f>
        <v>516.8</v>
      </c>
      <c r="D339" s="177" t="b">
        <f t="shared" si="1"/>
        <v>1</v>
      </c>
      <c r="E339" s="177">
        <v>26.0</v>
      </c>
      <c r="F339" s="181" t="s">
        <v>135</v>
      </c>
      <c r="G339" s="181" t="s">
        <v>369</v>
      </c>
      <c r="H339" s="181" t="s">
        <v>90</v>
      </c>
      <c r="I339" s="180">
        <f t="array" ref="I339">xlookup(B339,DATA_LEAGUE_AVG!A:A,DATA_LEAGUE_AVG!C:C)</f>
        <v>3288.6</v>
      </c>
      <c r="J339" s="180">
        <f t="array" ref="J339">xlookup(B339,DATA_LEAGUE_AVG!A:A,DATA_LEAGUE_AVG!D:D)</f>
        <v>20.9</v>
      </c>
      <c r="K339" s="177">
        <f t="shared" ref="K339:L339" si="315">S339/I339</f>
        <v>1.092562185</v>
      </c>
      <c r="L339" s="177">
        <f t="shared" si="315"/>
        <v>1.052631579</v>
      </c>
      <c r="M339" s="177">
        <v>16.0</v>
      </c>
      <c r="N339" s="177">
        <v>16.0</v>
      </c>
      <c r="O339" s="182">
        <v>36628.0</v>
      </c>
      <c r="P339" s="177">
        <v>285.0</v>
      </c>
      <c r="Q339" s="177">
        <v>480.0</v>
      </c>
      <c r="R339" s="177">
        <v>59.4</v>
      </c>
      <c r="S339" s="177">
        <v>3593.0</v>
      </c>
      <c r="T339" s="177">
        <v>22.0</v>
      </c>
      <c r="U339" s="177">
        <v>4.6</v>
      </c>
      <c r="V339" s="177">
        <v>17.0</v>
      </c>
      <c r="W339" s="177">
        <v>3.5</v>
      </c>
      <c r="X339" s="177">
        <v>152.0</v>
      </c>
      <c r="Y339" s="177">
        <v>43.8</v>
      </c>
      <c r="Z339" s="177">
        <v>84.0</v>
      </c>
      <c r="AA339" s="177">
        <v>7.5</v>
      </c>
      <c r="AB339" s="177">
        <v>6.81</v>
      </c>
      <c r="AC339" s="177">
        <v>12.6</v>
      </c>
      <c r="AD339" s="177">
        <v>224.6</v>
      </c>
      <c r="AE339" s="177">
        <v>83.3</v>
      </c>
      <c r="AF339" s="177">
        <v>43.0</v>
      </c>
      <c r="AG339" s="177">
        <v>330.0</v>
      </c>
      <c r="AH339" s="177">
        <v>8.22</v>
      </c>
      <c r="AI339" s="177">
        <v>6.24</v>
      </c>
      <c r="AJ339" s="177">
        <v>5.62</v>
      </c>
      <c r="AK339" s="177">
        <v>0.0</v>
      </c>
      <c r="AL339" s="177">
        <v>0.0</v>
      </c>
      <c r="AM339" s="177">
        <v>12.0</v>
      </c>
      <c r="AN339" s="183"/>
      <c r="AO339" s="33"/>
      <c r="AP339" s="33"/>
      <c r="AQ339" s="33"/>
      <c r="AR339" s="33"/>
      <c r="AS339" s="33"/>
    </row>
    <row r="340" hidden="1" outlineLevel="1">
      <c r="A340" s="184" t="s">
        <v>73</v>
      </c>
      <c r="B340" s="176">
        <v>1987.0</v>
      </c>
      <c r="C340" s="180">
        <f t="array" ref="C340">xlookup(B340,DATA_LEAGUE_AVG!A:A,DATA_LEAGUE_AVG!H:H)</f>
        <v>481.8</v>
      </c>
      <c r="D340" s="177" t="b">
        <f t="shared" si="1"/>
        <v>1</v>
      </c>
      <c r="E340" s="177">
        <v>27.0</v>
      </c>
      <c r="F340" s="181" t="s">
        <v>135</v>
      </c>
      <c r="G340" s="181" t="s">
        <v>369</v>
      </c>
      <c r="H340" s="181" t="s">
        <v>90</v>
      </c>
      <c r="I340" s="180">
        <f t="array" ref="I340">xlookup(B340,DATA_LEAGUE_AVG!A:A,DATA_LEAGUE_AVG!C:C)</f>
        <v>3058.8</v>
      </c>
      <c r="J340" s="180">
        <f t="array" ref="J340">xlookup(B340,DATA_LEAGUE_AVG!A:A,DATA_LEAGUE_AVG!D:D)</f>
        <v>21.8</v>
      </c>
      <c r="K340" s="177">
        <f t="shared" ref="K340:L340" si="316">S340/I340</f>
        <v>0.9147378057</v>
      </c>
      <c r="L340" s="177">
        <f t="shared" si="316"/>
        <v>0.871559633</v>
      </c>
      <c r="M340" s="177">
        <v>12.0</v>
      </c>
      <c r="N340" s="177">
        <v>12.0</v>
      </c>
      <c r="O340" s="182">
        <v>36683.0</v>
      </c>
      <c r="P340" s="177">
        <v>250.0</v>
      </c>
      <c r="Q340" s="177">
        <v>419.0</v>
      </c>
      <c r="R340" s="177">
        <v>59.7</v>
      </c>
      <c r="S340" s="177">
        <v>2798.0</v>
      </c>
      <c r="T340" s="177">
        <v>19.0</v>
      </c>
      <c r="U340" s="177">
        <v>4.5</v>
      </c>
      <c r="V340" s="177">
        <v>11.0</v>
      </c>
      <c r="W340" s="177">
        <v>2.6</v>
      </c>
      <c r="X340" s="177">
        <v>131.0</v>
      </c>
      <c r="Y340" s="177">
        <v>43.5</v>
      </c>
      <c r="Z340" s="177">
        <v>47.0</v>
      </c>
      <c r="AA340" s="177">
        <v>6.7</v>
      </c>
      <c r="AB340" s="177">
        <v>6.4</v>
      </c>
      <c r="AC340" s="177">
        <v>11.2</v>
      </c>
      <c r="AD340" s="177">
        <v>233.2</v>
      </c>
      <c r="AE340" s="177">
        <v>83.8</v>
      </c>
      <c r="AF340" s="177">
        <v>27.0</v>
      </c>
      <c r="AG340" s="177">
        <v>239.0</v>
      </c>
      <c r="AH340" s="177">
        <v>6.05</v>
      </c>
      <c r="AI340" s="177">
        <v>5.74</v>
      </c>
      <c r="AJ340" s="177">
        <v>5.48</v>
      </c>
      <c r="AK340" s="177">
        <v>2.0</v>
      </c>
      <c r="AL340" s="177">
        <v>2.0</v>
      </c>
      <c r="AM340" s="177">
        <v>9.0</v>
      </c>
      <c r="AN340" s="181" t="s">
        <v>380</v>
      </c>
      <c r="AO340" s="33"/>
      <c r="AP340" s="33"/>
      <c r="AQ340" s="33"/>
      <c r="AR340" s="33"/>
      <c r="AS340" s="33"/>
    </row>
    <row r="341" hidden="1" outlineLevel="1">
      <c r="A341" s="184" t="s">
        <v>73</v>
      </c>
      <c r="B341" s="176">
        <v>1988.0</v>
      </c>
      <c r="C341" s="180">
        <f t="array" ref="C341">xlookup(B341,DATA_LEAGUE_AVG!A:A,DATA_LEAGUE_AVG!H:H)</f>
        <v>504.7</v>
      </c>
      <c r="D341" s="177" t="b">
        <f t="shared" si="1"/>
        <v>1</v>
      </c>
      <c r="E341" s="177">
        <v>28.0</v>
      </c>
      <c r="F341" s="181" t="s">
        <v>135</v>
      </c>
      <c r="G341" s="181" t="s">
        <v>369</v>
      </c>
      <c r="H341" s="181" t="s">
        <v>90</v>
      </c>
      <c r="I341" s="180">
        <f t="array" ref="I341">xlookup(B341,DATA_LEAGUE_AVG!A:A,DATA_LEAGUE_AVG!C:C)</f>
        <v>3210.5</v>
      </c>
      <c r="J341" s="180">
        <f t="array" ref="J341">xlookup(B341,DATA_LEAGUE_AVG!A:A,DATA_LEAGUE_AVG!D:D)</f>
        <v>19.9</v>
      </c>
      <c r="K341" s="177">
        <f t="shared" ref="K341:L341" si="317">S341/I341</f>
        <v>1.052795515</v>
      </c>
      <c r="L341" s="177">
        <f t="shared" si="317"/>
        <v>0.7537688442</v>
      </c>
      <c r="M341" s="177">
        <v>16.0</v>
      </c>
      <c r="N341" s="177">
        <v>16.0</v>
      </c>
      <c r="O341" s="182">
        <v>36864.0</v>
      </c>
      <c r="P341" s="177">
        <v>269.0</v>
      </c>
      <c r="Q341" s="177">
        <v>452.0</v>
      </c>
      <c r="R341" s="177">
        <v>59.5</v>
      </c>
      <c r="S341" s="177">
        <v>3380.0</v>
      </c>
      <c r="T341" s="177">
        <v>15.0</v>
      </c>
      <c r="U341" s="177">
        <v>3.3</v>
      </c>
      <c r="V341" s="177">
        <v>17.0</v>
      </c>
      <c r="W341" s="177">
        <v>3.8</v>
      </c>
      <c r="X341" s="177">
        <v>160.0</v>
      </c>
      <c r="Y341" s="177">
        <v>47.3</v>
      </c>
      <c r="Z341" s="177">
        <v>66.0</v>
      </c>
      <c r="AA341" s="177">
        <v>7.5</v>
      </c>
      <c r="AB341" s="177">
        <v>6.45</v>
      </c>
      <c r="AC341" s="177">
        <v>12.6</v>
      </c>
      <c r="AD341" s="177">
        <v>211.3</v>
      </c>
      <c r="AE341" s="177">
        <v>78.2</v>
      </c>
      <c r="AF341" s="177">
        <v>30.0</v>
      </c>
      <c r="AG341" s="177">
        <v>229.0</v>
      </c>
      <c r="AH341" s="177">
        <v>6.22</v>
      </c>
      <c r="AI341" s="177">
        <v>6.54</v>
      </c>
      <c r="AJ341" s="177">
        <v>5.57</v>
      </c>
      <c r="AK341" s="177">
        <v>3.0</v>
      </c>
      <c r="AL341" s="177">
        <v>5.0</v>
      </c>
      <c r="AM341" s="177">
        <v>13.0</v>
      </c>
      <c r="AN341" s="181" t="s">
        <v>380</v>
      </c>
      <c r="AO341" s="33"/>
      <c r="AP341" s="33"/>
      <c r="AQ341" s="33"/>
      <c r="AR341" s="33"/>
      <c r="AS341" s="33"/>
    </row>
    <row r="342" hidden="1" outlineLevel="1">
      <c r="A342" s="184" t="s">
        <v>73</v>
      </c>
      <c r="B342" s="176">
        <v>1989.0</v>
      </c>
      <c r="C342" s="180">
        <f t="array" ref="C342">xlookup(B342,DATA_LEAGUE_AVG!A:A,DATA_LEAGUE_AVG!H:H)</f>
        <v>512.1</v>
      </c>
      <c r="D342" s="177" t="b">
        <f t="shared" si="1"/>
        <v>1</v>
      </c>
      <c r="E342" s="177">
        <v>29.0</v>
      </c>
      <c r="F342" s="181" t="s">
        <v>135</v>
      </c>
      <c r="G342" s="181" t="s">
        <v>369</v>
      </c>
      <c r="H342" s="181" t="s">
        <v>90</v>
      </c>
      <c r="I342" s="180">
        <f t="array" ref="I342">xlookup(B342,DATA_LEAGUE_AVG!A:A,DATA_LEAGUE_AVG!C:C)</f>
        <v>3374.1</v>
      </c>
      <c r="J342" s="180">
        <f t="array" ref="J342">xlookup(B342,DATA_LEAGUE_AVG!A:A,DATA_LEAGUE_AVG!D:D)</f>
        <v>20.8</v>
      </c>
      <c r="K342" s="177">
        <f t="shared" ref="K342:L342" si="318">S342/I342</f>
        <v>0.927654782</v>
      </c>
      <c r="L342" s="177">
        <f t="shared" si="318"/>
        <v>1.201923077</v>
      </c>
      <c r="M342" s="177">
        <v>13.0</v>
      </c>
      <c r="N342" s="177">
        <v>13.0</v>
      </c>
      <c r="O342" s="182">
        <v>36684.0</v>
      </c>
      <c r="P342" s="177">
        <v>228.0</v>
      </c>
      <c r="Q342" s="177">
        <v>391.0</v>
      </c>
      <c r="R342" s="177">
        <v>58.3</v>
      </c>
      <c r="S342" s="177">
        <v>3130.0</v>
      </c>
      <c r="T342" s="177">
        <v>25.0</v>
      </c>
      <c r="U342" s="177">
        <v>6.4</v>
      </c>
      <c r="V342" s="177">
        <v>18.0</v>
      </c>
      <c r="W342" s="177">
        <v>4.6</v>
      </c>
      <c r="X342" s="177">
        <v>147.0</v>
      </c>
      <c r="Y342" s="177">
        <v>48.7</v>
      </c>
      <c r="Z342" s="177">
        <v>78.0</v>
      </c>
      <c r="AA342" s="177">
        <v>8.0</v>
      </c>
      <c r="AB342" s="177">
        <v>7.21</v>
      </c>
      <c r="AC342" s="177">
        <v>13.7</v>
      </c>
      <c r="AD342" s="177">
        <v>240.8</v>
      </c>
      <c r="AE342" s="177">
        <v>86.2</v>
      </c>
      <c r="AF342" s="177">
        <v>30.0</v>
      </c>
      <c r="AG342" s="177">
        <v>216.0</v>
      </c>
      <c r="AH342" s="177">
        <v>7.13</v>
      </c>
      <c r="AI342" s="177">
        <v>6.92</v>
      </c>
      <c r="AJ342" s="177">
        <v>6.19</v>
      </c>
      <c r="AK342" s="177">
        <v>2.0</v>
      </c>
      <c r="AL342" s="177">
        <v>2.0</v>
      </c>
      <c r="AM342" s="177">
        <v>12.0</v>
      </c>
      <c r="AN342" s="183"/>
      <c r="AO342" s="33"/>
      <c r="AP342" s="33"/>
      <c r="AQ342" s="33"/>
      <c r="AR342" s="33"/>
      <c r="AS342" s="33"/>
    </row>
    <row r="343" hidden="1" outlineLevel="1">
      <c r="A343" s="184" t="s">
        <v>73</v>
      </c>
      <c r="B343" s="176">
        <v>1990.0</v>
      </c>
      <c r="C343" s="180">
        <f t="array" ref="C343">xlookup(B343,DATA_LEAGUE_AVG!A:A,DATA_LEAGUE_AVG!H:H)</f>
        <v>482.7</v>
      </c>
      <c r="D343" s="177" t="b">
        <f t="shared" si="1"/>
        <v>1</v>
      </c>
      <c r="E343" s="177">
        <v>30.0</v>
      </c>
      <c r="F343" s="181" t="s">
        <v>135</v>
      </c>
      <c r="G343" s="181" t="s">
        <v>369</v>
      </c>
      <c r="H343" s="181" t="s">
        <v>90</v>
      </c>
      <c r="I343" s="180">
        <f t="array" ref="I343">xlookup(B343,DATA_LEAGUE_AVG!A:A,DATA_LEAGUE_AVG!C:C)</f>
        <v>3116</v>
      </c>
      <c r="J343" s="180">
        <f t="array" ref="J343">xlookup(B343,DATA_LEAGUE_AVG!A:A,DATA_LEAGUE_AVG!D:D)</f>
        <v>20.5</v>
      </c>
      <c r="K343" s="177">
        <f t="shared" ref="K343:L343" si="319">S343/I343</f>
        <v>0.9078947368</v>
      </c>
      <c r="L343" s="177">
        <f t="shared" si="319"/>
        <v>1.170731707</v>
      </c>
      <c r="M343" s="177">
        <v>14.0</v>
      </c>
      <c r="N343" s="177">
        <v>14.0</v>
      </c>
      <c r="O343" s="182">
        <v>36862.0</v>
      </c>
      <c r="P343" s="177">
        <v>219.0</v>
      </c>
      <c r="Q343" s="177">
        <v>346.0</v>
      </c>
      <c r="R343" s="177">
        <v>63.3</v>
      </c>
      <c r="S343" s="177">
        <v>2829.0</v>
      </c>
      <c r="T343" s="177">
        <v>24.0</v>
      </c>
      <c r="U343" s="177">
        <v>6.9</v>
      </c>
      <c r="V343" s="177">
        <v>9.0</v>
      </c>
      <c r="W343" s="177">
        <v>2.6</v>
      </c>
      <c r="X343" s="177">
        <v>134.0</v>
      </c>
      <c r="Y343" s="177">
        <v>50.0</v>
      </c>
      <c r="Z343" s="177">
        <v>71.0</v>
      </c>
      <c r="AA343" s="177">
        <v>8.2</v>
      </c>
      <c r="AB343" s="177">
        <v>8.39</v>
      </c>
      <c r="AC343" s="177">
        <v>12.9</v>
      </c>
      <c r="AD343" s="177">
        <v>202.1</v>
      </c>
      <c r="AE343" s="177">
        <v>101.2</v>
      </c>
      <c r="AF343" s="177">
        <v>20.0</v>
      </c>
      <c r="AG343" s="177">
        <v>158.0</v>
      </c>
      <c r="AH343" s="177">
        <v>5.46</v>
      </c>
      <c r="AI343" s="177">
        <v>7.3</v>
      </c>
      <c r="AJ343" s="177">
        <v>7.5</v>
      </c>
      <c r="AK343" s="177">
        <v>1.0</v>
      </c>
      <c r="AL343" s="177">
        <v>1.0</v>
      </c>
      <c r="AM343" s="177">
        <v>14.0</v>
      </c>
      <c r="AN343" s="181" t="s">
        <v>455</v>
      </c>
      <c r="AO343" s="33"/>
      <c r="AP343" s="33"/>
      <c r="AQ343" s="33"/>
      <c r="AR343" s="33"/>
      <c r="AS343" s="33"/>
    </row>
    <row r="344" hidden="1" outlineLevel="1">
      <c r="A344" s="184" t="s">
        <v>73</v>
      </c>
      <c r="B344" s="176">
        <v>1991.0</v>
      </c>
      <c r="C344" s="180">
        <f t="array" ref="C344">xlookup(B344,DATA_LEAGUE_AVG!A:A,DATA_LEAGUE_AVG!H:H)</f>
        <v>498.2</v>
      </c>
      <c r="D344" s="177" t="b">
        <f t="shared" si="1"/>
        <v>1</v>
      </c>
      <c r="E344" s="177">
        <v>31.0</v>
      </c>
      <c r="F344" s="181" t="s">
        <v>135</v>
      </c>
      <c r="G344" s="181" t="s">
        <v>369</v>
      </c>
      <c r="H344" s="181" t="s">
        <v>90</v>
      </c>
      <c r="I344" s="180">
        <f t="array" ref="I344">xlookup(B344,DATA_LEAGUE_AVG!A:A,DATA_LEAGUE_AVG!C:C)</f>
        <v>3185.8</v>
      </c>
      <c r="J344" s="180">
        <f t="array" ref="J344">xlookup(B344,DATA_LEAGUE_AVG!A:A,DATA_LEAGUE_AVG!D:D)</f>
        <v>18.3</v>
      </c>
      <c r="K344" s="177">
        <f t="shared" ref="K344:L344" si="320">S344/I344</f>
        <v>1.206604307</v>
      </c>
      <c r="L344" s="177">
        <f t="shared" si="320"/>
        <v>1.803278689</v>
      </c>
      <c r="M344" s="177">
        <v>15.0</v>
      </c>
      <c r="N344" s="177">
        <v>15.0</v>
      </c>
      <c r="O344" s="181" t="s">
        <v>396</v>
      </c>
      <c r="P344" s="177">
        <v>304.0</v>
      </c>
      <c r="Q344" s="177">
        <v>474.0</v>
      </c>
      <c r="R344" s="177">
        <v>64.1</v>
      </c>
      <c r="S344" s="177">
        <v>3844.0</v>
      </c>
      <c r="T344" s="177">
        <v>33.0</v>
      </c>
      <c r="U344" s="177">
        <v>7.0</v>
      </c>
      <c r="V344" s="177">
        <v>17.0</v>
      </c>
      <c r="W344" s="177">
        <v>3.6</v>
      </c>
      <c r="X344" s="177">
        <v>190.0</v>
      </c>
      <c r="Y344" s="177">
        <v>53.3</v>
      </c>
      <c r="Z344" s="177">
        <v>77.0</v>
      </c>
      <c r="AA344" s="177">
        <v>8.1</v>
      </c>
      <c r="AB344" s="177">
        <v>7.89</v>
      </c>
      <c r="AC344" s="177">
        <v>12.6</v>
      </c>
      <c r="AD344" s="177">
        <v>256.3</v>
      </c>
      <c r="AE344" s="177">
        <v>97.6</v>
      </c>
      <c r="AF344" s="177">
        <v>31.0</v>
      </c>
      <c r="AG344" s="177">
        <v>227.0</v>
      </c>
      <c r="AH344" s="177">
        <v>6.14</v>
      </c>
      <c r="AI344" s="177">
        <v>7.16</v>
      </c>
      <c r="AJ344" s="177">
        <v>6.95</v>
      </c>
      <c r="AK344" s="177">
        <v>3.0</v>
      </c>
      <c r="AL344" s="177">
        <v>4.0</v>
      </c>
      <c r="AM344" s="177">
        <v>17.0</v>
      </c>
      <c r="AN344" s="181" t="s">
        <v>388</v>
      </c>
      <c r="AO344" s="33"/>
      <c r="AP344" s="33"/>
      <c r="AQ344" s="33"/>
      <c r="AR344" s="33"/>
      <c r="AS344" s="33"/>
    </row>
    <row r="345" hidden="1" outlineLevel="1">
      <c r="A345" s="184" t="s">
        <v>73</v>
      </c>
      <c r="B345" s="176">
        <v>1992.0</v>
      </c>
      <c r="C345" s="180">
        <f t="array" ref="C345">xlookup(B345,DATA_LEAGUE_AVG!A:A,DATA_LEAGUE_AVG!H:H)</f>
        <v>478.9</v>
      </c>
      <c r="D345" s="177" t="b">
        <f t="shared" si="1"/>
        <v>1</v>
      </c>
      <c r="E345" s="177">
        <v>32.0</v>
      </c>
      <c r="F345" s="181" t="s">
        <v>135</v>
      </c>
      <c r="G345" s="181" t="s">
        <v>369</v>
      </c>
      <c r="H345" s="181" t="s">
        <v>90</v>
      </c>
      <c r="I345" s="180">
        <f t="array" ref="I345">xlookup(B345,DATA_LEAGUE_AVG!A:A,DATA_LEAGUE_AVG!C:C)</f>
        <v>3002.3</v>
      </c>
      <c r="J345" s="180">
        <f t="array" ref="J345">xlookup(B345,DATA_LEAGUE_AVG!A:A,DATA_LEAGUE_AVG!D:D)</f>
        <v>18.4</v>
      </c>
      <c r="K345" s="177">
        <f t="shared" ref="K345:L345" si="321">S345/I345</f>
        <v>1.151450555</v>
      </c>
      <c r="L345" s="177">
        <f t="shared" si="321"/>
        <v>1.25</v>
      </c>
      <c r="M345" s="177">
        <v>16.0</v>
      </c>
      <c r="N345" s="177">
        <v>16.0</v>
      </c>
      <c r="O345" s="182">
        <v>36835.0</v>
      </c>
      <c r="P345" s="177">
        <v>269.0</v>
      </c>
      <c r="Q345" s="177">
        <v>462.0</v>
      </c>
      <c r="R345" s="177">
        <v>58.2</v>
      </c>
      <c r="S345" s="177">
        <v>3457.0</v>
      </c>
      <c r="T345" s="177">
        <v>23.0</v>
      </c>
      <c r="U345" s="177">
        <v>5.0</v>
      </c>
      <c r="V345" s="177">
        <v>19.0</v>
      </c>
      <c r="W345" s="177">
        <v>4.1</v>
      </c>
      <c r="X345" s="177">
        <v>180.0</v>
      </c>
      <c r="Y345" s="177">
        <v>48.8</v>
      </c>
      <c r="Z345" s="177">
        <v>65.0</v>
      </c>
      <c r="AA345" s="177">
        <v>7.5</v>
      </c>
      <c r="AB345" s="177">
        <v>6.63</v>
      </c>
      <c r="AC345" s="177">
        <v>12.9</v>
      </c>
      <c r="AD345" s="177">
        <v>216.1</v>
      </c>
      <c r="AE345" s="177">
        <v>81.2</v>
      </c>
      <c r="AF345" s="177">
        <v>20.0</v>
      </c>
      <c r="AG345" s="177">
        <v>145.0</v>
      </c>
      <c r="AH345" s="177">
        <v>4.15</v>
      </c>
      <c r="AI345" s="177">
        <v>6.87</v>
      </c>
      <c r="AJ345" s="177">
        <v>6.05</v>
      </c>
      <c r="AK345" s="177">
        <v>3.0</v>
      </c>
      <c r="AL345" s="177">
        <v>3.0</v>
      </c>
      <c r="AM345" s="177">
        <v>14.0</v>
      </c>
      <c r="AN345" s="181" t="s">
        <v>456</v>
      </c>
      <c r="AO345" s="33"/>
      <c r="AP345" s="33"/>
      <c r="AQ345" s="33"/>
      <c r="AR345" s="33"/>
      <c r="AS345" s="33"/>
    </row>
    <row r="346" hidden="1" outlineLevel="1">
      <c r="A346" s="184" t="s">
        <v>73</v>
      </c>
      <c r="B346" s="176">
        <v>1993.0</v>
      </c>
      <c r="C346" s="180">
        <f t="array" ref="C346">xlookup(B346,DATA_LEAGUE_AVG!A:A,DATA_LEAGUE_AVG!H:H)</f>
        <v>514.8</v>
      </c>
      <c r="D346" s="177" t="b">
        <f t="shared" si="1"/>
        <v>1</v>
      </c>
      <c r="E346" s="177">
        <v>33.0</v>
      </c>
      <c r="F346" s="181" t="s">
        <v>135</v>
      </c>
      <c r="G346" s="181" t="s">
        <v>369</v>
      </c>
      <c r="H346" s="181" t="s">
        <v>90</v>
      </c>
      <c r="I346" s="180">
        <f t="array" ref="I346">xlookup(B346,DATA_LEAGUE_AVG!A:A,DATA_LEAGUE_AVG!C:C)</f>
        <v>3209.8</v>
      </c>
      <c r="J346" s="180">
        <f t="array" ref="J346">xlookup(B346,DATA_LEAGUE_AVG!A:A,DATA_LEAGUE_AVG!D:D)</f>
        <v>18.5</v>
      </c>
      <c r="K346" s="177">
        <f t="shared" ref="K346:L346" si="322">S346/I346</f>
        <v>1.053648202</v>
      </c>
      <c r="L346" s="177">
        <f t="shared" si="322"/>
        <v>0.972972973</v>
      </c>
      <c r="M346" s="177">
        <v>16.0</v>
      </c>
      <c r="N346" s="177">
        <v>16.0</v>
      </c>
      <c r="O346" s="182">
        <v>36864.0</v>
      </c>
      <c r="P346" s="177">
        <v>288.0</v>
      </c>
      <c r="Q346" s="177">
        <v>470.0</v>
      </c>
      <c r="R346" s="177">
        <v>61.3</v>
      </c>
      <c r="S346" s="177">
        <v>3382.0</v>
      </c>
      <c r="T346" s="177">
        <v>18.0</v>
      </c>
      <c r="U346" s="177">
        <v>3.8</v>
      </c>
      <c r="V346" s="177">
        <v>18.0</v>
      </c>
      <c r="W346" s="177">
        <v>3.8</v>
      </c>
      <c r="X346" s="177">
        <v>169.0</v>
      </c>
      <c r="Y346" s="177">
        <v>48.7</v>
      </c>
      <c r="Z346" s="177">
        <v>65.0</v>
      </c>
      <c r="AA346" s="177">
        <v>7.2</v>
      </c>
      <c r="AB346" s="177">
        <v>6.24</v>
      </c>
      <c r="AC346" s="177">
        <v>11.7</v>
      </c>
      <c r="AD346" s="177">
        <v>211.4</v>
      </c>
      <c r="AE346" s="177">
        <v>79.9</v>
      </c>
      <c r="AF346" s="177">
        <v>25.0</v>
      </c>
      <c r="AG346" s="177">
        <v>171.0</v>
      </c>
      <c r="AH346" s="177">
        <v>5.05</v>
      </c>
      <c r="AI346" s="177">
        <v>6.49</v>
      </c>
      <c r="AJ346" s="177">
        <v>5.58</v>
      </c>
      <c r="AK346" s="177">
        <v>3.0</v>
      </c>
      <c r="AL346" s="177">
        <v>4.0</v>
      </c>
      <c r="AM346" s="177">
        <v>12.0</v>
      </c>
      <c r="AN346" s="183"/>
      <c r="AO346" s="33"/>
      <c r="AP346" s="33"/>
      <c r="AQ346" s="33"/>
      <c r="AR346" s="33"/>
      <c r="AS346" s="33"/>
    </row>
    <row r="347" hidden="1" outlineLevel="1">
      <c r="A347" s="184" t="s">
        <v>73</v>
      </c>
      <c r="B347" s="176">
        <v>1994.0</v>
      </c>
      <c r="C347" s="180">
        <f t="array" ref="C347">xlookup(B347,DATA_LEAGUE_AVG!A:A,DATA_LEAGUE_AVG!H:H)</f>
        <v>537.7</v>
      </c>
      <c r="D347" s="177" t="b">
        <f t="shared" si="1"/>
        <v>1</v>
      </c>
      <c r="E347" s="177">
        <v>34.0</v>
      </c>
      <c r="F347" s="181" t="s">
        <v>135</v>
      </c>
      <c r="G347" s="181" t="s">
        <v>369</v>
      </c>
      <c r="H347" s="181" t="s">
        <v>90</v>
      </c>
      <c r="I347" s="180">
        <f t="array" ref="I347">xlookup(B347,DATA_LEAGUE_AVG!A:A,DATA_LEAGUE_AVG!C:C)</f>
        <v>3417.6</v>
      </c>
      <c r="J347" s="180">
        <f t="array" ref="J347">xlookup(B347,DATA_LEAGUE_AVG!A:A,DATA_LEAGUE_AVG!D:D)</f>
        <v>20.8</v>
      </c>
      <c r="K347" s="177">
        <f t="shared" ref="K347:L347" si="323">S347/I347</f>
        <v>0.9111657303</v>
      </c>
      <c r="L347" s="177">
        <f t="shared" si="323"/>
        <v>1.057692308</v>
      </c>
      <c r="M347" s="177">
        <v>14.0</v>
      </c>
      <c r="N347" s="177">
        <v>14.0</v>
      </c>
      <c r="O347" s="182">
        <v>36714.0</v>
      </c>
      <c r="P347" s="177">
        <v>285.0</v>
      </c>
      <c r="Q347" s="177">
        <v>448.0</v>
      </c>
      <c r="R347" s="177">
        <v>63.6</v>
      </c>
      <c r="S347" s="177">
        <v>3114.0</v>
      </c>
      <c r="T347" s="177">
        <v>22.0</v>
      </c>
      <c r="U347" s="177">
        <v>4.9</v>
      </c>
      <c r="V347" s="177">
        <v>17.0</v>
      </c>
      <c r="W347" s="177">
        <v>3.8</v>
      </c>
      <c r="X347" s="177">
        <v>152.0</v>
      </c>
      <c r="Y347" s="177">
        <v>49.8</v>
      </c>
      <c r="Z347" s="177">
        <v>83.0</v>
      </c>
      <c r="AA347" s="177">
        <v>7.0</v>
      </c>
      <c r="AB347" s="177">
        <v>6.23</v>
      </c>
      <c r="AC347" s="177">
        <v>10.9</v>
      </c>
      <c r="AD347" s="177">
        <v>222.4</v>
      </c>
      <c r="AE347" s="177">
        <v>84.6</v>
      </c>
      <c r="AF347" s="177">
        <v>34.0</v>
      </c>
      <c r="AG347" s="177">
        <v>244.0</v>
      </c>
      <c r="AH347" s="177">
        <v>7.05</v>
      </c>
      <c r="AI347" s="177">
        <v>5.95</v>
      </c>
      <c r="AJ347" s="177">
        <v>5.28</v>
      </c>
      <c r="AK347" s="177">
        <v>0.0</v>
      </c>
      <c r="AL347" s="177">
        <v>1.0</v>
      </c>
      <c r="AM347" s="177">
        <v>12.0</v>
      </c>
      <c r="AN347" s="183"/>
      <c r="AO347" s="33"/>
      <c r="AP347" s="33"/>
      <c r="AQ347" s="33"/>
      <c r="AR347" s="33"/>
      <c r="AS347" s="33"/>
    </row>
    <row r="348" hidden="1" outlineLevel="1">
      <c r="A348" s="184" t="s">
        <v>73</v>
      </c>
      <c r="B348" s="176">
        <v>1995.0</v>
      </c>
      <c r="C348" s="180">
        <f t="array" ref="C348">xlookup(B348,DATA_LEAGUE_AVG!A:A,DATA_LEAGUE_AVG!H:H)</f>
        <v>556.6</v>
      </c>
      <c r="D348" s="177" t="b">
        <f t="shared" si="1"/>
        <v>1</v>
      </c>
      <c r="E348" s="177">
        <v>35.0</v>
      </c>
      <c r="F348" s="181" t="s">
        <v>135</v>
      </c>
      <c r="G348" s="181" t="s">
        <v>369</v>
      </c>
      <c r="H348" s="181" t="s">
        <v>90</v>
      </c>
      <c r="I348" s="180">
        <f t="array" ref="I348">xlookup(B348,DATA_LEAGUE_AVG!A:A,DATA_LEAGUE_AVG!C:C)</f>
        <v>3532.5</v>
      </c>
      <c r="J348" s="180">
        <f t="array" ref="J348">xlookup(B348,DATA_LEAGUE_AVG!A:A,DATA_LEAGUE_AVG!D:D)</f>
        <v>22.1</v>
      </c>
      <c r="K348" s="177">
        <f t="shared" ref="K348:L348" si="324">S348/I348</f>
        <v>0.8860580326</v>
      </c>
      <c r="L348" s="177">
        <f t="shared" si="324"/>
        <v>0.9954751131</v>
      </c>
      <c r="M348" s="177">
        <v>15.0</v>
      </c>
      <c r="N348" s="177">
        <v>15.0</v>
      </c>
      <c r="O348" s="182">
        <v>36804.0</v>
      </c>
      <c r="P348" s="177">
        <v>255.0</v>
      </c>
      <c r="Q348" s="177">
        <v>458.0</v>
      </c>
      <c r="R348" s="177">
        <v>55.7</v>
      </c>
      <c r="S348" s="177">
        <v>3130.0</v>
      </c>
      <c r="T348" s="177">
        <v>22.0</v>
      </c>
      <c r="U348" s="177">
        <v>4.8</v>
      </c>
      <c r="V348" s="177">
        <v>13.0</v>
      </c>
      <c r="W348" s="177">
        <v>2.8</v>
      </c>
      <c r="X348" s="177">
        <v>129.0</v>
      </c>
      <c r="Y348" s="177">
        <v>40.9</v>
      </c>
      <c r="Z348" s="177">
        <v>77.0</v>
      </c>
      <c r="AA348" s="177">
        <v>6.8</v>
      </c>
      <c r="AB348" s="177">
        <v>6.52</v>
      </c>
      <c r="AC348" s="177">
        <v>12.3</v>
      </c>
      <c r="AD348" s="177">
        <v>208.7</v>
      </c>
      <c r="AE348" s="177">
        <v>81.1</v>
      </c>
      <c r="AF348" s="177">
        <v>26.0</v>
      </c>
      <c r="AG348" s="177">
        <v>181.0</v>
      </c>
      <c r="AH348" s="177">
        <v>5.37</v>
      </c>
      <c r="AI348" s="177">
        <v>6.09</v>
      </c>
      <c r="AJ348" s="177">
        <v>5.79</v>
      </c>
      <c r="AK348" s="177">
        <v>1.0</v>
      </c>
      <c r="AL348" s="177">
        <v>2.0</v>
      </c>
      <c r="AM348" s="177">
        <v>10.0</v>
      </c>
      <c r="AN348" s="183"/>
      <c r="AO348" s="33"/>
      <c r="AP348" s="33"/>
      <c r="AQ348" s="33"/>
      <c r="AR348" s="33"/>
      <c r="AS348" s="33"/>
    </row>
    <row r="349" hidden="1" outlineLevel="1">
      <c r="A349" s="184" t="s">
        <v>73</v>
      </c>
      <c r="B349" s="176">
        <v>1996.0</v>
      </c>
      <c r="C349" s="180">
        <f t="array" ref="C349">xlookup(B349,DATA_LEAGUE_AVG!A:A,DATA_LEAGUE_AVG!H:H)</f>
        <v>532.2</v>
      </c>
      <c r="D349" s="177" t="b">
        <f t="shared" si="1"/>
        <v>1</v>
      </c>
      <c r="E349" s="177">
        <v>36.0</v>
      </c>
      <c r="F349" s="181" t="s">
        <v>135</v>
      </c>
      <c r="G349" s="181" t="s">
        <v>369</v>
      </c>
      <c r="H349" s="181" t="s">
        <v>90</v>
      </c>
      <c r="I349" s="180">
        <f t="array" ref="I349">xlookup(B349,DATA_LEAGUE_AVG!A:A,DATA_LEAGUE_AVG!C:C)</f>
        <v>3318.9</v>
      </c>
      <c r="J349" s="180">
        <f t="array" ref="J349">xlookup(B349,DATA_LEAGUE_AVG!A:A,DATA_LEAGUE_AVG!D:D)</f>
        <v>20.9</v>
      </c>
      <c r="K349" s="177">
        <f t="shared" ref="K349:L349" si="325">S349/I349</f>
        <v>0.8466660641</v>
      </c>
      <c r="L349" s="177">
        <f t="shared" si="325"/>
        <v>0.6698564593</v>
      </c>
      <c r="M349" s="177">
        <v>13.0</v>
      </c>
      <c r="N349" s="177">
        <v>13.0</v>
      </c>
      <c r="O349" s="182">
        <v>36743.0</v>
      </c>
      <c r="P349" s="177">
        <v>222.0</v>
      </c>
      <c r="Q349" s="177">
        <v>379.0</v>
      </c>
      <c r="R349" s="177">
        <v>58.6</v>
      </c>
      <c r="S349" s="177">
        <v>2810.0</v>
      </c>
      <c r="T349" s="177">
        <v>14.0</v>
      </c>
      <c r="U349" s="177">
        <v>3.7</v>
      </c>
      <c r="V349" s="177">
        <v>19.0</v>
      </c>
      <c r="W349" s="177">
        <v>5.0</v>
      </c>
      <c r="X349" s="177">
        <v>122.0</v>
      </c>
      <c r="Y349" s="177">
        <v>42.5</v>
      </c>
      <c r="Z349" s="177">
        <v>67.0</v>
      </c>
      <c r="AA349" s="177">
        <v>7.4</v>
      </c>
      <c r="AB349" s="177">
        <v>5.9</v>
      </c>
      <c r="AC349" s="177">
        <v>12.7</v>
      </c>
      <c r="AD349" s="177">
        <v>216.2</v>
      </c>
      <c r="AE349" s="177">
        <v>73.2</v>
      </c>
      <c r="AF349" s="177">
        <v>37.0</v>
      </c>
      <c r="AG349" s="177">
        <v>287.0</v>
      </c>
      <c r="AH349" s="177">
        <v>8.89</v>
      </c>
      <c r="AI349" s="177">
        <v>6.06</v>
      </c>
      <c r="AJ349" s="177">
        <v>4.68</v>
      </c>
      <c r="AK349" s="177">
        <v>3.0</v>
      </c>
      <c r="AL349" s="177">
        <v>4.0</v>
      </c>
      <c r="AM349" s="177">
        <v>7.0</v>
      </c>
      <c r="AN349" s="183"/>
      <c r="AO349" s="33"/>
      <c r="AP349" s="33"/>
      <c r="AQ349" s="33"/>
      <c r="AR349" s="33"/>
      <c r="AS349" s="33"/>
    </row>
    <row r="350" collapsed="1">
      <c r="A350" s="184" t="s">
        <v>74</v>
      </c>
      <c r="B350" s="176" t="s">
        <v>348</v>
      </c>
      <c r="C350" s="177" t="str">
        <f t="array" ref="C350">xlookup(B350,DATA_LEAGUE_AVG!A:A,DATA_LEAGUE_AVG!H:H)</f>
        <v>#N/A</v>
      </c>
      <c r="D350" s="177" t="str">
        <f t="shared" si="1"/>
        <v>#N/A</v>
      </c>
      <c r="E350" s="176" t="s">
        <v>351</v>
      </c>
      <c r="F350" s="176" t="s">
        <v>352</v>
      </c>
      <c r="G350" s="176" t="s">
        <v>353</v>
      </c>
      <c r="H350" s="176" t="s">
        <v>354</v>
      </c>
      <c r="I350" s="185" t="s">
        <v>355</v>
      </c>
      <c r="J350" s="185" t="s">
        <v>356</v>
      </c>
      <c r="K350" s="185" t="s">
        <v>272</v>
      </c>
      <c r="L350" s="185" t="s">
        <v>357</v>
      </c>
      <c r="M350" s="176" t="s">
        <v>358</v>
      </c>
      <c r="N350" s="176" t="s">
        <v>359</v>
      </c>
      <c r="O350" s="176" t="s">
        <v>360</v>
      </c>
      <c r="P350" s="176" t="s">
        <v>330</v>
      </c>
      <c r="Q350" s="176" t="s">
        <v>331</v>
      </c>
      <c r="R350" s="176" t="s">
        <v>332</v>
      </c>
      <c r="S350" s="176" t="s">
        <v>326</v>
      </c>
      <c r="T350" s="176" t="s">
        <v>327</v>
      </c>
      <c r="U350" s="176" t="s">
        <v>335</v>
      </c>
      <c r="V350" s="176" t="s">
        <v>336</v>
      </c>
      <c r="W350" s="176" t="s">
        <v>337</v>
      </c>
      <c r="X350" s="176" t="s">
        <v>361</v>
      </c>
      <c r="Y350" s="176" t="s">
        <v>362</v>
      </c>
      <c r="Z350" s="176" t="s">
        <v>363</v>
      </c>
      <c r="AA350" s="176" t="s">
        <v>338</v>
      </c>
      <c r="AB350" s="176" t="s">
        <v>339</v>
      </c>
      <c r="AC350" s="176" t="s">
        <v>340</v>
      </c>
      <c r="AD350" s="176" t="s">
        <v>341</v>
      </c>
      <c r="AE350" s="176" t="s">
        <v>342</v>
      </c>
      <c r="AF350" s="176" t="s">
        <v>343</v>
      </c>
      <c r="AG350" s="176" t="s">
        <v>326</v>
      </c>
      <c r="AH350" s="176" t="s">
        <v>345</v>
      </c>
      <c r="AI350" s="176" t="s">
        <v>346</v>
      </c>
      <c r="AJ350" s="176" t="s">
        <v>347</v>
      </c>
      <c r="AK350" s="176" t="s">
        <v>364</v>
      </c>
      <c r="AL350" s="176" t="s">
        <v>365</v>
      </c>
      <c r="AM350" s="176" t="s">
        <v>366</v>
      </c>
      <c r="AN350" s="176" t="s">
        <v>367</v>
      </c>
      <c r="AO350" s="33"/>
      <c r="AP350" s="33"/>
      <c r="AQ350" s="33"/>
      <c r="AR350" s="33"/>
      <c r="AS350" s="33"/>
    </row>
    <row r="351" hidden="1" outlineLevel="1">
      <c r="A351" s="184" t="s">
        <v>74</v>
      </c>
      <c r="B351" s="176">
        <v>1973.0</v>
      </c>
      <c r="C351" s="180">
        <f t="array" ref="C351">xlookup(B351,DATA_LEAGUE_AVG!A:A,DATA_LEAGUE_AVG!H:H)</f>
        <v>340.2</v>
      </c>
      <c r="D351" s="177" t="b">
        <f t="shared" si="1"/>
        <v>1</v>
      </c>
      <c r="E351" s="177">
        <v>28.0</v>
      </c>
      <c r="F351" s="181" t="s">
        <v>457</v>
      </c>
      <c r="G351" s="181" t="s">
        <v>369</v>
      </c>
      <c r="H351" s="181" t="s">
        <v>90</v>
      </c>
      <c r="I351" s="180">
        <f t="array" ref="I351">xlookup(B351,DATA_LEAGUE_AVG!A:A,DATA_LEAGUE_AVG!C:C)</f>
        <v>1973</v>
      </c>
      <c r="J351" s="180">
        <f t="array" ref="J351">xlookup(B351,DATA_LEAGUE_AVG!A:A,DATA_LEAGUE_AVG!D:D)</f>
        <v>14.5</v>
      </c>
      <c r="K351" s="177">
        <f t="shared" ref="K351:L351" si="326">S351/I351</f>
        <v>1.012164217</v>
      </c>
      <c r="L351" s="177">
        <f t="shared" si="326"/>
        <v>0.9655172414</v>
      </c>
      <c r="M351" s="177">
        <v>14.0</v>
      </c>
      <c r="N351" s="177">
        <v>11.0</v>
      </c>
      <c r="O351" s="182">
        <v>37105.0</v>
      </c>
      <c r="P351" s="177">
        <v>163.0</v>
      </c>
      <c r="Q351" s="177">
        <v>260.0</v>
      </c>
      <c r="R351" s="177">
        <v>62.7</v>
      </c>
      <c r="S351" s="177">
        <v>1997.0</v>
      </c>
      <c r="T351" s="177">
        <v>14.0</v>
      </c>
      <c r="U351" s="177">
        <v>5.4</v>
      </c>
      <c r="V351" s="177">
        <v>10.0</v>
      </c>
      <c r="W351" s="177">
        <v>3.8</v>
      </c>
      <c r="X351" s="183"/>
      <c r="Y351" s="183"/>
      <c r="Z351" s="177">
        <v>80.0</v>
      </c>
      <c r="AA351" s="177">
        <v>7.7</v>
      </c>
      <c r="AB351" s="177">
        <v>7.03</v>
      </c>
      <c r="AC351" s="177">
        <v>12.3</v>
      </c>
      <c r="AD351" s="177">
        <v>142.6</v>
      </c>
      <c r="AE351" s="177">
        <v>88.3</v>
      </c>
      <c r="AF351" s="177">
        <v>34.0</v>
      </c>
      <c r="AG351" s="177">
        <v>261.0</v>
      </c>
      <c r="AH351" s="177">
        <v>11.56</v>
      </c>
      <c r="AI351" s="177">
        <v>5.9</v>
      </c>
      <c r="AJ351" s="177">
        <v>5.33</v>
      </c>
      <c r="AK351" s="177">
        <v>1.0</v>
      </c>
      <c r="AL351" s="177">
        <v>3.0</v>
      </c>
      <c r="AM351" s="177">
        <v>10.0</v>
      </c>
      <c r="AN351" s="181" t="s">
        <v>380</v>
      </c>
      <c r="AO351" s="33"/>
      <c r="AP351" s="33"/>
      <c r="AQ351" s="33"/>
      <c r="AR351" s="33"/>
      <c r="AS351" s="33"/>
    </row>
    <row r="352" hidden="1" outlineLevel="1">
      <c r="A352" s="184" t="s">
        <v>74</v>
      </c>
      <c r="B352" s="176">
        <v>1974.0</v>
      </c>
      <c r="C352" s="180">
        <f t="array" ref="C352">xlookup(B352,DATA_LEAGUE_AVG!A:A,DATA_LEAGUE_AVG!H:H)</f>
        <v>369.6</v>
      </c>
      <c r="D352" s="177" t="b">
        <f t="shared" si="1"/>
        <v>1</v>
      </c>
      <c r="E352" s="177">
        <v>29.0</v>
      </c>
      <c r="F352" s="181" t="s">
        <v>457</v>
      </c>
      <c r="G352" s="181" t="s">
        <v>369</v>
      </c>
      <c r="H352" s="181" t="s">
        <v>90</v>
      </c>
      <c r="I352" s="180">
        <f t="array" ref="I352">xlookup(B352,DATA_LEAGUE_AVG!A:A,DATA_LEAGUE_AVG!C:C)</f>
        <v>2145.4</v>
      </c>
      <c r="J352" s="180">
        <f t="array" ref="J352">xlookup(B352,DATA_LEAGUE_AVG!A:A,DATA_LEAGUE_AVG!D:D)</f>
        <v>14.5</v>
      </c>
      <c r="K352" s="177">
        <f t="shared" ref="K352:L352" si="327">S352/I352</f>
        <v>1.150834343</v>
      </c>
      <c r="L352" s="177">
        <f t="shared" si="327"/>
        <v>1.793103448</v>
      </c>
      <c r="M352" s="177">
        <v>14.0</v>
      </c>
      <c r="N352" s="177">
        <v>13.0</v>
      </c>
      <c r="O352" s="182">
        <v>36832.0</v>
      </c>
      <c r="P352" s="177">
        <v>178.0</v>
      </c>
      <c r="Q352" s="177">
        <v>310.0</v>
      </c>
      <c r="R352" s="177">
        <v>57.4</v>
      </c>
      <c r="S352" s="177">
        <v>2469.0</v>
      </c>
      <c r="T352" s="177">
        <v>26.0</v>
      </c>
      <c r="U352" s="177">
        <v>8.4</v>
      </c>
      <c r="V352" s="177">
        <v>12.0</v>
      </c>
      <c r="W352" s="177">
        <v>3.9</v>
      </c>
      <c r="X352" s="183"/>
      <c r="Y352" s="183"/>
      <c r="Z352" s="177">
        <v>67.0</v>
      </c>
      <c r="AA352" s="177">
        <v>8.0</v>
      </c>
      <c r="AB352" s="177">
        <v>7.9</v>
      </c>
      <c r="AC352" s="177">
        <v>13.9</v>
      </c>
      <c r="AD352" s="177">
        <v>176.4</v>
      </c>
      <c r="AE352" s="177">
        <v>94.9</v>
      </c>
      <c r="AF352" s="177">
        <v>18.0</v>
      </c>
      <c r="AG352" s="177">
        <v>141.0</v>
      </c>
      <c r="AH352" s="177">
        <v>5.49</v>
      </c>
      <c r="AI352" s="177">
        <v>7.1</v>
      </c>
      <c r="AJ352" s="177">
        <v>7.04</v>
      </c>
      <c r="AK352" s="177">
        <v>2.0</v>
      </c>
      <c r="AL352" s="177">
        <v>2.0</v>
      </c>
      <c r="AM352" s="177">
        <v>15.0</v>
      </c>
      <c r="AN352" s="181" t="s">
        <v>383</v>
      </c>
      <c r="AO352" s="33"/>
      <c r="AP352" s="33"/>
      <c r="AQ352" s="33"/>
      <c r="AR352" s="33"/>
      <c r="AS352" s="33"/>
    </row>
    <row r="353" hidden="1" outlineLevel="1">
      <c r="A353" s="184" t="s">
        <v>74</v>
      </c>
      <c r="B353" s="176">
        <v>1975.0</v>
      </c>
      <c r="C353" s="180">
        <f t="array" ref="C353">xlookup(B353,DATA_LEAGUE_AVG!A:A,DATA_LEAGUE_AVG!H:H)</f>
        <v>383.6</v>
      </c>
      <c r="D353" s="177" t="b">
        <f t="shared" si="1"/>
        <v>1</v>
      </c>
      <c r="E353" s="177">
        <v>30.0</v>
      </c>
      <c r="F353" s="181" t="s">
        <v>457</v>
      </c>
      <c r="G353" s="181" t="s">
        <v>369</v>
      </c>
      <c r="H353" s="181" t="s">
        <v>90</v>
      </c>
      <c r="I353" s="180">
        <f t="array" ref="I353">xlookup(B353,DATA_LEAGUE_AVG!A:A,DATA_LEAGUE_AVG!C:C)</f>
        <v>2279.1</v>
      </c>
      <c r="J353" s="180">
        <f t="array" ref="J353">xlookup(B353,DATA_LEAGUE_AVG!A:A,DATA_LEAGUE_AVG!D:D)</f>
        <v>16.7</v>
      </c>
      <c r="K353" s="177">
        <f t="shared" ref="K353:L353" si="328">S353/I353</f>
        <v>1.007415208</v>
      </c>
      <c r="L353" s="177">
        <f t="shared" si="328"/>
        <v>0.9580838323</v>
      </c>
      <c r="M353" s="177">
        <v>14.0</v>
      </c>
      <c r="N353" s="177">
        <v>13.0</v>
      </c>
      <c r="O353" s="182">
        <v>36802.0</v>
      </c>
      <c r="P353" s="177">
        <v>171.0</v>
      </c>
      <c r="Q353" s="177">
        <v>293.0</v>
      </c>
      <c r="R353" s="177">
        <v>58.4</v>
      </c>
      <c r="S353" s="177">
        <v>2296.0</v>
      </c>
      <c r="T353" s="177">
        <v>16.0</v>
      </c>
      <c r="U353" s="177">
        <v>5.5</v>
      </c>
      <c r="V353" s="177">
        <v>24.0</v>
      </c>
      <c r="W353" s="177">
        <v>8.2</v>
      </c>
      <c r="X353" s="183"/>
      <c r="Y353" s="183"/>
      <c r="Z353" s="177">
        <v>53.0</v>
      </c>
      <c r="AA353" s="177">
        <v>7.8</v>
      </c>
      <c r="AB353" s="177">
        <v>5.24</v>
      </c>
      <c r="AC353" s="177">
        <v>13.4</v>
      </c>
      <c r="AD353" s="177">
        <v>164.0</v>
      </c>
      <c r="AE353" s="177">
        <v>67.4</v>
      </c>
      <c r="AF353" s="177">
        <v>19.0</v>
      </c>
      <c r="AG353" s="177">
        <v>202.0</v>
      </c>
      <c r="AH353" s="177">
        <v>6.09</v>
      </c>
      <c r="AI353" s="177">
        <v>6.71</v>
      </c>
      <c r="AJ353" s="177">
        <v>4.28</v>
      </c>
      <c r="AK353" s="177">
        <v>1.0</v>
      </c>
      <c r="AL353" s="177">
        <v>2.0</v>
      </c>
      <c r="AM353" s="177">
        <v>10.0</v>
      </c>
      <c r="AN353" s="183"/>
      <c r="AO353" s="33"/>
      <c r="AP353" s="33"/>
      <c r="AQ353" s="33"/>
      <c r="AR353" s="33"/>
      <c r="AS353" s="33"/>
    </row>
    <row r="354" hidden="1" outlineLevel="1">
      <c r="A354" s="184" t="s">
        <v>74</v>
      </c>
      <c r="B354" s="176">
        <v>1976.0</v>
      </c>
      <c r="C354" s="180">
        <f t="array" ref="C354">xlookup(B354,DATA_LEAGUE_AVG!A:A,DATA_LEAGUE_AVG!H:H)</f>
        <v>366.4</v>
      </c>
      <c r="D354" s="177" t="b">
        <f t="shared" si="1"/>
        <v>1</v>
      </c>
      <c r="E354" s="177">
        <v>31.0</v>
      </c>
      <c r="F354" s="181" t="s">
        <v>457</v>
      </c>
      <c r="G354" s="181" t="s">
        <v>369</v>
      </c>
      <c r="H354" s="181" t="s">
        <v>90</v>
      </c>
      <c r="I354" s="180">
        <f t="array" ref="I354">xlookup(B354,DATA_LEAGUE_AVG!A:A,DATA_LEAGUE_AVG!C:C)</f>
        <v>2128.4</v>
      </c>
      <c r="J354" s="180">
        <f t="array" ref="J354">xlookup(B354,DATA_LEAGUE_AVG!A:A,DATA_LEAGUE_AVG!D:D)</f>
        <v>15.4</v>
      </c>
      <c r="K354" s="177">
        <f t="shared" ref="K354:L354" si="329">S354/I354</f>
        <v>1.285942492</v>
      </c>
      <c r="L354" s="177">
        <f t="shared" si="329"/>
        <v>1.753246753</v>
      </c>
      <c r="M354" s="177">
        <v>12.0</v>
      </c>
      <c r="N354" s="177">
        <v>12.0</v>
      </c>
      <c r="O354" s="182">
        <v>36831.0</v>
      </c>
      <c r="P354" s="177">
        <v>194.0</v>
      </c>
      <c r="Q354" s="177">
        <v>291.0</v>
      </c>
      <c r="R354" s="177">
        <v>66.7</v>
      </c>
      <c r="S354" s="177">
        <v>2737.0</v>
      </c>
      <c r="T354" s="177">
        <v>27.0</v>
      </c>
      <c r="U354" s="177">
        <v>9.3</v>
      </c>
      <c r="V354" s="177">
        <v>17.0</v>
      </c>
      <c r="W354" s="177">
        <v>5.8</v>
      </c>
      <c r="X354" s="183"/>
      <c r="Y354" s="183"/>
      <c r="Z354" s="177">
        <v>88.0</v>
      </c>
      <c r="AA354" s="177">
        <v>9.4</v>
      </c>
      <c r="AB354" s="177">
        <v>8.63</v>
      </c>
      <c r="AC354" s="177">
        <v>14.1</v>
      </c>
      <c r="AD354" s="177">
        <v>228.1</v>
      </c>
      <c r="AE354" s="177">
        <v>103.4</v>
      </c>
      <c r="AF354" s="177">
        <v>19.0</v>
      </c>
      <c r="AG354" s="177">
        <v>203.0</v>
      </c>
      <c r="AH354" s="177">
        <v>6.13</v>
      </c>
      <c r="AI354" s="177">
        <v>8.17</v>
      </c>
      <c r="AJ354" s="177">
        <v>7.45</v>
      </c>
      <c r="AK354" s="177">
        <v>3.0</v>
      </c>
      <c r="AL354" s="177">
        <v>4.0</v>
      </c>
      <c r="AM354" s="177">
        <v>15.0</v>
      </c>
      <c r="AN354" s="181" t="s">
        <v>414</v>
      </c>
      <c r="AO354" s="33"/>
      <c r="AP354" s="33"/>
      <c r="AQ354" s="33"/>
      <c r="AR354" s="33"/>
      <c r="AS354" s="33"/>
    </row>
    <row r="355" hidden="1" outlineLevel="1">
      <c r="A355" s="184" t="s">
        <v>74</v>
      </c>
      <c r="B355" s="176">
        <v>1977.0</v>
      </c>
      <c r="C355" s="180">
        <f t="array" ref="C355">xlookup(B355,DATA_LEAGUE_AVG!A:A,DATA_LEAGUE_AVG!H:H)</f>
        <v>349.5</v>
      </c>
      <c r="D355" s="177" t="b">
        <f t="shared" si="1"/>
        <v>1</v>
      </c>
      <c r="E355" s="177">
        <v>32.0</v>
      </c>
      <c r="F355" s="181" t="s">
        <v>457</v>
      </c>
      <c r="G355" s="181" t="s">
        <v>369</v>
      </c>
      <c r="H355" s="181" t="s">
        <v>90</v>
      </c>
      <c r="I355" s="180">
        <f t="array" ref="I355">xlookup(B355,DATA_LEAGUE_AVG!A:A,DATA_LEAGUE_AVG!C:C)</f>
        <v>1986.4</v>
      </c>
      <c r="J355" s="180">
        <f t="array" ref="J355">xlookup(B355,DATA_LEAGUE_AVG!A:A,DATA_LEAGUE_AVG!D:D)</f>
        <v>13.9</v>
      </c>
      <c r="K355" s="177">
        <f t="shared" ref="K355:L355" si="330">S355/I355</f>
        <v>1.095449054</v>
      </c>
      <c r="L355" s="177">
        <f t="shared" si="330"/>
        <v>1.438848921</v>
      </c>
      <c r="M355" s="177">
        <v>13.0</v>
      </c>
      <c r="N355" s="177">
        <v>13.0</v>
      </c>
      <c r="O355" s="182">
        <v>36802.0</v>
      </c>
      <c r="P355" s="177">
        <v>169.0</v>
      </c>
      <c r="Q355" s="177">
        <v>294.0</v>
      </c>
      <c r="R355" s="177">
        <v>57.5</v>
      </c>
      <c r="S355" s="177">
        <v>2176.0</v>
      </c>
      <c r="T355" s="177">
        <v>20.0</v>
      </c>
      <c r="U355" s="177">
        <v>6.8</v>
      </c>
      <c r="V355" s="177">
        <v>20.0</v>
      </c>
      <c r="W355" s="177">
        <v>6.8</v>
      </c>
      <c r="X355" s="183"/>
      <c r="Y355" s="183"/>
      <c r="Z355" s="177">
        <v>44.0</v>
      </c>
      <c r="AA355" s="177">
        <v>7.4</v>
      </c>
      <c r="AB355" s="177">
        <v>5.7</v>
      </c>
      <c r="AC355" s="177">
        <v>12.9</v>
      </c>
      <c r="AD355" s="177">
        <v>167.4</v>
      </c>
      <c r="AE355" s="177">
        <v>75.2</v>
      </c>
      <c r="AF355" s="177">
        <v>16.0</v>
      </c>
      <c r="AG355" s="177">
        <v>141.0</v>
      </c>
      <c r="AH355" s="177">
        <v>5.16</v>
      </c>
      <c r="AI355" s="177">
        <v>6.56</v>
      </c>
      <c r="AJ355" s="177">
        <v>4.95</v>
      </c>
      <c r="AK355" s="177">
        <v>1.0</v>
      </c>
      <c r="AL355" s="177">
        <v>1.0</v>
      </c>
      <c r="AM355" s="177">
        <v>13.0</v>
      </c>
      <c r="AN355" s="181" t="s">
        <v>380</v>
      </c>
      <c r="AO355" s="33"/>
      <c r="AP355" s="33"/>
      <c r="AQ355" s="33"/>
      <c r="AR355" s="33"/>
      <c r="AS355" s="33"/>
    </row>
    <row r="356" hidden="1" outlineLevel="1">
      <c r="A356" s="184" t="s">
        <v>74</v>
      </c>
      <c r="B356" s="176">
        <v>1978.0</v>
      </c>
      <c r="C356" s="180">
        <f t="array" ref="C356">xlookup(B356,DATA_LEAGUE_AVG!A:A,DATA_LEAGUE_AVG!H:H)</f>
        <v>422.5</v>
      </c>
      <c r="D356" s="177" t="b">
        <f t="shared" si="1"/>
        <v>1</v>
      </c>
      <c r="E356" s="177">
        <v>33.0</v>
      </c>
      <c r="F356" s="181" t="s">
        <v>457</v>
      </c>
      <c r="G356" s="181" t="s">
        <v>369</v>
      </c>
      <c r="H356" s="181" t="s">
        <v>90</v>
      </c>
      <c r="I356" s="180">
        <f t="array" ref="I356">xlookup(B356,DATA_LEAGUE_AVG!A:A,DATA_LEAGUE_AVG!C:C)</f>
        <v>2541.4</v>
      </c>
      <c r="J356" s="180">
        <f t="array" ref="J356">xlookup(B356,DATA_LEAGUE_AVG!A:A,DATA_LEAGUE_AVG!D:D)</f>
        <v>16.7</v>
      </c>
      <c r="K356" s="177">
        <f t="shared" ref="K356:L356" si="331">S356/I356</f>
        <v>1.158416621</v>
      </c>
      <c r="L356" s="177">
        <f t="shared" si="331"/>
        <v>0.9580838323</v>
      </c>
      <c r="M356" s="177">
        <v>16.0</v>
      </c>
      <c r="N356" s="177">
        <v>16.0</v>
      </c>
      <c r="O356" s="182">
        <v>36776.0</v>
      </c>
      <c r="P356" s="177">
        <v>237.0</v>
      </c>
      <c r="Q356" s="177">
        <v>406.0</v>
      </c>
      <c r="R356" s="177">
        <v>58.4</v>
      </c>
      <c r="S356" s="177">
        <v>2944.0</v>
      </c>
      <c r="T356" s="177">
        <v>16.0</v>
      </c>
      <c r="U356" s="177">
        <v>3.9</v>
      </c>
      <c r="V356" s="177">
        <v>30.0</v>
      </c>
      <c r="W356" s="177">
        <v>7.4</v>
      </c>
      <c r="X356" s="177">
        <v>155.0</v>
      </c>
      <c r="Y356" s="177">
        <v>44.7</v>
      </c>
      <c r="Z356" s="177">
        <v>49.0</v>
      </c>
      <c r="AA356" s="177">
        <v>7.3</v>
      </c>
      <c r="AB356" s="177">
        <v>4.71</v>
      </c>
      <c r="AC356" s="177">
        <v>12.4</v>
      </c>
      <c r="AD356" s="177">
        <v>184.0</v>
      </c>
      <c r="AE356" s="177">
        <v>63.3</v>
      </c>
      <c r="AF356" s="177">
        <v>37.0</v>
      </c>
      <c r="AG356" s="177">
        <v>347.0</v>
      </c>
      <c r="AH356" s="177">
        <v>8.35</v>
      </c>
      <c r="AI356" s="177">
        <v>5.86</v>
      </c>
      <c r="AJ356" s="177">
        <v>3.54</v>
      </c>
      <c r="AK356" s="177">
        <v>3.0</v>
      </c>
      <c r="AL356" s="177">
        <v>3.0</v>
      </c>
      <c r="AM356" s="177">
        <v>10.0</v>
      </c>
      <c r="AN356" s="183"/>
      <c r="AO356" s="33"/>
      <c r="AP356" s="33"/>
      <c r="AQ356" s="33"/>
      <c r="AR356" s="33"/>
      <c r="AS356" s="33"/>
    </row>
    <row r="357" hidden="1" outlineLevel="1">
      <c r="A357" s="184" t="s">
        <v>74</v>
      </c>
      <c r="B357" s="176">
        <v>1979.0</v>
      </c>
      <c r="C357" s="180">
        <f t="array" ref="C357">xlookup(B357,DATA_LEAGUE_AVG!A:A,DATA_LEAGUE_AVG!H:H)</f>
        <v>463.5</v>
      </c>
      <c r="D357" s="177" t="b">
        <f t="shared" si="1"/>
        <v>1</v>
      </c>
      <c r="E357" s="177">
        <v>34.0</v>
      </c>
      <c r="F357" s="181" t="s">
        <v>457</v>
      </c>
      <c r="G357" s="181" t="s">
        <v>369</v>
      </c>
      <c r="H357" s="181" t="s">
        <v>90</v>
      </c>
      <c r="I357" s="180">
        <f t="array" ref="I357">xlookup(B357,DATA_LEAGUE_AVG!A:A,DATA_LEAGUE_AVG!C:C)</f>
        <v>2886</v>
      </c>
      <c r="J357" s="180">
        <f t="array" ref="J357">xlookup(B357,DATA_LEAGUE_AVG!A:A,DATA_LEAGUE_AVG!D:D)</f>
        <v>19.2</v>
      </c>
      <c r="K357" s="177">
        <f t="shared" ref="K357:L357" si="332">S357/I357</f>
        <v>1.252598753</v>
      </c>
      <c r="L357" s="177">
        <f t="shared" si="332"/>
        <v>1.354166667</v>
      </c>
      <c r="M357" s="177">
        <v>16.0</v>
      </c>
      <c r="N357" s="177">
        <v>16.0</v>
      </c>
      <c r="O357" s="182">
        <v>36776.0</v>
      </c>
      <c r="P357" s="177">
        <v>304.0</v>
      </c>
      <c r="Q357" s="177">
        <v>498.0</v>
      </c>
      <c r="R357" s="177">
        <v>61.0</v>
      </c>
      <c r="S357" s="177">
        <v>3615.0</v>
      </c>
      <c r="T357" s="177">
        <v>26.0</v>
      </c>
      <c r="U357" s="177">
        <v>5.2</v>
      </c>
      <c r="V357" s="177">
        <v>22.0</v>
      </c>
      <c r="W357" s="177">
        <v>4.4</v>
      </c>
      <c r="X357" s="177">
        <v>185.0</v>
      </c>
      <c r="Y357" s="177">
        <v>49.6</v>
      </c>
      <c r="Z357" s="177">
        <v>66.0</v>
      </c>
      <c r="AA357" s="177">
        <v>7.3</v>
      </c>
      <c r="AB357" s="177">
        <v>6.32</v>
      </c>
      <c r="AC357" s="177">
        <v>11.9</v>
      </c>
      <c r="AD357" s="177">
        <v>225.9</v>
      </c>
      <c r="AE357" s="177">
        <v>82.2</v>
      </c>
      <c r="AF357" s="177">
        <v>34.0</v>
      </c>
      <c r="AG357" s="177">
        <v>284.0</v>
      </c>
      <c r="AH357" s="177">
        <v>6.39</v>
      </c>
      <c r="AI357" s="177">
        <v>6.26</v>
      </c>
      <c r="AJ357" s="177">
        <v>5.38</v>
      </c>
      <c r="AK357" s="177">
        <v>1.0</v>
      </c>
      <c r="AL357" s="177">
        <v>1.0</v>
      </c>
      <c r="AM357" s="177">
        <v>14.0</v>
      </c>
      <c r="AN357" s="181" t="s">
        <v>458</v>
      </c>
      <c r="AO357" s="33"/>
      <c r="AP357" s="33"/>
      <c r="AQ357" s="33"/>
      <c r="AR357" s="33"/>
      <c r="AS357" s="33"/>
    </row>
    <row r="358" hidden="1" outlineLevel="1">
      <c r="A358" s="184" t="s">
        <v>74</v>
      </c>
      <c r="B358" s="176">
        <v>1980.0</v>
      </c>
      <c r="C358" s="180">
        <f t="array" ref="C358">xlookup(B358,DATA_LEAGUE_AVG!A:A,DATA_LEAGUE_AVG!H:H)</f>
        <v>489.5</v>
      </c>
      <c r="D358" s="177" t="b">
        <f t="shared" si="1"/>
        <v>1</v>
      </c>
      <c r="E358" s="177">
        <v>35.0</v>
      </c>
      <c r="F358" s="181" t="s">
        <v>450</v>
      </c>
      <c r="G358" s="181" t="s">
        <v>369</v>
      </c>
      <c r="H358" s="181" t="s">
        <v>90</v>
      </c>
      <c r="I358" s="180">
        <f t="array" ref="I358">xlookup(B358,DATA_LEAGUE_AVG!A:A,DATA_LEAGUE_AVG!C:C)</f>
        <v>3135.3</v>
      </c>
      <c r="J358" s="180">
        <f t="array" ref="J358">xlookup(B358,DATA_LEAGUE_AVG!A:A,DATA_LEAGUE_AVG!D:D)</f>
        <v>21.6</v>
      </c>
      <c r="K358" s="177">
        <f t="shared" ref="K358:L358" si="333">S358/I358</f>
        <v>1.021273881</v>
      </c>
      <c r="L358" s="177">
        <f t="shared" si="333"/>
        <v>0.6018518519</v>
      </c>
      <c r="M358" s="177">
        <v>16.0</v>
      </c>
      <c r="N358" s="177">
        <v>16.0</v>
      </c>
      <c r="O358" s="182">
        <v>36835.0</v>
      </c>
      <c r="P358" s="177">
        <v>293.0</v>
      </c>
      <c r="Q358" s="177">
        <v>457.0</v>
      </c>
      <c r="R358" s="177">
        <v>64.1</v>
      </c>
      <c r="S358" s="177">
        <v>3202.0</v>
      </c>
      <c r="T358" s="177">
        <v>13.0</v>
      </c>
      <c r="U358" s="177">
        <v>2.8</v>
      </c>
      <c r="V358" s="177">
        <v>28.0</v>
      </c>
      <c r="W358" s="177">
        <v>6.1</v>
      </c>
      <c r="X358" s="177">
        <v>151.0</v>
      </c>
      <c r="Y358" s="177">
        <v>44.4</v>
      </c>
      <c r="Z358" s="177">
        <v>79.0</v>
      </c>
      <c r="AA358" s="177">
        <v>7.0</v>
      </c>
      <c r="AB358" s="177">
        <v>4.82</v>
      </c>
      <c r="AC358" s="177">
        <v>10.9</v>
      </c>
      <c r="AD358" s="177">
        <v>200.1</v>
      </c>
      <c r="AE358" s="177">
        <v>68.7</v>
      </c>
      <c r="AF358" s="177">
        <v>27.0</v>
      </c>
      <c r="AG358" s="177">
        <v>264.0</v>
      </c>
      <c r="AH358" s="177">
        <v>5.58</v>
      </c>
      <c r="AI358" s="177">
        <v>6.07</v>
      </c>
      <c r="AJ358" s="177">
        <v>4.0</v>
      </c>
      <c r="AK358" s="177">
        <v>2.0</v>
      </c>
      <c r="AL358" s="177">
        <v>2.0</v>
      </c>
      <c r="AM358" s="177">
        <v>9.0</v>
      </c>
      <c r="AN358" s="183"/>
      <c r="AO358" s="33"/>
      <c r="AP358" s="33"/>
      <c r="AQ358" s="33"/>
      <c r="AR358" s="33"/>
      <c r="AS358" s="33"/>
    </row>
    <row r="359" hidden="1" outlineLevel="1">
      <c r="A359" s="184" t="s">
        <v>74</v>
      </c>
      <c r="B359" s="176">
        <v>1981.0</v>
      </c>
      <c r="C359" s="180">
        <f t="array" ref="C359">xlookup(B359,DATA_LEAGUE_AVG!A:A,DATA_LEAGUE_AVG!H:H)</f>
        <v>506.4</v>
      </c>
      <c r="D359" s="177" t="b">
        <f t="shared" si="1"/>
        <v>1</v>
      </c>
      <c r="E359" s="177">
        <v>36.0</v>
      </c>
      <c r="F359" s="181" t="s">
        <v>450</v>
      </c>
      <c r="G359" s="181" t="s">
        <v>369</v>
      </c>
      <c r="H359" s="181" t="s">
        <v>90</v>
      </c>
      <c r="I359" s="180">
        <f t="array" ref="I359">xlookup(B359,DATA_LEAGUE_AVG!A:A,DATA_LEAGUE_AVG!C:C)</f>
        <v>3269.8</v>
      </c>
      <c r="J359" s="180">
        <f t="array" ref="J359">xlookup(B359,DATA_LEAGUE_AVG!A:A,DATA_LEAGUE_AVG!D:D)</f>
        <v>21.1</v>
      </c>
      <c r="K359" s="177">
        <f t="shared" ref="K359:L359" si="334">S359/I359</f>
        <v>0.6079882562</v>
      </c>
      <c r="L359" s="177">
        <f t="shared" si="334"/>
        <v>0.663507109</v>
      </c>
      <c r="M359" s="177">
        <v>13.0</v>
      </c>
      <c r="N359" s="177">
        <v>12.0</v>
      </c>
      <c r="O359" s="182">
        <v>36653.0</v>
      </c>
      <c r="P359" s="177">
        <v>165.0</v>
      </c>
      <c r="Q359" s="177">
        <v>285.0</v>
      </c>
      <c r="R359" s="177">
        <v>57.9</v>
      </c>
      <c r="S359" s="177">
        <v>1988.0</v>
      </c>
      <c r="T359" s="177">
        <v>14.0</v>
      </c>
      <c r="U359" s="177">
        <v>4.9</v>
      </c>
      <c r="V359" s="177">
        <v>18.0</v>
      </c>
      <c r="W359" s="177">
        <v>6.3</v>
      </c>
      <c r="X359" s="177">
        <v>80.0</v>
      </c>
      <c r="Y359" s="177">
        <v>37.3</v>
      </c>
      <c r="Z359" s="177">
        <v>71.0</v>
      </c>
      <c r="AA359" s="177">
        <v>7.0</v>
      </c>
      <c r="AB359" s="177">
        <v>5.12</v>
      </c>
      <c r="AC359" s="177">
        <v>12.0</v>
      </c>
      <c r="AD359" s="177">
        <v>152.9</v>
      </c>
      <c r="AE359" s="177">
        <v>69.5</v>
      </c>
      <c r="AF359" s="177">
        <v>29.0</v>
      </c>
      <c r="AG359" s="177">
        <v>254.0</v>
      </c>
      <c r="AH359" s="177">
        <v>9.24</v>
      </c>
      <c r="AI359" s="177">
        <v>5.52</v>
      </c>
      <c r="AJ359" s="177">
        <v>3.83</v>
      </c>
      <c r="AK359" s="177">
        <v>0.0</v>
      </c>
      <c r="AL359" s="177">
        <v>0.0</v>
      </c>
      <c r="AM359" s="177">
        <v>5.0</v>
      </c>
      <c r="AN359" s="183"/>
      <c r="AO359" s="33"/>
      <c r="AP359" s="33"/>
      <c r="AQ359" s="33"/>
      <c r="AR359" s="33"/>
      <c r="AS359" s="33"/>
    </row>
    <row r="360" hidden="1" outlineLevel="1">
      <c r="A360" s="184" t="s">
        <v>74</v>
      </c>
      <c r="B360" s="176">
        <v>1982.0</v>
      </c>
      <c r="C360" s="180">
        <f t="array" ref="C360">xlookup(B360,DATA_LEAGUE_AVG!A:A,DATA_LEAGUE_AVG!H:H)</f>
        <v>283.3</v>
      </c>
      <c r="D360" s="177" t="b">
        <f t="shared" si="1"/>
        <v>1</v>
      </c>
      <c r="E360" s="177">
        <v>37.0</v>
      </c>
      <c r="F360" s="181" t="s">
        <v>393</v>
      </c>
      <c r="G360" s="181" t="s">
        <v>369</v>
      </c>
      <c r="H360" s="181" t="s">
        <v>90</v>
      </c>
      <c r="I360" s="180">
        <f t="array" ref="I360">xlookup(B360,DATA_LEAGUE_AVG!A:A,DATA_LEAGUE_AVG!C:C)</f>
        <v>1794.9</v>
      </c>
      <c r="J360" s="180">
        <f t="array" ref="J360">xlookup(B360,DATA_LEAGUE_AVG!A:A,DATA_LEAGUE_AVG!D:D)</f>
        <v>11.4</v>
      </c>
      <c r="K360" s="177">
        <f t="shared" ref="K360:L360" si="335">S360/I360</f>
        <v>0.7482310992</v>
      </c>
      <c r="L360" s="177">
        <f t="shared" si="335"/>
        <v>0.5263157895</v>
      </c>
      <c r="M360" s="177">
        <v>8.0</v>
      </c>
      <c r="N360" s="177">
        <v>8.0</v>
      </c>
      <c r="O360" s="182">
        <v>36620.0</v>
      </c>
      <c r="P360" s="177">
        <v>117.0</v>
      </c>
      <c r="Q360" s="177">
        <v>189.0</v>
      </c>
      <c r="R360" s="177">
        <v>61.9</v>
      </c>
      <c r="S360" s="177">
        <v>1343.0</v>
      </c>
      <c r="T360" s="177">
        <v>6.0</v>
      </c>
      <c r="U360" s="177">
        <v>3.2</v>
      </c>
      <c r="V360" s="177">
        <v>10.0</v>
      </c>
      <c r="W360" s="177">
        <v>5.3</v>
      </c>
      <c r="X360" s="177">
        <v>65.0</v>
      </c>
      <c r="Y360" s="177">
        <v>46.5</v>
      </c>
      <c r="Z360" s="177">
        <v>48.0</v>
      </c>
      <c r="AA360" s="177">
        <v>7.1</v>
      </c>
      <c r="AB360" s="177">
        <v>5.36</v>
      </c>
      <c r="AC360" s="177">
        <v>11.5</v>
      </c>
      <c r="AD360" s="177">
        <v>167.9</v>
      </c>
      <c r="AE360" s="177">
        <v>71.8</v>
      </c>
      <c r="AF360" s="177">
        <v>13.0</v>
      </c>
      <c r="AG360" s="177">
        <v>106.0</v>
      </c>
      <c r="AH360" s="177">
        <v>6.44</v>
      </c>
      <c r="AI360" s="177">
        <v>6.12</v>
      </c>
      <c r="AJ360" s="177">
        <v>4.49</v>
      </c>
      <c r="AK360" s="177">
        <v>0.0</v>
      </c>
      <c r="AL360" s="177">
        <v>0.0</v>
      </c>
      <c r="AM360" s="177">
        <v>7.0</v>
      </c>
      <c r="AN360" s="183"/>
      <c r="AO360" s="33"/>
      <c r="AP360" s="33"/>
      <c r="AQ360" s="33"/>
      <c r="AR360" s="33"/>
      <c r="AS360" s="33"/>
    </row>
    <row r="361" hidden="1" outlineLevel="1">
      <c r="A361" s="184" t="s">
        <v>74</v>
      </c>
      <c r="B361" s="176">
        <v>1983.0</v>
      </c>
      <c r="C361" s="180">
        <f t="array" ref="C361">xlookup(B361,DATA_LEAGUE_AVG!A:A,DATA_LEAGUE_AVG!H:H)</f>
        <v>501.7</v>
      </c>
      <c r="D361" s="177" t="b">
        <f t="shared" si="1"/>
        <v>1</v>
      </c>
      <c r="E361" s="177">
        <v>38.0</v>
      </c>
      <c r="F361" s="181" t="s">
        <v>393</v>
      </c>
      <c r="G361" s="181" t="s">
        <v>369</v>
      </c>
      <c r="H361" s="181" t="s">
        <v>90</v>
      </c>
      <c r="I361" s="180">
        <f t="array" ref="I361">xlookup(B361,DATA_LEAGUE_AVG!A:A,DATA_LEAGUE_AVG!C:C)</f>
        <v>3274</v>
      </c>
      <c r="J361" s="180">
        <f t="array" ref="J361">xlookup(B361,DATA_LEAGUE_AVG!A:A,DATA_LEAGUE_AVG!D:D)</f>
        <v>22.3</v>
      </c>
      <c r="K361" s="177">
        <f t="shared" ref="K361:L361" si="336">S361/I361</f>
        <v>0.6072083079</v>
      </c>
      <c r="L361" s="177">
        <f t="shared" si="336"/>
        <v>0.4035874439</v>
      </c>
      <c r="M361" s="177">
        <v>14.0</v>
      </c>
      <c r="N361" s="177">
        <v>14.0</v>
      </c>
      <c r="O361" s="182">
        <v>36714.0</v>
      </c>
      <c r="P361" s="177">
        <v>176.0</v>
      </c>
      <c r="Q361" s="177">
        <v>311.0</v>
      </c>
      <c r="R361" s="177">
        <v>56.6</v>
      </c>
      <c r="S361" s="177">
        <v>1988.0</v>
      </c>
      <c r="T361" s="177">
        <v>9.0</v>
      </c>
      <c r="U361" s="177">
        <v>2.9</v>
      </c>
      <c r="V361" s="177">
        <v>18.0</v>
      </c>
      <c r="W361" s="177">
        <v>5.8</v>
      </c>
      <c r="X361" s="177">
        <v>102.0</v>
      </c>
      <c r="Y361" s="177">
        <v>43.5</v>
      </c>
      <c r="Z361" s="177">
        <v>48.0</v>
      </c>
      <c r="AA361" s="177">
        <v>6.4</v>
      </c>
      <c r="AB361" s="177">
        <v>4.37</v>
      </c>
      <c r="AC361" s="177">
        <v>11.3</v>
      </c>
      <c r="AD361" s="177">
        <v>142.0</v>
      </c>
      <c r="AE361" s="177">
        <v>61.4</v>
      </c>
      <c r="AF361" s="177">
        <v>18.0</v>
      </c>
      <c r="AG361" s="177">
        <v>159.0</v>
      </c>
      <c r="AH361" s="177">
        <v>5.47</v>
      </c>
      <c r="AI361" s="177">
        <v>5.56</v>
      </c>
      <c r="AJ361" s="177">
        <v>3.64</v>
      </c>
      <c r="AK361" s="177">
        <v>2.0</v>
      </c>
      <c r="AL361" s="177">
        <v>4.0</v>
      </c>
      <c r="AM361" s="177">
        <v>4.0</v>
      </c>
      <c r="AN361" s="183"/>
      <c r="AO361" s="33"/>
      <c r="AP361" s="33"/>
      <c r="AQ361" s="33"/>
      <c r="AR361" s="33"/>
      <c r="AS361" s="33"/>
    </row>
    <row r="362">
      <c r="A362" s="187"/>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row>
    <row r="363">
      <c r="A363" s="187"/>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row>
    <row r="364">
      <c r="A364" s="187"/>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row>
    <row r="365">
      <c r="A365" s="187"/>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row>
    <row r="366">
      <c r="A366" s="187"/>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row>
    <row r="367">
      <c r="A367" s="187"/>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row>
    <row r="368">
      <c r="A368" s="187"/>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row>
    <row r="369">
      <c r="A369" s="187"/>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row>
    <row r="370">
      <c r="A370" s="187"/>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row>
    <row r="371">
      <c r="A371" s="187"/>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row>
    <row r="372">
      <c r="A372" s="187"/>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row>
    <row r="373">
      <c r="A373" s="187"/>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row>
    <row r="374">
      <c r="A374" s="187"/>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row>
    <row r="375">
      <c r="A375" s="187"/>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row>
    <row r="376">
      <c r="A376" s="187"/>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row>
    <row r="377">
      <c r="A377" s="187"/>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row>
    <row r="378">
      <c r="A378" s="187"/>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row>
    <row r="379">
      <c r="A379" s="187"/>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row>
    <row r="380">
      <c r="A380" s="187"/>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row>
    <row r="381">
      <c r="A381" s="187"/>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row>
    <row r="382">
      <c r="A382" s="187"/>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row>
    <row r="383">
      <c r="A383" s="187"/>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row>
    <row r="384">
      <c r="A384" s="187"/>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row>
    <row r="385">
      <c r="A385" s="187"/>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row>
    <row r="386">
      <c r="A386" s="187"/>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row>
    <row r="387">
      <c r="A387" s="187"/>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row>
    <row r="388">
      <c r="A388" s="187"/>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row>
    <row r="389">
      <c r="A389" s="187"/>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row>
    <row r="390">
      <c r="A390" s="187"/>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row>
    <row r="391">
      <c r="A391" s="187"/>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row>
    <row r="392">
      <c r="A392" s="187"/>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row>
    <row r="393">
      <c r="A393" s="187"/>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row>
    <row r="394">
      <c r="A394" s="187"/>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row>
    <row r="395">
      <c r="A395" s="187"/>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row>
    <row r="396">
      <c r="A396" s="187"/>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row>
    <row r="397">
      <c r="A397" s="187"/>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row>
    <row r="398">
      <c r="A398" s="187"/>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row>
    <row r="399">
      <c r="A399" s="187"/>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row>
    <row r="400">
      <c r="A400" s="187"/>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row>
    <row r="401">
      <c r="A401" s="187"/>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row>
    <row r="402">
      <c r="A402" s="187"/>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row>
    <row r="403">
      <c r="A403" s="187"/>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row>
    <row r="404">
      <c r="A404" s="187"/>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row>
    <row r="405">
      <c r="A405" s="187"/>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row>
    <row r="406">
      <c r="A406" s="187"/>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row>
    <row r="407">
      <c r="A407" s="187"/>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row>
    <row r="408">
      <c r="A408" s="187"/>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row>
    <row r="409">
      <c r="A409" s="187"/>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row>
    <row r="410">
      <c r="A410" s="187"/>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row>
    <row r="411">
      <c r="A411" s="187"/>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row>
    <row r="412">
      <c r="A412" s="187"/>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row>
    <row r="413">
      <c r="A413" s="187"/>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row>
    <row r="414">
      <c r="A414" s="187"/>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row>
    <row r="415">
      <c r="A415" s="187"/>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row>
    <row r="416">
      <c r="A416" s="187"/>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row>
    <row r="417">
      <c r="A417" s="187"/>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row>
    <row r="418">
      <c r="A418" s="187"/>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row>
    <row r="419">
      <c r="A419" s="187"/>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row>
    <row r="420">
      <c r="A420" s="187"/>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row>
    <row r="421">
      <c r="A421" s="187"/>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row>
    <row r="422">
      <c r="A422" s="187"/>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row>
    <row r="423">
      <c r="A423" s="187"/>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row>
    <row r="424">
      <c r="A424" s="187"/>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row>
    <row r="425">
      <c r="A425" s="187"/>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row>
    <row r="426">
      <c r="A426" s="187"/>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row>
    <row r="427">
      <c r="A427" s="187"/>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row>
    <row r="428">
      <c r="A428" s="187"/>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row>
    <row r="429">
      <c r="A429" s="187"/>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row>
    <row r="430">
      <c r="A430" s="187"/>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row>
    <row r="431">
      <c r="A431" s="187"/>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row>
    <row r="432">
      <c r="A432" s="187"/>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row>
    <row r="433">
      <c r="A433" s="187"/>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row>
    <row r="434">
      <c r="A434" s="187"/>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row>
    <row r="435">
      <c r="A435" s="187"/>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row>
    <row r="436">
      <c r="A436" s="187"/>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row>
    <row r="437">
      <c r="A437" s="187"/>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row>
    <row r="438">
      <c r="A438" s="187"/>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row>
    <row r="439">
      <c r="A439" s="187"/>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row>
    <row r="440">
      <c r="A440" s="187"/>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row>
    <row r="441">
      <c r="A441" s="187"/>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row>
    <row r="442">
      <c r="A442" s="187"/>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row>
    <row r="443">
      <c r="A443" s="187"/>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row>
    <row r="444">
      <c r="A444" s="187"/>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row>
    <row r="445">
      <c r="A445" s="187"/>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row>
    <row r="446">
      <c r="A446" s="187"/>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row>
    <row r="447">
      <c r="A447" s="187"/>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row>
    <row r="448">
      <c r="A448" s="187"/>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row>
    <row r="449">
      <c r="A449" s="187"/>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row>
    <row r="450">
      <c r="A450" s="187"/>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row>
    <row r="451">
      <c r="A451" s="187"/>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row>
    <row r="452">
      <c r="A452" s="187"/>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row>
    <row r="453">
      <c r="A453" s="187"/>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row>
    <row r="454">
      <c r="A454" s="187"/>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row>
    <row r="455">
      <c r="A455" s="187"/>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row>
    <row r="456">
      <c r="A456" s="187"/>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row>
    <row r="457">
      <c r="A457" s="187"/>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row>
    <row r="458">
      <c r="A458" s="187"/>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row>
    <row r="459">
      <c r="A459" s="187"/>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row>
    <row r="460">
      <c r="A460" s="187"/>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row>
    <row r="461">
      <c r="A461" s="187"/>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row>
    <row r="462">
      <c r="A462" s="187"/>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row>
    <row r="463">
      <c r="A463" s="187"/>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row>
    <row r="464">
      <c r="A464" s="187"/>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row>
    <row r="465">
      <c r="A465" s="187"/>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row>
    <row r="466">
      <c r="A466" s="187"/>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row>
    <row r="467">
      <c r="A467" s="187"/>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row>
    <row r="468">
      <c r="A468" s="187"/>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row>
    <row r="469">
      <c r="A469" s="187"/>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row>
    <row r="470">
      <c r="A470" s="187"/>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row>
    <row r="471">
      <c r="A471" s="187"/>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row>
    <row r="472">
      <c r="A472" s="187"/>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row>
    <row r="473">
      <c r="A473" s="187"/>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row>
    <row r="474">
      <c r="A474" s="187"/>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row>
    <row r="475">
      <c r="A475" s="187"/>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row>
    <row r="476">
      <c r="A476" s="187"/>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row>
    <row r="477">
      <c r="A477" s="187"/>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row>
    <row r="478">
      <c r="A478" s="187"/>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row>
    <row r="479">
      <c r="A479" s="187"/>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row>
    <row r="480">
      <c r="A480" s="187"/>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row>
    <row r="481">
      <c r="A481" s="187"/>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row>
    <row r="482">
      <c r="A482" s="187"/>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row>
    <row r="483">
      <c r="A483" s="187"/>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row>
    <row r="484">
      <c r="A484" s="187"/>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row>
    <row r="485">
      <c r="A485" s="187"/>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row>
    <row r="486">
      <c r="A486" s="187"/>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row>
    <row r="487">
      <c r="A487" s="187"/>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row>
    <row r="488">
      <c r="A488" s="187"/>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row>
    <row r="489">
      <c r="A489" s="187"/>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row>
    <row r="490">
      <c r="A490" s="187"/>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row>
    <row r="491">
      <c r="A491" s="187"/>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row>
    <row r="492">
      <c r="A492" s="187"/>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row>
    <row r="493">
      <c r="A493" s="187"/>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row>
    <row r="494">
      <c r="A494" s="187"/>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row>
    <row r="495">
      <c r="A495" s="187"/>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row>
    <row r="496">
      <c r="A496" s="187"/>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row>
    <row r="497">
      <c r="A497" s="187"/>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row>
    <row r="498">
      <c r="A498" s="187"/>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row>
    <row r="499">
      <c r="A499" s="187"/>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row>
    <row r="500">
      <c r="A500" s="187"/>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row>
    <row r="501">
      <c r="A501" s="187"/>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row>
    <row r="502">
      <c r="A502" s="187"/>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row>
    <row r="503">
      <c r="A503" s="187"/>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row>
    <row r="504">
      <c r="A504" s="187"/>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row>
    <row r="505">
      <c r="A505" s="187"/>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row>
    <row r="506">
      <c r="A506" s="187"/>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row>
    <row r="507">
      <c r="A507" s="187"/>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row>
    <row r="508">
      <c r="A508" s="187"/>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row>
    <row r="509">
      <c r="A509" s="187"/>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row>
    <row r="510">
      <c r="A510" s="187"/>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row>
    <row r="511">
      <c r="A511" s="187"/>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row>
    <row r="512">
      <c r="A512" s="187"/>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row>
    <row r="513">
      <c r="A513" s="187"/>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row>
    <row r="514">
      <c r="A514" s="187"/>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row>
    <row r="515">
      <c r="A515" s="187"/>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row>
    <row r="516">
      <c r="A516" s="187"/>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row>
    <row r="517">
      <c r="A517" s="187"/>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row>
    <row r="518">
      <c r="A518" s="187"/>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row>
    <row r="519">
      <c r="A519" s="187"/>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row>
    <row r="520">
      <c r="A520" s="187"/>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row>
    <row r="521">
      <c r="A521" s="187"/>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row>
    <row r="522">
      <c r="A522" s="187"/>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row>
    <row r="523">
      <c r="A523" s="187"/>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row>
    <row r="524">
      <c r="A524" s="187"/>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row>
    <row r="525">
      <c r="A525" s="187"/>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row>
    <row r="526">
      <c r="A526" s="187"/>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row>
    <row r="527">
      <c r="A527" s="187"/>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row>
    <row r="528">
      <c r="A528" s="187"/>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row>
    <row r="529">
      <c r="A529" s="187"/>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row>
    <row r="530">
      <c r="A530" s="187"/>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row>
    <row r="531">
      <c r="A531" s="187"/>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row>
    <row r="532">
      <c r="A532" s="187"/>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row>
    <row r="533">
      <c r="A533" s="187"/>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row>
    <row r="534">
      <c r="A534" s="187"/>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row>
    <row r="535">
      <c r="A535" s="187"/>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row>
    <row r="536">
      <c r="A536" s="187"/>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row>
    <row r="537">
      <c r="A537" s="187"/>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row>
    <row r="538">
      <c r="A538" s="187"/>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row>
    <row r="539">
      <c r="A539" s="187"/>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row>
    <row r="540">
      <c r="A540" s="187"/>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row>
    <row r="541">
      <c r="A541" s="187"/>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row>
    <row r="542">
      <c r="A542" s="187"/>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row>
    <row r="543">
      <c r="A543" s="187"/>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row>
    <row r="544">
      <c r="A544" s="187"/>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row>
    <row r="545">
      <c r="A545" s="187"/>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row>
    <row r="546">
      <c r="A546" s="187"/>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row>
    <row r="547">
      <c r="A547" s="187"/>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row>
    <row r="548">
      <c r="A548" s="187"/>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row>
    <row r="549">
      <c r="A549" s="187"/>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row>
    <row r="550">
      <c r="A550" s="187"/>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row>
    <row r="551">
      <c r="A551" s="187"/>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row>
    <row r="552">
      <c r="A552" s="187"/>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row>
    <row r="553">
      <c r="A553" s="187"/>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row>
    <row r="554">
      <c r="A554" s="187"/>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row>
    <row r="555">
      <c r="A555" s="187"/>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row>
    <row r="556">
      <c r="A556" s="187"/>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row>
    <row r="557">
      <c r="A557" s="187"/>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row>
    <row r="558">
      <c r="A558" s="187"/>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row>
    <row r="559">
      <c r="A559" s="187"/>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row>
    <row r="560">
      <c r="A560" s="187"/>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row>
    <row r="561">
      <c r="A561" s="187"/>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row>
    <row r="562">
      <c r="A562" s="187"/>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row>
    <row r="563">
      <c r="A563" s="187"/>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row>
    <row r="564">
      <c r="A564" s="187"/>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row>
    <row r="565">
      <c r="A565" s="187"/>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row>
    <row r="566">
      <c r="A566" s="187"/>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row>
    <row r="567">
      <c r="A567" s="187"/>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row>
    <row r="568">
      <c r="A568" s="187"/>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row>
    <row r="569">
      <c r="A569" s="187"/>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row>
    <row r="570">
      <c r="A570" s="187"/>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row>
    <row r="571">
      <c r="A571" s="187"/>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row>
    <row r="572">
      <c r="A572" s="187"/>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row>
    <row r="573">
      <c r="A573" s="187"/>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row>
    <row r="574">
      <c r="A574" s="187"/>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row>
    <row r="575">
      <c r="A575" s="187"/>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row>
    <row r="576">
      <c r="A576" s="187"/>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row>
    <row r="577">
      <c r="A577" s="187"/>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row>
    <row r="578">
      <c r="A578" s="187"/>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row>
    <row r="579">
      <c r="A579" s="187"/>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row>
    <row r="580">
      <c r="A580" s="187"/>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row>
    <row r="581">
      <c r="A581" s="187"/>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row>
    <row r="582">
      <c r="A582" s="187"/>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row>
    <row r="583">
      <c r="A583" s="187"/>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row>
    <row r="584">
      <c r="A584" s="187"/>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row>
    <row r="585">
      <c r="A585" s="187"/>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row>
    <row r="586">
      <c r="A586" s="187"/>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row>
    <row r="587">
      <c r="A587" s="187"/>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row>
    <row r="588">
      <c r="A588" s="187"/>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row>
    <row r="589">
      <c r="A589" s="187"/>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row>
    <row r="590">
      <c r="A590" s="187"/>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row>
    <row r="591">
      <c r="A591" s="187"/>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row>
    <row r="592">
      <c r="A592" s="187"/>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row>
    <row r="593">
      <c r="A593" s="187"/>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row>
    <row r="594">
      <c r="A594" s="187"/>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row>
    <row r="595">
      <c r="A595" s="187"/>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row>
    <row r="596">
      <c r="A596" s="187"/>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row>
    <row r="597">
      <c r="A597" s="187"/>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row>
    <row r="598">
      <c r="A598" s="187"/>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row>
    <row r="599">
      <c r="A599" s="187"/>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row>
    <row r="600">
      <c r="A600" s="187"/>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row>
    <row r="601">
      <c r="A601" s="187"/>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row>
    <row r="602">
      <c r="A602" s="187"/>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row>
    <row r="603">
      <c r="A603" s="187"/>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row>
    <row r="604">
      <c r="A604" s="187"/>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row>
    <row r="605">
      <c r="A605" s="187"/>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row>
    <row r="606">
      <c r="A606" s="187"/>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row>
    <row r="607">
      <c r="A607" s="187"/>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row>
    <row r="608">
      <c r="A608" s="187"/>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row>
    <row r="609">
      <c r="A609" s="187"/>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row>
    <row r="610">
      <c r="A610" s="187"/>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row>
    <row r="611">
      <c r="A611" s="187"/>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row>
    <row r="612">
      <c r="A612" s="187"/>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row>
    <row r="613">
      <c r="A613" s="187"/>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row>
    <row r="614">
      <c r="A614" s="187"/>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row>
    <row r="615">
      <c r="A615" s="187"/>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row>
    <row r="616">
      <c r="A616" s="187"/>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row>
    <row r="617">
      <c r="A617" s="187"/>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row>
    <row r="618">
      <c r="A618" s="187"/>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row>
    <row r="619">
      <c r="A619" s="187"/>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row>
    <row r="620">
      <c r="A620" s="187"/>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row>
    <row r="621">
      <c r="A621" s="187"/>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row>
    <row r="622">
      <c r="A622" s="187"/>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row>
    <row r="623">
      <c r="A623" s="187"/>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row>
    <row r="624">
      <c r="A624" s="187"/>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row>
    <row r="625">
      <c r="A625" s="187"/>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row>
    <row r="626">
      <c r="A626" s="187"/>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row>
    <row r="627">
      <c r="A627" s="187"/>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row>
    <row r="628">
      <c r="A628" s="187"/>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row>
    <row r="629">
      <c r="A629" s="187"/>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row>
    <row r="630">
      <c r="A630" s="187"/>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row>
    <row r="631">
      <c r="A631" s="187"/>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row>
    <row r="632">
      <c r="A632" s="187"/>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row>
    <row r="633">
      <c r="A633" s="187"/>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row>
    <row r="634">
      <c r="A634" s="187"/>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row>
    <row r="635">
      <c r="A635" s="187"/>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row>
    <row r="636">
      <c r="A636" s="187"/>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row>
    <row r="637">
      <c r="A637" s="187"/>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row>
    <row r="638">
      <c r="A638" s="187"/>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row>
    <row r="639">
      <c r="A639" s="187"/>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row>
    <row r="640">
      <c r="A640" s="187"/>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row>
    <row r="641">
      <c r="A641" s="187"/>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row>
    <row r="642">
      <c r="A642" s="187"/>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row>
    <row r="643">
      <c r="A643" s="187"/>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row>
    <row r="644">
      <c r="A644" s="187"/>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row>
    <row r="645">
      <c r="A645" s="187"/>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row>
    <row r="646">
      <c r="A646" s="187"/>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row>
    <row r="647">
      <c r="A647" s="187"/>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row>
    <row r="648">
      <c r="A648" s="187"/>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row>
    <row r="649">
      <c r="A649" s="187"/>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row>
    <row r="650">
      <c r="A650" s="187"/>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row>
    <row r="651">
      <c r="A651" s="187"/>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row>
    <row r="652">
      <c r="A652" s="187"/>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row>
    <row r="653">
      <c r="A653" s="187"/>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row>
    <row r="654">
      <c r="A654" s="187"/>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row>
    <row r="655">
      <c r="A655" s="187"/>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row>
    <row r="656">
      <c r="A656" s="187"/>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row>
    <row r="657">
      <c r="A657" s="187"/>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row>
    <row r="658">
      <c r="A658" s="187"/>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row>
    <row r="659">
      <c r="A659" s="187"/>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row>
    <row r="660">
      <c r="A660" s="187"/>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row>
    <row r="661">
      <c r="A661" s="187"/>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row>
    <row r="662">
      <c r="A662" s="187"/>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row>
    <row r="663">
      <c r="A663" s="187"/>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row>
    <row r="664">
      <c r="A664" s="187"/>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row>
    <row r="665">
      <c r="A665" s="187"/>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row>
    <row r="666">
      <c r="A666" s="187"/>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row>
    <row r="667">
      <c r="A667" s="187"/>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row>
    <row r="668">
      <c r="A668" s="187"/>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row>
    <row r="669">
      <c r="A669" s="187"/>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row>
    <row r="670">
      <c r="A670" s="187"/>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row>
    <row r="671">
      <c r="A671" s="187"/>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row>
    <row r="672">
      <c r="A672" s="187"/>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row>
    <row r="673">
      <c r="A673" s="187"/>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row>
    <row r="674">
      <c r="A674" s="187"/>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row>
    <row r="675">
      <c r="A675" s="187"/>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row>
    <row r="676">
      <c r="A676" s="187"/>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row>
    <row r="677">
      <c r="A677" s="187"/>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row>
    <row r="678">
      <c r="A678" s="187"/>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row>
    <row r="679">
      <c r="A679" s="187"/>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row>
    <row r="680">
      <c r="A680" s="187"/>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row>
    <row r="681">
      <c r="A681" s="187"/>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row>
    <row r="682">
      <c r="A682" s="187"/>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row>
    <row r="683">
      <c r="A683" s="187"/>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row>
    <row r="684">
      <c r="A684" s="187"/>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row>
    <row r="685">
      <c r="A685" s="187"/>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row>
    <row r="686">
      <c r="A686" s="187"/>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row>
    <row r="687">
      <c r="A687" s="187"/>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row>
    <row r="688">
      <c r="A688" s="187"/>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row>
    <row r="689">
      <c r="A689" s="187"/>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row>
    <row r="690">
      <c r="A690" s="187"/>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row>
    <row r="691">
      <c r="A691" s="187"/>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row>
    <row r="692">
      <c r="A692" s="187"/>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row>
    <row r="693">
      <c r="A693" s="187"/>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row>
    <row r="694">
      <c r="A694" s="187"/>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row>
    <row r="695">
      <c r="A695" s="187"/>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row>
    <row r="696">
      <c r="A696" s="187"/>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row>
    <row r="697">
      <c r="A697" s="187"/>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row>
    <row r="698">
      <c r="A698" s="187"/>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row>
    <row r="699">
      <c r="A699" s="187"/>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row>
    <row r="700">
      <c r="A700" s="187"/>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row>
    <row r="701">
      <c r="A701" s="187"/>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row>
    <row r="702">
      <c r="A702" s="187"/>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row>
    <row r="703">
      <c r="A703" s="187"/>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row>
    <row r="704">
      <c r="A704" s="187"/>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row>
    <row r="705">
      <c r="A705" s="187"/>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row>
    <row r="706">
      <c r="A706" s="187"/>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row>
    <row r="707">
      <c r="A707" s="187"/>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row>
    <row r="708">
      <c r="A708" s="187"/>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row>
    <row r="709">
      <c r="A709" s="187"/>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row>
    <row r="710">
      <c r="A710" s="187"/>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row>
    <row r="711">
      <c r="A711" s="187"/>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row>
    <row r="712">
      <c r="A712" s="187"/>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row>
    <row r="713">
      <c r="A713" s="187"/>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row>
    <row r="714">
      <c r="A714" s="187"/>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row>
    <row r="715">
      <c r="A715" s="187"/>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row>
    <row r="716">
      <c r="A716" s="187"/>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row>
    <row r="717">
      <c r="A717" s="187"/>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row>
    <row r="718">
      <c r="A718" s="187"/>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row>
    <row r="719">
      <c r="A719" s="187"/>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row>
    <row r="720">
      <c r="A720" s="187"/>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row>
    <row r="721">
      <c r="A721" s="187"/>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row>
    <row r="722">
      <c r="A722" s="187"/>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row>
    <row r="723">
      <c r="A723" s="187"/>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row>
    <row r="724">
      <c r="A724" s="187"/>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row>
    <row r="725">
      <c r="A725" s="187"/>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row>
    <row r="726">
      <c r="A726" s="187"/>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row>
    <row r="727">
      <c r="A727" s="187"/>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row>
    <row r="728">
      <c r="A728" s="187"/>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row>
    <row r="729">
      <c r="A729" s="187"/>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row>
    <row r="730">
      <c r="A730" s="187"/>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row>
    <row r="731">
      <c r="A731" s="187"/>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row>
    <row r="732">
      <c r="A732" s="187"/>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row>
    <row r="733">
      <c r="A733" s="187"/>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row>
    <row r="734">
      <c r="A734" s="187"/>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row>
    <row r="735">
      <c r="A735" s="187"/>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row>
    <row r="736">
      <c r="A736" s="187"/>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row>
    <row r="737">
      <c r="A737" s="187"/>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row>
    <row r="738">
      <c r="A738" s="187"/>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row>
    <row r="739">
      <c r="A739" s="187"/>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row>
    <row r="740">
      <c r="A740" s="187"/>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row>
    <row r="741">
      <c r="A741" s="187"/>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row>
    <row r="742">
      <c r="A742" s="187"/>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row>
    <row r="743">
      <c r="A743" s="187"/>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row>
    <row r="744">
      <c r="A744" s="187"/>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row>
    <row r="745">
      <c r="A745" s="187"/>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row>
    <row r="746">
      <c r="A746" s="187"/>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row>
    <row r="747">
      <c r="A747" s="187"/>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row>
    <row r="748">
      <c r="A748" s="187"/>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row>
    <row r="749">
      <c r="A749" s="187"/>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row>
    <row r="750">
      <c r="A750" s="187"/>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row>
    <row r="751">
      <c r="A751" s="187"/>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row>
    <row r="752">
      <c r="A752" s="187"/>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row>
    <row r="753">
      <c r="A753" s="187"/>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row>
    <row r="754">
      <c r="A754" s="187"/>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row>
    <row r="755">
      <c r="A755" s="187"/>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row>
    <row r="756">
      <c r="A756" s="187"/>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row>
    <row r="757">
      <c r="A757" s="187"/>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row>
    <row r="758">
      <c r="A758" s="187"/>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row>
    <row r="759">
      <c r="A759" s="187"/>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row>
    <row r="760">
      <c r="A760" s="187"/>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row>
    <row r="761">
      <c r="A761" s="187"/>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row>
    <row r="762">
      <c r="A762" s="187"/>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row>
    <row r="763">
      <c r="A763" s="187"/>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row>
    <row r="764">
      <c r="A764" s="187"/>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row>
    <row r="765">
      <c r="A765" s="187"/>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row>
    <row r="766">
      <c r="A766" s="187"/>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row>
    <row r="767">
      <c r="A767" s="187"/>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row>
    <row r="768">
      <c r="A768" s="187"/>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row>
    <row r="769">
      <c r="A769" s="187"/>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row>
    <row r="770">
      <c r="A770" s="187"/>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row>
    <row r="771">
      <c r="A771" s="187"/>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row>
    <row r="772">
      <c r="A772" s="187"/>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row>
    <row r="773">
      <c r="A773" s="187"/>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row>
    <row r="774">
      <c r="A774" s="187"/>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row>
    <row r="775">
      <c r="A775" s="187"/>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row>
    <row r="776">
      <c r="A776" s="187"/>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row>
    <row r="777">
      <c r="A777" s="187"/>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row>
    <row r="778">
      <c r="A778" s="187"/>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row>
    <row r="779">
      <c r="A779" s="187"/>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row>
    <row r="780">
      <c r="A780" s="187"/>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row>
    <row r="781">
      <c r="A781" s="187"/>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row>
    <row r="782">
      <c r="A782" s="187"/>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row>
    <row r="783">
      <c r="A783" s="187"/>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row>
    <row r="784">
      <c r="A784" s="187"/>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row>
    <row r="785">
      <c r="A785" s="187"/>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row>
    <row r="786">
      <c r="A786" s="187"/>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row>
    <row r="787">
      <c r="A787" s="187"/>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row>
    <row r="788">
      <c r="A788" s="187"/>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row>
    <row r="789">
      <c r="A789" s="187"/>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row>
    <row r="790">
      <c r="A790" s="187"/>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row>
    <row r="791">
      <c r="A791" s="187"/>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row>
    <row r="792">
      <c r="A792" s="187"/>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row>
    <row r="793">
      <c r="A793" s="187"/>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row>
    <row r="794">
      <c r="A794" s="187"/>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row>
    <row r="795">
      <c r="A795" s="187"/>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row>
    <row r="796">
      <c r="A796" s="187"/>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row>
    <row r="797">
      <c r="A797" s="187"/>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row>
    <row r="798">
      <c r="A798" s="187"/>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row>
    <row r="799">
      <c r="A799" s="187"/>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row>
    <row r="800">
      <c r="A800" s="187"/>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row>
    <row r="801">
      <c r="A801" s="187"/>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row>
    <row r="802">
      <c r="A802" s="187"/>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row>
    <row r="803">
      <c r="A803" s="187"/>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row>
    <row r="804">
      <c r="A804" s="187"/>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row>
    <row r="805">
      <c r="A805" s="187"/>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row>
    <row r="806">
      <c r="A806" s="187"/>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row>
    <row r="807">
      <c r="A807" s="187"/>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row>
    <row r="808">
      <c r="A808" s="187"/>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row>
    <row r="809">
      <c r="A809" s="187"/>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row>
    <row r="810">
      <c r="A810" s="187"/>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row>
    <row r="811">
      <c r="A811" s="187"/>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row>
    <row r="812">
      <c r="A812" s="187"/>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row>
    <row r="813">
      <c r="A813" s="187"/>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row>
    <row r="814">
      <c r="A814" s="187"/>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row>
    <row r="815">
      <c r="A815" s="187"/>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row>
    <row r="816">
      <c r="A816" s="187"/>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row>
    <row r="817">
      <c r="A817" s="187"/>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row>
    <row r="818">
      <c r="A818" s="187"/>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row>
    <row r="819">
      <c r="A819" s="187"/>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row>
    <row r="820">
      <c r="A820" s="187"/>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row>
    <row r="821">
      <c r="A821" s="187"/>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row>
    <row r="822">
      <c r="A822" s="187"/>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row>
    <row r="823">
      <c r="A823" s="187"/>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row>
    <row r="824">
      <c r="A824" s="187"/>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row>
    <row r="825">
      <c r="A825" s="187"/>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row>
    <row r="826">
      <c r="A826" s="187"/>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row>
    <row r="827">
      <c r="A827" s="187"/>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row>
    <row r="828">
      <c r="A828" s="187"/>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row>
    <row r="829">
      <c r="A829" s="187"/>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row>
    <row r="830">
      <c r="A830" s="187"/>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row>
    <row r="831">
      <c r="A831" s="187"/>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row>
    <row r="832">
      <c r="A832" s="187"/>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row>
    <row r="833">
      <c r="A833" s="187"/>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row>
    <row r="834">
      <c r="A834" s="187"/>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row>
    <row r="835">
      <c r="A835" s="187"/>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row>
    <row r="836">
      <c r="A836" s="187"/>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row>
    <row r="837">
      <c r="A837" s="187"/>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row>
    <row r="838">
      <c r="A838" s="187"/>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row>
    <row r="839">
      <c r="A839" s="187"/>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row>
    <row r="840">
      <c r="A840" s="187"/>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row>
    <row r="841">
      <c r="A841" s="187"/>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row>
    <row r="842">
      <c r="A842" s="187"/>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row>
    <row r="843">
      <c r="A843" s="187"/>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row>
    <row r="844">
      <c r="A844" s="187"/>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row>
    <row r="845">
      <c r="A845" s="187"/>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row>
    <row r="846">
      <c r="A846" s="187"/>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row>
    <row r="847">
      <c r="A847" s="187"/>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row>
    <row r="848">
      <c r="A848" s="187"/>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row>
    <row r="849">
      <c r="A849" s="187"/>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row>
    <row r="850">
      <c r="A850" s="187"/>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row>
    <row r="851">
      <c r="A851" s="187"/>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row>
    <row r="852">
      <c r="A852" s="187"/>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row>
    <row r="853">
      <c r="A853" s="187"/>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row>
    <row r="854">
      <c r="A854" s="187"/>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row>
    <row r="855">
      <c r="A855" s="187"/>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row>
    <row r="856">
      <c r="A856" s="187"/>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row>
    <row r="857">
      <c r="A857" s="187"/>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row>
    <row r="858">
      <c r="A858" s="187"/>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row>
    <row r="859">
      <c r="A859" s="187"/>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row>
    <row r="860">
      <c r="A860" s="187"/>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row>
    <row r="861">
      <c r="A861" s="187"/>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row>
    <row r="862">
      <c r="A862" s="187"/>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row>
    <row r="863">
      <c r="A863" s="187"/>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row>
    <row r="864">
      <c r="A864" s="187"/>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row>
    <row r="865">
      <c r="A865" s="187"/>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row>
    <row r="866">
      <c r="A866" s="187"/>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row>
    <row r="867">
      <c r="A867" s="187"/>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row>
    <row r="868">
      <c r="A868" s="187"/>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row>
    <row r="869">
      <c r="A869" s="187"/>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row>
    <row r="870">
      <c r="A870" s="187"/>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row>
    <row r="871">
      <c r="A871" s="187"/>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row>
    <row r="872">
      <c r="A872" s="187"/>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row>
    <row r="873">
      <c r="A873" s="187"/>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row>
    <row r="874">
      <c r="A874" s="187"/>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row>
    <row r="875">
      <c r="A875" s="187"/>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row>
    <row r="876">
      <c r="A876" s="187"/>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row>
    <row r="877">
      <c r="A877" s="187"/>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row>
    <row r="878">
      <c r="A878" s="187"/>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row>
    <row r="879">
      <c r="A879" s="187"/>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row>
    <row r="880">
      <c r="A880" s="187"/>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row>
    <row r="881">
      <c r="A881" s="187"/>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row>
    <row r="882">
      <c r="A882" s="187"/>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row>
    <row r="883">
      <c r="A883" s="187"/>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row>
    <row r="884">
      <c r="A884" s="187"/>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row>
    <row r="885">
      <c r="A885" s="187"/>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row>
    <row r="886">
      <c r="A886" s="187"/>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row>
    <row r="887">
      <c r="A887" s="187"/>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row>
    <row r="888">
      <c r="A888" s="187"/>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row>
    <row r="889">
      <c r="A889" s="187"/>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row>
    <row r="890">
      <c r="A890" s="187"/>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row>
    <row r="891">
      <c r="A891" s="187"/>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row>
    <row r="892">
      <c r="A892" s="187"/>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row>
    <row r="893">
      <c r="A893" s="187"/>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row>
    <row r="894">
      <c r="A894" s="187"/>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row>
    <row r="895">
      <c r="A895" s="187"/>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row>
    <row r="896">
      <c r="A896" s="187"/>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row>
    <row r="897">
      <c r="A897" s="187"/>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row>
    <row r="898">
      <c r="A898" s="187"/>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row>
    <row r="899">
      <c r="A899" s="187"/>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row>
    <row r="900">
      <c r="A900" s="187"/>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row>
    <row r="901">
      <c r="A901" s="187"/>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row>
    <row r="902">
      <c r="A902" s="187"/>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row>
    <row r="903">
      <c r="A903" s="187"/>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row>
    <row r="904">
      <c r="A904" s="187"/>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row>
    <row r="905">
      <c r="A905" s="187"/>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row>
    <row r="906">
      <c r="A906" s="187"/>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row>
    <row r="907">
      <c r="A907" s="187"/>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row>
    <row r="908">
      <c r="A908" s="187"/>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row>
    <row r="909">
      <c r="A909" s="187"/>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row>
    <row r="910">
      <c r="A910" s="187"/>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row>
    <row r="911">
      <c r="A911" s="187"/>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row>
    <row r="912">
      <c r="A912" s="187"/>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row>
    <row r="913">
      <c r="A913" s="187"/>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row>
    <row r="914">
      <c r="A914" s="187"/>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row>
    <row r="915">
      <c r="A915" s="187"/>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row>
    <row r="916">
      <c r="A916" s="187"/>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row>
    <row r="917">
      <c r="A917" s="187"/>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row>
    <row r="918">
      <c r="A918" s="187"/>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row>
    <row r="919">
      <c r="A919" s="187"/>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row>
    <row r="920">
      <c r="A920" s="187"/>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row>
    <row r="921">
      <c r="A921" s="187"/>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row>
    <row r="922">
      <c r="A922" s="187"/>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row>
    <row r="923">
      <c r="A923" s="187"/>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row>
    <row r="924">
      <c r="A924" s="187"/>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row>
    <row r="925">
      <c r="A925" s="187"/>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row>
    <row r="926">
      <c r="A926" s="187"/>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row>
    <row r="927">
      <c r="A927" s="187"/>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row>
    <row r="928">
      <c r="A928" s="187"/>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row>
    <row r="929">
      <c r="A929" s="187"/>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row>
    <row r="930">
      <c r="A930" s="187"/>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row>
    <row r="931">
      <c r="A931" s="187"/>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row>
    <row r="932">
      <c r="A932" s="187"/>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row>
    <row r="933">
      <c r="A933" s="187"/>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row>
    <row r="934">
      <c r="A934" s="187"/>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row>
    <row r="935">
      <c r="A935" s="187"/>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row>
    <row r="936">
      <c r="A936" s="187"/>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row>
    <row r="937">
      <c r="A937" s="187"/>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row>
    <row r="938">
      <c r="A938" s="187"/>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row>
    <row r="939">
      <c r="A939" s="187"/>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row>
    <row r="940">
      <c r="A940" s="187"/>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row>
    <row r="941">
      <c r="A941" s="187"/>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row>
    <row r="942">
      <c r="A942" s="187"/>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row>
    <row r="943">
      <c r="A943" s="187"/>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row>
    <row r="944">
      <c r="A944" s="187"/>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row>
  </sheetData>
  <autoFilter ref="$A$1:$AS$361"/>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13.5"/>
    <col customWidth="1" min="3" max="3" width="14.5"/>
    <col customWidth="1" min="4" max="4" width="22.63"/>
  </cols>
  <sheetData>
    <row r="1" ht="22.5" customHeight="1">
      <c r="A1" s="188" t="s">
        <v>90</v>
      </c>
      <c r="B1" s="188" t="s">
        <v>459</v>
      </c>
      <c r="C1" s="188" t="s">
        <v>460</v>
      </c>
      <c r="D1" s="188" t="s">
        <v>238</v>
      </c>
    </row>
    <row r="2" ht="22.5" customHeight="1">
      <c r="A2" s="139" t="s">
        <v>51</v>
      </c>
      <c r="B2" s="189">
        <v>116.0</v>
      </c>
      <c r="C2" s="189">
        <v>114.0</v>
      </c>
      <c r="D2" s="190">
        <f t="shared" ref="D2:D22" si="1">(B2*(2/3))+(C2*(1/3))</f>
        <v>115.3333333</v>
      </c>
    </row>
    <row r="3" ht="22.5" customHeight="1">
      <c r="A3" s="139" t="s">
        <v>56</v>
      </c>
      <c r="B3" s="189">
        <v>117.0</v>
      </c>
      <c r="C3" s="189">
        <v>110.0</v>
      </c>
      <c r="D3" s="190">
        <f t="shared" si="1"/>
        <v>114.6666667</v>
      </c>
    </row>
    <row r="4" ht="22.5" customHeight="1">
      <c r="A4" s="139" t="s">
        <v>52</v>
      </c>
      <c r="B4" s="189">
        <v>105.0</v>
      </c>
      <c r="C4" s="189">
        <v>123.0</v>
      </c>
      <c r="D4" s="190">
        <f t="shared" si="1"/>
        <v>111</v>
      </c>
    </row>
    <row r="5" ht="22.5" customHeight="1">
      <c r="A5" s="139" t="s">
        <v>58</v>
      </c>
      <c r="B5" s="189">
        <v>107.0</v>
      </c>
      <c r="C5" s="189">
        <v>118.0</v>
      </c>
      <c r="D5" s="190">
        <f t="shared" si="1"/>
        <v>110.6666667</v>
      </c>
    </row>
    <row r="6" ht="22.5" customHeight="1">
      <c r="A6" s="139" t="s">
        <v>66</v>
      </c>
      <c r="B6" s="189">
        <v>112.0</v>
      </c>
      <c r="C6" s="189">
        <v>83.25</v>
      </c>
      <c r="D6" s="190">
        <f t="shared" si="1"/>
        <v>102.4166667</v>
      </c>
    </row>
    <row r="7" ht="22.5" customHeight="1">
      <c r="A7" s="139" t="s">
        <v>54</v>
      </c>
      <c r="B7" s="189">
        <v>118.0</v>
      </c>
      <c r="C7" s="189">
        <v>99.0</v>
      </c>
      <c r="D7" s="190">
        <f t="shared" si="1"/>
        <v>111.6666667</v>
      </c>
    </row>
    <row r="8" ht="22.5" customHeight="1">
      <c r="A8" s="139" t="s">
        <v>62</v>
      </c>
      <c r="B8" s="189">
        <v>108.0</v>
      </c>
      <c r="C8" s="189">
        <v>102.3</v>
      </c>
      <c r="D8" s="190">
        <f t="shared" si="1"/>
        <v>106.1</v>
      </c>
    </row>
    <row r="9" ht="22.5" customHeight="1">
      <c r="A9" s="139" t="s">
        <v>55</v>
      </c>
      <c r="B9" s="189">
        <v>108.0</v>
      </c>
      <c r="C9" s="189">
        <v>115.0</v>
      </c>
      <c r="D9" s="190">
        <f t="shared" si="1"/>
        <v>110.3333333</v>
      </c>
    </row>
    <row r="10" ht="22.5" customHeight="1">
      <c r="A10" s="139" t="s">
        <v>59</v>
      </c>
      <c r="B10" s="189">
        <v>109.0</v>
      </c>
      <c r="C10" s="189">
        <v>125.0</v>
      </c>
      <c r="D10" s="190">
        <f t="shared" si="1"/>
        <v>114.3333333</v>
      </c>
    </row>
    <row r="11" ht="22.5" customHeight="1">
      <c r="A11" s="139" t="s">
        <v>68</v>
      </c>
      <c r="B11" s="189">
        <v>107.0</v>
      </c>
      <c r="C11" s="189">
        <v>103.0</v>
      </c>
      <c r="D11" s="190">
        <f t="shared" si="1"/>
        <v>105.6666667</v>
      </c>
    </row>
    <row r="12" ht="22.5" customHeight="1">
      <c r="A12" s="139" t="s">
        <v>65</v>
      </c>
      <c r="B12" s="189">
        <v>96.0</v>
      </c>
      <c r="C12" s="189">
        <v>103.0</v>
      </c>
      <c r="D12" s="190">
        <f t="shared" si="1"/>
        <v>98.33333333</v>
      </c>
    </row>
    <row r="13" ht="22.5" customHeight="1">
      <c r="A13" s="139" t="s">
        <v>57</v>
      </c>
      <c r="B13" s="189">
        <v>113.0</v>
      </c>
      <c r="C13" s="189">
        <v>94.0</v>
      </c>
      <c r="D13" s="190">
        <f t="shared" si="1"/>
        <v>106.6666667</v>
      </c>
    </row>
    <row r="14" ht="22.5" customHeight="1">
      <c r="A14" s="139" t="s">
        <v>64</v>
      </c>
      <c r="B14" s="189">
        <v>114.0</v>
      </c>
      <c r="C14" s="189">
        <v>92.0</v>
      </c>
      <c r="D14" s="190">
        <f t="shared" si="1"/>
        <v>106.6666667</v>
      </c>
    </row>
    <row r="15" ht="22.5" customHeight="1">
      <c r="A15" s="139" t="s">
        <v>70</v>
      </c>
      <c r="B15" s="189">
        <v>112.0</v>
      </c>
      <c r="C15" s="189">
        <v>103.0</v>
      </c>
      <c r="D15" s="190">
        <f t="shared" si="1"/>
        <v>109</v>
      </c>
    </row>
    <row r="16" ht="22.5" customHeight="1">
      <c r="A16" s="139" t="s">
        <v>53</v>
      </c>
      <c r="B16" s="189">
        <v>121.0</v>
      </c>
      <c r="C16" s="189">
        <v>104.0</v>
      </c>
      <c r="D16" s="190">
        <f t="shared" si="1"/>
        <v>115.3333333</v>
      </c>
    </row>
    <row r="17" ht="22.5" customHeight="1">
      <c r="A17" s="139" t="s">
        <v>61</v>
      </c>
      <c r="B17" s="189">
        <v>98.0</v>
      </c>
      <c r="C17" s="189">
        <v>111.0</v>
      </c>
      <c r="D17" s="190">
        <f t="shared" si="1"/>
        <v>102.3333333</v>
      </c>
    </row>
    <row r="18" ht="22.5" customHeight="1">
      <c r="A18" s="139" t="s">
        <v>75</v>
      </c>
      <c r="B18" s="189">
        <v>108.0</v>
      </c>
      <c r="C18" s="189">
        <v>69.0</v>
      </c>
      <c r="D18" s="190">
        <f t="shared" si="1"/>
        <v>95</v>
      </c>
    </row>
    <row r="19" ht="22.5" customHeight="1">
      <c r="A19" s="139" t="s">
        <v>71</v>
      </c>
      <c r="B19" s="189">
        <v>102.0</v>
      </c>
      <c r="C19" s="189">
        <v>102.0</v>
      </c>
      <c r="D19" s="190">
        <f t="shared" si="1"/>
        <v>102</v>
      </c>
    </row>
    <row r="20" ht="22.5" customHeight="1">
      <c r="A20" s="139" t="s">
        <v>63</v>
      </c>
      <c r="B20" s="189">
        <v>103.0</v>
      </c>
      <c r="C20" s="189">
        <v>115.0</v>
      </c>
      <c r="D20" s="190">
        <f t="shared" si="1"/>
        <v>107</v>
      </c>
    </row>
    <row r="21" ht="22.5" customHeight="1">
      <c r="A21" s="139" t="s">
        <v>69</v>
      </c>
      <c r="B21" s="189">
        <v>107.0</v>
      </c>
      <c r="C21" s="189">
        <v>95.0</v>
      </c>
      <c r="D21" s="190">
        <f t="shared" si="1"/>
        <v>103</v>
      </c>
    </row>
    <row r="22" ht="22.5" customHeight="1">
      <c r="A22" s="139" t="s">
        <v>67</v>
      </c>
      <c r="B22" s="189">
        <v>99.0</v>
      </c>
      <c r="C22" s="189">
        <v>103.0</v>
      </c>
      <c r="D22" s="190">
        <f t="shared" si="1"/>
        <v>100.3333333</v>
      </c>
    </row>
    <row r="23" ht="22.5" customHeight="1">
      <c r="A23" s="139" t="s">
        <v>60</v>
      </c>
      <c r="B23" s="189">
        <v>121.0</v>
      </c>
      <c r="C23" s="189">
        <v>100.0</v>
      </c>
      <c r="D23" s="190">
        <f t="shared" ref="D23:D24" si="2">(B23*(2/3))+(C24*(1/3))</f>
        <v>115.6666667</v>
      </c>
    </row>
    <row r="24" ht="22.5" customHeight="1">
      <c r="A24" s="139" t="s">
        <v>72</v>
      </c>
      <c r="B24" s="189">
        <v>102.0</v>
      </c>
      <c r="C24" s="189">
        <v>105.0</v>
      </c>
      <c r="D24" s="190">
        <f t="shared" si="2"/>
        <v>102.6666667</v>
      </c>
    </row>
    <row r="25" ht="22.5" customHeight="1">
      <c r="A25" s="139" t="s">
        <v>73</v>
      </c>
      <c r="B25" s="189">
        <v>98.0</v>
      </c>
      <c r="C25" s="189">
        <v>104.0</v>
      </c>
      <c r="D25" s="190">
        <f t="shared" ref="D25:D26" si="3">(B25*(2/3))+(C25*(1/3))</f>
        <v>100</v>
      </c>
    </row>
    <row r="26" ht="22.5" customHeight="1">
      <c r="A26" s="139" t="s">
        <v>74</v>
      </c>
      <c r="B26" s="189">
        <v>87.0</v>
      </c>
      <c r="C26" s="189">
        <v>104.0</v>
      </c>
      <c r="D26" s="190">
        <f t="shared" si="3"/>
        <v>92.66666667</v>
      </c>
    </row>
    <row r="28">
      <c r="A28" s="191" t="s">
        <v>53</v>
      </c>
      <c r="B28" s="192" t="s">
        <v>461</v>
      </c>
      <c r="C28" s="192" t="s">
        <v>462</v>
      </c>
      <c r="D28" s="192" t="s">
        <v>463</v>
      </c>
    </row>
    <row r="29">
      <c r="A29" s="192">
        <v>1947.0</v>
      </c>
      <c r="B29" s="193">
        <v>0.066</v>
      </c>
      <c r="C29" s="193">
        <v>0.0813</v>
      </c>
      <c r="D29" s="194">
        <f t="shared" ref="D29:D31" si="4">C29/B29</f>
        <v>1.231818182</v>
      </c>
    </row>
    <row r="30">
      <c r="A30" s="192">
        <v>1948.0</v>
      </c>
      <c r="B30" s="193">
        <v>0.0698</v>
      </c>
      <c r="C30" s="193">
        <v>0.0691</v>
      </c>
      <c r="D30" s="194">
        <f t="shared" si="4"/>
        <v>0.9899713467</v>
      </c>
    </row>
    <row r="31">
      <c r="A31" s="192">
        <v>1949.0</v>
      </c>
      <c r="B31" s="193">
        <v>0.0981</v>
      </c>
      <c r="C31" s="193">
        <v>0.0869</v>
      </c>
      <c r="D31" s="194">
        <f t="shared" si="4"/>
        <v>0.8858307849</v>
      </c>
    </row>
    <row r="32">
      <c r="A32" s="195"/>
      <c r="B32" s="195"/>
      <c r="C32" s="195"/>
      <c r="D32" s="194">
        <f>AVERAGE(D29:D31)</f>
        <v>1.035873438</v>
      </c>
    </row>
    <row r="34">
      <c r="A34" s="191" t="s">
        <v>171</v>
      </c>
      <c r="B34" s="192" t="s">
        <v>461</v>
      </c>
      <c r="C34" s="192" t="s">
        <v>462</v>
      </c>
      <c r="D34" s="192" t="s">
        <v>463</v>
      </c>
    </row>
    <row r="35">
      <c r="A35" s="192">
        <v>1948.0</v>
      </c>
      <c r="B35" s="193">
        <v>0.094</v>
      </c>
      <c r="C35" s="193">
        <v>0.0691</v>
      </c>
      <c r="D35" s="194">
        <f t="shared" ref="D35:D36" si="5">C35/B35</f>
        <v>0.735106383</v>
      </c>
    </row>
    <row r="36">
      <c r="A36" s="192">
        <v>1949.0</v>
      </c>
      <c r="B36" s="193">
        <v>0.1347</v>
      </c>
      <c r="C36" s="193">
        <v>0.0869</v>
      </c>
      <c r="D36" s="194">
        <f t="shared" si="5"/>
        <v>0.6451373422</v>
      </c>
    </row>
    <row r="37">
      <c r="A37" s="195"/>
      <c r="B37" s="195"/>
      <c r="C37" s="195"/>
      <c r="D37" s="194">
        <f>AVERAGE(D35:D36)</f>
        <v>0.6901218626</v>
      </c>
    </row>
  </sheetData>
  <dataValidations>
    <dataValidation type="custom" allowBlank="1" showDropDown="1" sqref="B2:D26">
      <formula1>AND(ISNUMBER(B2),(NOT(OR(NOT(ISERROR(DATEVALUE(B2))), AND(ISNUMBER(B2), LEFT(CELL("format", B2))="D")))))</formula1>
    </dataValidation>
  </dataValidation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sheetData>
    <row r="1">
      <c r="A1" s="196"/>
      <c r="B1" s="197" t="s">
        <v>51</v>
      </c>
      <c r="F1" s="197" t="s">
        <v>56</v>
      </c>
      <c r="J1" s="197" t="s">
        <v>52</v>
      </c>
      <c r="N1" s="197" t="s">
        <v>58</v>
      </c>
      <c r="R1" s="197" t="s">
        <v>66</v>
      </c>
      <c r="V1" s="197" t="s">
        <v>54</v>
      </c>
      <c r="Z1" s="197" t="s">
        <v>62</v>
      </c>
      <c r="AD1" s="197" t="s">
        <v>55</v>
      </c>
      <c r="AH1" s="197" t="s">
        <v>59</v>
      </c>
      <c r="AL1" s="197" t="s">
        <v>68</v>
      </c>
      <c r="AP1" s="197" t="s">
        <v>65</v>
      </c>
      <c r="AT1" s="197" t="s">
        <v>57</v>
      </c>
      <c r="AX1" s="197" t="s">
        <v>64</v>
      </c>
      <c r="BB1" s="197" t="s">
        <v>70</v>
      </c>
      <c r="BF1" s="197"/>
      <c r="BG1" s="197"/>
      <c r="BH1" s="197" t="s">
        <v>53</v>
      </c>
      <c r="BL1" s="197" t="s">
        <v>61</v>
      </c>
      <c r="BP1" s="197" t="s">
        <v>75</v>
      </c>
      <c r="BV1" s="197" t="s">
        <v>71</v>
      </c>
      <c r="BZ1" s="197" t="s">
        <v>63</v>
      </c>
      <c r="CD1" s="197" t="s">
        <v>69</v>
      </c>
      <c r="CH1" s="197" t="s">
        <v>67</v>
      </c>
      <c r="CL1" s="197" t="s">
        <v>60</v>
      </c>
      <c r="CR1" s="197" t="s">
        <v>72</v>
      </c>
      <c r="CV1" s="197" t="s">
        <v>73</v>
      </c>
      <c r="CZ1" s="197" t="s">
        <v>74</v>
      </c>
    </row>
    <row r="2">
      <c r="A2" s="198"/>
      <c r="B2" s="199" t="s">
        <v>464</v>
      </c>
      <c r="C2" s="199" t="s">
        <v>465</v>
      </c>
      <c r="D2" s="199" t="s">
        <v>466</v>
      </c>
      <c r="E2" s="200" t="s">
        <v>460</v>
      </c>
      <c r="F2" s="199" t="s">
        <v>464</v>
      </c>
      <c r="G2" s="199" t="s">
        <v>465</v>
      </c>
      <c r="H2" s="199" t="s">
        <v>466</v>
      </c>
      <c r="I2" s="200" t="s">
        <v>460</v>
      </c>
      <c r="J2" s="199" t="s">
        <v>464</v>
      </c>
      <c r="K2" s="199" t="s">
        <v>465</v>
      </c>
      <c r="L2" s="199" t="s">
        <v>466</v>
      </c>
      <c r="M2" s="200" t="s">
        <v>460</v>
      </c>
      <c r="N2" s="199" t="s">
        <v>464</v>
      </c>
      <c r="O2" s="199" t="s">
        <v>465</v>
      </c>
      <c r="P2" s="199" t="s">
        <v>466</v>
      </c>
      <c r="Q2" s="200" t="s">
        <v>460</v>
      </c>
      <c r="R2" s="199" t="s">
        <v>464</v>
      </c>
      <c r="S2" s="199" t="s">
        <v>465</v>
      </c>
      <c r="T2" s="199" t="s">
        <v>466</v>
      </c>
      <c r="U2" s="200" t="s">
        <v>460</v>
      </c>
      <c r="V2" s="199" t="s">
        <v>464</v>
      </c>
      <c r="W2" s="199" t="s">
        <v>465</v>
      </c>
      <c r="X2" s="199" t="s">
        <v>466</v>
      </c>
      <c r="Y2" s="200" t="s">
        <v>460</v>
      </c>
      <c r="Z2" s="199" t="s">
        <v>464</v>
      </c>
      <c r="AA2" s="199" t="s">
        <v>465</v>
      </c>
      <c r="AB2" s="199" t="s">
        <v>466</v>
      </c>
      <c r="AC2" s="200" t="s">
        <v>460</v>
      </c>
      <c r="AD2" s="199" t="s">
        <v>464</v>
      </c>
      <c r="AE2" s="199" t="s">
        <v>465</v>
      </c>
      <c r="AF2" s="199" t="s">
        <v>466</v>
      </c>
      <c r="AG2" s="200" t="s">
        <v>460</v>
      </c>
      <c r="AH2" s="199" t="s">
        <v>464</v>
      </c>
      <c r="AI2" s="199" t="s">
        <v>465</v>
      </c>
      <c r="AJ2" s="199" t="s">
        <v>466</v>
      </c>
      <c r="AK2" s="200" t="s">
        <v>460</v>
      </c>
      <c r="AL2" s="199" t="s">
        <v>464</v>
      </c>
      <c r="AM2" s="199" t="s">
        <v>465</v>
      </c>
      <c r="AN2" s="199" t="s">
        <v>466</v>
      </c>
      <c r="AO2" s="200" t="s">
        <v>460</v>
      </c>
      <c r="AP2" s="199" t="s">
        <v>464</v>
      </c>
      <c r="AQ2" s="199" t="s">
        <v>465</v>
      </c>
      <c r="AR2" s="199" t="s">
        <v>466</v>
      </c>
      <c r="AS2" s="200" t="s">
        <v>460</v>
      </c>
      <c r="AT2" s="199" t="s">
        <v>464</v>
      </c>
      <c r="AU2" s="199" t="s">
        <v>465</v>
      </c>
      <c r="AV2" s="199" t="s">
        <v>466</v>
      </c>
      <c r="AW2" s="200" t="s">
        <v>460</v>
      </c>
      <c r="AX2" s="199" t="s">
        <v>464</v>
      </c>
      <c r="AY2" s="199" t="s">
        <v>465</v>
      </c>
      <c r="AZ2" s="199" t="s">
        <v>466</v>
      </c>
      <c r="BA2" s="200" t="s">
        <v>460</v>
      </c>
      <c r="BB2" s="199" t="s">
        <v>464</v>
      </c>
      <c r="BC2" s="199" t="s">
        <v>465</v>
      </c>
      <c r="BD2" s="199" t="s">
        <v>466</v>
      </c>
      <c r="BE2" s="200" t="s">
        <v>460</v>
      </c>
      <c r="BF2" s="201" t="s">
        <v>320</v>
      </c>
      <c r="BG2" s="201" t="s">
        <v>467</v>
      </c>
      <c r="BH2" s="199" t="s">
        <v>468</v>
      </c>
      <c r="BI2" s="199" t="s">
        <v>465</v>
      </c>
      <c r="BJ2" s="199" t="s">
        <v>466</v>
      </c>
      <c r="BK2" s="200" t="s">
        <v>460</v>
      </c>
      <c r="BL2" s="199" t="s">
        <v>464</v>
      </c>
      <c r="BM2" s="199" t="s">
        <v>465</v>
      </c>
      <c r="BN2" s="199" t="s">
        <v>466</v>
      </c>
      <c r="BO2" s="200" t="s">
        <v>460</v>
      </c>
      <c r="BP2" s="201" t="s">
        <v>320</v>
      </c>
      <c r="BQ2" s="201" t="s">
        <v>467</v>
      </c>
      <c r="BR2" s="199" t="s">
        <v>468</v>
      </c>
      <c r="BS2" s="199" t="s">
        <v>465</v>
      </c>
      <c r="BT2" s="199" t="s">
        <v>466</v>
      </c>
      <c r="BU2" s="200" t="s">
        <v>460</v>
      </c>
      <c r="BV2" s="199" t="s">
        <v>464</v>
      </c>
      <c r="BW2" s="199" t="s">
        <v>465</v>
      </c>
      <c r="BX2" s="199" t="s">
        <v>466</v>
      </c>
      <c r="BY2" s="200" t="s">
        <v>460</v>
      </c>
      <c r="BZ2" s="199" t="s">
        <v>464</v>
      </c>
      <c r="CA2" s="199" t="s">
        <v>465</v>
      </c>
      <c r="CB2" s="199" t="s">
        <v>466</v>
      </c>
      <c r="CC2" s="200" t="s">
        <v>460</v>
      </c>
      <c r="CD2" s="199" t="s">
        <v>464</v>
      </c>
      <c r="CE2" s="199" t="s">
        <v>465</v>
      </c>
      <c r="CF2" s="199" t="s">
        <v>466</v>
      </c>
      <c r="CG2" s="200" t="s">
        <v>460</v>
      </c>
      <c r="CH2" s="199" t="s">
        <v>464</v>
      </c>
      <c r="CI2" s="199" t="s">
        <v>465</v>
      </c>
      <c r="CJ2" s="199" t="s">
        <v>466</v>
      </c>
      <c r="CK2" s="200" t="s">
        <v>460</v>
      </c>
      <c r="CL2" s="201" t="s">
        <v>320</v>
      </c>
      <c r="CM2" s="201" t="s">
        <v>467</v>
      </c>
      <c r="CN2" s="199" t="s">
        <v>468</v>
      </c>
      <c r="CO2" s="199" t="s">
        <v>465</v>
      </c>
      <c r="CP2" s="199" t="s">
        <v>466</v>
      </c>
      <c r="CQ2" s="200" t="s">
        <v>460</v>
      </c>
      <c r="CR2" s="199" t="s">
        <v>464</v>
      </c>
      <c r="CS2" s="199" t="s">
        <v>465</v>
      </c>
      <c r="CT2" s="199" t="s">
        <v>466</v>
      </c>
      <c r="CU2" s="200" t="s">
        <v>460</v>
      </c>
      <c r="CV2" s="199" t="s">
        <v>464</v>
      </c>
      <c r="CW2" s="199" t="s">
        <v>465</v>
      </c>
      <c r="CX2" s="199" t="s">
        <v>466</v>
      </c>
      <c r="CY2" s="200" t="s">
        <v>460</v>
      </c>
      <c r="CZ2" s="199" t="s">
        <v>464</v>
      </c>
      <c r="DA2" s="199" t="s">
        <v>465</v>
      </c>
      <c r="DB2" s="199" t="s">
        <v>466</v>
      </c>
      <c r="DC2" s="199" t="s">
        <v>460</v>
      </c>
    </row>
    <row r="3">
      <c r="A3" s="202" t="s">
        <v>469</v>
      </c>
      <c r="B3" s="203">
        <v>102.0</v>
      </c>
      <c r="C3" s="203">
        <f t="shared" ref="C3:C19" si="1">average(B3:B7)</f>
        <v>109.6</v>
      </c>
      <c r="D3" s="203">
        <v>105.0</v>
      </c>
      <c r="E3" s="204">
        <v>86.0</v>
      </c>
      <c r="F3" s="203">
        <v>110.0</v>
      </c>
      <c r="G3" s="203">
        <f t="shared" ref="G3:G11" si="2">average(F3:F7)</f>
        <v>121.2</v>
      </c>
      <c r="H3" s="203">
        <v>116.0</v>
      </c>
      <c r="I3" s="204">
        <v>111.0</v>
      </c>
      <c r="J3" s="203">
        <v>96.0</v>
      </c>
      <c r="K3" s="203">
        <f t="shared" ref="K3:K15" si="3">average(J3:J7)</f>
        <v>113</v>
      </c>
      <c r="L3" s="203">
        <v>77.0</v>
      </c>
      <c r="M3" s="204">
        <v>120.0</v>
      </c>
      <c r="N3" s="203">
        <v>95.0</v>
      </c>
      <c r="O3" s="203">
        <f t="shared" ref="O3:O17" si="4">average(N3:N7)</f>
        <v>107.6</v>
      </c>
      <c r="P3" s="203">
        <v>103.0</v>
      </c>
      <c r="Q3" s="204">
        <v>114.0</v>
      </c>
      <c r="R3" s="203">
        <v>98.8</v>
      </c>
      <c r="S3" s="205">
        <f t="shared" ref="S3:S13" si="5">average(R3:R7)</f>
        <v>92.15</v>
      </c>
      <c r="T3" s="205">
        <v>101.0</v>
      </c>
      <c r="U3" s="206" t="s">
        <v>307</v>
      </c>
      <c r="V3" s="205">
        <v>112.0</v>
      </c>
      <c r="W3" s="207">
        <f t="shared" ref="W3:W15" si="6">average(V3:V7)</f>
        <v>123.4</v>
      </c>
      <c r="X3" s="207">
        <v>108.0</v>
      </c>
      <c r="Y3" s="208">
        <v>100.0</v>
      </c>
      <c r="Z3" s="203">
        <v>108.3</v>
      </c>
      <c r="AA3" s="207">
        <f t="shared" ref="AA3:AA15" si="7">average(Z3:Z7)</f>
        <v>114</v>
      </c>
      <c r="AB3" s="207">
        <v>118.0</v>
      </c>
      <c r="AC3" s="208" t="s">
        <v>307</v>
      </c>
      <c r="AD3" s="207">
        <v>136.0</v>
      </c>
      <c r="AE3" s="207">
        <f t="shared" ref="AE3:AE6" si="8">AVERAGE(AD3:AD7)</f>
        <v>126.2</v>
      </c>
      <c r="AF3" s="207">
        <v>105.0</v>
      </c>
      <c r="AG3" s="208">
        <v>118.0</v>
      </c>
      <c r="AH3" s="207">
        <v>131.0</v>
      </c>
      <c r="AI3" s="207">
        <f t="shared" ref="AI3:AI15" si="9">average(AH3:AH7)</f>
        <v>130.2</v>
      </c>
      <c r="AJ3" s="207">
        <v>129.0</v>
      </c>
      <c r="AK3" s="208">
        <v>129.0</v>
      </c>
      <c r="AL3" s="207">
        <v>79.0</v>
      </c>
      <c r="AM3" s="207">
        <f t="shared" ref="AM3:AM14" si="10">AVERAGE(AL3:AL7)</f>
        <v>102.6</v>
      </c>
      <c r="AN3" s="207">
        <v>85.0</v>
      </c>
      <c r="AO3" s="208">
        <v>90.0</v>
      </c>
      <c r="AP3" s="207">
        <v>65.0</v>
      </c>
      <c r="AQ3" s="207">
        <f t="shared" ref="AQ3:AQ11" si="11">average(AP3:AP7)</f>
        <v>85.4</v>
      </c>
      <c r="AR3" s="207">
        <v>52.0</v>
      </c>
      <c r="AS3" s="208">
        <v>87.0</v>
      </c>
      <c r="AT3" s="207">
        <v>75.0</v>
      </c>
      <c r="AU3" s="207">
        <f t="shared" ref="AU3:AU13" si="12">average(AT3:AT7)</f>
        <v>115.2</v>
      </c>
      <c r="AV3" s="207">
        <v>77.0</v>
      </c>
      <c r="AW3" s="208">
        <v>69.0</v>
      </c>
      <c r="AX3" s="207">
        <v>66.0</v>
      </c>
      <c r="AY3" s="207">
        <f t="shared" ref="AY3:AY7" si="13">average(AX3:AX7)</f>
        <v>109</v>
      </c>
      <c r="AZ3" s="207">
        <v>62.0</v>
      </c>
      <c r="BA3" s="208">
        <v>40.0</v>
      </c>
      <c r="BB3" s="207">
        <v>94.05</v>
      </c>
      <c r="BC3" s="207">
        <f t="shared" ref="BC3:BC16" si="14">average(BB3:BB7)</f>
        <v>101.24</v>
      </c>
      <c r="BD3" s="207">
        <v>101.0</v>
      </c>
      <c r="BE3" s="208" t="s">
        <v>307</v>
      </c>
      <c r="BF3" s="209">
        <v>155.0</v>
      </c>
      <c r="BG3" s="209">
        <v>149.0</v>
      </c>
      <c r="BH3" s="203">
        <f t="shared" ref="BH3:BH12" si="15">((2/3)*BF3)+((1/3)*BG3)</f>
        <v>153</v>
      </c>
      <c r="BI3" s="207">
        <f t="shared" ref="BI3:BI8" si="16">average(BH3:BH7)</f>
        <v>133</v>
      </c>
      <c r="BJ3" s="207">
        <v>156.0</v>
      </c>
      <c r="BK3" s="208" t="s">
        <v>307</v>
      </c>
      <c r="BL3" s="207">
        <v>106.0</v>
      </c>
      <c r="BM3" s="207">
        <f t="shared" ref="BM3:BM17" si="17">average(BL3:BL7)</f>
        <v>111.6</v>
      </c>
      <c r="BN3" s="207">
        <v>111.0</v>
      </c>
      <c r="BO3" s="208">
        <v>102.0</v>
      </c>
      <c r="BP3" s="209">
        <v>127.0</v>
      </c>
      <c r="BQ3" s="209">
        <v>124.0</v>
      </c>
      <c r="BR3" s="203">
        <f t="shared" ref="BR3:BR19" si="18">((2/3)*BP3)+((1/3)*BQ3)</f>
        <v>126</v>
      </c>
      <c r="BS3" s="207">
        <f t="shared" ref="BS3:BS15" si="19">average(BR3:BR7)</f>
        <v>108.8</v>
      </c>
      <c r="BT3" s="207">
        <v>139.0</v>
      </c>
      <c r="BU3" s="208" t="s">
        <v>307</v>
      </c>
      <c r="BV3" s="207">
        <v>119.0</v>
      </c>
      <c r="BW3" s="207">
        <f t="shared" ref="BW3:BW16" si="20">average(BV3:BV7)</f>
        <v>109</v>
      </c>
      <c r="BX3" s="207">
        <v>90.0</v>
      </c>
      <c r="BY3" s="208">
        <v>81.0</v>
      </c>
      <c r="BZ3" s="207">
        <v>84.0</v>
      </c>
      <c r="CA3" s="207">
        <f t="shared" ref="CA3:CA13" si="21">average(BZ3:BZ7)</f>
        <v>102.4</v>
      </c>
      <c r="CB3" s="207">
        <v>85.0</v>
      </c>
      <c r="CC3" s="208">
        <v>107.0</v>
      </c>
      <c r="CD3" s="207">
        <v>98.0</v>
      </c>
      <c r="CE3" s="207">
        <f t="shared" ref="CE3:CE6" si="22">average(CD3:CD7)</f>
        <v>105.2</v>
      </c>
      <c r="CF3" s="207">
        <v>110.0</v>
      </c>
      <c r="CG3" s="208">
        <v>85.0</v>
      </c>
      <c r="CH3" s="207">
        <v>134.0</v>
      </c>
      <c r="CI3" s="207">
        <f t="shared" ref="CI3:CI9" si="23">average(CH3:CH7)</f>
        <v>112.2</v>
      </c>
      <c r="CJ3" s="207">
        <v>109.0</v>
      </c>
      <c r="CK3" s="208">
        <v>109.0</v>
      </c>
      <c r="CL3" s="209">
        <v>154.0</v>
      </c>
      <c r="CM3" s="209">
        <v>155.0</v>
      </c>
      <c r="CN3" s="207">
        <f t="shared" ref="CN3:CN18" si="24">((2/3)*CL3)+((1/3)*CM3)</f>
        <v>154.3333333</v>
      </c>
      <c r="CO3" s="207">
        <f t="shared" ref="CO3:CO14" si="25">average(CN3:CN7)</f>
        <v>126.9333333</v>
      </c>
      <c r="CP3" s="207">
        <v>121.0</v>
      </c>
      <c r="CQ3" s="208" t="s">
        <v>307</v>
      </c>
      <c r="CR3" s="207">
        <v>103.0</v>
      </c>
      <c r="CS3" s="207">
        <f t="shared" ref="CS3:CS13" si="26">average(CR3:CR7)</f>
        <v>104</v>
      </c>
      <c r="CT3" s="207">
        <v>114.0</v>
      </c>
      <c r="CU3" s="208">
        <v>93.0</v>
      </c>
      <c r="CV3" s="207">
        <v>109.0</v>
      </c>
      <c r="CW3" s="207">
        <f t="shared" ref="CW3:CW9" si="27">average(CV3:CV7)</f>
        <v>113</v>
      </c>
      <c r="CX3" s="207">
        <v>107.0</v>
      </c>
      <c r="CY3" s="208">
        <v>98.0</v>
      </c>
      <c r="CZ3" s="207">
        <v>109.0</v>
      </c>
      <c r="DA3" s="207">
        <f t="shared" ref="DA3:DA11" si="28">average(CZ3:CZ7)</f>
        <v>119.2</v>
      </c>
      <c r="DB3" s="207">
        <v>113.0</v>
      </c>
      <c r="DC3" s="207">
        <v>91.0</v>
      </c>
    </row>
    <row r="4">
      <c r="A4" s="202" t="s">
        <v>470</v>
      </c>
      <c r="B4" s="203">
        <v>105.0</v>
      </c>
      <c r="C4" s="203">
        <f t="shared" si="1"/>
        <v>110.8</v>
      </c>
      <c r="D4" s="203">
        <v>115.0</v>
      </c>
      <c r="E4" s="204">
        <v>111.0</v>
      </c>
      <c r="F4" s="203">
        <v>119.0</v>
      </c>
      <c r="G4" s="203">
        <f t="shared" si="2"/>
        <v>123</v>
      </c>
      <c r="H4" s="203">
        <v>126.0</v>
      </c>
      <c r="I4" s="204">
        <v>112.0</v>
      </c>
      <c r="J4" s="203">
        <v>120.0</v>
      </c>
      <c r="K4" s="203">
        <f t="shared" si="3"/>
        <v>118.8</v>
      </c>
      <c r="L4" s="203">
        <v>106.0</v>
      </c>
      <c r="M4" s="204">
        <v>126.0</v>
      </c>
      <c r="N4" s="203">
        <v>81.0</v>
      </c>
      <c r="O4" s="203">
        <f t="shared" si="4"/>
        <v>110</v>
      </c>
      <c r="P4" s="203">
        <v>82.0</v>
      </c>
      <c r="Q4" s="204">
        <v>106.0</v>
      </c>
      <c r="R4" s="203">
        <v>99.75</v>
      </c>
      <c r="S4" s="205">
        <f t="shared" si="5"/>
        <v>93.1</v>
      </c>
      <c r="T4" s="205">
        <v>121.0</v>
      </c>
      <c r="U4" s="206" t="s">
        <v>307</v>
      </c>
      <c r="V4" s="205">
        <v>121.0</v>
      </c>
      <c r="W4" s="207">
        <f t="shared" si="6"/>
        <v>126.4</v>
      </c>
      <c r="X4" s="207">
        <v>123.0</v>
      </c>
      <c r="Y4" s="208">
        <v>81.0</v>
      </c>
      <c r="Z4" s="203">
        <v>124.44999999999999</v>
      </c>
      <c r="AA4" s="207">
        <f t="shared" si="7"/>
        <v>110.39</v>
      </c>
      <c r="AB4" s="207">
        <v>111.0</v>
      </c>
      <c r="AC4" s="208" t="s">
        <v>307</v>
      </c>
      <c r="AD4" s="207">
        <v>127.0</v>
      </c>
      <c r="AE4" s="207">
        <f t="shared" si="8"/>
        <v>120.2</v>
      </c>
      <c r="AF4" s="207">
        <v>122.0</v>
      </c>
      <c r="AG4" s="208">
        <v>123.0</v>
      </c>
      <c r="AH4" s="207">
        <v>150.0</v>
      </c>
      <c r="AI4" s="207">
        <f t="shared" si="9"/>
        <v>127.6</v>
      </c>
      <c r="AJ4" s="207">
        <v>115.0</v>
      </c>
      <c r="AK4" s="208">
        <v>135.0</v>
      </c>
      <c r="AL4" s="207">
        <v>104.0</v>
      </c>
      <c r="AM4" s="207">
        <f t="shared" si="10"/>
        <v>106</v>
      </c>
      <c r="AN4" s="207">
        <v>103.0</v>
      </c>
      <c r="AO4" s="208">
        <v>114.0</v>
      </c>
      <c r="AP4" s="207">
        <v>89.0</v>
      </c>
      <c r="AQ4" s="207">
        <f t="shared" si="11"/>
        <v>95.2</v>
      </c>
      <c r="AR4" s="207">
        <v>96.0</v>
      </c>
      <c r="AS4" s="208">
        <v>98.0</v>
      </c>
      <c r="AT4" s="207">
        <v>83.0</v>
      </c>
      <c r="AU4" s="207">
        <f t="shared" si="12"/>
        <v>122.4</v>
      </c>
      <c r="AV4" s="207">
        <v>106.0</v>
      </c>
      <c r="AW4" s="208">
        <v>78.0</v>
      </c>
      <c r="AX4" s="207">
        <v>139.0</v>
      </c>
      <c r="AY4" s="207">
        <f t="shared" si="13"/>
        <v>119.8</v>
      </c>
      <c r="AZ4" s="207">
        <v>132.0</v>
      </c>
      <c r="BA4" s="208">
        <v>90.0</v>
      </c>
      <c r="BB4" s="207">
        <v>92.15</v>
      </c>
      <c r="BC4" s="207">
        <f t="shared" si="14"/>
        <v>102.83</v>
      </c>
      <c r="BD4" s="207">
        <v>80.0</v>
      </c>
      <c r="BE4" s="208" t="s">
        <v>307</v>
      </c>
      <c r="BF4" s="209">
        <v>146.0</v>
      </c>
      <c r="BG4" s="209">
        <v>142.0</v>
      </c>
      <c r="BH4" s="203">
        <f t="shared" si="15"/>
        <v>144.6666667</v>
      </c>
      <c r="BI4" s="207">
        <f t="shared" si="16"/>
        <v>127.4</v>
      </c>
      <c r="BJ4" s="207">
        <v>131.0</v>
      </c>
      <c r="BK4" s="208" t="s">
        <v>307</v>
      </c>
      <c r="BL4" s="207">
        <v>90.0</v>
      </c>
      <c r="BM4" s="207">
        <f t="shared" si="17"/>
        <v>114.4</v>
      </c>
      <c r="BN4" s="207">
        <v>82.0</v>
      </c>
      <c r="BO4" s="208">
        <v>109.0</v>
      </c>
      <c r="BP4" s="209">
        <v>106.0</v>
      </c>
      <c r="BQ4" s="209">
        <v>104.0</v>
      </c>
      <c r="BR4" s="203">
        <f t="shared" si="18"/>
        <v>105.3333333</v>
      </c>
      <c r="BS4" s="207">
        <f t="shared" si="19"/>
        <v>108.3333333</v>
      </c>
      <c r="BT4" s="207">
        <v>106.0</v>
      </c>
      <c r="BU4" s="208" t="s">
        <v>307</v>
      </c>
      <c r="BV4" s="207">
        <v>124.0</v>
      </c>
      <c r="BW4" s="207">
        <f t="shared" si="20"/>
        <v>108.6</v>
      </c>
      <c r="BX4" s="207">
        <v>96.0</v>
      </c>
      <c r="BY4" s="208">
        <v>92.0</v>
      </c>
      <c r="BZ4" s="207">
        <v>109.0</v>
      </c>
      <c r="CA4" s="207">
        <f t="shared" si="21"/>
        <v>111</v>
      </c>
      <c r="CB4" s="207">
        <v>98.0</v>
      </c>
      <c r="CC4" s="208">
        <v>120.0</v>
      </c>
      <c r="CD4" s="207">
        <v>125.0</v>
      </c>
      <c r="CE4" s="207">
        <f t="shared" si="22"/>
        <v>110</v>
      </c>
      <c r="CF4" s="207">
        <v>114.0</v>
      </c>
      <c r="CG4" s="208">
        <v>108.0</v>
      </c>
      <c r="CH4" s="207">
        <v>137.0</v>
      </c>
      <c r="CI4" s="207">
        <f t="shared" si="23"/>
        <v>106.2</v>
      </c>
      <c r="CJ4" s="205">
        <v>70.0</v>
      </c>
      <c r="CK4" s="206">
        <v>109.0</v>
      </c>
      <c r="CL4" s="209">
        <v>145.0</v>
      </c>
      <c r="CM4" s="209">
        <v>123.0</v>
      </c>
      <c r="CN4" s="207">
        <f t="shared" si="24"/>
        <v>137.6666667</v>
      </c>
      <c r="CO4" s="207">
        <f t="shared" si="25"/>
        <v>119.8</v>
      </c>
      <c r="CP4" s="207">
        <v>133.0</v>
      </c>
      <c r="CQ4" s="208" t="s">
        <v>307</v>
      </c>
      <c r="CR4" s="207">
        <v>91.0</v>
      </c>
      <c r="CS4" s="207">
        <f t="shared" si="26"/>
        <v>106.6</v>
      </c>
      <c r="CT4" s="207">
        <v>87.0</v>
      </c>
      <c r="CU4" s="208">
        <v>83.0</v>
      </c>
      <c r="CV4" s="207">
        <v>106.0</v>
      </c>
      <c r="CW4" s="207">
        <f t="shared" si="27"/>
        <v>115.8</v>
      </c>
      <c r="CX4" s="207">
        <v>119.0</v>
      </c>
      <c r="CY4" s="208">
        <v>108.0</v>
      </c>
      <c r="CZ4" s="207">
        <v>114.0</v>
      </c>
      <c r="DA4" s="207">
        <f t="shared" si="28"/>
        <v>119.8</v>
      </c>
      <c r="DB4" s="207">
        <v>114.0</v>
      </c>
      <c r="DC4" s="207">
        <v>83.0</v>
      </c>
    </row>
    <row r="5">
      <c r="A5" s="202" t="s">
        <v>471</v>
      </c>
      <c r="B5" s="203">
        <v>107.0</v>
      </c>
      <c r="C5" s="203">
        <f t="shared" si="1"/>
        <v>118.2</v>
      </c>
      <c r="D5" s="203">
        <v>115.0</v>
      </c>
      <c r="E5" s="204">
        <v>105.0</v>
      </c>
      <c r="F5" s="203">
        <v>117.0</v>
      </c>
      <c r="G5" s="203">
        <f t="shared" si="2"/>
        <v>121.8</v>
      </c>
      <c r="H5" s="203">
        <v>115.0</v>
      </c>
      <c r="I5" s="204">
        <v>111.0</v>
      </c>
      <c r="J5" s="203">
        <v>127.0</v>
      </c>
      <c r="K5" s="203">
        <f t="shared" si="3"/>
        <v>125.4</v>
      </c>
      <c r="L5" s="203">
        <v>111.0</v>
      </c>
      <c r="M5" s="204">
        <v>122.0</v>
      </c>
      <c r="N5" s="203">
        <v>129.0</v>
      </c>
      <c r="O5" s="203">
        <f t="shared" si="4"/>
        <v>118.2</v>
      </c>
      <c r="P5" s="203">
        <v>125.0</v>
      </c>
      <c r="Q5" s="204">
        <v>116.0</v>
      </c>
      <c r="R5" s="203">
        <v>64.6</v>
      </c>
      <c r="S5" s="205">
        <f t="shared" si="5"/>
        <v>96.71</v>
      </c>
      <c r="T5" s="205">
        <v>87.0</v>
      </c>
      <c r="U5" s="206" t="s">
        <v>307</v>
      </c>
      <c r="V5" s="205">
        <v>119.0</v>
      </c>
      <c r="W5" s="207">
        <f t="shared" si="6"/>
        <v>129.2</v>
      </c>
      <c r="X5" s="207">
        <v>109.0</v>
      </c>
      <c r="Y5" s="208">
        <v>100.0</v>
      </c>
      <c r="Z5" s="203">
        <v>119.69999999999999</v>
      </c>
      <c r="AA5" s="207">
        <f t="shared" si="7"/>
        <v>104.69</v>
      </c>
      <c r="AB5" s="207">
        <v>133.0</v>
      </c>
      <c r="AC5" s="208" t="s">
        <v>307</v>
      </c>
      <c r="AD5" s="207">
        <v>128.0</v>
      </c>
      <c r="AE5" s="207">
        <f t="shared" si="8"/>
        <v>115</v>
      </c>
      <c r="AF5" s="207">
        <v>124.0</v>
      </c>
      <c r="AG5" s="208">
        <v>121.0</v>
      </c>
      <c r="AH5" s="207">
        <v>117.0</v>
      </c>
      <c r="AI5" s="207">
        <f t="shared" si="9"/>
        <v>120</v>
      </c>
      <c r="AJ5" s="207">
        <v>105.0</v>
      </c>
      <c r="AK5" s="208">
        <v>131.0</v>
      </c>
      <c r="AL5" s="207">
        <v>96.0</v>
      </c>
      <c r="AM5" s="207">
        <f t="shared" si="10"/>
        <v>105</v>
      </c>
      <c r="AN5" s="207">
        <v>104.0</v>
      </c>
      <c r="AO5" s="208">
        <v>113.0</v>
      </c>
      <c r="AP5" s="207">
        <v>100.0</v>
      </c>
      <c r="AQ5" s="207">
        <f t="shared" si="11"/>
        <v>97.4</v>
      </c>
      <c r="AR5" s="207">
        <v>115.0</v>
      </c>
      <c r="AS5" s="208">
        <v>97.0</v>
      </c>
      <c r="AT5" s="207">
        <v>173.0</v>
      </c>
      <c r="AU5" s="207">
        <f t="shared" si="12"/>
        <v>133.8</v>
      </c>
      <c r="AV5" s="207">
        <v>155.0</v>
      </c>
      <c r="AW5" s="208">
        <v>119.0</v>
      </c>
      <c r="AX5" s="207">
        <v>121.0</v>
      </c>
      <c r="AY5" s="207">
        <f t="shared" si="13"/>
        <v>116.8</v>
      </c>
      <c r="AZ5" s="207">
        <v>100.0</v>
      </c>
      <c r="BA5" s="208">
        <v>76.0</v>
      </c>
      <c r="BB5" s="207">
        <v>95.0</v>
      </c>
      <c r="BC5" s="207">
        <f t="shared" si="14"/>
        <v>108</v>
      </c>
      <c r="BD5" s="207">
        <v>104.0</v>
      </c>
      <c r="BE5" s="208">
        <v>81.0</v>
      </c>
      <c r="BF5" s="209">
        <v>120.0</v>
      </c>
      <c r="BG5" s="209">
        <v>120.0</v>
      </c>
      <c r="BH5" s="203">
        <f t="shared" si="15"/>
        <v>120</v>
      </c>
      <c r="BI5" s="207">
        <f t="shared" si="16"/>
        <v>120.8</v>
      </c>
      <c r="BJ5" s="207">
        <v>124.0</v>
      </c>
      <c r="BK5" s="208" t="s">
        <v>307</v>
      </c>
      <c r="BL5" s="207">
        <v>111.0</v>
      </c>
      <c r="BM5" s="207">
        <f t="shared" si="17"/>
        <v>118.4</v>
      </c>
      <c r="BN5" s="207">
        <v>111.0</v>
      </c>
      <c r="BO5" s="208">
        <v>108.0</v>
      </c>
      <c r="BP5" s="209">
        <v>95.0</v>
      </c>
      <c r="BQ5" s="209">
        <v>98.0</v>
      </c>
      <c r="BR5" s="203">
        <f t="shared" si="18"/>
        <v>96</v>
      </c>
      <c r="BS5" s="207">
        <f t="shared" si="19"/>
        <v>110.8</v>
      </c>
      <c r="BT5" s="207">
        <v>113.0</v>
      </c>
      <c r="BU5" s="208" t="s">
        <v>307</v>
      </c>
      <c r="BV5" s="207">
        <v>94.0</v>
      </c>
      <c r="BW5" s="207">
        <f t="shared" si="20"/>
        <v>107.4</v>
      </c>
      <c r="BX5" s="207">
        <v>72.0</v>
      </c>
      <c r="BY5" s="208">
        <v>84.0</v>
      </c>
      <c r="BZ5" s="207">
        <v>96.0</v>
      </c>
      <c r="CA5" s="207">
        <f t="shared" si="21"/>
        <v>113</v>
      </c>
      <c r="CB5" s="207">
        <v>99.0</v>
      </c>
      <c r="CC5" s="208">
        <v>83.0</v>
      </c>
      <c r="CD5" s="207">
        <v>106.0</v>
      </c>
      <c r="CE5" s="207">
        <f t="shared" si="22"/>
        <v>114.4</v>
      </c>
      <c r="CF5" s="207">
        <v>98.0</v>
      </c>
      <c r="CG5" s="208">
        <v>93.0</v>
      </c>
      <c r="CH5" s="207">
        <v>130.0</v>
      </c>
      <c r="CI5" s="207">
        <f t="shared" si="23"/>
        <v>100</v>
      </c>
      <c r="CJ5" s="205">
        <v>87.0</v>
      </c>
      <c r="CK5" s="206">
        <v>101.0</v>
      </c>
      <c r="CL5" s="209">
        <v>98.0</v>
      </c>
      <c r="CM5" s="209">
        <v>112.0</v>
      </c>
      <c r="CN5" s="207">
        <f t="shared" si="24"/>
        <v>102.6666667</v>
      </c>
      <c r="CO5" s="207">
        <f t="shared" si="25"/>
        <v>115.9333333</v>
      </c>
      <c r="CP5" s="207">
        <v>90.0</v>
      </c>
      <c r="CQ5" s="208" t="s">
        <v>307</v>
      </c>
      <c r="CR5" s="207">
        <v>90.0</v>
      </c>
      <c r="CS5" s="207">
        <f t="shared" si="26"/>
        <v>113.8</v>
      </c>
      <c r="CT5" s="207">
        <v>82.0</v>
      </c>
      <c r="CU5" s="208">
        <v>100.0</v>
      </c>
      <c r="CV5" s="207">
        <v>106.0</v>
      </c>
      <c r="CW5" s="207">
        <f t="shared" si="27"/>
        <v>117.2</v>
      </c>
      <c r="CX5" s="207">
        <v>102.0</v>
      </c>
      <c r="CY5" s="208">
        <v>106.0</v>
      </c>
      <c r="CZ5" s="207">
        <v>132.0</v>
      </c>
      <c r="DA5" s="207">
        <f t="shared" si="28"/>
        <v>115.4</v>
      </c>
      <c r="DB5" s="207">
        <v>113.0</v>
      </c>
      <c r="DC5" s="207">
        <v>116.0</v>
      </c>
    </row>
    <row r="6">
      <c r="A6" s="202" t="s">
        <v>472</v>
      </c>
      <c r="B6" s="203">
        <v>118.0</v>
      </c>
      <c r="C6" s="203">
        <f t="shared" si="1"/>
        <v>120.8</v>
      </c>
      <c r="D6" s="203">
        <v>104.0</v>
      </c>
      <c r="E6" s="204">
        <v>110.0</v>
      </c>
      <c r="F6" s="203">
        <v>122.0</v>
      </c>
      <c r="G6" s="203">
        <f t="shared" si="2"/>
        <v>123.8</v>
      </c>
      <c r="H6" s="203">
        <v>125.0</v>
      </c>
      <c r="I6" s="204">
        <v>112.0</v>
      </c>
      <c r="J6" s="203">
        <v>109.0</v>
      </c>
      <c r="K6" s="203">
        <f t="shared" si="3"/>
        <v>126</v>
      </c>
      <c r="L6" s="203">
        <v>84.0</v>
      </c>
      <c r="M6" s="204">
        <v>110.0</v>
      </c>
      <c r="N6" s="203">
        <v>106.0</v>
      </c>
      <c r="O6" s="203">
        <f t="shared" si="4"/>
        <v>118.6</v>
      </c>
      <c r="P6" s="203">
        <v>102.0</v>
      </c>
      <c r="Q6" s="204">
        <v>110.0</v>
      </c>
      <c r="R6" s="203">
        <v>97.85</v>
      </c>
      <c r="S6" s="205">
        <f t="shared" si="5"/>
        <v>106.99</v>
      </c>
      <c r="T6" s="205">
        <v>106.0</v>
      </c>
      <c r="U6" s="206" t="s">
        <v>307</v>
      </c>
      <c r="V6" s="205">
        <v>147.0</v>
      </c>
      <c r="W6" s="207">
        <f t="shared" si="6"/>
        <v>125</v>
      </c>
      <c r="X6" s="207">
        <v>127.0</v>
      </c>
      <c r="Y6" s="208">
        <v>96.0</v>
      </c>
      <c r="Z6" s="203">
        <v>114.0</v>
      </c>
      <c r="AA6" s="207">
        <f t="shared" si="7"/>
        <v>105.15</v>
      </c>
      <c r="AB6" s="207">
        <v>115.0</v>
      </c>
      <c r="AC6" s="208" t="s">
        <v>307</v>
      </c>
      <c r="AD6" s="207">
        <v>111.0</v>
      </c>
      <c r="AE6" s="207">
        <f t="shared" si="8"/>
        <v>109.8</v>
      </c>
      <c r="AF6" s="207">
        <v>105.0</v>
      </c>
      <c r="AG6" s="208">
        <v>115.0</v>
      </c>
      <c r="AH6" s="207">
        <v>128.0</v>
      </c>
      <c r="AI6" s="207">
        <f t="shared" si="9"/>
        <v>119.2</v>
      </c>
      <c r="AJ6" s="207">
        <v>105.0</v>
      </c>
      <c r="AK6" s="208">
        <v>130.0</v>
      </c>
      <c r="AL6" s="207">
        <v>110.0</v>
      </c>
      <c r="AM6" s="207">
        <f t="shared" si="10"/>
        <v>106</v>
      </c>
      <c r="AN6" s="207">
        <v>120.0</v>
      </c>
      <c r="AO6" s="208">
        <v>111.0</v>
      </c>
      <c r="AP6" s="207">
        <v>84.0</v>
      </c>
      <c r="AQ6" s="207">
        <f t="shared" si="11"/>
        <v>100.4</v>
      </c>
      <c r="AR6" s="207">
        <v>68.0</v>
      </c>
      <c r="AS6" s="208">
        <v>82.0</v>
      </c>
      <c r="AT6" s="207">
        <v>94.0</v>
      </c>
      <c r="AU6" s="207">
        <f t="shared" si="12"/>
        <v>127</v>
      </c>
      <c r="AV6" s="207">
        <v>113.0</v>
      </c>
      <c r="AW6" s="208">
        <v>73.0</v>
      </c>
      <c r="AX6" s="207">
        <v>105.0</v>
      </c>
      <c r="AY6" s="207">
        <f t="shared" si="13"/>
        <v>118.4</v>
      </c>
      <c r="AZ6" s="207">
        <v>110.0</v>
      </c>
      <c r="BA6" s="208">
        <v>84.0</v>
      </c>
      <c r="BB6" s="207">
        <v>109.0</v>
      </c>
      <c r="BC6" s="207">
        <f t="shared" si="14"/>
        <v>112.4</v>
      </c>
      <c r="BD6" s="207">
        <v>117.0</v>
      </c>
      <c r="BE6" s="208">
        <v>80.0</v>
      </c>
      <c r="BF6" s="209">
        <v>141.0</v>
      </c>
      <c r="BG6" s="209">
        <v>134.0</v>
      </c>
      <c r="BH6" s="203">
        <f t="shared" si="15"/>
        <v>138.6666667</v>
      </c>
      <c r="BI6" s="207">
        <f t="shared" si="16"/>
        <v>126</v>
      </c>
      <c r="BJ6" s="207">
        <v>138.0</v>
      </c>
      <c r="BK6" s="208" t="s">
        <v>307</v>
      </c>
      <c r="BL6" s="207">
        <v>130.0</v>
      </c>
      <c r="BM6" s="207">
        <f t="shared" si="17"/>
        <v>116.2</v>
      </c>
      <c r="BN6" s="207">
        <v>115.0</v>
      </c>
      <c r="BO6" s="208">
        <v>104.0</v>
      </c>
      <c r="BP6" s="209">
        <v>105.0</v>
      </c>
      <c r="BQ6" s="209">
        <v>115.0</v>
      </c>
      <c r="BR6" s="203">
        <f t="shared" si="18"/>
        <v>108.3333333</v>
      </c>
      <c r="BS6" s="207">
        <f t="shared" si="19"/>
        <v>110.8</v>
      </c>
      <c r="BT6" s="207">
        <v>97.0</v>
      </c>
      <c r="BU6" s="208" t="s">
        <v>307</v>
      </c>
      <c r="BV6" s="207">
        <v>113.0</v>
      </c>
      <c r="BW6" s="207">
        <f t="shared" si="20"/>
        <v>110.4</v>
      </c>
      <c r="BX6" s="207">
        <v>105.0</v>
      </c>
      <c r="BY6" s="208">
        <v>73.0</v>
      </c>
      <c r="BZ6" s="207">
        <v>110.0</v>
      </c>
      <c r="CA6" s="207">
        <f t="shared" si="21"/>
        <v>118.6</v>
      </c>
      <c r="CB6" s="207">
        <v>111.0</v>
      </c>
      <c r="CC6" s="208">
        <v>94.0</v>
      </c>
      <c r="CD6" s="207">
        <v>95.0</v>
      </c>
      <c r="CE6" s="207">
        <f t="shared" si="22"/>
        <v>116.2</v>
      </c>
      <c r="CF6" s="207">
        <v>77.0</v>
      </c>
      <c r="CG6" s="208">
        <v>80.0</v>
      </c>
      <c r="CH6" s="207">
        <v>75.0</v>
      </c>
      <c r="CI6" s="207">
        <f t="shared" si="23"/>
        <v>96.4</v>
      </c>
      <c r="CJ6" s="205">
        <v>69.0</v>
      </c>
      <c r="CK6" s="206">
        <v>85.0</v>
      </c>
      <c r="CL6" s="209">
        <v>134.0</v>
      </c>
      <c r="CM6" s="209">
        <v>140.0</v>
      </c>
      <c r="CN6" s="207">
        <f t="shared" si="24"/>
        <v>136</v>
      </c>
      <c r="CO6" s="207">
        <f t="shared" si="25"/>
        <v>116.5333333</v>
      </c>
      <c r="CP6" s="207">
        <v>121.0</v>
      </c>
      <c r="CQ6" s="208" t="s">
        <v>307</v>
      </c>
      <c r="CR6" s="207">
        <v>108.0</v>
      </c>
      <c r="CS6" s="207">
        <f t="shared" si="26"/>
        <v>117.8</v>
      </c>
      <c r="CT6" s="207">
        <v>87.0</v>
      </c>
      <c r="CU6" s="208">
        <v>106.0</v>
      </c>
      <c r="CV6" s="207">
        <v>113.0</v>
      </c>
      <c r="CW6" s="207">
        <f t="shared" si="27"/>
        <v>117.2</v>
      </c>
      <c r="CX6" s="207">
        <v>89.0</v>
      </c>
      <c r="CY6" s="208">
        <v>100.0</v>
      </c>
      <c r="CZ6" s="207">
        <v>103.0</v>
      </c>
      <c r="DA6" s="207">
        <f t="shared" si="28"/>
        <v>111.4</v>
      </c>
      <c r="DB6" s="207">
        <v>69.0</v>
      </c>
      <c r="DC6" s="207">
        <v>113.0</v>
      </c>
    </row>
    <row r="7">
      <c r="A7" s="202" t="s">
        <v>473</v>
      </c>
      <c r="B7" s="203">
        <v>116.0</v>
      </c>
      <c r="C7" s="203">
        <f t="shared" si="1"/>
        <v>122.8</v>
      </c>
      <c r="D7" s="203">
        <v>108.0</v>
      </c>
      <c r="E7" s="204">
        <v>113.0</v>
      </c>
      <c r="F7" s="203">
        <v>138.0</v>
      </c>
      <c r="G7" s="203">
        <f t="shared" si="2"/>
        <v>122.4</v>
      </c>
      <c r="H7" s="203">
        <v>124.0</v>
      </c>
      <c r="I7" s="204">
        <v>120.0</v>
      </c>
      <c r="J7" s="203">
        <v>113.0</v>
      </c>
      <c r="K7" s="203">
        <f t="shared" si="3"/>
        <v>130.4</v>
      </c>
      <c r="L7" s="203">
        <v>100.0</v>
      </c>
      <c r="M7" s="204">
        <v>119.0</v>
      </c>
      <c r="N7" s="203">
        <v>127.0</v>
      </c>
      <c r="O7" s="203">
        <f t="shared" si="4"/>
        <v>118</v>
      </c>
      <c r="P7" s="203">
        <v>118.0</v>
      </c>
      <c r="Q7" s="204">
        <v>121.0</v>
      </c>
      <c r="R7" s="203">
        <v>99.75</v>
      </c>
      <c r="S7" s="205">
        <f t="shared" si="5"/>
        <v>110.22</v>
      </c>
      <c r="T7" s="205">
        <v>111.0</v>
      </c>
      <c r="U7" s="206" t="s">
        <v>307</v>
      </c>
      <c r="V7" s="205">
        <v>118.0</v>
      </c>
      <c r="W7" s="207">
        <f t="shared" si="6"/>
        <v>118.8</v>
      </c>
      <c r="X7" s="207">
        <v>121.0</v>
      </c>
      <c r="Y7" s="208">
        <v>83.0</v>
      </c>
      <c r="Z7" s="203">
        <v>103.55</v>
      </c>
      <c r="AA7" s="207">
        <f t="shared" si="7"/>
        <v>108.75</v>
      </c>
      <c r="AB7" s="207">
        <v>99.0</v>
      </c>
      <c r="AC7" s="208" t="s">
        <v>307</v>
      </c>
      <c r="AD7" s="207">
        <v>129.0</v>
      </c>
      <c r="AE7" s="207" t="s">
        <v>474</v>
      </c>
      <c r="AF7" s="207">
        <v>110.0</v>
      </c>
      <c r="AG7" s="208">
        <v>118.0</v>
      </c>
      <c r="AH7" s="207">
        <v>125.0</v>
      </c>
      <c r="AI7" s="207">
        <f t="shared" si="9"/>
        <v>117</v>
      </c>
      <c r="AJ7" s="207">
        <v>114.0</v>
      </c>
      <c r="AK7" s="208">
        <v>133.0</v>
      </c>
      <c r="AL7" s="207">
        <v>124.0</v>
      </c>
      <c r="AM7" s="207">
        <f t="shared" si="10"/>
        <v>104.6</v>
      </c>
      <c r="AN7" s="207">
        <v>114.0</v>
      </c>
      <c r="AO7" s="208">
        <v>116.0</v>
      </c>
      <c r="AP7" s="207">
        <v>89.0</v>
      </c>
      <c r="AQ7" s="207">
        <f t="shared" si="11"/>
        <v>109</v>
      </c>
      <c r="AR7" s="207">
        <v>98.0</v>
      </c>
      <c r="AS7" s="208">
        <v>111.0</v>
      </c>
      <c r="AT7" s="207">
        <v>151.0</v>
      </c>
      <c r="AU7" s="207">
        <f t="shared" si="12"/>
        <v>134.6</v>
      </c>
      <c r="AV7" s="207">
        <v>107.0</v>
      </c>
      <c r="AW7" s="208">
        <v>71.0</v>
      </c>
      <c r="AX7" s="207">
        <v>114.0</v>
      </c>
      <c r="AY7" s="207">
        <f t="shared" si="13"/>
        <v>124</v>
      </c>
      <c r="AZ7" s="207">
        <v>105.0</v>
      </c>
      <c r="BA7" s="208">
        <v>95.0</v>
      </c>
      <c r="BB7" s="207">
        <v>116.0</v>
      </c>
      <c r="BC7" s="207">
        <f t="shared" si="14"/>
        <v>114.2</v>
      </c>
      <c r="BD7" s="207">
        <v>117.0</v>
      </c>
      <c r="BE7" s="208">
        <v>107.0</v>
      </c>
      <c r="BF7" s="209">
        <v>108.0</v>
      </c>
      <c r="BG7" s="209">
        <v>110.0</v>
      </c>
      <c r="BH7" s="203">
        <f t="shared" si="15"/>
        <v>108.6666667</v>
      </c>
      <c r="BI7" s="207">
        <f t="shared" si="16"/>
        <v>121.2</v>
      </c>
      <c r="BJ7" s="207">
        <v>97.0</v>
      </c>
      <c r="BK7" s="208" t="s">
        <v>307</v>
      </c>
      <c r="BL7" s="207">
        <v>121.0</v>
      </c>
      <c r="BM7" s="207">
        <f t="shared" si="17"/>
        <v>110.6</v>
      </c>
      <c r="BN7" s="207">
        <v>112.0</v>
      </c>
      <c r="BO7" s="208">
        <v>98.0</v>
      </c>
      <c r="BP7" s="209">
        <v>107.0</v>
      </c>
      <c r="BQ7" s="209">
        <v>111.0</v>
      </c>
      <c r="BR7" s="203">
        <f t="shared" si="18"/>
        <v>108.3333333</v>
      </c>
      <c r="BS7" s="207">
        <f t="shared" si="19"/>
        <v>111</v>
      </c>
      <c r="BT7" s="207">
        <v>112.0</v>
      </c>
      <c r="BU7" s="208" t="s">
        <v>307</v>
      </c>
      <c r="BV7" s="207">
        <v>95.0</v>
      </c>
      <c r="BW7" s="207">
        <f t="shared" si="20"/>
        <v>110</v>
      </c>
      <c r="BX7" s="207">
        <v>97.0</v>
      </c>
      <c r="BY7" s="208">
        <v>79.0</v>
      </c>
      <c r="BZ7" s="207">
        <v>113.0</v>
      </c>
      <c r="CA7" s="207">
        <f t="shared" si="21"/>
        <v>123.4</v>
      </c>
      <c r="CB7" s="207">
        <v>98.0</v>
      </c>
      <c r="CC7" s="208">
        <v>101.0</v>
      </c>
      <c r="CD7" s="207">
        <v>102.0</v>
      </c>
      <c r="CE7" s="207" t="s">
        <v>474</v>
      </c>
      <c r="CF7" s="207">
        <v>104.0</v>
      </c>
      <c r="CG7" s="208">
        <v>93.0</v>
      </c>
      <c r="CH7" s="207">
        <v>85.0</v>
      </c>
      <c r="CI7" s="207">
        <f t="shared" si="23"/>
        <v>103.8</v>
      </c>
      <c r="CJ7" s="205">
        <v>128.0</v>
      </c>
      <c r="CK7" s="206">
        <v>87.0</v>
      </c>
      <c r="CL7" s="209">
        <v>102.0</v>
      </c>
      <c r="CM7" s="209">
        <v>108.0</v>
      </c>
      <c r="CN7" s="207">
        <f t="shared" si="24"/>
        <v>104</v>
      </c>
      <c r="CO7" s="207">
        <f t="shared" si="25"/>
        <v>119</v>
      </c>
      <c r="CP7" s="207">
        <v>103.0</v>
      </c>
      <c r="CQ7" s="208" t="s">
        <v>307</v>
      </c>
      <c r="CR7" s="207">
        <v>128.0</v>
      </c>
      <c r="CS7" s="207">
        <f t="shared" si="26"/>
        <v>119</v>
      </c>
      <c r="CT7" s="207">
        <v>116.0</v>
      </c>
      <c r="CU7" s="208">
        <v>120.0</v>
      </c>
      <c r="CV7" s="207">
        <v>131.0</v>
      </c>
      <c r="CW7" s="207">
        <f t="shared" si="27"/>
        <v>114.4</v>
      </c>
      <c r="CX7" s="207">
        <v>114.0</v>
      </c>
      <c r="CY7" s="208">
        <v>110.0</v>
      </c>
      <c r="CZ7" s="207">
        <v>138.0</v>
      </c>
      <c r="DA7" s="207">
        <f t="shared" si="28"/>
        <v>108.4</v>
      </c>
      <c r="DB7" s="207">
        <v>94.0</v>
      </c>
      <c r="DC7" s="207">
        <v>114.0</v>
      </c>
    </row>
    <row r="8">
      <c r="A8" s="202" t="s">
        <v>475</v>
      </c>
      <c r="B8" s="203">
        <v>108.0</v>
      </c>
      <c r="C8" s="203">
        <f t="shared" si="1"/>
        <v>126</v>
      </c>
      <c r="D8" s="203">
        <v>113.0</v>
      </c>
      <c r="E8" s="204">
        <v>110.0</v>
      </c>
      <c r="F8" s="203">
        <v>119.0</v>
      </c>
      <c r="G8" s="203">
        <f t="shared" si="2"/>
        <v>123</v>
      </c>
      <c r="H8" s="203">
        <v>119.0</v>
      </c>
      <c r="I8" s="204">
        <v>109.0</v>
      </c>
      <c r="J8" s="203">
        <v>125.0</v>
      </c>
      <c r="K8" s="203">
        <f t="shared" si="3"/>
        <v>132.2</v>
      </c>
      <c r="L8" s="203">
        <v>124.0</v>
      </c>
      <c r="M8" s="204">
        <v>122.0</v>
      </c>
      <c r="N8" s="203">
        <v>107.0</v>
      </c>
      <c r="O8" s="203">
        <f t="shared" si="4"/>
        <v>119</v>
      </c>
      <c r="P8" s="203">
        <v>104.0</v>
      </c>
      <c r="Q8" s="204">
        <v>124.0</v>
      </c>
      <c r="R8" s="203">
        <v>103.55</v>
      </c>
      <c r="S8" s="205">
        <f t="shared" si="5"/>
        <v>112.67</v>
      </c>
      <c r="T8" s="205">
        <v>106.0</v>
      </c>
      <c r="U8" s="206" t="s">
        <v>307</v>
      </c>
      <c r="V8" s="205">
        <v>127.0</v>
      </c>
      <c r="W8" s="207">
        <f t="shared" si="6"/>
        <v>114.8</v>
      </c>
      <c r="X8" s="207">
        <v>110.0</v>
      </c>
      <c r="Y8" s="208">
        <v>97.0</v>
      </c>
      <c r="Z8" s="203">
        <v>90.25</v>
      </c>
      <c r="AA8" s="207">
        <f t="shared" si="7"/>
        <v>112.84</v>
      </c>
      <c r="AB8" s="207">
        <v>104.0</v>
      </c>
      <c r="AC8" s="208" t="s">
        <v>307</v>
      </c>
      <c r="AD8" s="207">
        <v>106.0</v>
      </c>
      <c r="AE8" s="207" t="s">
        <v>474</v>
      </c>
      <c r="AF8" s="207">
        <v>99.0</v>
      </c>
      <c r="AG8" s="208">
        <v>118.0</v>
      </c>
      <c r="AH8" s="207">
        <v>118.0</v>
      </c>
      <c r="AI8" s="208">
        <f t="shared" si="9"/>
        <v>115.4</v>
      </c>
      <c r="AJ8" s="207">
        <v>101.0</v>
      </c>
      <c r="AK8" s="208">
        <v>139.0</v>
      </c>
      <c r="AL8" s="207">
        <v>96.0</v>
      </c>
      <c r="AM8" s="207">
        <f t="shared" si="10"/>
        <v>97</v>
      </c>
      <c r="AN8" s="207">
        <v>101.0</v>
      </c>
      <c r="AO8" s="208">
        <v>109.0</v>
      </c>
      <c r="AP8" s="207">
        <v>114.0</v>
      </c>
      <c r="AQ8" s="207">
        <f t="shared" si="11"/>
        <v>115</v>
      </c>
      <c r="AR8" s="207">
        <v>119.0</v>
      </c>
      <c r="AS8" s="208">
        <v>92.0</v>
      </c>
      <c r="AT8" s="207">
        <v>111.0</v>
      </c>
      <c r="AU8" s="207">
        <f t="shared" si="12"/>
        <v>132.6</v>
      </c>
      <c r="AV8" s="207">
        <v>151.0</v>
      </c>
      <c r="AW8" s="208">
        <v>72.0</v>
      </c>
      <c r="AX8" s="207">
        <v>120.0</v>
      </c>
      <c r="AY8" s="207" t="s">
        <v>474</v>
      </c>
      <c r="AZ8" s="207">
        <v>123.0</v>
      </c>
      <c r="BA8" s="208">
        <v>108.0</v>
      </c>
      <c r="BB8" s="207">
        <v>102.0</v>
      </c>
      <c r="BC8" s="207">
        <f t="shared" si="14"/>
        <v>113.8</v>
      </c>
      <c r="BD8" s="207">
        <v>108.0</v>
      </c>
      <c r="BE8" s="208">
        <v>93.0</v>
      </c>
      <c r="BF8" s="209">
        <v>124.0</v>
      </c>
      <c r="BG8" s="209">
        <v>127.0</v>
      </c>
      <c r="BH8" s="203">
        <f t="shared" si="15"/>
        <v>125</v>
      </c>
      <c r="BI8" s="207">
        <f t="shared" si="16"/>
        <v>127.6</v>
      </c>
      <c r="BJ8" s="207">
        <v>112.0</v>
      </c>
      <c r="BK8" s="208" t="s">
        <v>307</v>
      </c>
      <c r="BL8" s="207">
        <v>120.0</v>
      </c>
      <c r="BM8" s="207">
        <f t="shared" si="17"/>
        <v>111.4</v>
      </c>
      <c r="BN8" s="207">
        <v>102.0</v>
      </c>
      <c r="BO8" s="208">
        <v>114.0</v>
      </c>
      <c r="BP8" s="209">
        <v>122.0</v>
      </c>
      <c r="BQ8" s="209">
        <v>127.0</v>
      </c>
      <c r="BR8" s="203">
        <f t="shared" si="18"/>
        <v>123.6666667</v>
      </c>
      <c r="BS8" s="207">
        <f t="shared" si="19"/>
        <v>112.8</v>
      </c>
      <c r="BT8" s="207">
        <v>108.0</v>
      </c>
      <c r="BU8" s="208" t="s">
        <v>307</v>
      </c>
      <c r="BV8" s="207">
        <v>117.0</v>
      </c>
      <c r="BW8" s="207">
        <f t="shared" si="20"/>
        <v>111.8</v>
      </c>
      <c r="BX8" s="207">
        <v>108.0</v>
      </c>
      <c r="BY8" s="208">
        <v>77.0</v>
      </c>
      <c r="BZ8" s="207">
        <v>127.0</v>
      </c>
      <c r="CA8" s="207">
        <f t="shared" si="21"/>
        <v>128</v>
      </c>
      <c r="CB8" s="207">
        <v>99.0</v>
      </c>
      <c r="CC8" s="208">
        <v>115.0</v>
      </c>
      <c r="CD8" s="207">
        <v>122.0</v>
      </c>
      <c r="CE8" s="207" t="s">
        <v>474</v>
      </c>
      <c r="CF8" s="207">
        <v>118.0</v>
      </c>
      <c r="CG8" s="208">
        <v>96.0</v>
      </c>
      <c r="CH8" s="207">
        <v>104.0</v>
      </c>
      <c r="CI8" s="207">
        <f t="shared" si="23"/>
        <v>110</v>
      </c>
      <c r="CJ8" s="205">
        <v>130.0</v>
      </c>
      <c r="CK8" s="206">
        <v>59.0</v>
      </c>
      <c r="CL8" s="209">
        <v>116.0</v>
      </c>
      <c r="CM8" s="209">
        <v>124.0</v>
      </c>
      <c r="CN8" s="207">
        <f t="shared" si="24"/>
        <v>118.6666667</v>
      </c>
      <c r="CO8" s="207">
        <f t="shared" si="25"/>
        <v>117.4666667</v>
      </c>
      <c r="CP8" s="207">
        <v>116.0</v>
      </c>
      <c r="CQ8" s="208" t="s">
        <v>307</v>
      </c>
      <c r="CR8" s="207">
        <v>116.0</v>
      </c>
      <c r="CS8" s="207">
        <f t="shared" si="26"/>
        <v>112.8</v>
      </c>
      <c r="CT8" s="207">
        <v>110.0</v>
      </c>
      <c r="CU8" s="208">
        <v>100.0</v>
      </c>
      <c r="CV8" s="207">
        <v>123.0</v>
      </c>
      <c r="CW8" s="207">
        <f t="shared" si="27"/>
        <v>109.6</v>
      </c>
      <c r="CX8" s="207">
        <v>100.0</v>
      </c>
      <c r="CY8" s="208">
        <v>107.0</v>
      </c>
      <c r="CZ8" s="207">
        <v>112.0</v>
      </c>
      <c r="DA8" s="207">
        <f t="shared" si="28"/>
        <v>97.8</v>
      </c>
      <c r="DB8" s="207">
        <v>84.0</v>
      </c>
      <c r="DC8" s="207">
        <v>120.0</v>
      </c>
    </row>
    <row r="9">
      <c r="A9" s="202" t="s">
        <v>476</v>
      </c>
      <c r="B9" s="203">
        <v>142.0</v>
      </c>
      <c r="C9" s="203">
        <f t="shared" si="1"/>
        <v>128.4</v>
      </c>
      <c r="D9" s="203">
        <v>126.0</v>
      </c>
      <c r="E9" s="204">
        <v>117.0</v>
      </c>
      <c r="F9" s="203">
        <v>113.0</v>
      </c>
      <c r="G9" s="203">
        <f t="shared" si="2"/>
        <v>122.6</v>
      </c>
      <c r="H9" s="203">
        <v>115.0</v>
      </c>
      <c r="I9" s="204">
        <v>124.0</v>
      </c>
      <c r="J9" s="203">
        <v>153.0</v>
      </c>
      <c r="K9" s="203">
        <f t="shared" si="3"/>
        <v>130.2</v>
      </c>
      <c r="L9" s="203">
        <v>120.0</v>
      </c>
      <c r="M9" s="204">
        <v>128.0</v>
      </c>
      <c r="N9" s="203">
        <v>122.0</v>
      </c>
      <c r="O9" s="203">
        <f t="shared" si="4"/>
        <v>120.8</v>
      </c>
      <c r="P9" s="203">
        <v>104.0</v>
      </c>
      <c r="Q9" s="204">
        <v>128.0</v>
      </c>
      <c r="R9" s="203">
        <v>117.8</v>
      </c>
      <c r="S9" s="205">
        <f t="shared" si="5"/>
        <v>118.56</v>
      </c>
      <c r="T9" s="205">
        <v>132.0</v>
      </c>
      <c r="U9" s="206" t="s">
        <v>307</v>
      </c>
      <c r="V9" s="205">
        <v>135.0</v>
      </c>
      <c r="W9" s="207">
        <f t="shared" si="6"/>
        <v>111.6</v>
      </c>
      <c r="X9" s="207">
        <v>127.0</v>
      </c>
      <c r="Y9" s="208">
        <v>110.0</v>
      </c>
      <c r="Z9" s="203">
        <v>95.94999999999999</v>
      </c>
      <c r="AA9" s="207">
        <f t="shared" si="7"/>
        <v>116.39</v>
      </c>
      <c r="AB9" s="207">
        <v>100.0</v>
      </c>
      <c r="AC9" s="208" t="s">
        <v>307</v>
      </c>
      <c r="AD9" s="207">
        <v>101.0</v>
      </c>
      <c r="AE9" s="207" t="s">
        <v>474</v>
      </c>
      <c r="AF9" s="207">
        <v>107.0</v>
      </c>
      <c r="AG9" s="208">
        <v>108.0</v>
      </c>
      <c r="AH9" s="207">
        <v>112.0</v>
      </c>
      <c r="AI9" s="207">
        <f t="shared" si="9"/>
        <v>118.4</v>
      </c>
      <c r="AJ9" s="207">
        <v>97.0</v>
      </c>
      <c r="AK9" s="208">
        <v>135.0</v>
      </c>
      <c r="AL9" s="207">
        <v>99.0</v>
      </c>
      <c r="AM9" s="207">
        <f t="shared" si="10"/>
        <v>101.2</v>
      </c>
      <c r="AN9" s="207">
        <v>92.0</v>
      </c>
      <c r="AO9" s="208">
        <v>95.0</v>
      </c>
      <c r="AP9" s="207">
        <v>100.0</v>
      </c>
      <c r="AQ9" s="207">
        <f t="shared" si="11"/>
        <v>114.6</v>
      </c>
      <c r="AR9" s="207">
        <v>106.0</v>
      </c>
      <c r="AS9" s="208">
        <v>106.0</v>
      </c>
      <c r="AT9" s="207">
        <v>140.0</v>
      </c>
      <c r="AU9" s="207">
        <f t="shared" si="12"/>
        <v>133.6</v>
      </c>
      <c r="AV9" s="207">
        <v>111.0</v>
      </c>
      <c r="AW9" s="208">
        <v>117.0</v>
      </c>
      <c r="AX9" s="207">
        <v>124.0</v>
      </c>
      <c r="AY9" s="207" t="s">
        <v>474</v>
      </c>
      <c r="AZ9" s="207">
        <v>130.0</v>
      </c>
      <c r="BA9" s="208">
        <v>105.0</v>
      </c>
      <c r="BB9" s="207">
        <v>118.0</v>
      </c>
      <c r="BC9" s="207">
        <f t="shared" si="14"/>
        <v>113</v>
      </c>
      <c r="BD9" s="207">
        <v>104.0</v>
      </c>
      <c r="BE9" s="208">
        <v>107.0</v>
      </c>
      <c r="BF9" s="209">
        <v>112.0</v>
      </c>
      <c r="BG9" s="209">
        <v>111.0</v>
      </c>
      <c r="BH9" s="203">
        <f t="shared" si="15"/>
        <v>111.6666667</v>
      </c>
      <c r="BI9" s="207" t="s">
        <v>474</v>
      </c>
      <c r="BJ9" s="207">
        <v>106.0</v>
      </c>
      <c r="BK9" s="208" t="s">
        <v>307</v>
      </c>
      <c r="BL9" s="207">
        <v>110.0</v>
      </c>
      <c r="BM9" s="207">
        <f t="shared" si="17"/>
        <v>108.8</v>
      </c>
      <c r="BN9" s="207">
        <v>87.0</v>
      </c>
      <c r="BO9" s="208">
        <v>104.0</v>
      </c>
      <c r="BP9" s="209">
        <v>117.0</v>
      </c>
      <c r="BQ9" s="209">
        <v>119.0</v>
      </c>
      <c r="BR9" s="203">
        <f t="shared" si="18"/>
        <v>117.6666667</v>
      </c>
      <c r="BS9" s="207">
        <f t="shared" si="19"/>
        <v>106.7333333</v>
      </c>
      <c r="BT9" s="207">
        <v>135.0</v>
      </c>
      <c r="BU9" s="208" t="s">
        <v>307</v>
      </c>
      <c r="BV9" s="207">
        <v>118.0</v>
      </c>
      <c r="BW9" s="207">
        <f t="shared" si="20"/>
        <v>113.2</v>
      </c>
      <c r="BX9" s="207">
        <v>123.0</v>
      </c>
      <c r="BY9" s="208">
        <v>89.0</v>
      </c>
      <c r="BZ9" s="207">
        <v>119.0</v>
      </c>
      <c r="CA9" s="207">
        <f t="shared" si="21"/>
        <v>128.8</v>
      </c>
      <c r="CB9" s="207">
        <v>104.0</v>
      </c>
      <c r="CC9" s="208">
        <v>116.0</v>
      </c>
      <c r="CD9" s="207">
        <v>147.0</v>
      </c>
      <c r="CE9" s="207" t="s">
        <v>474</v>
      </c>
      <c r="CF9" s="207">
        <v>127.0</v>
      </c>
      <c r="CG9" s="208">
        <v>117.0</v>
      </c>
      <c r="CH9" s="207">
        <v>106.0</v>
      </c>
      <c r="CI9" s="207">
        <f t="shared" si="23"/>
        <v>111</v>
      </c>
      <c r="CJ9" s="205">
        <v>113.0</v>
      </c>
      <c r="CK9" s="206">
        <v>106.0</v>
      </c>
      <c r="CL9" s="209">
        <v>116.0</v>
      </c>
      <c r="CM9" s="209">
        <v>123.0</v>
      </c>
      <c r="CN9" s="207">
        <f t="shared" si="24"/>
        <v>118.3333333</v>
      </c>
      <c r="CO9" s="207">
        <f t="shared" si="25"/>
        <v>119.2666667</v>
      </c>
      <c r="CP9" s="207">
        <v>108.0</v>
      </c>
      <c r="CQ9" s="208" t="s">
        <v>307</v>
      </c>
      <c r="CR9" s="207">
        <v>127.0</v>
      </c>
      <c r="CS9" s="207">
        <f t="shared" si="26"/>
        <v>110.4</v>
      </c>
      <c r="CT9" s="207">
        <v>120.0</v>
      </c>
      <c r="CU9" s="208">
        <v>108.0</v>
      </c>
      <c r="CV9" s="207">
        <v>113.0</v>
      </c>
      <c r="CW9" s="207">
        <f t="shared" si="27"/>
        <v>103.2</v>
      </c>
      <c r="CX9" s="207">
        <v>91.0</v>
      </c>
      <c r="CY9" s="208">
        <v>118.0</v>
      </c>
      <c r="CZ9" s="207">
        <v>92.0</v>
      </c>
      <c r="DA9" s="207">
        <f t="shared" si="28"/>
        <v>94.2</v>
      </c>
      <c r="DB9" s="207">
        <v>74.0</v>
      </c>
      <c r="DC9" s="207">
        <v>98.0</v>
      </c>
    </row>
    <row r="10">
      <c r="A10" s="202" t="s">
        <v>477</v>
      </c>
      <c r="B10" s="203">
        <v>120.0</v>
      </c>
      <c r="C10" s="203">
        <f t="shared" si="1"/>
        <v>120.4</v>
      </c>
      <c r="D10" s="203">
        <v>109.0</v>
      </c>
      <c r="E10" s="204">
        <v>125.0</v>
      </c>
      <c r="F10" s="203">
        <v>127.0</v>
      </c>
      <c r="G10" s="203">
        <f t="shared" si="2"/>
        <v>123.8</v>
      </c>
      <c r="H10" s="203">
        <v>110.0</v>
      </c>
      <c r="I10" s="204">
        <v>113.0</v>
      </c>
      <c r="J10" s="203">
        <v>130.0</v>
      </c>
      <c r="K10" s="203">
        <f t="shared" si="3"/>
        <v>124</v>
      </c>
      <c r="L10" s="203">
        <v>116.0</v>
      </c>
      <c r="M10" s="204">
        <v>120.0</v>
      </c>
      <c r="N10" s="203">
        <v>131.0</v>
      </c>
      <c r="O10" s="203">
        <f t="shared" si="4"/>
        <v>120.6</v>
      </c>
      <c r="P10" s="203">
        <v>111.0</v>
      </c>
      <c r="Q10" s="204">
        <v>117.0</v>
      </c>
      <c r="R10" s="207">
        <v>116.0</v>
      </c>
      <c r="S10" s="205">
        <f t="shared" si="5"/>
        <v>113.8</v>
      </c>
      <c r="T10" s="205">
        <v>113.0</v>
      </c>
      <c r="U10" s="206">
        <v>121.0</v>
      </c>
      <c r="V10" s="205">
        <v>98.0</v>
      </c>
      <c r="W10" s="207">
        <f t="shared" si="6"/>
        <v>105.6</v>
      </c>
      <c r="X10" s="207">
        <v>118.0</v>
      </c>
      <c r="Y10" s="208">
        <v>89.0</v>
      </c>
      <c r="Z10" s="207">
        <v>122.0</v>
      </c>
      <c r="AA10" s="207">
        <f t="shared" si="7"/>
        <v>121</v>
      </c>
      <c r="AB10" s="207">
        <v>124.0</v>
      </c>
      <c r="AC10" s="208">
        <v>97.0</v>
      </c>
      <c r="AD10" s="207">
        <v>102.0</v>
      </c>
      <c r="AE10" s="207" t="s">
        <v>474</v>
      </c>
      <c r="AF10" s="207">
        <v>100.0</v>
      </c>
      <c r="AG10" s="208">
        <v>104.0</v>
      </c>
      <c r="AH10" s="207">
        <v>113.0</v>
      </c>
      <c r="AI10" s="207">
        <f t="shared" si="9"/>
        <v>119.6</v>
      </c>
      <c r="AJ10" s="207">
        <v>122.0</v>
      </c>
      <c r="AK10" s="208">
        <v>127.0</v>
      </c>
      <c r="AL10" s="207">
        <v>101.0</v>
      </c>
      <c r="AM10" s="207">
        <f t="shared" si="10"/>
        <v>102.4</v>
      </c>
      <c r="AN10" s="207">
        <v>112.0</v>
      </c>
      <c r="AO10" s="208">
        <v>94.0</v>
      </c>
      <c r="AP10" s="207">
        <v>115.0</v>
      </c>
      <c r="AQ10" s="207">
        <f t="shared" si="11"/>
        <v>119.4</v>
      </c>
      <c r="AR10" s="207">
        <v>92.0</v>
      </c>
      <c r="AS10" s="208">
        <v>105.0</v>
      </c>
      <c r="AT10" s="207">
        <v>139.0</v>
      </c>
      <c r="AU10" s="207">
        <f t="shared" si="12"/>
        <v>129.4</v>
      </c>
      <c r="AV10" s="207">
        <v>126.0</v>
      </c>
      <c r="AW10" s="208">
        <v>102.0</v>
      </c>
      <c r="AX10" s="207">
        <v>129.0</v>
      </c>
      <c r="AY10" s="207" t="s">
        <v>474</v>
      </c>
      <c r="AZ10" s="207">
        <v>115.0</v>
      </c>
      <c r="BA10" s="208">
        <v>105.0</v>
      </c>
      <c r="BB10" s="207">
        <v>117.0</v>
      </c>
      <c r="BC10" s="207">
        <f t="shared" si="14"/>
        <v>112.6</v>
      </c>
      <c r="BD10" s="207">
        <v>117.0</v>
      </c>
      <c r="BE10" s="208">
        <v>103.0</v>
      </c>
      <c r="BF10" s="209">
        <v>148.0</v>
      </c>
      <c r="BG10" s="209">
        <v>142.0</v>
      </c>
      <c r="BH10" s="203">
        <f t="shared" si="15"/>
        <v>146</v>
      </c>
      <c r="BI10" s="207" t="s">
        <v>474</v>
      </c>
      <c r="BJ10" s="207">
        <v>134.0</v>
      </c>
      <c r="BK10" s="208" t="s">
        <v>307</v>
      </c>
      <c r="BL10" s="207">
        <v>100.0</v>
      </c>
      <c r="BM10" s="207">
        <f t="shared" si="17"/>
        <v>108.2</v>
      </c>
      <c r="BN10" s="207">
        <v>92.0</v>
      </c>
      <c r="BO10" s="208">
        <v>109.0</v>
      </c>
      <c r="BP10" s="209">
        <v>96.0</v>
      </c>
      <c r="BQ10" s="209">
        <v>96.0</v>
      </c>
      <c r="BR10" s="203">
        <f t="shared" si="18"/>
        <v>96</v>
      </c>
      <c r="BS10" s="207">
        <f t="shared" si="19"/>
        <v>101.4</v>
      </c>
      <c r="BT10" s="207">
        <v>73.0</v>
      </c>
      <c r="BU10" s="208" t="s">
        <v>307</v>
      </c>
      <c r="BV10" s="207">
        <v>109.0</v>
      </c>
      <c r="BW10" s="207">
        <f t="shared" si="20"/>
        <v>112.4</v>
      </c>
      <c r="BX10" s="207">
        <v>102.0</v>
      </c>
      <c r="BY10" s="208">
        <v>92.0</v>
      </c>
      <c r="BZ10" s="207">
        <v>124.0</v>
      </c>
      <c r="CA10" s="207">
        <f t="shared" si="21"/>
        <v>127.2</v>
      </c>
      <c r="CB10" s="207">
        <v>105.0</v>
      </c>
      <c r="CC10" s="208">
        <v>112.0</v>
      </c>
      <c r="CD10" s="207">
        <v>115.0</v>
      </c>
      <c r="CE10" s="207" t="s">
        <v>474</v>
      </c>
      <c r="CF10" s="207">
        <v>97.0</v>
      </c>
      <c r="CG10" s="208">
        <v>73.0</v>
      </c>
      <c r="CH10" s="207">
        <v>112.0</v>
      </c>
      <c r="CI10" s="205" t="s">
        <v>474</v>
      </c>
      <c r="CJ10" s="205">
        <v>102.0</v>
      </c>
      <c r="CK10" s="206">
        <v>92.0</v>
      </c>
      <c r="CL10" s="209">
        <v>104.0</v>
      </c>
      <c r="CM10" s="209">
        <v>109.0</v>
      </c>
      <c r="CN10" s="207">
        <f t="shared" si="24"/>
        <v>105.6666667</v>
      </c>
      <c r="CO10" s="207">
        <f t="shared" si="25"/>
        <v>118.6</v>
      </c>
      <c r="CP10" s="207">
        <v>71.0</v>
      </c>
      <c r="CQ10" s="208" t="s">
        <v>307</v>
      </c>
      <c r="CR10" s="207">
        <v>110.0</v>
      </c>
      <c r="CS10" s="207">
        <f t="shared" si="26"/>
        <v>107.6</v>
      </c>
      <c r="CT10" s="207">
        <v>106.0</v>
      </c>
      <c r="CU10" s="208">
        <v>124.0</v>
      </c>
      <c r="CV10" s="207">
        <v>106.0</v>
      </c>
      <c r="CW10" s="207" t="s">
        <v>474</v>
      </c>
      <c r="CX10" s="207">
        <v>93.0</v>
      </c>
      <c r="CY10" s="208">
        <v>111.0</v>
      </c>
      <c r="CZ10" s="207">
        <v>112.0</v>
      </c>
      <c r="DA10" s="207">
        <f t="shared" si="28"/>
        <v>92.4</v>
      </c>
      <c r="DB10" s="207">
        <v>105.0</v>
      </c>
      <c r="DC10" s="207">
        <v>107.0</v>
      </c>
    </row>
    <row r="11">
      <c r="A11" s="202" t="s">
        <v>478</v>
      </c>
      <c r="B11" s="203">
        <v>128.0</v>
      </c>
      <c r="C11" s="203">
        <f t="shared" si="1"/>
        <v>119</v>
      </c>
      <c r="D11" s="203">
        <v>129.0</v>
      </c>
      <c r="E11" s="204">
        <v>110.0</v>
      </c>
      <c r="F11" s="203">
        <v>115.0</v>
      </c>
      <c r="G11" s="203">
        <f t="shared" si="2"/>
        <v>120.2</v>
      </c>
      <c r="H11" s="203">
        <v>119.0</v>
      </c>
      <c r="I11" s="204">
        <v>95.0</v>
      </c>
      <c r="J11" s="203">
        <v>131.0</v>
      </c>
      <c r="K11" s="203">
        <f t="shared" si="3"/>
        <v>119.6</v>
      </c>
      <c r="L11" s="203">
        <v>124.0</v>
      </c>
      <c r="M11" s="204">
        <v>125.0</v>
      </c>
      <c r="N11" s="203">
        <v>103.0</v>
      </c>
      <c r="O11" s="203">
        <f t="shared" si="4"/>
        <v>116.2</v>
      </c>
      <c r="P11" s="203">
        <v>95.0</v>
      </c>
      <c r="Q11" s="204">
        <v>119.0</v>
      </c>
      <c r="R11" s="207">
        <v>114.0</v>
      </c>
      <c r="S11" s="205">
        <f t="shared" si="5"/>
        <v>115.2</v>
      </c>
      <c r="T11" s="205">
        <v>140.0</v>
      </c>
      <c r="U11" s="206">
        <v>78.0</v>
      </c>
      <c r="V11" s="205">
        <v>116.0</v>
      </c>
      <c r="W11" s="207">
        <f t="shared" si="6"/>
        <v>113</v>
      </c>
      <c r="X11" s="207">
        <v>122.0</v>
      </c>
      <c r="Y11" s="208">
        <v>105.0</v>
      </c>
      <c r="Z11" s="207">
        <v>132.0</v>
      </c>
      <c r="AA11" s="207">
        <f t="shared" si="7"/>
        <v>117.2</v>
      </c>
      <c r="AB11" s="207">
        <v>135.0</v>
      </c>
      <c r="AC11" s="208">
        <v>92.0</v>
      </c>
      <c r="AD11" s="207"/>
      <c r="AE11" s="210">
        <f>max(AE3:AE6)</f>
        <v>126.2</v>
      </c>
      <c r="AF11" s="207"/>
      <c r="AG11" s="208"/>
      <c r="AH11" s="207">
        <v>117.0</v>
      </c>
      <c r="AI11" s="207">
        <f t="shared" si="9"/>
        <v>120.8</v>
      </c>
      <c r="AJ11" s="207">
        <v>119.0</v>
      </c>
      <c r="AK11" s="208">
        <v>116.0</v>
      </c>
      <c r="AL11" s="207">
        <v>103.0</v>
      </c>
      <c r="AM11" s="207">
        <f t="shared" si="10"/>
        <v>105.8</v>
      </c>
      <c r="AN11" s="207">
        <v>114.0</v>
      </c>
      <c r="AO11" s="208">
        <v>89.0</v>
      </c>
      <c r="AP11" s="207">
        <v>127.0</v>
      </c>
      <c r="AQ11" s="207">
        <f t="shared" si="11"/>
        <v>118.6</v>
      </c>
      <c r="AR11" s="207">
        <v>97.0</v>
      </c>
      <c r="AS11" s="208">
        <v>115.0</v>
      </c>
      <c r="AT11" s="207">
        <v>132.0</v>
      </c>
      <c r="AU11" s="207">
        <f t="shared" si="12"/>
        <v>127.2</v>
      </c>
      <c r="AV11" s="207">
        <v>99.0</v>
      </c>
      <c r="AW11" s="208">
        <v>103.0</v>
      </c>
      <c r="AX11" s="207">
        <v>133.0</v>
      </c>
      <c r="AY11" s="207" t="s">
        <v>474</v>
      </c>
      <c r="AZ11" s="207">
        <v>131.0</v>
      </c>
      <c r="BA11" s="208">
        <v>101.0</v>
      </c>
      <c r="BB11" s="207">
        <v>118.0</v>
      </c>
      <c r="BC11" s="207">
        <f t="shared" si="14"/>
        <v>113.6</v>
      </c>
      <c r="BD11" s="207">
        <v>130.0</v>
      </c>
      <c r="BE11" s="208">
        <v>100.0</v>
      </c>
      <c r="BF11" s="209">
        <v>115.0</v>
      </c>
      <c r="BG11" s="209">
        <v>114.0</v>
      </c>
      <c r="BH11" s="203">
        <f t="shared" si="15"/>
        <v>114.6666667</v>
      </c>
      <c r="BI11" s="207" t="s">
        <v>474</v>
      </c>
      <c r="BJ11" s="207">
        <v>98.0</v>
      </c>
      <c r="BK11" s="208" t="s">
        <v>307</v>
      </c>
      <c r="BL11" s="207">
        <v>102.0</v>
      </c>
      <c r="BM11" s="207">
        <f t="shared" si="17"/>
        <v>112</v>
      </c>
      <c r="BN11" s="207">
        <v>109.0</v>
      </c>
      <c r="BO11" s="208">
        <v>110.0</v>
      </c>
      <c r="BP11" s="209">
        <v>109.0</v>
      </c>
      <c r="BQ11" s="209">
        <v>110.0</v>
      </c>
      <c r="BR11" s="203">
        <f t="shared" si="18"/>
        <v>109.3333333</v>
      </c>
      <c r="BS11" s="207">
        <f t="shared" si="19"/>
        <v>101.9333333</v>
      </c>
      <c r="BT11" s="207">
        <v>113.0</v>
      </c>
      <c r="BU11" s="208" t="s">
        <v>307</v>
      </c>
      <c r="BV11" s="207">
        <v>111.0</v>
      </c>
      <c r="BW11" s="207">
        <f t="shared" si="20"/>
        <v>113</v>
      </c>
      <c r="BX11" s="207">
        <v>116.0</v>
      </c>
      <c r="BY11" s="208">
        <v>101.0</v>
      </c>
      <c r="BZ11" s="207">
        <v>134.0</v>
      </c>
      <c r="CA11" s="207">
        <f t="shared" si="21"/>
        <v>127.8</v>
      </c>
      <c r="CB11" s="207">
        <v>122.0</v>
      </c>
      <c r="CC11" s="208">
        <v>125.0</v>
      </c>
      <c r="CD11" s="207"/>
      <c r="CE11" s="210">
        <f>max(CE3:CE6)</f>
        <v>116.2</v>
      </c>
      <c r="CF11" s="207"/>
      <c r="CG11" s="208"/>
      <c r="CH11" s="207">
        <v>112.0</v>
      </c>
      <c r="CI11" s="205" t="s">
        <v>474</v>
      </c>
      <c r="CJ11" s="205">
        <v>88.0</v>
      </c>
      <c r="CK11" s="206">
        <v>112.0</v>
      </c>
      <c r="CL11" s="209">
        <v>144.0</v>
      </c>
      <c r="CM11" s="209">
        <v>157.0</v>
      </c>
      <c r="CN11" s="207">
        <f t="shared" si="24"/>
        <v>148.3333333</v>
      </c>
      <c r="CO11" s="207">
        <f t="shared" si="25"/>
        <v>120.9333333</v>
      </c>
      <c r="CP11" s="207">
        <v>135.0</v>
      </c>
      <c r="CQ11" s="208" t="s">
        <v>307</v>
      </c>
      <c r="CR11" s="207">
        <v>114.0</v>
      </c>
      <c r="CS11" s="207">
        <f t="shared" si="26"/>
        <v>103.6</v>
      </c>
      <c r="CT11" s="207">
        <v>101.0</v>
      </c>
      <c r="CU11" s="208">
        <v>116.0</v>
      </c>
      <c r="CV11" s="207">
        <v>99.0</v>
      </c>
      <c r="CW11" s="207" t="s">
        <v>474</v>
      </c>
      <c r="CX11" s="207">
        <v>89.0</v>
      </c>
      <c r="CY11" s="208">
        <v>94.0</v>
      </c>
      <c r="CZ11" s="207">
        <v>88.0</v>
      </c>
      <c r="DA11" s="207">
        <f t="shared" si="28"/>
        <v>81.4</v>
      </c>
      <c r="DB11" s="207">
        <v>78.0</v>
      </c>
      <c r="DC11" s="207">
        <v>109.0</v>
      </c>
    </row>
    <row r="12">
      <c r="A12" s="202" t="s">
        <v>479</v>
      </c>
      <c r="B12" s="203">
        <v>132.0</v>
      </c>
      <c r="C12" s="203">
        <f t="shared" si="1"/>
        <v>117.2</v>
      </c>
      <c r="D12" s="203">
        <v>114.0</v>
      </c>
      <c r="E12" s="204">
        <v>110.0</v>
      </c>
      <c r="F12" s="203">
        <v>141.0</v>
      </c>
      <c r="G12" s="203" t="s">
        <v>474</v>
      </c>
      <c r="H12" s="203">
        <v>123.0</v>
      </c>
      <c r="I12" s="204">
        <v>95.0</v>
      </c>
      <c r="J12" s="203">
        <v>122.0</v>
      </c>
      <c r="K12" s="203">
        <f t="shared" si="3"/>
        <v>118.4</v>
      </c>
      <c r="L12" s="203">
        <v>105.0</v>
      </c>
      <c r="M12" s="204">
        <v>114.0</v>
      </c>
      <c r="N12" s="203">
        <v>132.0</v>
      </c>
      <c r="O12" s="203">
        <f t="shared" si="4"/>
        <v>118.8</v>
      </c>
      <c r="P12" s="203">
        <v>111.0</v>
      </c>
      <c r="Q12" s="204">
        <v>122.0</v>
      </c>
      <c r="R12" s="207">
        <v>112.0</v>
      </c>
      <c r="S12" s="205">
        <f t="shared" si="5"/>
        <v>113.6</v>
      </c>
      <c r="T12" s="205">
        <v>114.0</v>
      </c>
      <c r="U12" s="206">
        <v>86.0</v>
      </c>
      <c r="V12" s="205">
        <v>98.0</v>
      </c>
      <c r="W12" s="207">
        <f t="shared" si="6"/>
        <v>114.4</v>
      </c>
      <c r="X12" s="207">
        <v>97.0</v>
      </c>
      <c r="Y12" s="208">
        <v>84.0</v>
      </c>
      <c r="Z12" s="207">
        <v>124.0</v>
      </c>
      <c r="AA12" s="207">
        <f t="shared" si="7"/>
        <v>111.4</v>
      </c>
      <c r="AB12" s="207">
        <v>107.0</v>
      </c>
      <c r="AC12" s="208">
        <v>99.0</v>
      </c>
      <c r="AD12" s="207"/>
      <c r="AF12" s="207"/>
      <c r="AG12" s="208"/>
      <c r="AH12" s="207">
        <v>117.0</v>
      </c>
      <c r="AI12" s="207">
        <f t="shared" si="9"/>
        <v>121.8</v>
      </c>
      <c r="AJ12" s="207">
        <v>109.0</v>
      </c>
      <c r="AK12" s="208">
        <v>114.0</v>
      </c>
      <c r="AL12" s="207">
        <v>86.0</v>
      </c>
      <c r="AM12" s="207">
        <f t="shared" si="10"/>
        <v>108</v>
      </c>
      <c r="AN12" s="207">
        <v>72.0</v>
      </c>
      <c r="AO12" s="208">
        <v>80.0</v>
      </c>
      <c r="AP12" s="207">
        <v>119.0</v>
      </c>
      <c r="AQ12" s="207" t="s">
        <v>474</v>
      </c>
      <c r="AR12" s="207">
        <v>94.0</v>
      </c>
      <c r="AS12" s="208">
        <v>117.0</v>
      </c>
      <c r="AT12" s="207">
        <v>141.0</v>
      </c>
      <c r="AU12" s="207">
        <f t="shared" si="12"/>
        <v>125.8</v>
      </c>
      <c r="AV12" s="207">
        <v>115.0</v>
      </c>
      <c r="AW12" s="208">
        <v>100.0</v>
      </c>
      <c r="AX12" s="207"/>
      <c r="AY12" s="210">
        <f>max(AY3:AY7)</f>
        <v>124</v>
      </c>
      <c r="AZ12" s="207"/>
      <c r="BA12" s="208"/>
      <c r="BB12" s="207">
        <v>114.0</v>
      </c>
      <c r="BC12" s="207">
        <f t="shared" si="14"/>
        <v>114.6</v>
      </c>
      <c r="BD12" s="207">
        <v>119.0</v>
      </c>
      <c r="BE12" s="208">
        <v>97.0</v>
      </c>
      <c r="BF12" s="209">
        <v>142.0</v>
      </c>
      <c r="BG12" s="209">
        <v>138.0</v>
      </c>
      <c r="BH12" s="203">
        <f t="shared" si="15"/>
        <v>140.6666667</v>
      </c>
      <c r="BI12" s="207" t="s">
        <v>474</v>
      </c>
      <c r="BJ12" s="207">
        <v>124.0</v>
      </c>
      <c r="BK12" s="208" t="s">
        <v>307</v>
      </c>
      <c r="BL12" s="207">
        <v>125.0</v>
      </c>
      <c r="BM12" s="207">
        <f t="shared" si="17"/>
        <v>109.2</v>
      </c>
      <c r="BN12" s="207">
        <v>104.0</v>
      </c>
      <c r="BO12" s="208">
        <v>116.0</v>
      </c>
      <c r="BP12" s="209">
        <v>114.0</v>
      </c>
      <c r="BQ12" s="209">
        <v>124.0</v>
      </c>
      <c r="BR12" s="203">
        <f t="shared" si="18"/>
        <v>117.3333333</v>
      </c>
      <c r="BS12" s="207">
        <f t="shared" si="19"/>
        <v>102.8666667</v>
      </c>
      <c r="BT12" s="207">
        <v>113.0</v>
      </c>
      <c r="BU12" s="208" t="s">
        <v>307</v>
      </c>
      <c r="BV12" s="207">
        <v>104.0</v>
      </c>
      <c r="BW12" s="207">
        <f t="shared" si="20"/>
        <v>113</v>
      </c>
      <c r="BX12" s="207">
        <v>104.0</v>
      </c>
      <c r="BY12" s="208">
        <v>98.0</v>
      </c>
      <c r="BZ12" s="207">
        <v>136.0</v>
      </c>
      <c r="CA12" s="207">
        <f t="shared" si="21"/>
        <v>120.6</v>
      </c>
      <c r="CB12" s="207">
        <v>113.0</v>
      </c>
      <c r="CC12" s="208">
        <v>122.0</v>
      </c>
      <c r="CD12" s="207"/>
      <c r="CF12" s="207"/>
      <c r="CG12" s="208"/>
      <c r="CH12" s="207">
        <v>116.0</v>
      </c>
      <c r="CI12" s="205" t="s">
        <v>474</v>
      </c>
      <c r="CJ12" s="205">
        <v>109.0</v>
      </c>
      <c r="CK12" s="206">
        <v>113.0</v>
      </c>
      <c r="CL12" s="209">
        <v>94.0</v>
      </c>
      <c r="CM12" s="209">
        <v>101.0</v>
      </c>
      <c r="CN12" s="207">
        <f t="shared" si="24"/>
        <v>96.33333333</v>
      </c>
      <c r="CO12" s="207">
        <f t="shared" si="25"/>
        <v>112.9333333</v>
      </c>
      <c r="CQ12" s="208"/>
      <c r="CR12" s="207">
        <v>97.0</v>
      </c>
      <c r="CS12" s="207">
        <f t="shared" si="26"/>
        <v>102.4</v>
      </c>
      <c r="CT12" s="207">
        <v>90.0</v>
      </c>
      <c r="CU12" s="208">
        <v>104.0</v>
      </c>
      <c r="CV12" s="207">
        <v>107.0</v>
      </c>
      <c r="CW12" s="207" t="s">
        <v>474</v>
      </c>
      <c r="CX12" s="207">
        <v>106.0</v>
      </c>
      <c r="CY12" s="208">
        <v>105.0</v>
      </c>
      <c r="CZ12" s="207">
        <v>85.0</v>
      </c>
      <c r="DA12" s="207" t="s">
        <v>474</v>
      </c>
      <c r="DB12" s="207">
        <v>74.0</v>
      </c>
      <c r="DC12" s="207">
        <v>86.0</v>
      </c>
    </row>
    <row r="13">
      <c r="A13" s="202" t="s">
        <v>480</v>
      </c>
      <c r="B13" s="203">
        <v>120.0</v>
      </c>
      <c r="C13" s="203">
        <f t="shared" si="1"/>
        <v>118.4</v>
      </c>
      <c r="D13" s="203">
        <v>124.0</v>
      </c>
      <c r="E13" s="204">
        <v>119.0</v>
      </c>
      <c r="F13" s="203">
        <v>117.0</v>
      </c>
      <c r="G13" s="203" t="s">
        <v>474</v>
      </c>
      <c r="H13" s="203">
        <v>108.0</v>
      </c>
      <c r="I13" s="204">
        <v>111.0</v>
      </c>
      <c r="J13" s="203">
        <v>115.0</v>
      </c>
      <c r="K13" s="203">
        <f t="shared" si="3"/>
        <v>121.8</v>
      </c>
      <c r="L13" s="203">
        <v>112.0</v>
      </c>
      <c r="M13" s="204">
        <v>125.0</v>
      </c>
      <c r="N13" s="203">
        <v>116.0</v>
      </c>
      <c r="O13" s="203">
        <f t="shared" si="4"/>
        <v>115.6</v>
      </c>
      <c r="P13" s="203">
        <v>99.0</v>
      </c>
      <c r="Q13" s="204">
        <v>122.0</v>
      </c>
      <c r="R13" s="207">
        <v>133.0</v>
      </c>
      <c r="S13" s="205">
        <f t="shared" si="5"/>
        <v>109.6</v>
      </c>
      <c r="T13" s="205">
        <v>141.0</v>
      </c>
      <c r="U13" s="206">
        <v>95.0</v>
      </c>
      <c r="V13" s="205">
        <v>111.0</v>
      </c>
      <c r="W13" s="207">
        <f t="shared" si="6"/>
        <v>114.6</v>
      </c>
      <c r="X13" s="207">
        <v>134.0</v>
      </c>
      <c r="Y13" s="208">
        <v>93.0</v>
      </c>
      <c r="Z13" s="207">
        <v>108.0</v>
      </c>
      <c r="AA13" s="207">
        <f t="shared" si="7"/>
        <v>103</v>
      </c>
      <c r="AB13" s="207">
        <v>84.0</v>
      </c>
      <c r="AC13" s="208">
        <v>116.0</v>
      </c>
      <c r="AD13" s="207"/>
      <c r="AE13" s="207"/>
      <c r="AF13" s="207"/>
      <c r="AG13" s="208"/>
      <c r="AH13" s="207">
        <v>133.0</v>
      </c>
      <c r="AI13" s="207">
        <f t="shared" si="9"/>
        <v>120.6</v>
      </c>
      <c r="AJ13" s="207">
        <v>121.0</v>
      </c>
      <c r="AK13" s="208">
        <v>115.0</v>
      </c>
      <c r="AL13" s="207">
        <v>117.0</v>
      </c>
      <c r="AM13" s="207">
        <f t="shared" si="10"/>
        <v>114</v>
      </c>
      <c r="AN13" s="207">
        <v>124.0</v>
      </c>
      <c r="AO13" s="208">
        <v>101.0</v>
      </c>
      <c r="AP13" s="207">
        <v>112.0</v>
      </c>
      <c r="AQ13" s="207" t="s">
        <v>474</v>
      </c>
      <c r="AR13" s="207">
        <v>90.0</v>
      </c>
      <c r="AS13" s="208">
        <v>99.0</v>
      </c>
      <c r="AT13" s="207">
        <v>116.0</v>
      </c>
      <c r="AU13" s="207">
        <f t="shared" si="12"/>
        <v>112.4</v>
      </c>
      <c r="AV13" s="207">
        <v>112.0</v>
      </c>
      <c r="AW13" s="208">
        <v>106.0</v>
      </c>
      <c r="AX13" s="207"/>
      <c r="AZ13" s="207"/>
      <c r="BA13" s="208"/>
      <c r="BB13" s="207">
        <v>98.0</v>
      </c>
      <c r="BC13" s="207">
        <f t="shared" si="14"/>
        <v>115.4</v>
      </c>
      <c r="BD13" s="207">
        <v>100.0</v>
      </c>
      <c r="BE13" s="208">
        <v>106.0</v>
      </c>
      <c r="BF13" s="207"/>
      <c r="BG13" s="207"/>
      <c r="BH13" s="207"/>
      <c r="BI13" s="210">
        <f>max(BI3:BI8)</f>
        <v>133</v>
      </c>
      <c r="BJ13" s="207"/>
      <c r="BK13" s="208"/>
      <c r="BL13" s="207">
        <v>107.0</v>
      </c>
      <c r="BM13" s="207">
        <f t="shared" si="17"/>
        <v>103.6</v>
      </c>
      <c r="BN13" s="207">
        <v>105.0</v>
      </c>
      <c r="BO13" s="208">
        <v>113.0</v>
      </c>
      <c r="BP13" s="209">
        <v>91.0</v>
      </c>
      <c r="BQ13" s="209">
        <v>98.0</v>
      </c>
      <c r="BR13" s="203">
        <f t="shared" si="18"/>
        <v>93.33333333</v>
      </c>
      <c r="BS13" s="207">
        <f t="shared" si="19"/>
        <v>104.0666667</v>
      </c>
      <c r="BT13" s="207">
        <v>91.0</v>
      </c>
      <c r="BU13" s="208" t="s">
        <v>307</v>
      </c>
      <c r="BV13" s="207">
        <v>124.0</v>
      </c>
      <c r="BW13" s="207">
        <f t="shared" si="20"/>
        <v>114.6</v>
      </c>
      <c r="BX13" s="207">
        <v>118.0</v>
      </c>
      <c r="BY13" s="208">
        <v>109.0</v>
      </c>
      <c r="BZ13" s="207">
        <v>131.0</v>
      </c>
      <c r="CA13" s="207">
        <f t="shared" si="21"/>
        <v>112.8</v>
      </c>
      <c r="CB13" s="207">
        <v>98.0</v>
      </c>
      <c r="CC13" s="208">
        <v>125.0</v>
      </c>
      <c r="CD13" s="207"/>
      <c r="CE13" s="207"/>
      <c r="CF13" s="207"/>
      <c r="CG13" s="208"/>
      <c r="CH13" s="207">
        <v>109.0</v>
      </c>
      <c r="CI13" s="205" t="s">
        <v>474</v>
      </c>
      <c r="CJ13" s="205">
        <v>103.0</v>
      </c>
      <c r="CK13" s="206">
        <v>112.0</v>
      </c>
      <c r="CL13" s="209">
        <v>126.0</v>
      </c>
      <c r="CM13" s="209">
        <v>131.0</v>
      </c>
      <c r="CN13" s="207">
        <f t="shared" si="24"/>
        <v>127.6666667</v>
      </c>
      <c r="CO13" s="207">
        <f t="shared" si="25"/>
        <v>111.0666667</v>
      </c>
      <c r="CQ13" s="208"/>
      <c r="CR13" s="207">
        <v>104.0</v>
      </c>
      <c r="CS13" s="207">
        <f t="shared" si="26"/>
        <v>102</v>
      </c>
      <c r="CT13" s="207">
        <v>99.0</v>
      </c>
      <c r="CU13" s="208">
        <v>111.0</v>
      </c>
      <c r="CV13" s="207">
        <v>91.0</v>
      </c>
      <c r="CW13" s="207" t="s">
        <v>474</v>
      </c>
      <c r="CX13" s="207">
        <v>70.0</v>
      </c>
      <c r="CY13" s="208">
        <v>86.0</v>
      </c>
      <c r="CZ13" s="207">
        <v>94.0</v>
      </c>
      <c r="DA13" s="207" t="s">
        <v>474</v>
      </c>
      <c r="DB13" s="207">
        <v>87.0</v>
      </c>
      <c r="DC13" s="207">
        <v>106.0</v>
      </c>
    </row>
    <row r="14">
      <c r="A14" s="202" t="s">
        <v>481</v>
      </c>
      <c r="B14" s="203">
        <v>102.0</v>
      </c>
      <c r="C14" s="203">
        <f t="shared" si="1"/>
        <v>118.2</v>
      </c>
      <c r="D14" s="203">
        <v>115.0</v>
      </c>
      <c r="E14" s="204">
        <v>103.0</v>
      </c>
      <c r="F14" s="203">
        <v>119.0</v>
      </c>
      <c r="G14" s="203" t="s">
        <v>474</v>
      </c>
      <c r="H14" s="203">
        <v>116.0</v>
      </c>
      <c r="I14" s="204">
        <v>119.0</v>
      </c>
      <c r="J14" s="203">
        <v>122.0</v>
      </c>
      <c r="K14" s="203">
        <f t="shared" si="3"/>
        <v>123.2</v>
      </c>
      <c r="L14" s="203">
        <v>102.0</v>
      </c>
      <c r="M14" s="204">
        <v>133.0</v>
      </c>
      <c r="N14" s="203">
        <v>121.0</v>
      </c>
      <c r="O14" s="203">
        <f t="shared" si="4"/>
        <v>116.6</v>
      </c>
      <c r="P14" s="203">
        <v>114.0</v>
      </c>
      <c r="Q14" s="204">
        <v>108.0</v>
      </c>
      <c r="R14" s="207">
        <v>94.0</v>
      </c>
      <c r="S14" s="205" t="s">
        <v>474</v>
      </c>
      <c r="T14" s="205">
        <v>74.0</v>
      </c>
      <c r="U14" s="206">
        <v>66.0</v>
      </c>
      <c r="V14" s="205">
        <v>105.0</v>
      </c>
      <c r="W14" s="207">
        <f t="shared" si="6"/>
        <v>112</v>
      </c>
      <c r="X14" s="207">
        <v>127.0</v>
      </c>
      <c r="Y14" s="208">
        <v>104.0</v>
      </c>
      <c r="Z14" s="207">
        <v>119.0</v>
      </c>
      <c r="AA14" s="207">
        <f t="shared" si="7"/>
        <v>103</v>
      </c>
      <c r="AB14" s="207">
        <v>117.0</v>
      </c>
      <c r="AC14" s="208">
        <v>117.0</v>
      </c>
      <c r="AD14" s="207"/>
      <c r="AE14" s="207"/>
      <c r="AF14" s="207"/>
      <c r="AG14" s="208"/>
      <c r="AH14" s="207">
        <v>118.0</v>
      </c>
      <c r="AI14" s="207">
        <f t="shared" si="9"/>
        <v>114.8</v>
      </c>
      <c r="AJ14" s="207">
        <v>106.0</v>
      </c>
      <c r="AK14" s="208">
        <v>123.0</v>
      </c>
      <c r="AL14" s="207">
        <v>105.0</v>
      </c>
      <c r="AM14" s="207">
        <f t="shared" si="10"/>
        <v>115.2</v>
      </c>
      <c r="AN14" s="207">
        <v>117.0</v>
      </c>
      <c r="AO14" s="208">
        <v>85.0</v>
      </c>
      <c r="AP14" s="207">
        <v>124.0</v>
      </c>
      <c r="AQ14" s="207" t="s">
        <v>474</v>
      </c>
      <c r="AR14" s="207">
        <v>108.0</v>
      </c>
      <c r="AS14" s="208">
        <v>116.0</v>
      </c>
      <c r="AT14" s="207">
        <v>119.0</v>
      </c>
      <c r="AU14" s="207" t="s">
        <v>474</v>
      </c>
      <c r="AV14" s="207">
        <v>120.0</v>
      </c>
      <c r="AW14" s="208">
        <v>80.0</v>
      </c>
      <c r="AX14" s="207"/>
      <c r="AY14" s="207"/>
      <c r="AZ14" s="207"/>
      <c r="BA14" s="208"/>
      <c r="BB14" s="207">
        <v>116.0</v>
      </c>
      <c r="BC14" s="207">
        <f t="shared" si="14"/>
        <v>120.8</v>
      </c>
      <c r="BD14" s="207">
        <v>119.0</v>
      </c>
      <c r="BE14" s="208">
        <v>108.0</v>
      </c>
      <c r="BF14" s="207"/>
      <c r="BG14" s="207"/>
      <c r="BH14" s="207"/>
      <c r="BJ14" s="207"/>
      <c r="BK14" s="208"/>
      <c r="BL14" s="207">
        <v>107.0</v>
      </c>
      <c r="BM14" s="207">
        <f t="shared" si="17"/>
        <v>106.4</v>
      </c>
      <c r="BN14" s="207">
        <v>77.0</v>
      </c>
      <c r="BO14" s="208">
        <v>117.0</v>
      </c>
      <c r="BP14" s="209">
        <v>90.0</v>
      </c>
      <c r="BQ14" s="209">
        <v>93.0</v>
      </c>
      <c r="BR14" s="203">
        <f t="shared" si="18"/>
        <v>91</v>
      </c>
      <c r="BS14" s="207">
        <f t="shared" si="19"/>
        <v>112.0666667</v>
      </c>
      <c r="BT14" s="207">
        <v>91.0</v>
      </c>
      <c r="BU14" s="208" t="s">
        <v>307</v>
      </c>
      <c r="BV14" s="207">
        <v>114.0</v>
      </c>
      <c r="BW14" s="207">
        <f t="shared" si="20"/>
        <v>105.6</v>
      </c>
      <c r="BX14" s="207">
        <v>81.0</v>
      </c>
      <c r="BY14" s="208">
        <v>116.0</v>
      </c>
      <c r="BZ14" s="207">
        <v>111.0</v>
      </c>
      <c r="CA14" s="207" t="s">
        <v>474</v>
      </c>
      <c r="CB14" s="207">
        <v>111.0</v>
      </c>
      <c r="CC14" s="208">
        <v>117.0</v>
      </c>
      <c r="CD14" s="207"/>
      <c r="CE14" s="207"/>
      <c r="CF14" s="207"/>
      <c r="CG14" s="208"/>
      <c r="CH14" s="207"/>
      <c r="CI14" s="210">
        <f>max(CI3:CI9)</f>
        <v>112.2</v>
      </c>
      <c r="CJ14" s="211"/>
      <c r="CK14" s="212"/>
      <c r="CL14" s="209">
        <v>114.0</v>
      </c>
      <c r="CM14" s="209">
        <v>117.0</v>
      </c>
      <c r="CN14" s="207">
        <f t="shared" si="24"/>
        <v>115</v>
      </c>
      <c r="CO14" s="207">
        <f t="shared" si="25"/>
        <v>107.1333333</v>
      </c>
      <c r="CQ14" s="208"/>
      <c r="CR14" s="207">
        <v>113.0</v>
      </c>
      <c r="CS14" s="207" t="s">
        <v>474</v>
      </c>
      <c r="CT14" s="207">
        <v>115.0</v>
      </c>
      <c r="CU14" s="208">
        <v>102.0</v>
      </c>
      <c r="CV14" s="207"/>
      <c r="CW14" s="210">
        <f>max(CW3:CW9)</f>
        <v>117.2</v>
      </c>
      <c r="CX14" s="207"/>
      <c r="CY14" s="208"/>
      <c r="CZ14" s="207">
        <v>83.0</v>
      </c>
      <c r="DA14" s="207" t="s">
        <v>474</v>
      </c>
      <c r="DB14" s="207">
        <v>80.0</v>
      </c>
      <c r="DC14" s="207">
        <v>116.0</v>
      </c>
    </row>
    <row r="15">
      <c r="A15" s="202" t="s">
        <v>482</v>
      </c>
      <c r="B15" s="203">
        <v>113.0</v>
      </c>
      <c r="C15" s="203">
        <f t="shared" si="1"/>
        <v>120.8</v>
      </c>
      <c r="D15" s="203">
        <v>117.0</v>
      </c>
      <c r="E15" s="204">
        <v>122.0</v>
      </c>
      <c r="F15" s="203">
        <v>109.0</v>
      </c>
      <c r="G15" s="203" t="s">
        <v>474</v>
      </c>
      <c r="H15" s="203">
        <v>120.0</v>
      </c>
      <c r="I15" s="204">
        <v>117.0</v>
      </c>
      <c r="J15" s="203">
        <v>108.0</v>
      </c>
      <c r="K15" s="203">
        <f t="shared" si="3"/>
        <v>113.8</v>
      </c>
      <c r="L15" s="203">
        <v>106.0</v>
      </c>
      <c r="M15" s="204">
        <v>129.0</v>
      </c>
      <c r="N15" s="203">
        <v>109.0</v>
      </c>
      <c r="O15" s="203">
        <f t="shared" si="4"/>
        <v>118.6</v>
      </c>
      <c r="P15" s="203">
        <v>100.0</v>
      </c>
      <c r="Q15" s="204">
        <v>116.0</v>
      </c>
      <c r="R15" s="207">
        <v>123.0</v>
      </c>
      <c r="S15" s="205" t="s">
        <v>474</v>
      </c>
      <c r="T15" s="205">
        <v>106.0</v>
      </c>
      <c r="U15" s="206">
        <v>65.0</v>
      </c>
      <c r="V15" s="205">
        <v>135.0</v>
      </c>
      <c r="W15" s="207">
        <f t="shared" si="6"/>
        <v>111.6</v>
      </c>
      <c r="X15" s="207">
        <v>126.0</v>
      </c>
      <c r="Y15" s="208">
        <v>121.0</v>
      </c>
      <c r="Z15" s="207">
        <v>103.0</v>
      </c>
      <c r="AA15" s="207">
        <f t="shared" si="7"/>
        <v>93.2</v>
      </c>
      <c r="AB15" s="207">
        <v>91.0</v>
      </c>
      <c r="AC15" s="208">
        <v>126.0</v>
      </c>
      <c r="AD15" s="207"/>
      <c r="AE15" s="207"/>
      <c r="AF15" s="207"/>
      <c r="AG15" s="208"/>
      <c r="AH15" s="207">
        <v>119.0</v>
      </c>
      <c r="AI15" s="207">
        <f t="shared" si="9"/>
        <v>110.4</v>
      </c>
      <c r="AJ15" s="207">
        <v>101.0</v>
      </c>
      <c r="AK15" s="208">
        <v>112.0</v>
      </c>
      <c r="AL15" s="207">
        <v>118.0</v>
      </c>
      <c r="AM15" s="207" t="s">
        <v>474</v>
      </c>
      <c r="AN15" s="207">
        <v>110.0</v>
      </c>
      <c r="AO15" s="208">
        <v>115.0</v>
      </c>
      <c r="AP15" s="207">
        <v>111.0</v>
      </c>
      <c r="AQ15" s="207" t="s">
        <v>474</v>
      </c>
      <c r="AR15" s="207">
        <v>97.0</v>
      </c>
      <c r="AS15" s="208">
        <v>103.0</v>
      </c>
      <c r="AT15" s="207">
        <v>128.0</v>
      </c>
      <c r="AU15" s="207" t="s">
        <v>474</v>
      </c>
      <c r="AV15" s="207">
        <v>122.0</v>
      </c>
      <c r="AW15" s="208">
        <v>88.0</v>
      </c>
      <c r="AX15" s="207"/>
      <c r="AY15" s="207"/>
      <c r="AZ15" s="207"/>
      <c r="BA15" s="208"/>
      <c r="BB15" s="207">
        <v>122.0</v>
      </c>
      <c r="BC15" s="207">
        <f t="shared" si="14"/>
        <v>117.2</v>
      </c>
      <c r="BD15" s="207">
        <v>128.0</v>
      </c>
      <c r="BE15" s="208">
        <v>90.0</v>
      </c>
      <c r="BF15" s="207"/>
      <c r="BG15" s="207"/>
      <c r="BH15" s="207"/>
      <c r="BI15" s="207"/>
      <c r="BJ15" s="207"/>
      <c r="BK15" s="208"/>
      <c r="BL15" s="207">
        <v>119.0</v>
      </c>
      <c r="BM15" s="207">
        <f t="shared" si="17"/>
        <v>103.4</v>
      </c>
      <c r="BN15" s="207">
        <v>100.0</v>
      </c>
      <c r="BO15" s="208">
        <v>131.0</v>
      </c>
      <c r="BP15" s="209">
        <v>96.0</v>
      </c>
      <c r="BQ15" s="209">
        <v>104.0</v>
      </c>
      <c r="BR15" s="203">
        <f t="shared" si="18"/>
        <v>98.66666667</v>
      </c>
      <c r="BS15" s="207">
        <f t="shared" si="19"/>
        <v>108.8</v>
      </c>
      <c r="BT15" s="207">
        <v>127.0</v>
      </c>
      <c r="BU15" s="208" t="s">
        <v>307</v>
      </c>
      <c r="BV15" s="207">
        <v>112.0</v>
      </c>
      <c r="BW15" s="207">
        <f t="shared" si="20"/>
        <v>103</v>
      </c>
      <c r="BX15" s="207">
        <v>96.0</v>
      </c>
      <c r="BY15" s="208">
        <v>124.0</v>
      </c>
      <c r="BZ15" s="207">
        <v>127.0</v>
      </c>
      <c r="CA15" s="207" t="s">
        <v>474</v>
      </c>
      <c r="CB15" s="207">
        <v>92.0</v>
      </c>
      <c r="CC15" s="208">
        <v>125.0</v>
      </c>
      <c r="CD15" s="207"/>
      <c r="CE15" s="207"/>
      <c r="CF15" s="207"/>
      <c r="CG15" s="208"/>
      <c r="CH15" s="207"/>
      <c r="CJ15" s="211"/>
      <c r="CK15" s="212"/>
      <c r="CL15" s="209">
        <v>116.0</v>
      </c>
      <c r="CM15" s="209">
        <v>120.0</v>
      </c>
      <c r="CN15" s="207">
        <f t="shared" si="24"/>
        <v>117.3333333</v>
      </c>
      <c r="CO15" s="205" t="s">
        <v>474</v>
      </c>
      <c r="CQ15" s="208"/>
      <c r="CR15" s="207">
        <v>90.0</v>
      </c>
      <c r="CS15" s="207" t="s">
        <v>474</v>
      </c>
      <c r="CT15" s="207">
        <v>92.0</v>
      </c>
      <c r="CU15" s="208">
        <v>97.0</v>
      </c>
      <c r="CV15" s="207"/>
      <c r="CX15" s="207"/>
      <c r="CY15" s="208"/>
      <c r="CZ15" s="207">
        <v>57.0</v>
      </c>
      <c r="DA15" s="207" t="s">
        <v>474</v>
      </c>
      <c r="DB15" s="207">
        <v>62.0</v>
      </c>
      <c r="DC15" s="207">
        <v>109.0</v>
      </c>
    </row>
    <row r="16">
      <c r="A16" s="202" t="s">
        <v>483</v>
      </c>
      <c r="B16" s="203">
        <v>119.0</v>
      </c>
      <c r="C16" s="203">
        <f t="shared" si="1"/>
        <v>118</v>
      </c>
      <c r="D16" s="203">
        <v>123.0</v>
      </c>
      <c r="E16" s="204">
        <v>103.0</v>
      </c>
      <c r="F16" s="203"/>
      <c r="G16" s="213">
        <f>max(G3:G11)</f>
        <v>123.8</v>
      </c>
      <c r="H16" s="203"/>
      <c r="I16" s="204"/>
      <c r="J16" s="203">
        <v>125.0</v>
      </c>
      <c r="K16" s="203" t="s">
        <v>474</v>
      </c>
      <c r="L16" s="203">
        <v>114.0</v>
      </c>
      <c r="M16" s="204">
        <v>124.0</v>
      </c>
      <c r="N16" s="203">
        <v>116.0</v>
      </c>
      <c r="O16" s="203">
        <f t="shared" si="4"/>
        <v>122</v>
      </c>
      <c r="P16" s="203">
        <v>111.0</v>
      </c>
      <c r="Q16" s="204">
        <v>111.0</v>
      </c>
      <c r="R16" s="207">
        <v>106.0</v>
      </c>
      <c r="S16" s="205" t="s">
        <v>474</v>
      </c>
      <c r="T16" s="205">
        <v>110.0</v>
      </c>
      <c r="U16" s="206">
        <v>68.0</v>
      </c>
      <c r="V16" s="205">
        <v>123.0</v>
      </c>
      <c r="W16" s="207" t="s">
        <v>474</v>
      </c>
      <c r="X16" s="207">
        <v>130.0</v>
      </c>
      <c r="Y16" s="208">
        <v>106.0</v>
      </c>
      <c r="Z16" s="207">
        <v>103.0</v>
      </c>
      <c r="AA16" s="207" t="s">
        <v>474</v>
      </c>
      <c r="AB16" s="207">
        <v>98.0</v>
      </c>
      <c r="AC16" s="208">
        <v>113.0</v>
      </c>
      <c r="AD16" s="207"/>
      <c r="AE16" s="207"/>
      <c r="AF16" s="207"/>
      <c r="AG16" s="208"/>
      <c r="AH16" s="207">
        <v>122.0</v>
      </c>
      <c r="AI16" s="207" t="s">
        <v>474</v>
      </c>
      <c r="AJ16" s="207">
        <v>112.0</v>
      </c>
      <c r="AK16" s="208">
        <v>113.0</v>
      </c>
      <c r="AL16" s="207">
        <v>114.0</v>
      </c>
      <c r="AM16" s="207" t="s">
        <v>474</v>
      </c>
      <c r="AN16" s="207">
        <v>102.0</v>
      </c>
      <c r="AO16" s="208">
        <v>109.0</v>
      </c>
      <c r="AP16" s="207"/>
      <c r="AQ16" s="210">
        <f>max(AQ3:AQ11)</f>
        <v>119.4</v>
      </c>
      <c r="AR16" s="207"/>
      <c r="AS16" s="208"/>
      <c r="AT16" s="207">
        <v>125.0</v>
      </c>
      <c r="AU16" s="207" t="s">
        <v>474</v>
      </c>
      <c r="AV16" s="207">
        <v>112.0</v>
      </c>
      <c r="AW16" s="208">
        <v>92.0</v>
      </c>
      <c r="AX16" s="207"/>
      <c r="AY16" s="207"/>
      <c r="AZ16" s="207"/>
      <c r="BA16" s="208"/>
      <c r="BB16" s="207">
        <v>123.0</v>
      </c>
      <c r="BC16" s="207">
        <f t="shared" si="14"/>
        <v>111.8</v>
      </c>
      <c r="BD16" s="207">
        <v>118.0</v>
      </c>
      <c r="BE16" s="208">
        <v>121.0</v>
      </c>
      <c r="BF16" s="207"/>
      <c r="BG16" s="207"/>
      <c r="BH16" s="207"/>
      <c r="BI16" s="207"/>
      <c r="BJ16" s="207"/>
      <c r="BK16" s="208"/>
      <c r="BL16" s="207">
        <v>88.0</v>
      </c>
      <c r="BM16" s="207">
        <f t="shared" si="17"/>
        <v>104.2</v>
      </c>
      <c r="BN16" s="207">
        <v>72.0</v>
      </c>
      <c r="BO16" s="208">
        <v>118.0</v>
      </c>
      <c r="BP16" s="209">
        <v>113.0</v>
      </c>
      <c r="BQ16" s="209">
        <v>116.0</v>
      </c>
      <c r="BR16" s="203">
        <f t="shared" si="18"/>
        <v>114</v>
      </c>
      <c r="BS16" s="207" t="s">
        <v>474</v>
      </c>
      <c r="BT16" s="207">
        <v>115.0</v>
      </c>
      <c r="BU16" s="208" t="s">
        <v>307</v>
      </c>
      <c r="BV16" s="207">
        <v>111.0</v>
      </c>
      <c r="BW16" s="207">
        <f t="shared" si="20"/>
        <v>98.6</v>
      </c>
      <c r="BX16" s="207">
        <v>97.0</v>
      </c>
      <c r="BY16" s="208">
        <v>120.0</v>
      </c>
      <c r="BZ16" s="207">
        <v>98.0</v>
      </c>
      <c r="CA16" s="207" t="s">
        <v>474</v>
      </c>
      <c r="CB16" s="207">
        <v>85.0</v>
      </c>
      <c r="CC16" s="208">
        <v>119.0</v>
      </c>
      <c r="CD16" s="207"/>
      <c r="CE16" s="207"/>
      <c r="CF16" s="207"/>
      <c r="CG16" s="208"/>
      <c r="CH16" s="207"/>
      <c r="CI16" s="211"/>
      <c r="CJ16" s="211"/>
      <c r="CK16" s="212"/>
      <c r="CL16" s="209">
        <v>106.0</v>
      </c>
      <c r="CM16" s="209">
        <v>113.0</v>
      </c>
      <c r="CN16" s="207">
        <f t="shared" si="24"/>
        <v>108.3333333</v>
      </c>
      <c r="CO16" s="205" t="s">
        <v>474</v>
      </c>
      <c r="CQ16" s="208"/>
      <c r="CR16" s="207">
        <v>108.0</v>
      </c>
      <c r="CS16" s="207" t="s">
        <v>474</v>
      </c>
      <c r="CT16" s="207">
        <v>103.0</v>
      </c>
      <c r="CU16" s="208">
        <v>110.0</v>
      </c>
      <c r="CV16" s="207"/>
      <c r="CW16" s="207"/>
      <c r="CX16" s="207"/>
      <c r="CY16" s="208"/>
      <c r="CZ16" s="207"/>
      <c r="DA16" s="210">
        <f>MAX(DA3:DA15)</f>
        <v>119.8</v>
      </c>
      <c r="DB16" s="207"/>
      <c r="DC16" s="207"/>
    </row>
    <row r="17">
      <c r="A17" s="202" t="s">
        <v>484</v>
      </c>
      <c r="B17" s="203">
        <v>138.0</v>
      </c>
      <c r="C17" s="203">
        <f t="shared" si="1"/>
        <v>117.6</v>
      </c>
      <c r="D17" s="203">
        <v>134.0</v>
      </c>
      <c r="E17" s="204">
        <v>123.0</v>
      </c>
      <c r="F17" s="203"/>
      <c r="H17" s="203"/>
      <c r="I17" s="204"/>
      <c r="J17" s="203">
        <v>139.0</v>
      </c>
      <c r="K17" s="203" t="s">
        <v>474</v>
      </c>
      <c r="L17" s="203">
        <v>120.0</v>
      </c>
      <c r="M17" s="204">
        <v>130.0</v>
      </c>
      <c r="N17" s="203">
        <v>116.0</v>
      </c>
      <c r="O17" s="203">
        <f t="shared" si="4"/>
        <v>122.4</v>
      </c>
      <c r="P17" s="203">
        <v>102.0</v>
      </c>
      <c r="Q17" s="204">
        <v>118.0</v>
      </c>
      <c r="R17" s="207">
        <v>92.0</v>
      </c>
      <c r="S17" s="205" t="s">
        <v>474</v>
      </c>
      <c r="T17" s="205">
        <v>102.0</v>
      </c>
      <c r="U17" s="206">
        <v>87.0</v>
      </c>
      <c r="V17" s="205">
        <v>99.0</v>
      </c>
      <c r="W17" s="207" t="s">
        <v>474</v>
      </c>
      <c r="X17" s="207">
        <v>102.0</v>
      </c>
      <c r="Y17" s="208">
        <v>106.0</v>
      </c>
      <c r="Z17" s="207">
        <v>82.0</v>
      </c>
      <c r="AA17" s="207" t="s">
        <v>474</v>
      </c>
      <c r="AB17" s="207">
        <v>103.0</v>
      </c>
      <c r="AC17" s="208">
        <v>100.0</v>
      </c>
      <c r="AD17" s="207"/>
      <c r="AE17" s="207"/>
      <c r="AF17" s="207"/>
      <c r="AG17" s="208"/>
      <c r="AH17" s="207">
        <v>111.0</v>
      </c>
      <c r="AI17" s="207" t="s">
        <v>474</v>
      </c>
      <c r="AJ17" s="207">
        <v>117.0</v>
      </c>
      <c r="AK17" s="208">
        <v>121.0</v>
      </c>
      <c r="AL17" s="207">
        <v>116.0</v>
      </c>
      <c r="AM17" s="207" t="s">
        <v>474</v>
      </c>
      <c r="AN17" s="207">
        <v>115.0</v>
      </c>
      <c r="AO17" s="208">
        <v>104.0</v>
      </c>
      <c r="AP17" s="207"/>
      <c r="AR17" s="207"/>
      <c r="AS17" s="208"/>
      <c r="AT17" s="207">
        <v>74.0</v>
      </c>
      <c r="AU17" s="207" t="s">
        <v>474</v>
      </c>
      <c r="AV17" s="207">
        <v>80.0</v>
      </c>
      <c r="AW17" s="208">
        <v>90.0</v>
      </c>
      <c r="AX17" s="207"/>
      <c r="AY17" s="207"/>
      <c r="AZ17" s="207"/>
      <c r="BA17" s="208"/>
      <c r="BB17" s="207">
        <v>118.0</v>
      </c>
      <c r="BC17" s="207" t="s">
        <v>474</v>
      </c>
      <c r="BD17" s="207">
        <v>120.0</v>
      </c>
      <c r="BE17" s="208">
        <v>114.0</v>
      </c>
      <c r="BF17" s="207"/>
      <c r="BG17" s="207"/>
      <c r="BH17" s="207"/>
      <c r="BI17" s="207"/>
      <c r="BJ17" s="207"/>
      <c r="BK17" s="208"/>
      <c r="BL17" s="207">
        <v>97.0</v>
      </c>
      <c r="BM17" s="207">
        <f t="shared" si="17"/>
        <v>103.8</v>
      </c>
      <c r="BN17" s="207">
        <v>103.0</v>
      </c>
      <c r="BO17" s="208">
        <v>120.0</v>
      </c>
      <c r="BP17" s="209">
        <v>124.0</v>
      </c>
      <c r="BQ17" s="209">
        <v>122.0</v>
      </c>
      <c r="BR17" s="203">
        <f t="shared" si="18"/>
        <v>123.3333333</v>
      </c>
      <c r="BS17" s="207" t="s">
        <v>474</v>
      </c>
      <c r="BT17" s="207">
        <v>107.0</v>
      </c>
      <c r="BU17" s="208" t="s">
        <v>307</v>
      </c>
      <c r="BV17" s="207">
        <v>112.0</v>
      </c>
      <c r="BW17" s="207" t="s">
        <v>474</v>
      </c>
      <c r="BX17" s="207">
        <v>100.0</v>
      </c>
      <c r="BY17" s="208">
        <v>124.0</v>
      </c>
      <c r="BZ17" s="207">
        <v>97.0</v>
      </c>
      <c r="CA17" s="207" t="s">
        <v>474</v>
      </c>
      <c r="CB17" s="207">
        <v>98.0</v>
      </c>
      <c r="CC17" s="208">
        <v>107.0</v>
      </c>
      <c r="CD17" s="207"/>
      <c r="CE17" s="207"/>
      <c r="CF17" s="207"/>
      <c r="CG17" s="208"/>
      <c r="CH17" s="207"/>
      <c r="CI17" s="211"/>
      <c r="CJ17" s="211"/>
      <c r="CK17" s="212"/>
      <c r="CL17" s="209">
        <v>87.0</v>
      </c>
      <c r="CM17" s="209">
        <v>87.0</v>
      </c>
      <c r="CN17" s="207">
        <f t="shared" si="24"/>
        <v>87</v>
      </c>
      <c r="CO17" s="205" t="s">
        <v>474</v>
      </c>
      <c r="CQ17" s="208"/>
      <c r="CR17" s="207">
        <v>95.0</v>
      </c>
      <c r="CS17" s="207" t="s">
        <v>474</v>
      </c>
      <c r="CT17" s="207">
        <v>102.0</v>
      </c>
      <c r="CU17" s="208">
        <v>96.0</v>
      </c>
      <c r="CV17" s="207"/>
      <c r="CW17" s="207"/>
      <c r="CX17" s="207"/>
      <c r="CY17" s="208"/>
      <c r="CZ17" s="207"/>
      <c r="DB17" s="207"/>
      <c r="DC17" s="207"/>
    </row>
    <row r="18">
      <c r="A18" s="202" t="s">
        <v>485</v>
      </c>
      <c r="B18" s="203">
        <v>119.0</v>
      </c>
      <c r="C18" s="203">
        <f t="shared" si="1"/>
        <v>113.2</v>
      </c>
      <c r="D18" s="203">
        <v>116.0</v>
      </c>
      <c r="E18" s="204">
        <v>105.0</v>
      </c>
      <c r="F18" s="203"/>
      <c r="G18" s="203"/>
      <c r="H18" s="203"/>
      <c r="I18" s="204"/>
      <c r="J18" s="203">
        <v>122.0</v>
      </c>
      <c r="K18" s="203" t="s">
        <v>474</v>
      </c>
      <c r="L18" s="203">
        <v>101.0</v>
      </c>
      <c r="M18" s="204">
        <v>128.0</v>
      </c>
      <c r="N18" s="203">
        <v>121.0</v>
      </c>
      <c r="O18" s="203" t="s">
        <v>474</v>
      </c>
      <c r="P18" s="203">
        <v>114.0</v>
      </c>
      <c r="Q18" s="204">
        <v>120.0</v>
      </c>
      <c r="R18" s="211"/>
      <c r="S18" s="210">
        <f>max(S3:S13)</f>
        <v>118.56</v>
      </c>
      <c r="T18" s="211"/>
      <c r="U18" s="212"/>
      <c r="V18" s="205">
        <v>98.0</v>
      </c>
      <c r="W18" s="207" t="s">
        <v>474</v>
      </c>
      <c r="X18" s="207">
        <v>107.0</v>
      </c>
      <c r="Y18" s="208">
        <v>104.0</v>
      </c>
      <c r="Z18" s="207">
        <v>108.0</v>
      </c>
      <c r="AA18" s="207" t="s">
        <v>474</v>
      </c>
      <c r="AB18" s="207">
        <v>115.0</v>
      </c>
      <c r="AC18" s="208">
        <v>99.0</v>
      </c>
      <c r="AD18" s="207"/>
      <c r="AE18" s="207"/>
      <c r="AF18" s="207"/>
      <c r="AG18" s="208"/>
      <c r="AH18" s="207">
        <v>104.0</v>
      </c>
      <c r="AI18" s="207" t="s">
        <v>474</v>
      </c>
      <c r="AJ18" s="207">
        <v>106.0</v>
      </c>
      <c r="AK18" s="208">
        <v>118.0</v>
      </c>
      <c r="AL18" s="207">
        <v>123.0</v>
      </c>
      <c r="AM18" s="207" t="s">
        <v>474</v>
      </c>
      <c r="AN18" s="207">
        <v>106.0</v>
      </c>
      <c r="AO18" s="208">
        <v>114.0</v>
      </c>
      <c r="AP18" s="207"/>
      <c r="AQ18" s="207"/>
      <c r="AR18" s="207"/>
      <c r="AS18" s="208"/>
      <c r="AT18" s="207"/>
      <c r="AU18" s="210">
        <f>MAX(AU3:AU17)</f>
        <v>134.6</v>
      </c>
      <c r="AV18" s="207"/>
      <c r="AW18" s="208"/>
      <c r="AX18" s="207"/>
      <c r="AY18" s="207"/>
      <c r="AZ18" s="207"/>
      <c r="BA18" s="208"/>
      <c r="BB18" s="207">
        <v>125.0</v>
      </c>
      <c r="BC18" s="207" t="s">
        <v>474</v>
      </c>
      <c r="BD18" s="207">
        <v>133.0</v>
      </c>
      <c r="BE18" s="208">
        <v>117.0</v>
      </c>
      <c r="BF18" s="207"/>
      <c r="BG18" s="207"/>
      <c r="BH18" s="207"/>
      <c r="BI18" s="207"/>
      <c r="BJ18" s="207"/>
      <c r="BK18" s="208"/>
      <c r="BL18" s="207">
        <v>121.0</v>
      </c>
      <c r="BM18" s="207" t="s">
        <v>474</v>
      </c>
      <c r="BN18" s="207">
        <v>104.0</v>
      </c>
      <c r="BO18" s="208">
        <v>122.0</v>
      </c>
      <c r="BP18" s="209">
        <v>131.0</v>
      </c>
      <c r="BQ18" s="209">
        <v>138.0</v>
      </c>
      <c r="BR18" s="203">
        <f t="shared" si="18"/>
        <v>133.3333333</v>
      </c>
      <c r="BS18" s="207" t="s">
        <v>474</v>
      </c>
      <c r="BT18" s="207">
        <v>115.0</v>
      </c>
      <c r="BU18" s="208">
        <v>112.0</v>
      </c>
      <c r="BV18" s="207">
        <v>79.0</v>
      </c>
      <c r="BW18" s="207" t="s">
        <v>474</v>
      </c>
      <c r="BX18" s="207">
        <v>112.0</v>
      </c>
      <c r="BY18" s="208">
        <v>125.0</v>
      </c>
      <c r="BZ18" s="207"/>
      <c r="CA18" s="210">
        <f>max(CA3:CA13)</f>
        <v>128.8</v>
      </c>
      <c r="CB18" s="207"/>
      <c r="CC18" s="208"/>
      <c r="CD18" s="207"/>
      <c r="CE18" s="207"/>
      <c r="CF18" s="207"/>
      <c r="CG18" s="208"/>
      <c r="CH18" s="207"/>
      <c r="CI18" s="211"/>
      <c r="CJ18" s="211"/>
      <c r="CK18" s="212"/>
      <c r="CL18" s="209">
        <v>100.0</v>
      </c>
      <c r="CM18" s="209">
        <v>124.0</v>
      </c>
      <c r="CN18" s="207">
        <f t="shared" si="24"/>
        <v>108</v>
      </c>
      <c r="CO18" s="205" t="s">
        <v>474</v>
      </c>
      <c r="CQ18" s="208"/>
      <c r="CR18" s="207"/>
      <c r="CS18" s="210">
        <f>max(CS3:CS13)</f>
        <v>119</v>
      </c>
      <c r="CT18" s="207"/>
      <c r="CU18" s="208"/>
      <c r="CV18" s="207"/>
      <c r="CW18" s="207"/>
      <c r="CX18" s="207"/>
      <c r="CY18" s="208"/>
      <c r="CZ18" s="207"/>
      <c r="DA18" s="207"/>
      <c r="DB18" s="207"/>
      <c r="DC18" s="207"/>
    </row>
    <row r="19">
      <c r="A19" s="202" t="s">
        <v>486</v>
      </c>
      <c r="B19" s="203">
        <v>115.0</v>
      </c>
      <c r="C19" s="203">
        <f t="shared" si="1"/>
        <v>109.8</v>
      </c>
      <c r="D19" s="203">
        <v>107.0</v>
      </c>
      <c r="E19" s="204">
        <v>123.0</v>
      </c>
      <c r="F19" s="203"/>
      <c r="G19" s="203"/>
      <c r="H19" s="203"/>
      <c r="I19" s="204"/>
      <c r="J19" s="203">
        <v>75.0</v>
      </c>
      <c r="K19" s="203" t="s">
        <v>474</v>
      </c>
      <c r="L19" s="203">
        <v>50.0</v>
      </c>
      <c r="M19" s="204">
        <v>111.0</v>
      </c>
      <c r="N19" s="203">
        <v>131.0</v>
      </c>
      <c r="O19" s="203" t="s">
        <v>474</v>
      </c>
      <c r="P19" s="203">
        <v>122.0</v>
      </c>
      <c r="Q19" s="204">
        <v>125.0</v>
      </c>
      <c r="R19" s="211"/>
      <c r="T19" s="211"/>
      <c r="U19" s="212"/>
      <c r="V19" s="205">
        <v>103.0</v>
      </c>
      <c r="W19" s="207" t="s">
        <v>474</v>
      </c>
      <c r="X19" s="207">
        <v>113.0</v>
      </c>
      <c r="Y19" s="208">
        <v>109.0</v>
      </c>
      <c r="Z19" s="207">
        <v>70.0</v>
      </c>
      <c r="AA19" s="207" t="s">
        <v>474</v>
      </c>
      <c r="AB19" s="207">
        <v>59.0</v>
      </c>
      <c r="AC19" s="208">
        <v>64.0</v>
      </c>
      <c r="AD19" s="207"/>
      <c r="AE19" s="207"/>
      <c r="AF19" s="207"/>
      <c r="AG19" s="208"/>
      <c r="AH19" s="207">
        <v>96.0</v>
      </c>
      <c r="AI19" s="207" t="s">
        <v>474</v>
      </c>
      <c r="AJ19" s="207">
        <v>82.0</v>
      </c>
      <c r="AK19" s="208">
        <v>127.0</v>
      </c>
      <c r="AL19" s="207"/>
      <c r="AM19" s="210">
        <f>MAX(AM3:AM18)</f>
        <v>115.2</v>
      </c>
      <c r="AN19" s="207"/>
      <c r="AO19" s="208"/>
      <c r="AP19" s="207"/>
      <c r="AQ19" s="207"/>
      <c r="AR19" s="207"/>
      <c r="AS19" s="208"/>
      <c r="AT19" s="207"/>
      <c r="AV19" s="207"/>
      <c r="AW19" s="208"/>
      <c r="AX19" s="207"/>
      <c r="AY19" s="207"/>
      <c r="AZ19" s="207"/>
      <c r="BA19" s="208"/>
      <c r="BB19" s="207">
        <v>98.0</v>
      </c>
      <c r="BC19" s="207" t="s">
        <v>474</v>
      </c>
      <c r="BD19" s="207">
        <v>99.0</v>
      </c>
      <c r="BE19" s="208">
        <v>104.0</v>
      </c>
      <c r="BF19" s="207"/>
      <c r="BG19" s="207"/>
      <c r="BH19" s="207"/>
      <c r="BI19" s="207"/>
      <c r="BJ19" s="207"/>
      <c r="BK19" s="208"/>
      <c r="BL19" s="207">
        <v>92.0</v>
      </c>
      <c r="BM19" s="207" t="s">
        <v>474</v>
      </c>
      <c r="BN19" s="207">
        <v>82.0</v>
      </c>
      <c r="BO19" s="208">
        <v>104.0</v>
      </c>
      <c r="BP19" s="209">
        <v>73.0</v>
      </c>
      <c r="BQ19" s="209">
        <v>78.0</v>
      </c>
      <c r="BR19" s="203">
        <f t="shared" si="18"/>
        <v>74.66666667</v>
      </c>
      <c r="BS19" s="207" t="s">
        <v>474</v>
      </c>
      <c r="BT19" s="207">
        <v>70.0</v>
      </c>
      <c r="BU19" s="208">
        <v>97.0</v>
      </c>
      <c r="BV19" s="207">
        <v>101.0</v>
      </c>
      <c r="BW19" s="207" t="s">
        <v>474</v>
      </c>
      <c r="BX19" s="207">
        <v>112.0</v>
      </c>
      <c r="BY19" s="208">
        <v>133.0</v>
      </c>
      <c r="BZ19" s="214"/>
      <c r="CB19" s="214"/>
      <c r="CC19" s="215"/>
      <c r="CD19" s="214"/>
      <c r="CE19" s="214"/>
      <c r="CF19" s="214"/>
      <c r="CG19" s="215"/>
      <c r="CH19" s="214"/>
      <c r="CI19" s="214"/>
      <c r="CJ19" s="214"/>
      <c r="CK19" s="215"/>
      <c r="CL19" s="214"/>
      <c r="CM19" s="214"/>
      <c r="CN19" s="214"/>
      <c r="CO19" s="210">
        <f>max(CO3:CO18)</f>
        <v>126.9333333</v>
      </c>
      <c r="CP19" s="214"/>
      <c r="CQ19" s="215"/>
      <c r="CR19" s="214"/>
      <c r="CT19" s="214"/>
      <c r="CU19" s="215"/>
      <c r="CV19" s="214"/>
      <c r="CW19" s="214"/>
      <c r="CX19" s="214"/>
      <c r="CY19" s="208"/>
      <c r="CZ19" s="207"/>
      <c r="DA19" s="207"/>
      <c r="DB19" s="207"/>
      <c r="DC19" s="207"/>
    </row>
    <row r="20">
      <c r="A20" s="202" t="s">
        <v>487</v>
      </c>
      <c r="B20" s="203">
        <v>99.0</v>
      </c>
      <c r="C20" s="203" t="s">
        <v>474</v>
      </c>
      <c r="D20" s="203">
        <v>117.0</v>
      </c>
      <c r="E20" s="204">
        <v>117.0</v>
      </c>
      <c r="F20" s="203"/>
      <c r="G20" s="203"/>
      <c r="H20" s="203"/>
      <c r="I20" s="204"/>
      <c r="J20" s="203"/>
      <c r="K20" s="213">
        <f>max(K3:K15)</f>
        <v>132.2</v>
      </c>
      <c r="L20" s="203"/>
      <c r="M20" s="204"/>
      <c r="N20" s="203">
        <v>126.0</v>
      </c>
      <c r="O20" s="203" t="s">
        <v>474</v>
      </c>
      <c r="P20" s="203">
        <v>121.0</v>
      </c>
      <c r="Q20" s="204">
        <v>125.0</v>
      </c>
      <c r="R20" s="211"/>
      <c r="S20" s="211"/>
      <c r="T20" s="211"/>
      <c r="U20" s="212"/>
      <c r="V20" s="211"/>
      <c r="W20" s="216">
        <f>max(W3:W15)</f>
        <v>129.2</v>
      </c>
      <c r="X20" s="207"/>
      <c r="Y20" s="208"/>
      <c r="Z20" s="207"/>
      <c r="AA20" s="210">
        <f>max(AA3:AA15)</f>
        <v>121</v>
      </c>
      <c r="AB20" s="207"/>
      <c r="AC20" s="208"/>
      <c r="AD20" s="207"/>
      <c r="AE20" s="207"/>
      <c r="AF20" s="207"/>
      <c r="AG20" s="208"/>
      <c r="AH20" s="207"/>
      <c r="AI20" s="210">
        <f>MAX(AI3:AI19)</f>
        <v>130.2</v>
      </c>
      <c r="AJ20" s="207"/>
      <c r="AK20" s="208"/>
      <c r="AL20" s="207"/>
      <c r="AN20" s="207"/>
      <c r="AO20" s="208"/>
      <c r="AP20" s="207"/>
      <c r="AQ20" s="207"/>
      <c r="AR20" s="207"/>
      <c r="AS20" s="208"/>
      <c r="AT20" s="207"/>
      <c r="AU20" s="207"/>
      <c r="AV20" s="207"/>
      <c r="AW20" s="208"/>
      <c r="AX20" s="207"/>
      <c r="AY20" s="207"/>
      <c r="AZ20" s="207"/>
      <c r="BA20" s="208"/>
      <c r="BB20" s="207">
        <v>95.0</v>
      </c>
      <c r="BC20" s="207" t="s">
        <v>474</v>
      </c>
      <c r="BD20" s="207">
        <v>95.0</v>
      </c>
      <c r="BE20" s="208">
        <v>120.0</v>
      </c>
      <c r="BF20" s="207"/>
      <c r="BG20" s="207"/>
      <c r="BH20" s="207"/>
      <c r="BI20" s="207"/>
      <c r="BJ20" s="207"/>
      <c r="BK20" s="208"/>
      <c r="BL20" s="207">
        <v>123.0</v>
      </c>
      <c r="BM20" s="207" t="s">
        <v>474</v>
      </c>
      <c r="BN20" s="207">
        <v>123.0</v>
      </c>
      <c r="BO20" s="208">
        <v>100.0</v>
      </c>
      <c r="BP20" s="207"/>
      <c r="BQ20" s="207"/>
      <c r="BR20" s="207"/>
      <c r="BS20" s="210">
        <f>max(BS3:BS15)</f>
        <v>112.8</v>
      </c>
      <c r="BT20" s="207"/>
      <c r="BU20" s="208"/>
      <c r="BV20" s="207">
        <v>90.0</v>
      </c>
      <c r="BW20" s="207" t="s">
        <v>474</v>
      </c>
      <c r="BX20" s="207">
        <v>112.0</v>
      </c>
      <c r="BY20" s="208">
        <v>102.0</v>
      </c>
      <c r="BZ20" s="217"/>
      <c r="CA20" s="207"/>
      <c r="CB20" s="207"/>
      <c r="CC20" s="218"/>
      <c r="CD20" s="217"/>
      <c r="CE20" s="217"/>
      <c r="CF20" s="217"/>
      <c r="CG20" s="208"/>
      <c r="CH20" s="207"/>
      <c r="CI20" s="207"/>
      <c r="CJ20" s="207"/>
      <c r="CK20" s="208"/>
      <c r="CL20" s="207"/>
      <c r="CM20" s="207"/>
      <c r="CN20" s="207"/>
      <c r="CP20" s="207"/>
      <c r="CQ20" s="208"/>
      <c r="CR20" s="207"/>
      <c r="CS20" s="207"/>
      <c r="CT20" s="207"/>
      <c r="CU20" s="208"/>
      <c r="CV20" s="207"/>
      <c r="CW20" s="219"/>
      <c r="CX20" s="219"/>
      <c r="CY20" s="215"/>
      <c r="CZ20" s="214"/>
      <c r="DA20" s="214"/>
      <c r="DB20" s="214"/>
      <c r="DC20" s="214"/>
    </row>
    <row r="21">
      <c r="A21" s="202" t="s">
        <v>488</v>
      </c>
      <c r="B21" s="203">
        <v>117.0</v>
      </c>
      <c r="C21" s="203" t="s">
        <v>474</v>
      </c>
      <c r="D21" s="203">
        <v>106.0</v>
      </c>
      <c r="E21" s="204">
        <v>124.0</v>
      </c>
      <c r="F21" s="203"/>
      <c r="G21" s="203"/>
      <c r="H21" s="203"/>
      <c r="I21" s="204"/>
      <c r="J21" s="203"/>
      <c r="L21" s="203"/>
      <c r="M21" s="204"/>
      <c r="N21" s="203">
        <v>118.0</v>
      </c>
      <c r="O21" s="203" t="s">
        <v>474</v>
      </c>
      <c r="P21" s="203">
        <v>114.0</v>
      </c>
      <c r="Q21" s="204">
        <v>124.0</v>
      </c>
      <c r="R21" s="211"/>
      <c r="S21" s="211"/>
      <c r="T21" s="211"/>
      <c r="U21" s="212"/>
      <c r="V21" s="211"/>
      <c r="X21" s="220"/>
      <c r="Y21" s="221"/>
      <c r="Z21" s="220"/>
      <c r="AB21" s="211"/>
      <c r="AC21" s="212"/>
      <c r="AD21" s="211"/>
      <c r="AE21" s="211"/>
      <c r="AF21" s="211"/>
      <c r="AG21" s="212"/>
      <c r="AH21" s="211"/>
      <c r="AJ21" s="211"/>
      <c r="AK21" s="212"/>
      <c r="AL21" s="214"/>
      <c r="AM21" s="214"/>
      <c r="AN21" s="214"/>
      <c r="AO21" s="215"/>
      <c r="AP21" s="214"/>
      <c r="AQ21" s="214"/>
      <c r="AR21" s="214"/>
      <c r="AS21" s="215"/>
      <c r="AT21" s="214"/>
      <c r="AU21" s="214"/>
      <c r="AV21" s="214"/>
      <c r="AW21" s="215"/>
      <c r="AX21" s="214"/>
      <c r="AY21" s="214"/>
      <c r="AZ21" s="214"/>
      <c r="BA21" s="215"/>
      <c r="BB21" s="214"/>
      <c r="BC21" s="210">
        <f>max(BC3:BC16)</f>
        <v>120.8</v>
      </c>
      <c r="BD21" s="214"/>
      <c r="BE21" s="215"/>
      <c r="BF21" s="214"/>
      <c r="BG21" s="214"/>
      <c r="BH21" s="214"/>
      <c r="BI21" s="214"/>
      <c r="BJ21" s="214"/>
      <c r="BK21" s="215"/>
      <c r="BL21" s="207">
        <v>86.0</v>
      </c>
      <c r="BM21" s="207" t="s">
        <v>474</v>
      </c>
      <c r="BN21" s="207">
        <v>68.0</v>
      </c>
      <c r="BO21" s="208">
        <v>103.0</v>
      </c>
      <c r="BP21" s="214"/>
      <c r="BQ21" s="214"/>
      <c r="BR21" s="214"/>
      <c r="BT21" s="214"/>
      <c r="BU21" s="215"/>
      <c r="BV21" s="214"/>
      <c r="BW21" s="210">
        <f>max(BW3:BW16)</f>
        <v>114.6</v>
      </c>
      <c r="BX21" s="214"/>
      <c r="BY21" s="215"/>
      <c r="BZ21" s="214"/>
      <c r="CA21" s="214"/>
      <c r="CB21" s="214"/>
      <c r="CC21" s="218"/>
      <c r="CD21" s="217"/>
      <c r="CE21" s="217"/>
      <c r="CF21" s="217"/>
      <c r="CG21" s="208"/>
      <c r="CH21" s="207"/>
      <c r="CI21" s="207"/>
      <c r="CJ21" s="207"/>
      <c r="CK21" s="208"/>
      <c r="CL21" s="214"/>
      <c r="CM21" s="214"/>
      <c r="CN21" s="214"/>
      <c r="CO21" s="214"/>
      <c r="CP21" s="214"/>
      <c r="CQ21" s="215"/>
      <c r="CR21" s="214"/>
      <c r="CS21" s="214"/>
      <c r="CT21" s="214"/>
      <c r="CU21" s="215"/>
      <c r="CV21" s="214"/>
      <c r="CW21" s="214"/>
      <c r="CX21" s="214"/>
      <c r="CY21" s="215"/>
      <c r="CZ21" s="214"/>
      <c r="DA21" s="214"/>
      <c r="DB21" s="207"/>
      <c r="DC21" s="207"/>
    </row>
    <row r="22">
      <c r="A22" s="202" t="s">
        <v>489</v>
      </c>
      <c r="B22" s="203">
        <v>116.0</v>
      </c>
      <c r="C22" s="203" t="s">
        <v>474</v>
      </c>
      <c r="D22" s="203">
        <v>111.0</v>
      </c>
      <c r="E22" s="204">
        <v>123.0</v>
      </c>
      <c r="F22" s="203"/>
      <c r="G22" s="203"/>
      <c r="H22" s="203"/>
      <c r="I22" s="204"/>
      <c r="J22" s="203"/>
      <c r="K22" s="203"/>
      <c r="L22" s="203"/>
      <c r="M22" s="204"/>
      <c r="N22" s="203"/>
      <c r="O22" s="213">
        <f>max(O3:O17)</f>
        <v>122.4</v>
      </c>
      <c r="P22" s="203"/>
      <c r="Q22" s="204"/>
      <c r="U22" s="222"/>
      <c r="Y22" s="222"/>
      <c r="AC22" s="222"/>
      <c r="AG22" s="222"/>
      <c r="AK22" s="222"/>
      <c r="AL22" s="217"/>
      <c r="AM22" s="207"/>
      <c r="AN22" s="207"/>
      <c r="AO22" s="218"/>
      <c r="AP22" s="217"/>
      <c r="AQ22" s="207"/>
      <c r="AR22" s="207"/>
      <c r="AS22" s="218"/>
      <c r="AT22" s="217"/>
      <c r="AU22" s="217"/>
      <c r="AV22" s="217"/>
      <c r="AW22" s="208"/>
      <c r="AX22" s="207"/>
      <c r="AY22" s="207"/>
      <c r="AZ22" s="207"/>
      <c r="BA22" s="208"/>
      <c r="BB22" s="217"/>
      <c r="BD22" s="207"/>
      <c r="BE22" s="218"/>
      <c r="BF22" s="217"/>
      <c r="BG22" s="217"/>
      <c r="BH22" s="217"/>
      <c r="BI22" s="217"/>
      <c r="BJ22" s="217"/>
      <c r="BK22" s="208"/>
      <c r="BL22" s="207"/>
      <c r="BM22" s="210">
        <f>max(BM3:BM17)</f>
        <v>118.4</v>
      </c>
      <c r="BN22" s="207"/>
      <c r="BO22" s="223"/>
      <c r="BP22" s="207"/>
      <c r="BQ22" s="207"/>
      <c r="BR22" s="207"/>
      <c r="BS22" s="224"/>
      <c r="BT22" s="224"/>
      <c r="BU22" s="208"/>
      <c r="BV22" s="207"/>
      <c r="BX22" s="207"/>
      <c r="BY22" s="223"/>
      <c r="BZ22" s="207"/>
      <c r="CA22" s="219"/>
      <c r="CB22" s="219"/>
      <c r="CC22" s="218"/>
      <c r="CD22" s="217"/>
      <c r="CE22" s="217"/>
      <c r="CF22" s="217"/>
      <c r="CG22" s="208"/>
      <c r="CH22" s="207"/>
      <c r="CI22" s="207"/>
      <c r="CJ22" s="207"/>
      <c r="CK22" s="208"/>
      <c r="CL22" s="217"/>
      <c r="CM22" s="217"/>
      <c r="CN22" s="217"/>
      <c r="CO22" s="207"/>
      <c r="CP22" s="217"/>
      <c r="CQ22" s="218"/>
      <c r="CR22" s="217"/>
      <c r="CS22" s="207"/>
      <c r="CT22" s="207"/>
      <c r="CU22" s="208"/>
      <c r="CV22" s="207"/>
      <c r="CW22" s="207"/>
      <c r="CX22" s="207"/>
      <c r="CY22" s="208"/>
      <c r="CZ22" s="207"/>
      <c r="DA22" s="225"/>
      <c r="DB22" s="207"/>
      <c r="DC22" s="207"/>
    </row>
    <row r="23">
      <c r="A23" s="202" t="s">
        <v>490</v>
      </c>
      <c r="B23" s="203">
        <v>102.0</v>
      </c>
      <c r="C23" s="203" t="s">
        <v>474</v>
      </c>
      <c r="D23" s="203">
        <v>124.0</v>
      </c>
      <c r="E23" s="204">
        <v>125.0</v>
      </c>
      <c r="F23" s="203"/>
      <c r="G23" s="203"/>
      <c r="H23" s="203"/>
      <c r="I23" s="204"/>
      <c r="J23" s="203"/>
      <c r="K23" s="203"/>
      <c r="L23" s="203"/>
      <c r="M23" s="204"/>
      <c r="N23" s="203"/>
      <c r="P23" s="203"/>
      <c r="Q23" s="204"/>
      <c r="R23" s="214"/>
      <c r="S23" s="214"/>
      <c r="T23" s="214"/>
      <c r="U23" s="215"/>
      <c r="V23" s="214"/>
      <c r="W23" s="214"/>
      <c r="X23" s="214"/>
      <c r="Y23" s="215"/>
      <c r="Z23" s="214"/>
      <c r="AA23" s="214"/>
      <c r="AB23" s="214"/>
      <c r="AC23" s="215"/>
      <c r="AD23" s="214"/>
      <c r="AE23" s="214"/>
      <c r="AF23" s="214"/>
      <c r="AG23" s="215"/>
      <c r="AH23" s="214"/>
      <c r="AI23" s="214"/>
      <c r="AJ23" s="214"/>
      <c r="AK23" s="215"/>
      <c r="AL23" s="217"/>
      <c r="AM23" s="207"/>
      <c r="AN23" s="207"/>
      <c r="AO23" s="218"/>
      <c r="AP23" s="217"/>
      <c r="AQ23" s="207"/>
      <c r="AR23" s="207"/>
      <c r="AS23" s="218"/>
      <c r="AT23" s="217"/>
      <c r="AU23" s="217"/>
      <c r="AV23" s="217"/>
      <c r="AW23" s="208"/>
      <c r="AX23" s="207"/>
      <c r="AY23" s="207"/>
      <c r="AZ23" s="207"/>
      <c r="BA23" s="208"/>
      <c r="BB23" s="217"/>
      <c r="BC23" s="207"/>
      <c r="BD23" s="207"/>
      <c r="BE23" s="218"/>
      <c r="BF23" s="217"/>
      <c r="BG23" s="217"/>
      <c r="BH23" s="217"/>
      <c r="BI23" s="217"/>
      <c r="BJ23" s="217"/>
      <c r="BK23" s="208"/>
      <c r="BL23" s="207"/>
      <c r="BN23" s="207"/>
      <c r="BO23" s="204"/>
      <c r="BP23" s="207"/>
      <c r="BQ23" s="207"/>
      <c r="BR23" s="207"/>
      <c r="BS23" s="203"/>
      <c r="BT23" s="203"/>
      <c r="BU23" s="208"/>
      <c r="BV23" s="207"/>
      <c r="BW23" s="207"/>
      <c r="BX23" s="207"/>
      <c r="BY23" s="204"/>
      <c r="BZ23" s="207"/>
      <c r="CA23" s="219"/>
      <c r="CB23" s="219"/>
      <c r="CC23" s="215"/>
      <c r="CD23" s="214"/>
      <c r="CE23" s="214"/>
      <c r="CF23" s="214"/>
      <c r="CG23" s="215"/>
      <c r="CH23" s="214"/>
      <c r="CI23" s="214"/>
      <c r="CJ23" s="214"/>
      <c r="CK23" s="208"/>
      <c r="CL23" s="217"/>
      <c r="CM23" s="217"/>
      <c r="CN23" s="217"/>
      <c r="CO23" s="207"/>
      <c r="CP23" s="217"/>
      <c r="CQ23" s="218"/>
      <c r="CR23" s="217"/>
      <c r="CS23" s="207"/>
      <c r="CT23" s="207"/>
      <c r="CU23" s="208"/>
      <c r="CV23" s="207"/>
      <c r="CW23" s="207"/>
      <c r="CX23" s="207"/>
      <c r="CY23" s="208"/>
      <c r="CZ23" s="207"/>
      <c r="DA23" s="217"/>
      <c r="DB23" s="207"/>
      <c r="DC23" s="207"/>
    </row>
    <row r="24">
      <c r="A24" s="202" t="s">
        <v>491</v>
      </c>
      <c r="B24" s="203"/>
      <c r="C24" s="213">
        <f>max(C3:C19)</f>
        <v>128.4</v>
      </c>
      <c r="D24" s="203"/>
      <c r="E24" s="204"/>
      <c r="F24" s="203"/>
      <c r="G24" s="203"/>
      <c r="H24" s="203"/>
      <c r="I24" s="204"/>
      <c r="J24" s="203"/>
      <c r="K24" s="203"/>
      <c r="L24" s="203"/>
      <c r="M24" s="204"/>
      <c r="N24" s="217"/>
      <c r="O24" s="217"/>
      <c r="P24" s="217"/>
      <c r="Q24" s="208"/>
      <c r="R24" s="207"/>
      <c r="S24" s="207"/>
      <c r="T24" s="207"/>
      <c r="U24" s="208"/>
      <c r="V24" s="207"/>
      <c r="W24" s="207"/>
      <c r="X24" s="207"/>
      <c r="Y24" s="208"/>
      <c r="Z24" s="207"/>
      <c r="AA24" s="207"/>
      <c r="AB24" s="207"/>
      <c r="AC24" s="208"/>
      <c r="AD24" s="207"/>
      <c r="AE24" s="219"/>
      <c r="AF24" s="219"/>
      <c r="AG24" s="218"/>
      <c r="AH24" s="217"/>
      <c r="AI24" s="217"/>
      <c r="AJ24" s="217"/>
      <c r="AK24" s="208"/>
      <c r="AL24" s="217"/>
      <c r="AM24" s="207"/>
      <c r="AN24" s="207"/>
      <c r="AO24" s="218"/>
      <c r="AP24" s="217"/>
      <c r="AQ24" s="207"/>
      <c r="AR24" s="207"/>
      <c r="AS24" s="218"/>
      <c r="AT24" s="217"/>
      <c r="AU24" s="217"/>
      <c r="AV24" s="217"/>
      <c r="AW24" s="208"/>
      <c r="AX24" s="207"/>
      <c r="AY24" s="207"/>
      <c r="AZ24" s="207"/>
      <c r="BA24" s="208"/>
      <c r="BB24" s="217"/>
      <c r="BC24" s="207"/>
      <c r="BD24" s="207"/>
      <c r="BE24" s="218"/>
      <c r="BF24" s="217"/>
      <c r="BG24" s="217"/>
      <c r="BH24" s="217"/>
      <c r="BI24" s="217"/>
      <c r="BJ24" s="217"/>
      <c r="BK24" s="208"/>
      <c r="BL24" s="207"/>
      <c r="BM24" s="207"/>
      <c r="BN24" s="207"/>
      <c r="BO24" s="208"/>
      <c r="BP24" s="207"/>
      <c r="BQ24" s="207"/>
      <c r="BR24" s="207"/>
      <c r="BS24" s="207"/>
      <c r="BT24" s="207"/>
      <c r="BU24" s="208"/>
      <c r="BV24" s="207"/>
      <c r="BW24" s="207"/>
      <c r="BX24" s="207"/>
      <c r="BY24" s="208"/>
      <c r="BZ24" s="207"/>
      <c r="CA24" s="219"/>
      <c r="CB24" s="219"/>
      <c r="CC24" s="208"/>
      <c r="CD24" s="207"/>
      <c r="CE24" s="207"/>
      <c r="CF24" s="207"/>
      <c r="CG24" s="208"/>
      <c r="CH24" s="207"/>
      <c r="CI24" s="217"/>
      <c r="CJ24" s="217"/>
      <c r="CK24" s="215"/>
      <c r="CL24" s="217"/>
      <c r="CM24" s="217"/>
      <c r="CN24" s="217"/>
      <c r="CO24" s="207"/>
      <c r="CP24" s="217"/>
      <c r="CQ24" s="218"/>
      <c r="CR24" s="217"/>
      <c r="CS24" s="207"/>
      <c r="CT24" s="207"/>
      <c r="CU24" s="208"/>
      <c r="CV24" s="207"/>
      <c r="CW24" s="207"/>
      <c r="CX24" s="207"/>
      <c r="CY24" s="208"/>
      <c r="CZ24" s="207"/>
      <c r="DA24" s="217"/>
      <c r="DB24" s="207"/>
      <c r="DC24" s="207"/>
    </row>
    <row r="25">
      <c r="A25" s="202" t="s">
        <v>492</v>
      </c>
      <c r="B25" s="203"/>
      <c r="D25" s="203"/>
      <c r="E25" s="204"/>
      <c r="F25" s="203"/>
      <c r="G25" s="203"/>
      <c r="H25" s="203"/>
      <c r="I25" s="204"/>
      <c r="J25" s="203"/>
      <c r="K25" s="203"/>
      <c r="L25" s="203"/>
      <c r="M25" s="204"/>
      <c r="N25" s="217"/>
      <c r="O25" s="217"/>
      <c r="P25" s="217"/>
      <c r="Q25" s="208"/>
      <c r="R25" s="207"/>
      <c r="S25" s="207"/>
      <c r="T25" s="207"/>
      <c r="U25" s="208"/>
      <c r="V25" s="207"/>
      <c r="W25" s="207"/>
      <c r="X25" s="207"/>
      <c r="Y25" s="208"/>
      <c r="Z25" s="207"/>
      <c r="AA25" s="207"/>
      <c r="AB25" s="207"/>
      <c r="AC25" s="208"/>
      <c r="AD25" s="207"/>
      <c r="AE25" s="219"/>
      <c r="AF25" s="219"/>
      <c r="AG25" s="215"/>
      <c r="AH25" s="214"/>
      <c r="AI25" s="214"/>
      <c r="AJ25" s="214"/>
      <c r="AK25" s="215"/>
      <c r="AL25" s="217"/>
      <c r="AM25" s="207"/>
      <c r="AN25" s="207"/>
      <c r="AO25" s="218"/>
      <c r="AP25" s="217"/>
      <c r="AQ25" s="207"/>
      <c r="AR25" s="207"/>
      <c r="AS25" s="218"/>
      <c r="AT25" s="217"/>
      <c r="AU25" s="217"/>
      <c r="AV25" s="217"/>
      <c r="AW25" s="208"/>
      <c r="AX25" s="207"/>
      <c r="AY25" s="207"/>
      <c r="AZ25" s="207"/>
      <c r="BA25" s="208"/>
      <c r="BB25" s="217"/>
      <c r="BC25" s="207"/>
      <c r="BD25" s="207"/>
      <c r="BE25" s="218"/>
      <c r="BF25" s="217"/>
      <c r="BG25" s="217"/>
      <c r="BH25" s="217"/>
      <c r="BI25" s="217"/>
      <c r="BJ25" s="217"/>
      <c r="BK25" s="208"/>
      <c r="BL25" s="207"/>
      <c r="BM25" s="207"/>
      <c r="BN25" s="207"/>
      <c r="BO25" s="208"/>
      <c r="BP25" s="207"/>
      <c r="BQ25" s="207"/>
      <c r="BR25" s="207"/>
      <c r="BS25" s="207"/>
      <c r="BT25" s="207"/>
      <c r="BU25" s="208"/>
      <c r="BV25" s="207"/>
      <c r="BW25" s="207"/>
      <c r="BX25" s="207"/>
      <c r="BY25" s="208"/>
      <c r="BZ25" s="207"/>
      <c r="CA25" s="217"/>
      <c r="CB25" s="217"/>
      <c r="CC25" s="208"/>
      <c r="CD25" s="207"/>
      <c r="CE25" s="207"/>
      <c r="CF25" s="207"/>
      <c r="CG25" s="208"/>
      <c r="CH25" s="207"/>
      <c r="CI25" s="217"/>
      <c r="CJ25" s="217"/>
      <c r="CK25" s="204"/>
      <c r="CL25" s="217"/>
      <c r="CM25" s="217"/>
      <c r="CN25" s="217"/>
      <c r="CO25" s="207"/>
      <c r="CP25" s="217"/>
      <c r="CQ25" s="218"/>
      <c r="CR25" s="217"/>
      <c r="CS25" s="207"/>
      <c r="CT25" s="207"/>
      <c r="CU25" s="208"/>
      <c r="CV25" s="207"/>
      <c r="CW25" s="207"/>
      <c r="CX25" s="207"/>
      <c r="CY25" s="208"/>
      <c r="CZ25" s="207"/>
      <c r="DA25" s="217"/>
      <c r="DB25" s="214"/>
      <c r="DC25" s="214"/>
    </row>
    <row r="26">
      <c r="A26" s="202" t="s">
        <v>493</v>
      </c>
      <c r="C26" s="205"/>
      <c r="E26" s="222"/>
      <c r="F26" s="217"/>
      <c r="G26" s="207"/>
      <c r="H26" s="207"/>
      <c r="I26" s="218"/>
      <c r="J26" s="217"/>
      <c r="K26" s="207"/>
      <c r="L26" s="207"/>
      <c r="M26" s="218"/>
      <c r="N26" s="217"/>
      <c r="O26" s="217"/>
      <c r="P26" s="217"/>
      <c r="Q26" s="208"/>
      <c r="R26" s="207"/>
      <c r="S26" s="207"/>
      <c r="T26" s="207"/>
      <c r="U26" s="208"/>
      <c r="V26" s="207"/>
      <c r="W26" s="207"/>
      <c r="X26" s="207"/>
      <c r="Y26" s="208"/>
      <c r="Z26" s="214"/>
      <c r="AA26" s="214"/>
      <c r="AB26" s="214"/>
      <c r="AC26" s="215"/>
      <c r="AD26" s="214"/>
      <c r="AE26" s="214"/>
      <c r="AF26" s="214"/>
      <c r="AG26" s="215"/>
      <c r="AH26" s="214"/>
      <c r="AI26" s="214"/>
      <c r="AJ26" s="214"/>
      <c r="AK26" s="215"/>
      <c r="AL26" s="214"/>
      <c r="AM26" s="214"/>
      <c r="AN26" s="214"/>
      <c r="AO26" s="215"/>
      <c r="AP26" s="214"/>
      <c r="AQ26" s="214"/>
      <c r="AR26" s="214"/>
      <c r="AS26" s="215"/>
      <c r="AT26" s="214"/>
      <c r="AU26" s="214"/>
      <c r="AV26" s="214"/>
      <c r="AW26" s="215"/>
      <c r="AX26" s="214"/>
      <c r="AY26" s="214"/>
      <c r="AZ26" s="214"/>
      <c r="BA26" s="215"/>
      <c r="BB26" s="214"/>
      <c r="BC26" s="214"/>
      <c r="BD26" s="214"/>
      <c r="BE26" s="218"/>
      <c r="BF26" s="214"/>
      <c r="BG26" s="214"/>
      <c r="BH26" s="214"/>
      <c r="BI26" s="214"/>
      <c r="BJ26" s="214"/>
      <c r="BK26" s="215"/>
      <c r="BL26" s="214"/>
      <c r="BM26" s="214"/>
      <c r="BN26" s="214"/>
      <c r="BO26" s="215"/>
      <c r="BP26" s="214"/>
      <c r="BQ26" s="214"/>
      <c r="BR26" s="214"/>
      <c r="BS26" s="214"/>
      <c r="BT26" s="214"/>
      <c r="BU26" s="215"/>
      <c r="BV26" s="214"/>
      <c r="BW26" s="214"/>
      <c r="BX26" s="214"/>
      <c r="BY26" s="215"/>
      <c r="BZ26" s="214"/>
      <c r="CA26" s="214"/>
      <c r="CB26" s="214"/>
      <c r="CC26" s="208"/>
      <c r="CD26" s="207"/>
      <c r="CE26" s="207"/>
      <c r="CF26" s="207"/>
      <c r="CG26" s="208"/>
      <c r="CH26" s="207"/>
      <c r="CI26" s="219"/>
      <c r="CJ26" s="219"/>
      <c r="CK26" s="204"/>
      <c r="CL26" s="217"/>
      <c r="CM26" s="217"/>
      <c r="CN26" s="217"/>
      <c r="CO26" s="207"/>
      <c r="CP26" s="217"/>
      <c r="CQ26" s="218"/>
      <c r="CR26" s="217"/>
      <c r="CS26" s="207"/>
      <c r="CT26" s="207"/>
      <c r="CU26" s="208"/>
      <c r="CV26" s="207"/>
      <c r="CW26" s="207"/>
      <c r="CX26" s="207"/>
      <c r="CY26" s="208"/>
      <c r="CZ26" s="207"/>
      <c r="DA26" s="217"/>
      <c r="DB26" s="207"/>
      <c r="DC26" s="207"/>
    </row>
    <row r="27">
      <c r="A27" s="202"/>
      <c r="E27" s="222"/>
      <c r="F27" s="217"/>
      <c r="G27" s="207"/>
      <c r="H27" s="207"/>
      <c r="I27" s="218"/>
      <c r="J27" s="217"/>
      <c r="K27" s="207"/>
      <c r="L27" s="207"/>
      <c r="M27" s="218"/>
      <c r="N27" s="217"/>
      <c r="O27" s="217"/>
      <c r="P27" s="217"/>
      <c r="Q27" s="208"/>
      <c r="R27" s="207"/>
      <c r="S27" s="207"/>
      <c r="T27" s="207"/>
      <c r="U27" s="208"/>
      <c r="V27" s="207"/>
      <c r="W27" s="207"/>
      <c r="X27" s="207"/>
      <c r="Y27" s="208"/>
      <c r="Z27" s="217"/>
      <c r="AA27" s="207"/>
      <c r="AB27" s="207"/>
      <c r="AC27" s="218"/>
      <c r="AD27" s="217"/>
      <c r="AE27" s="217"/>
      <c r="AF27" s="217"/>
      <c r="AG27" s="208"/>
      <c r="AH27" s="217"/>
      <c r="AI27" s="207"/>
      <c r="AJ27" s="207"/>
      <c r="AK27" s="218"/>
      <c r="AL27" s="217"/>
      <c r="AM27" s="217"/>
      <c r="AN27" s="217"/>
      <c r="AO27" s="208"/>
      <c r="AP27" s="207"/>
      <c r="AQ27" s="207"/>
      <c r="AR27" s="207"/>
      <c r="AS27" s="208"/>
      <c r="AT27" s="207"/>
      <c r="AU27" s="207"/>
      <c r="AV27" s="207"/>
      <c r="AW27" s="208"/>
      <c r="AX27" s="207"/>
      <c r="AY27" s="207"/>
      <c r="AZ27" s="207"/>
      <c r="BA27" s="208"/>
      <c r="BB27" s="207"/>
      <c r="BC27" s="217"/>
      <c r="BD27" s="217"/>
      <c r="BE27" s="218"/>
      <c r="BF27" s="214"/>
      <c r="BG27" s="214"/>
      <c r="BH27" s="214"/>
      <c r="BI27" s="214"/>
      <c r="BJ27" s="214"/>
      <c r="BK27" s="215"/>
      <c r="BL27" s="214"/>
      <c r="BM27" s="214"/>
      <c r="BN27" s="214"/>
      <c r="BO27" s="215"/>
      <c r="BP27" s="214"/>
      <c r="BQ27" s="214"/>
      <c r="BR27" s="214"/>
      <c r="BS27" s="214"/>
      <c r="BT27" s="214"/>
      <c r="BU27" s="215"/>
      <c r="BV27" s="207"/>
      <c r="BW27" s="207"/>
      <c r="BX27" s="207"/>
      <c r="BY27" s="208"/>
      <c r="BZ27" s="207"/>
      <c r="CA27" s="219"/>
      <c r="CB27" s="219"/>
      <c r="CC27" s="208"/>
      <c r="CD27" s="207"/>
      <c r="CE27" s="207"/>
      <c r="CF27" s="207"/>
      <c r="CG27" s="208"/>
      <c r="CH27" s="207"/>
      <c r="CI27" s="217"/>
      <c r="CJ27" s="217"/>
      <c r="CK27" s="204"/>
      <c r="CL27" s="217"/>
      <c r="CM27" s="217"/>
      <c r="CN27" s="217"/>
      <c r="CO27" s="207"/>
      <c r="CP27" s="217"/>
      <c r="CQ27" s="218"/>
      <c r="CR27" s="217"/>
      <c r="CS27" s="207"/>
      <c r="CT27" s="207"/>
      <c r="CU27" s="208"/>
      <c r="CV27" s="207"/>
      <c r="CW27" s="207"/>
      <c r="CX27" s="207"/>
      <c r="CY27" s="208"/>
      <c r="CZ27" s="207"/>
      <c r="DA27" s="217"/>
      <c r="DB27" s="207"/>
      <c r="DC27" s="207"/>
    </row>
    <row r="28">
      <c r="A28" s="202"/>
      <c r="E28" s="222"/>
      <c r="F28" s="217"/>
      <c r="G28" s="207"/>
      <c r="H28" s="207"/>
      <c r="I28" s="218"/>
      <c r="J28" s="214"/>
      <c r="K28" s="214"/>
      <c r="L28" s="214"/>
      <c r="M28" s="215"/>
      <c r="N28" s="214"/>
      <c r="O28" s="214"/>
      <c r="P28" s="214"/>
      <c r="Q28" s="215"/>
      <c r="R28" s="214"/>
      <c r="S28" s="214"/>
      <c r="T28" s="214"/>
      <c r="U28" s="215"/>
      <c r="V28" s="214"/>
      <c r="W28" s="214"/>
      <c r="X28" s="214"/>
      <c r="Y28" s="215"/>
      <c r="Z28" s="214"/>
      <c r="AA28" s="214"/>
      <c r="AB28" s="214"/>
      <c r="AC28" s="215"/>
      <c r="AD28" s="214"/>
      <c r="AE28" s="214"/>
      <c r="AF28" s="214"/>
      <c r="AG28" s="208"/>
      <c r="AH28" s="217"/>
      <c r="AI28" s="207"/>
      <c r="AJ28" s="207"/>
      <c r="AK28" s="218"/>
      <c r="AL28" s="217"/>
      <c r="AM28" s="217"/>
      <c r="AN28" s="217"/>
      <c r="AO28" s="208"/>
      <c r="AP28" s="207"/>
      <c r="AQ28" s="207"/>
      <c r="AR28" s="207"/>
      <c r="AS28" s="208"/>
      <c r="AT28" s="207"/>
      <c r="AU28" s="207"/>
      <c r="AV28" s="207"/>
      <c r="AW28" s="208"/>
      <c r="AX28" s="207"/>
      <c r="AY28" s="207"/>
      <c r="AZ28" s="207"/>
      <c r="BA28" s="208"/>
      <c r="BB28" s="207"/>
      <c r="BC28" s="217"/>
      <c r="BD28" s="217"/>
      <c r="BE28" s="218"/>
      <c r="BF28" s="217"/>
      <c r="BG28" s="217"/>
      <c r="BH28" s="217"/>
      <c r="BI28" s="207"/>
      <c r="BJ28" s="217"/>
      <c r="BK28" s="218"/>
      <c r="BL28" s="217"/>
      <c r="BM28" s="207"/>
      <c r="BN28" s="207"/>
      <c r="BO28" s="208"/>
      <c r="BP28" s="207"/>
      <c r="BQ28" s="207"/>
      <c r="BR28" s="207"/>
      <c r="BS28" s="207"/>
      <c r="BT28" s="207"/>
      <c r="BU28" s="226"/>
      <c r="BV28" s="214"/>
      <c r="BW28" s="214"/>
      <c r="BX28" s="214"/>
      <c r="BY28" s="215"/>
      <c r="BZ28" s="214"/>
      <c r="CA28" s="214"/>
      <c r="CB28" s="214"/>
      <c r="CC28" s="215"/>
      <c r="CD28" s="214"/>
      <c r="CE28" s="214"/>
      <c r="CF28" s="214"/>
      <c r="CG28" s="215"/>
      <c r="CH28" s="207"/>
      <c r="CI28" s="217"/>
      <c r="CJ28" s="217"/>
      <c r="CK28" s="204"/>
      <c r="CL28" s="217"/>
      <c r="CM28" s="217"/>
      <c r="CN28" s="217"/>
      <c r="CO28" s="207"/>
      <c r="CP28" s="217"/>
      <c r="CQ28" s="218"/>
      <c r="CR28" s="217"/>
      <c r="CS28" s="207"/>
      <c r="CT28" s="207"/>
      <c r="CU28" s="208"/>
      <c r="CV28" s="207"/>
      <c r="CW28" s="207"/>
      <c r="CX28" s="207"/>
      <c r="CY28" s="208"/>
      <c r="CZ28" s="207"/>
      <c r="DA28" s="225"/>
      <c r="DB28" s="207"/>
      <c r="DC28" s="207"/>
    </row>
    <row r="29">
      <c r="A29" s="227"/>
      <c r="E29" s="222"/>
      <c r="F29" s="217"/>
      <c r="G29" s="207"/>
      <c r="H29" s="207"/>
      <c r="I29" s="218"/>
      <c r="J29" s="217"/>
      <c r="K29" s="207"/>
      <c r="L29" s="207"/>
      <c r="M29" s="218"/>
      <c r="N29" s="217"/>
      <c r="O29" s="217"/>
      <c r="P29" s="217"/>
      <c r="Q29" s="208"/>
      <c r="R29" s="207"/>
      <c r="S29" s="207"/>
      <c r="T29" s="207"/>
      <c r="U29" s="208"/>
      <c r="V29" s="207"/>
      <c r="W29" s="207"/>
      <c r="X29" s="207"/>
      <c r="Y29" s="208"/>
      <c r="Z29" s="207"/>
      <c r="AA29" s="207"/>
      <c r="AB29" s="207"/>
      <c r="AC29" s="208"/>
      <c r="AD29" s="207"/>
      <c r="AE29" s="217"/>
      <c r="AF29" s="217"/>
      <c r="AG29" s="208"/>
      <c r="AH29" s="217"/>
      <c r="AI29" s="207"/>
      <c r="AJ29" s="207"/>
      <c r="AK29" s="218"/>
      <c r="AL29" s="217"/>
      <c r="AM29" s="217"/>
      <c r="AN29" s="217"/>
      <c r="AO29" s="208"/>
      <c r="AP29" s="207"/>
      <c r="AQ29" s="207"/>
      <c r="AR29" s="207"/>
      <c r="AS29" s="208"/>
      <c r="AT29" s="207"/>
      <c r="AU29" s="207"/>
      <c r="AV29" s="207"/>
      <c r="AW29" s="208"/>
      <c r="AX29" s="207"/>
      <c r="AY29" s="207"/>
      <c r="AZ29" s="207"/>
      <c r="BA29" s="208"/>
      <c r="BB29" s="207"/>
      <c r="BC29" s="217"/>
      <c r="BD29" s="217"/>
      <c r="BE29" s="218"/>
      <c r="BF29" s="217"/>
      <c r="BG29" s="217"/>
      <c r="BH29" s="217"/>
      <c r="BI29" s="207"/>
      <c r="BJ29" s="217"/>
      <c r="BK29" s="218"/>
      <c r="BL29" s="217"/>
      <c r="BM29" s="207"/>
      <c r="BN29" s="207"/>
      <c r="BO29" s="208"/>
      <c r="BP29" s="207"/>
      <c r="BQ29" s="207"/>
      <c r="BR29" s="207"/>
      <c r="BS29" s="207"/>
      <c r="BT29" s="207"/>
      <c r="BU29" s="228"/>
      <c r="BV29" s="207"/>
      <c r="BW29" s="207"/>
      <c r="BX29" s="207"/>
      <c r="BY29" s="204"/>
      <c r="BZ29" s="207"/>
      <c r="CA29" s="203"/>
      <c r="CB29" s="207"/>
      <c r="CC29" s="208"/>
      <c r="CD29" s="207"/>
      <c r="CE29" s="203"/>
      <c r="CF29" s="207"/>
      <c r="CG29" s="226"/>
      <c r="CH29" s="214"/>
      <c r="CI29" s="214"/>
      <c r="CJ29" s="214"/>
      <c r="CK29" s="215"/>
      <c r="CL29" s="217"/>
      <c r="CM29" s="217"/>
      <c r="CN29" s="217"/>
      <c r="CO29" s="207"/>
      <c r="CP29" s="217"/>
      <c r="CQ29" s="218"/>
      <c r="CR29" s="217"/>
      <c r="CS29" s="207"/>
      <c r="CT29" s="207"/>
      <c r="CU29" s="208"/>
      <c r="CV29" s="207"/>
      <c r="CW29" s="207"/>
      <c r="CX29" s="207"/>
      <c r="CY29" s="208"/>
      <c r="CZ29" s="207"/>
      <c r="DA29" s="219"/>
      <c r="DB29" s="207"/>
      <c r="DC29" s="207"/>
    </row>
    <row r="30">
      <c r="A30" s="227"/>
      <c r="E30" s="222"/>
      <c r="F30" s="217"/>
      <c r="G30" s="207"/>
      <c r="H30" s="207"/>
      <c r="I30" s="218"/>
      <c r="J30" s="217"/>
      <c r="K30" s="207"/>
      <c r="L30" s="207"/>
      <c r="M30" s="218"/>
      <c r="N30" s="217"/>
      <c r="O30" s="217"/>
      <c r="P30" s="217"/>
      <c r="Q30" s="208"/>
      <c r="R30" s="207"/>
      <c r="S30" s="207"/>
      <c r="T30" s="207"/>
      <c r="U30" s="208"/>
      <c r="V30" s="207"/>
      <c r="W30" s="207"/>
      <c r="X30" s="207"/>
      <c r="Y30" s="208"/>
      <c r="Z30" s="207"/>
      <c r="AA30" s="207"/>
      <c r="AB30" s="207"/>
      <c r="AC30" s="208"/>
      <c r="AD30" s="207"/>
      <c r="AE30" s="217"/>
      <c r="AF30" s="217"/>
      <c r="AG30" s="208"/>
      <c r="AH30" s="217"/>
      <c r="AI30" s="207"/>
      <c r="AJ30" s="207"/>
      <c r="AK30" s="218"/>
      <c r="AL30" s="217"/>
      <c r="AM30" s="217"/>
      <c r="AN30" s="217"/>
      <c r="AO30" s="208"/>
      <c r="AP30" s="207"/>
      <c r="AQ30" s="207"/>
      <c r="AR30" s="207"/>
      <c r="AS30" s="208"/>
      <c r="AT30" s="207"/>
      <c r="AU30" s="207"/>
      <c r="AV30" s="207"/>
      <c r="AW30" s="208"/>
      <c r="AX30" s="207"/>
      <c r="AY30" s="207"/>
      <c r="AZ30" s="207"/>
      <c r="BA30" s="208"/>
      <c r="BB30" s="207"/>
      <c r="BC30" s="217"/>
      <c r="BD30" s="217"/>
      <c r="BE30" s="218"/>
      <c r="BF30" s="217"/>
      <c r="BG30" s="217"/>
      <c r="BH30" s="217"/>
      <c r="BI30" s="207"/>
      <c r="BJ30" s="217"/>
      <c r="BK30" s="218"/>
      <c r="BL30" s="217"/>
      <c r="BM30" s="207"/>
      <c r="BN30" s="207"/>
      <c r="BO30" s="208"/>
      <c r="BP30" s="207"/>
      <c r="BQ30" s="207"/>
      <c r="BR30" s="207"/>
      <c r="BS30" s="207"/>
      <c r="BT30" s="207"/>
      <c r="BU30" s="228"/>
      <c r="BV30" s="207"/>
      <c r="BW30" s="207"/>
      <c r="BX30" s="207"/>
      <c r="BY30" s="204"/>
      <c r="BZ30" s="207"/>
      <c r="CA30" s="203"/>
      <c r="CB30" s="207"/>
      <c r="CC30" s="208"/>
      <c r="CD30" s="207"/>
      <c r="CE30" s="203"/>
      <c r="CF30" s="207"/>
      <c r="CG30" s="226"/>
      <c r="CH30" s="207"/>
      <c r="CI30" s="207"/>
      <c r="CJ30" s="207"/>
      <c r="CK30" s="208"/>
      <c r="CL30" s="217"/>
      <c r="CM30" s="217"/>
      <c r="CN30" s="217"/>
      <c r="CO30" s="207"/>
      <c r="CP30" s="217"/>
      <c r="CQ30" s="218"/>
      <c r="CR30" s="217"/>
      <c r="CS30" s="207"/>
      <c r="CT30" s="207"/>
      <c r="CU30" s="208"/>
      <c r="CV30" s="207"/>
      <c r="CW30" s="207"/>
      <c r="CX30" s="207"/>
      <c r="CY30" s="208"/>
      <c r="CZ30" s="207"/>
      <c r="DA30" s="219"/>
      <c r="DB30" s="207"/>
      <c r="DC30" s="207"/>
    </row>
    <row r="31">
      <c r="A31" s="227"/>
      <c r="E31" s="222"/>
      <c r="F31" s="217"/>
      <c r="G31" s="207"/>
      <c r="H31" s="207"/>
      <c r="I31" s="218"/>
      <c r="J31" s="217"/>
      <c r="K31" s="207"/>
      <c r="L31" s="207"/>
      <c r="M31" s="218"/>
      <c r="N31" s="217"/>
      <c r="O31" s="217"/>
      <c r="P31" s="217"/>
      <c r="Q31" s="208"/>
      <c r="R31" s="207"/>
      <c r="S31" s="207"/>
      <c r="T31" s="207"/>
      <c r="U31" s="208"/>
      <c r="V31" s="207"/>
      <c r="W31" s="207"/>
      <c r="X31" s="207"/>
      <c r="Y31" s="208"/>
      <c r="Z31" s="207"/>
      <c r="AA31" s="207"/>
      <c r="AB31" s="207"/>
      <c r="AC31" s="208"/>
      <c r="AD31" s="207"/>
      <c r="AE31" s="217"/>
      <c r="AF31" s="217"/>
      <c r="AG31" s="208"/>
      <c r="AH31" s="217"/>
      <c r="AI31" s="207"/>
      <c r="AJ31" s="207"/>
      <c r="AK31" s="218"/>
      <c r="AL31" s="217"/>
      <c r="AM31" s="217"/>
      <c r="AN31" s="217"/>
      <c r="AO31" s="208"/>
      <c r="AP31" s="207"/>
      <c r="AQ31" s="207"/>
      <c r="AR31" s="207"/>
      <c r="AS31" s="208"/>
      <c r="AT31" s="207"/>
      <c r="AU31" s="207"/>
      <c r="AV31" s="207"/>
      <c r="AW31" s="208"/>
      <c r="AX31" s="207"/>
      <c r="AY31" s="207"/>
      <c r="AZ31" s="207"/>
      <c r="BA31" s="208"/>
      <c r="BB31" s="207"/>
      <c r="BC31" s="217"/>
      <c r="BD31" s="217"/>
      <c r="BE31" s="218"/>
      <c r="BF31" s="217"/>
      <c r="BG31" s="217"/>
      <c r="BH31" s="217"/>
      <c r="BI31" s="207"/>
      <c r="BJ31" s="217"/>
      <c r="BK31" s="218"/>
      <c r="BL31" s="217"/>
      <c r="BM31" s="207"/>
      <c r="BN31" s="207"/>
      <c r="BO31" s="208"/>
      <c r="BP31" s="207"/>
      <c r="BQ31" s="207"/>
      <c r="BR31" s="207"/>
      <c r="BS31" s="207"/>
      <c r="BT31" s="207"/>
      <c r="BU31" s="228"/>
      <c r="BV31" s="207"/>
      <c r="BW31" s="207"/>
      <c r="BX31" s="207"/>
      <c r="BY31" s="204"/>
      <c r="BZ31" s="207"/>
      <c r="CA31" s="203"/>
      <c r="CB31" s="207"/>
      <c r="CC31" s="208"/>
      <c r="CD31" s="207"/>
      <c r="CE31" s="203"/>
      <c r="CF31" s="207"/>
      <c r="CG31" s="226"/>
      <c r="CH31" s="207"/>
      <c r="CI31" s="207"/>
      <c r="CJ31" s="207"/>
      <c r="CK31" s="208"/>
      <c r="CL31" s="217"/>
      <c r="CM31" s="217"/>
      <c r="CN31" s="217"/>
      <c r="CO31" s="207"/>
      <c r="CP31" s="217"/>
      <c r="CQ31" s="218"/>
      <c r="CR31" s="217"/>
      <c r="CS31" s="207"/>
      <c r="CT31" s="207"/>
      <c r="CU31" s="208"/>
      <c r="CV31" s="207"/>
      <c r="CW31" s="207"/>
      <c r="CX31" s="207"/>
      <c r="CY31" s="208"/>
      <c r="CZ31" s="207"/>
      <c r="DA31" s="219"/>
      <c r="DB31" s="207"/>
      <c r="DC31" s="207"/>
    </row>
    <row r="32">
      <c r="A32" s="227"/>
      <c r="E32" s="222"/>
      <c r="F32" s="217"/>
      <c r="G32" s="207"/>
      <c r="H32" s="207"/>
      <c r="I32" s="218"/>
      <c r="J32" s="217"/>
      <c r="K32" s="207"/>
      <c r="L32" s="207"/>
      <c r="M32" s="218"/>
      <c r="N32" s="217"/>
      <c r="O32" s="217"/>
      <c r="P32" s="217"/>
      <c r="Q32" s="208"/>
      <c r="R32" s="207"/>
      <c r="S32" s="207"/>
      <c r="T32" s="207"/>
      <c r="U32" s="208"/>
      <c r="V32" s="207"/>
      <c r="W32" s="207"/>
      <c r="X32" s="207"/>
      <c r="Y32" s="208"/>
      <c r="Z32" s="207"/>
      <c r="AA32" s="207"/>
      <c r="AB32" s="207"/>
      <c r="AC32" s="208"/>
      <c r="AD32" s="207"/>
      <c r="AE32" s="219"/>
      <c r="AF32" s="219"/>
      <c r="AG32" s="208"/>
      <c r="AH32" s="217"/>
      <c r="AI32" s="207"/>
      <c r="AJ32" s="207"/>
      <c r="AK32" s="218"/>
      <c r="AL32" s="217"/>
      <c r="AM32" s="217"/>
      <c r="AN32" s="217"/>
      <c r="AO32" s="208"/>
      <c r="AP32" s="207"/>
      <c r="AQ32" s="207"/>
      <c r="AR32" s="207"/>
      <c r="AS32" s="208"/>
      <c r="AT32" s="207"/>
      <c r="AU32" s="207"/>
      <c r="AV32" s="207"/>
      <c r="AW32" s="208"/>
      <c r="AX32" s="207"/>
      <c r="AY32" s="207"/>
      <c r="AZ32" s="207"/>
      <c r="BA32" s="208"/>
      <c r="BB32" s="207"/>
      <c r="BC32" s="217"/>
      <c r="BD32" s="217"/>
      <c r="BE32" s="218"/>
      <c r="BF32" s="217"/>
      <c r="BG32" s="217"/>
      <c r="BH32" s="217"/>
      <c r="BI32" s="207"/>
      <c r="BJ32" s="217"/>
      <c r="BK32" s="218"/>
      <c r="BL32" s="217"/>
      <c r="BM32" s="207"/>
      <c r="BN32" s="207"/>
      <c r="BO32" s="208"/>
      <c r="BP32" s="207"/>
      <c r="BQ32" s="207"/>
      <c r="BR32" s="207"/>
      <c r="BS32" s="207"/>
      <c r="BT32" s="207"/>
      <c r="BU32" s="218"/>
      <c r="BV32" s="207"/>
      <c r="BW32" s="207"/>
      <c r="BX32" s="207"/>
      <c r="BY32" s="204"/>
      <c r="BZ32" s="207"/>
      <c r="CA32" s="203"/>
      <c r="CB32" s="207"/>
      <c r="CC32" s="208"/>
      <c r="CD32" s="207"/>
      <c r="CE32" s="203"/>
      <c r="CF32" s="207"/>
      <c r="CG32" s="226"/>
      <c r="CH32" s="207"/>
      <c r="CI32" s="207"/>
      <c r="CJ32" s="207"/>
      <c r="CK32" s="208"/>
      <c r="CL32" s="217"/>
      <c r="CM32" s="217"/>
      <c r="CN32" s="217"/>
      <c r="CO32" s="207"/>
      <c r="CP32" s="217"/>
      <c r="CQ32" s="218"/>
      <c r="CR32" s="217"/>
      <c r="CS32" s="207"/>
      <c r="CT32" s="207"/>
      <c r="CU32" s="208"/>
      <c r="CV32" s="207"/>
      <c r="CW32" s="207"/>
      <c r="CX32" s="207"/>
      <c r="CY32" s="208"/>
      <c r="CZ32" s="207"/>
      <c r="DA32" s="217"/>
      <c r="DB32" s="207"/>
      <c r="DC32" s="207"/>
    </row>
    <row r="33">
      <c r="A33" s="227"/>
      <c r="E33" s="222"/>
      <c r="F33" s="217"/>
      <c r="G33" s="207"/>
      <c r="H33" s="207"/>
      <c r="I33" s="218"/>
      <c r="J33" s="217"/>
      <c r="K33" s="207"/>
      <c r="L33" s="207"/>
      <c r="M33" s="218"/>
      <c r="N33" s="217"/>
      <c r="O33" s="217"/>
      <c r="P33" s="217"/>
      <c r="Q33" s="208"/>
      <c r="R33" s="207"/>
      <c r="S33" s="207"/>
      <c r="T33" s="207"/>
      <c r="U33" s="208"/>
      <c r="V33" s="207"/>
      <c r="W33" s="207"/>
      <c r="X33" s="207"/>
      <c r="Y33" s="208"/>
      <c r="Z33" s="207"/>
      <c r="AA33" s="207"/>
      <c r="AB33" s="207"/>
      <c r="AC33" s="208"/>
      <c r="AD33" s="207"/>
      <c r="AE33" s="217"/>
      <c r="AF33" s="217"/>
      <c r="AG33" s="208"/>
      <c r="AH33" s="217"/>
      <c r="AI33" s="207"/>
      <c r="AJ33" s="207"/>
      <c r="AK33" s="218"/>
      <c r="AL33" s="217"/>
      <c r="AM33" s="217"/>
      <c r="AN33" s="217"/>
      <c r="AO33" s="208"/>
      <c r="AP33" s="207"/>
      <c r="AQ33" s="207"/>
      <c r="AR33" s="207"/>
      <c r="AS33" s="208"/>
      <c r="AT33" s="207"/>
      <c r="AU33" s="207"/>
      <c r="AV33" s="207"/>
      <c r="AW33" s="208"/>
      <c r="AX33" s="207"/>
      <c r="AY33" s="207"/>
      <c r="AZ33" s="207"/>
      <c r="BA33" s="208"/>
      <c r="BB33" s="207"/>
      <c r="BC33" s="219"/>
      <c r="BD33" s="219"/>
      <c r="BE33" s="218"/>
      <c r="BF33" s="217"/>
      <c r="BG33" s="217"/>
      <c r="BH33" s="217"/>
      <c r="BI33" s="207"/>
      <c r="BJ33" s="217"/>
      <c r="BK33" s="218"/>
      <c r="BL33" s="217"/>
      <c r="BM33" s="207"/>
      <c r="BN33" s="207"/>
      <c r="BO33" s="208"/>
      <c r="BP33" s="207"/>
      <c r="BQ33" s="207"/>
      <c r="BR33" s="207"/>
      <c r="BS33" s="207"/>
      <c r="BT33" s="207"/>
      <c r="BU33" s="218"/>
      <c r="BV33" s="207"/>
      <c r="BW33" s="207"/>
      <c r="BX33" s="207"/>
      <c r="BY33" s="204"/>
      <c r="BZ33" s="207"/>
      <c r="CA33" s="203"/>
      <c r="CB33" s="207"/>
      <c r="CC33" s="208"/>
      <c r="CD33" s="207"/>
      <c r="CE33" s="203"/>
      <c r="CF33" s="207"/>
      <c r="CG33" s="226"/>
      <c r="CH33" s="207"/>
      <c r="CI33" s="207"/>
      <c r="CJ33" s="207"/>
      <c r="CK33" s="208"/>
      <c r="CL33" s="217"/>
      <c r="CM33" s="217"/>
      <c r="CN33" s="217"/>
      <c r="CO33" s="207"/>
      <c r="CP33" s="217"/>
      <c r="CQ33" s="218"/>
      <c r="CR33" s="217"/>
      <c r="CS33" s="207"/>
      <c r="CT33" s="207"/>
      <c r="CU33" s="208"/>
      <c r="CV33" s="207"/>
      <c r="CW33" s="207"/>
      <c r="CX33" s="207"/>
      <c r="CY33" s="208"/>
      <c r="CZ33" s="207"/>
      <c r="DA33" s="217"/>
      <c r="DB33" s="207"/>
      <c r="DC33" s="207"/>
    </row>
    <row r="34">
      <c r="A34" s="227"/>
      <c r="E34" s="222"/>
      <c r="F34" s="217"/>
      <c r="G34" s="207"/>
      <c r="H34" s="207"/>
      <c r="I34" s="218"/>
      <c r="J34" s="217"/>
      <c r="K34" s="207"/>
      <c r="L34" s="207"/>
      <c r="M34" s="218"/>
      <c r="N34" s="217"/>
      <c r="O34" s="217"/>
      <c r="P34" s="217"/>
      <c r="Q34" s="208"/>
      <c r="R34" s="207"/>
      <c r="S34" s="207"/>
      <c r="T34" s="207"/>
      <c r="U34" s="208"/>
      <c r="V34" s="207"/>
      <c r="W34" s="207"/>
      <c r="X34" s="207"/>
      <c r="Y34" s="208"/>
      <c r="Z34" s="207"/>
      <c r="AA34" s="207"/>
      <c r="AB34" s="207"/>
      <c r="AC34" s="208"/>
      <c r="AD34" s="207"/>
      <c r="AE34" s="217"/>
      <c r="AF34" s="217"/>
      <c r="AG34" s="208"/>
      <c r="AH34" s="217"/>
      <c r="AI34" s="207"/>
      <c r="AJ34" s="207"/>
      <c r="AK34" s="218"/>
      <c r="AL34" s="217"/>
      <c r="AM34" s="217"/>
      <c r="AN34" s="217"/>
      <c r="AO34" s="208"/>
      <c r="AP34" s="207"/>
      <c r="AQ34" s="207"/>
      <c r="AR34" s="207"/>
      <c r="AS34" s="208"/>
      <c r="AT34" s="207"/>
      <c r="AU34" s="207"/>
      <c r="AV34" s="207"/>
      <c r="AW34" s="208"/>
      <c r="AX34" s="207"/>
      <c r="AY34" s="207"/>
      <c r="AZ34" s="207"/>
      <c r="BA34" s="208"/>
      <c r="BB34" s="207"/>
      <c r="BC34" s="219"/>
      <c r="BD34" s="219"/>
      <c r="BE34" s="218"/>
      <c r="BF34" s="217"/>
      <c r="BG34" s="217"/>
      <c r="BH34" s="217"/>
      <c r="BI34" s="207"/>
      <c r="BJ34" s="217"/>
      <c r="BK34" s="218"/>
      <c r="BL34" s="217"/>
      <c r="BM34" s="207"/>
      <c r="BN34" s="207"/>
      <c r="BO34" s="208"/>
      <c r="BP34" s="207"/>
      <c r="BQ34" s="207"/>
      <c r="BR34" s="207"/>
      <c r="BS34" s="207"/>
      <c r="BT34" s="207"/>
      <c r="BU34" s="218"/>
      <c r="BV34" s="207"/>
      <c r="BW34" s="207"/>
      <c r="BX34" s="207"/>
      <c r="BY34" s="204"/>
      <c r="BZ34" s="207"/>
      <c r="CA34" s="203"/>
      <c r="CB34" s="207"/>
      <c r="CC34" s="208"/>
      <c r="CD34" s="207"/>
      <c r="CE34" s="203"/>
      <c r="CF34" s="207"/>
      <c r="CG34" s="218"/>
      <c r="CH34" s="207"/>
      <c r="CI34" s="207"/>
      <c r="CJ34" s="207"/>
      <c r="CK34" s="208"/>
      <c r="CL34" s="217"/>
      <c r="CM34" s="217"/>
      <c r="CN34" s="217"/>
      <c r="CO34" s="207"/>
      <c r="CP34" s="217"/>
      <c r="CQ34" s="218"/>
      <c r="CR34" s="217"/>
      <c r="CS34" s="207"/>
      <c r="CT34" s="207"/>
      <c r="CU34" s="208"/>
      <c r="CV34" s="207"/>
      <c r="CW34" s="207"/>
      <c r="CX34" s="207"/>
      <c r="CY34" s="208"/>
      <c r="CZ34" s="207"/>
      <c r="DA34" s="219"/>
      <c r="DB34" s="207"/>
      <c r="DC34" s="207"/>
    </row>
    <row r="35">
      <c r="A35" s="227"/>
      <c r="E35" s="222"/>
      <c r="F35" s="217"/>
      <c r="G35" s="207"/>
      <c r="H35" s="207"/>
      <c r="I35" s="218"/>
      <c r="J35" s="217"/>
      <c r="K35" s="207"/>
      <c r="L35" s="207"/>
      <c r="M35" s="218"/>
      <c r="N35" s="217"/>
      <c r="O35" s="217"/>
      <c r="P35" s="217"/>
      <c r="Q35" s="208"/>
      <c r="R35" s="207"/>
      <c r="S35" s="207"/>
      <c r="T35" s="207"/>
      <c r="U35" s="208"/>
      <c r="V35" s="207"/>
      <c r="W35" s="207"/>
      <c r="X35" s="207"/>
      <c r="Y35" s="208"/>
      <c r="Z35" s="207"/>
      <c r="AA35" s="207"/>
      <c r="AB35" s="207"/>
      <c r="AC35" s="208"/>
      <c r="AD35" s="207"/>
      <c r="AE35" s="217"/>
      <c r="AF35" s="217"/>
      <c r="AG35" s="208"/>
      <c r="AH35" s="217"/>
      <c r="AI35" s="207"/>
      <c r="AJ35" s="207"/>
      <c r="AK35" s="218"/>
      <c r="AL35" s="217"/>
      <c r="AM35" s="217"/>
      <c r="AN35" s="217"/>
      <c r="AO35" s="208"/>
      <c r="AP35" s="207"/>
      <c r="AQ35" s="207"/>
      <c r="AR35" s="207"/>
      <c r="AS35" s="208"/>
      <c r="AT35" s="207"/>
      <c r="AU35" s="207"/>
      <c r="AV35" s="207"/>
      <c r="AW35" s="208"/>
      <c r="AX35" s="207"/>
      <c r="AY35" s="207"/>
      <c r="AZ35" s="207"/>
      <c r="BA35" s="208"/>
      <c r="BB35" s="207"/>
      <c r="BC35" s="217"/>
      <c r="BD35" s="217"/>
      <c r="BE35" s="218"/>
      <c r="BF35" s="217"/>
      <c r="BG35" s="217"/>
      <c r="BH35" s="217"/>
      <c r="BI35" s="207"/>
      <c r="BJ35" s="217"/>
      <c r="BK35" s="218"/>
      <c r="BL35" s="217"/>
      <c r="BM35" s="207"/>
      <c r="BN35" s="207"/>
      <c r="BO35" s="208"/>
      <c r="BP35" s="207"/>
      <c r="BQ35" s="207"/>
      <c r="BR35" s="207"/>
      <c r="BS35" s="207"/>
      <c r="BT35" s="207"/>
      <c r="BU35" s="218"/>
      <c r="BV35" s="207"/>
      <c r="BW35" s="207"/>
      <c r="BX35" s="207"/>
      <c r="BY35" s="204"/>
      <c r="BZ35" s="207"/>
      <c r="CA35" s="203"/>
      <c r="CB35" s="207"/>
      <c r="CC35" s="208"/>
      <c r="CD35" s="207"/>
      <c r="CE35" s="203"/>
      <c r="CF35" s="207"/>
      <c r="CG35" s="218"/>
      <c r="CH35" s="207"/>
      <c r="CI35" s="207"/>
      <c r="CJ35" s="207"/>
      <c r="CK35" s="208"/>
      <c r="CL35" s="217"/>
      <c r="CM35" s="217"/>
      <c r="CN35" s="217"/>
      <c r="CO35" s="207"/>
      <c r="CP35" s="217"/>
      <c r="CQ35" s="218"/>
      <c r="CR35" s="217"/>
      <c r="CS35" s="207"/>
      <c r="CT35" s="207"/>
      <c r="CU35" s="208"/>
      <c r="CV35" s="207"/>
      <c r="CW35" s="207"/>
      <c r="CX35" s="207"/>
      <c r="CY35" s="208"/>
      <c r="CZ35" s="207"/>
      <c r="DA35" s="219"/>
      <c r="DB35" s="207"/>
      <c r="DC35" s="207"/>
    </row>
    <row r="36">
      <c r="A36" s="227"/>
      <c r="E36" s="222"/>
      <c r="F36" s="217"/>
      <c r="G36" s="207"/>
      <c r="H36" s="207"/>
      <c r="I36" s="218"/>
      <c r="J36" s="217"/>
      <c r="K36" s="207"/>
      <c r="L36" s="207"/>
      <c r="M36" s="218"/>
      <c r="N36" s="217"/>
      <c r="O36" s="217"/>
      <c r="P36" s="217"/>
      <c r="Q36" s="208"/>
      <c r="R36" s="207"/>
      <c r="S36" s="207"/>
      <c r="T36" s="207"/>
      <c r="U36" s="208"/>
      <c r="V36" s="207"/>
      <c r="W36" s="207"/>
      <c r="X36" s="207"/>
      <c r="Y36" s="208"/>
      <c r="Z36" s="207"/>
      <c r="AA36" s="207"/>
      <c r="AB36" s="207"/>
      <c r="AC36" s="208"/>
      <c r="AD36" s="207"/>
      <c r="AE36" s="217"/>
      <c r="AF36" s="217"/>
      <c r="AG36" s="208"/>
      <c r="AH36" s="217"/>
      <c r="AI36" s="207"/>
      <c r="AJ36" s="207"/>
      <c r="AK36" s="218"/>
      <c r="AL36" s="217"/>
      <c r="AM36" s="217"/>
      <c r="AN36" s="217"/>
      <c r="AO36" s="208"/>
      <c r="AP36" s="207"/>
      <c r="AQ36" s="207"/>
      <c r="AR36" s="207"/>
      <c r="AS36" s="208"/>
      <c r="AT36" s="207"/>
      <c r="AU36" s="207"/>
      <c r="AV36" s="207"/>
      <c r="AW36" s="208"/>
      <c r="AX36" s="207"/>
      <c r="AY36" s="207"/>
      <c r="AZ36" s="207"/>
      <c r="BA36" s="208"/>
      <c r="BB36" s="207"/>
      <c r="BC36" s="217"/>
      <c r="BD36" s="217"/>
      <c r="BE36" s="218"/>
      <c r="BF36" s="217"/>
      <c r="BG36" s="217"/>
      <c r="BH36" s="217"/>
      <c r="BI36" s="207"/>
      <c r="BJ36" s="217"/>
      <c r="BK36" s="218"/>
      <c r="BL36" s="217"/>
      <c r="BM36" s="207"/>
      <c r="BN36" s="207"/>
      <c r="BO36" s="208"/>
      <c r="BP36" s="207"/>
      <c r="BQ36" s="207"/>
      <c r="BR36" s="207"/>
      <c r="BS36" s="207"/>
      <c r="BT36" s="207"/>
      <c r="BU36" s="218"/>
      <c r="BV36" s="207"/>
      <c r="BW36" s="207"/>
      <c r="BX36" s="207"/>
      <c r="BY36" s="204"/>
      <c r="BZ36" s="207"/>
      <c r="CA36" s="203"/>
      <c r="CB36" s="207"/>
      <c r="CC36" s="208"/>
      <c r="CD36" s="207"/>
      <c r="CE36" s="203"/>
      <c r="CF36" s="207"/>
      <c r="CG36" s="226"/>
      <c r="CH36" s="207"/>
      <c r="CI36" s="207"/>
      <c r="CJ36" s="207"/>
      <c r="CK36" s="208"/>
      <c r="CL36" s="217"/>
      <c r="CM36" s="217"/>
      <c r="CN36" s="217"/>
      <c r="CO36" s="207"/>
      <c r="CP36" s="217"/>
      <c r="CQ36" s="218"/>
      <c r="CR36" s="217"/>
      <c r="CS36" s="207"/>
      <c r="CT36" s="207"/>
      <c r="CU36" s="208"/>
      <c r="CV36" s="207"/>
      <c r="CW36" s="207"/>
      <c r="CX36" s="207"/>
      <c r="CY36" s="208"/>
      <c r="CZ36" s="207"/>
      <c r="DA36" s="217"/>
      <c r="DB36" s="207"/>
      <c r="DC36" s="207"/>
    </row>
    <row r="37">
      <c r="A37" s="227"/>
      <c r="E37" s="222"/>
      <c r="F37" s="217"/>
      <c r="G37" s="207"/>
      <c r="H37" s="207"/>
      <c r="I37" s="218"/>
      <c r="J37" s="217"/>
      <c r="K37" s="207"/>
      <c r="L37" s="207"/>
      <c r="M37" s="218"/>
      <c r="N37" s="217"/>
      <c r="O37" s="217"/>
      <c r="P37" s="217"/>
      <c r="Q37" s="208"/>
      <c r="R37" s="207"/>
      <c r="S37" s="207"/>
      <c r="T37" s="207"/>
      <c r="U37" s="208"/>
      <c r="V37" s="207"/>
      <c r="W37" s="207"/>
      <c r="X37" s="207"/>
      <c r="Y37" s="208"/>
      <c r="Z37" s="207"/>
      <c r="AA37" s="207"/>
      <c r="AB37" s="207"/>
      <c r="AC37" s="208"/>
      <c r="AD37" s="207"/>
      <c r="AE37" s="217"/>
      <c r="AF37" s="217"/>
      <c r="AG37" s="208"/>
      <c r="AH37" s="217"/>
      <c r="AI37" s="207"/>
      <c r="AJ37" s="207"/>
      <c r="AK37" s="218"/>
      <c r="AL37" s="217"/>
      <c r="AM37" s="217"/>
      <c r="AN37" s="217"/>
      <c r="AO37" s="208"/>
      <c r="AP37" s="207"/>
      <c r="AQ37" s="207"/>
      <c r="AR37" s="207"/>
      <c r="AS37" s="208"/>
      <c r="AT37" s="207"/>
      <c r="AU37" s="207"/>
      <c r="AV37" s="207"/>
      <c r="AW37" s="208"/>
      <c r="AX37" s="207"/>
      <c r="AY37" s="207"/>
      <c r="AZ37" s="207"/>
      <c r="BA37" s="208"/>
      <c r="BB37" s="207"/>
      <c r="BC37" s="219"/>
      <c r="BD37" s="219"/>
      <c r="BE37" s="218"/>
      <c r="BF37" s="217"/>
      <c r="BG37" s="217"/>
      <c r="BH37" s="217"/>
      <c r="BI37" s="207"/>
      <c r="BJ37" s="217"/>
      <c r="BK37" s="218"/>
      <c r="BL37" s="217"/>
      <c r="BM37" s="207"/>
      <c r="BN37" s="207"/>
      <c r="BO37" s="208"/>
      <c r="BP37" s="207"/>
      <c r="BQ37" s="207"/>
      <c r="BR37" s="207"/>
      <c r="BS37" s="207"/>
      <c r="BT37" s="207"/>
      <c r="BU37" s="228"/>
      <c r="BV37" s="207"/>
      <c r="BW37" s="207"/>
      <c r="BX37" s="207"/>
      <c r="BY37" s="204"/>
      <c r="BZ37" s="207"/>
      <c r="CA37" s="203"/>
      <c r="CB37" s="207"/>
      <c r="CC37" s="208"/>
      <c r="CD37" s="207"/>
      <c r="CE37" s="203"/>
      <c r="CF37" s="207"/>
      <c r="CG37" s="226"/>
      <c r="CH37" s="207"/>
      <c r="CI37" s="207"/>
      <c r="CJ37" s="207"/>
      <c r="CK37" s="208"/>
      <c r="CL37" s="217"/>
      <c r="CM37" s="217"/>
      <c r="CN37" s="217"/>
      <c r="CO37" s="207"/>
      <c r="CP37" s="217"/>
      <c r="CQ37" s="218"/>
      <c r="CR37" s="217"/>
      <c r="CS37" s="207"/>
      <c r="CT37" s="207"/>
      <c r="CU37" s="208"/>
      <c r="CV37" s="207"/>
      <c r="CW37" s="207"/>
      <c r="CX37" s="207"/>
      <c r="CY37" s="208"/>
      <c r="CZ37" s="207"/>
      <c r="DA37" s="219"/>
      <c r="DB37" s="207"/>
      <c r="DC37" s="207"/>
    </row>
    <row r="38">
      <c r="A38" s="227"/>
      <c r="E38" s="222"/>
      <c r="F38" s="217"/>
      <c r="G38" s="207"/>
      <c r="H38" s="207"/>
      <c r="I38" s="218"/>
      <c r="J38" s="217"/>
      <c r="K38" s="207"/>
      <c r="L38" s="207"/>
      <c r="M38" s="218"/>
      <c r="N38" s="217"/>
      <c r="O38" s="217"/>
      <c r="P38" s="217"/>
      <c r="Q38" s="208"/>
      <c r="R38" s="207"/>
      <c r="S38" s="207"/>
      <c r="T38" s="207"/>
      <c r="U38" s="208"/>
      <c r="V38" s="207"/>
      <c r="W38" s="207"/>
      <c r="X38" s="207"/>
      <c r="Y38" s="208"/>
      <c r="Z38" s="207"/>
      <c r="AA38" s="207"/>
      <c r="AB38" s="207"/>
      <c r="AC38" s="208"/>
      <c r="AD38" s="207"/>
      <c r="AE38" s="217"/>
      <c r="AF38" s="217"/>
      <c r="AG38" s="208"/>
      <c r="AH38" s="217"/>
      <c r="AI38" s="207"/>
      <c r="AJ38" s="207"/>
      <c r="AK38" s="218"/>
      <c r="AL38" s="217"/>
      <c r="AM38" s="217"/>
      <c r="AN38" s="217"/>
      <c r="AO38" s="208"/>
      <c r="AP38" s="207"/>
      <c r="AQ38" s="207"/>
      <c r="AR38" s="207"/>
      <c r="AS38" s="208"/>
      <c r="AT38" s="207"/>
      <c r="AU38" s="207"/>
      <c r="AV38" s="207"/>
      <c r="AW38" s="208"/>
      <c r="AX38" s="207"/>
      <c r="AY38" s="207"/>
      <c r="AZ38" s="207"/>
      <c r="BA38" s="208"/>
      <c r="BB38" s="207"/>
      <c r="BC38" s="217"/>
      <c r="BD38" s="217"/>
      <c r="BE38" s="218"/>
      <c r="BF38" s="217"/>
      <c r="BG38" s="217"/>
      <c r="BH38" s="217"/>
      <c r="BI38" s="217"/>
      <c r="BJ38" s="217"/>
      <c r="BK38" s="208"/>
      <c r="BL38" s="207"/>
      <c r="BM38" s="207"/>
      <c r="BN38" s="207"/>
      <c r="BO38" s="218"/>
      <c r="BP38" s="207"/>
      <c r="BQ38" s="207"/>
      <c r="BR38" s="207"/>
      <c r="BS38" s="217"/>
      <c r="BT38" s="217"/>
      <c r="BU38" s="218"/>
      <c r="BV38" s="207"/>
      <c r="BW38" s="207"/>
      <c r="BX38" s="207"/>
      <c r="BY38" s="204"/>
      <c r="BZ38" s="207"/>
      <c r="CA38" s="203"/>
      <c r="CB38" s="207"/>
      <c r="CC38" s="208"/>
      <c r="CD38" s="207"/>
      <c r="CE38" s="203"/>
      <c r="CF38" s="207"/>
      <c r="CG38" s="218"/>
      <c r="CH38" s="207"/>
      <c r="CI38" s="207"/>
      <c r="CJ38" s="207"/>
      <c r="CK38" s="208"/>
      <c r="CL38" s="229"/>
      <c r="CM38" s="229"/>
      <c r="CN38" s="229"/>
      <c r="CO38" s="207"/>
      <c r="CP38" s="207"/>
      <c r="CQ38" s="218"/>
      <c r="CR38" s="217"/>
      <c r="CS38" s="217"/>
      <c r="CT38" s="217"/>
      <c r="CU38" s="208"/>
      <c r="CV38" s="207"/>
      <c r="CW38" s="207"/>
      <c r="CX38" s="207"/>
      <c r="CY38" s="208"/>
      <c r="CZ38" s="207"/>
      <c r="DA38" s="207"/>
      <c r="DB38" s="207"/>
      <c r="DC38" s="207"/>
    </row>
    <row r="39">
      <c r="A39" s="227"/>
      <c r="E39" s="222"/>
      <c r="F39" s="217"/>
      <c r="G39" s="207"/>
      <c r="H39" s="207"/>
      <c r="I39" s="218"/>
      <c r="J39" s="217"/>
      <c r="K39" s="207"/>
      <c r="L39" s="207"/>
      <c r="M39" s="218"/>
      <c r="N39" s="217"/>
      <c r="O39" s="217"/>
      <c r="P39" s="217"/>
      <c r="Q39" s="208"/>
      <c r="R39" s="207"/>
      <c r="S39" s="207"/>
      <c r="T39" s="207"/>
      <c r="U39" s="208"/>
      <c r="V39" s="207"/>
      <c r="W39" s="207"/>
      <c r="X39" s="207"/>
      <c r="Y39" s="208"/>
      <c r="Z39" s="207"/>
      <c r="AA39" s="207"/>
      <c r="AB39" s="207"/>
      <c r="AC39" s="208"/>
      <c r="AD39" s="207"/>
      <c r="AE39" s="217"/>
      <c r="AF39" s="217"/>
      <c r="AG39" s="208"/>
      <c r="AH39" s="217"/>
      <c r="AI39" s="207"/>
      <c r="AJ39" s="207"/>
      <c r="AK39" s="218"/>
      <c r="AL39" s="217"/>
      <c r="AM39" s="217"/>
      <c r="AN39" s="217"/>
      <c r="AO39" s="208"/>
      <c r="AP39" s="207"/>
      <c r="AQ39" s="207"/>
      <c r="AR39" s="207"/>
      <c r="AS39" s="208"/>
      <c r="AT39" s="207"/>
      <c r="AU39" s="207"/>
      <c r="AV39" s="207"/>
      <c r="AW39" s="208"/>
      <c r="AX39" s="207"/>
      <c r="AY39" s="207"/>
      <c r="AZ39" s="207"/>
      <c r="BA39" s="208"/>
      <c r="BB39" s="207"/>
      <c r="BC39" s="217"/>
      <c r="BD39" s="217"/>
      <c r="BE39" s="218"/>
      <c r="BF39" s="217"/>
      <c r="BG39" s="217"/>
      <c r="BH39" s="217"/>
      <c r="BI39" s="217"/>
      <c r="BJ39" s="217"/>
      <c r="BK39" s="208"/>
      <c r="BL39" s="207"/>
      <c r="BM39" s="207"/>
      <c r="BN39" s="207"/>
      <c r="BO39" s="218"/>
      <c r="BP39" s="207"/>
      <c r="BQ39" s="207"/>
      <c r="BR39" s="207"/>
      <c r="BS39" s="217"/>
      <c r="BT39" s="217"/>
      <c r="BU39" s="218"/>
      <c r="BV39" s="207"/>
      <c r="BW39" s="207"/>
      <c r="BX39" s="207"/>
      <c r="BY39" s="204"/>
      <c r="BZ39" s="207"/>
      <c r="CA39" s="203"/>
      <c r="CB39" s="207"/>
      <c r="CC39" s="208"/>
      <c r="CD39" s="207"/>
      <c r="CE39" s="203"/>
      <c r="CF39" s="207"/>
      <c r="CG39" s="226"/>
      <c r="CH39" s="207"/>
      <c r="CI39" s="207"/>
      <c r="CJ39" s="207"/>
      <c r="CK39" s="208"/>
      <c r="CL39" s="217"/>
      <c r="CM39" s="217"/>
      <c r="CN39" s="217"/>
      <c r="CO39" s="207"/>
      <c r="CP39" s="207"/>
      <c r="CQ39" s="218"/>
      <c r="CR39" s="217"/>
      <c r="CS39" s="217"/>
      <c r="CT39" s="217"/>
      <c r="CU39" s="208"/>
      <c r="CV39" s="207"/>
      <c r="CW39" s="207"/>
      <c r="CX39" s="207"/>
      <c r="CY39" s="208"/>
      <c r="CZ39" s="207"/>
      <c r="DA39" s="207"/>
      <c r="DB39" s="207"/>
      <c r="DC39" s="207"/>
    </row>
    <row r="40">
      <c r="A40" s="227"/>
      <c r="E40" s="222"/>
      <c r="F40" s="217"/>
      <c r="G40" s="207"/>
      <c r="H40" s="207"/>
      <c r="I40" s="218"/>
      <c r="J40" s="217"/>
      <c r="K40" s="207"/>
      <c r="L40" s="207"/>
      <c r="M40" s="218"/>
      <c r="N40" s="217"/>
      <c r="O40" s="217"/>
      <c r="P40" s="217"/>
      <c r="Q40" s="208"/>
      <c r="R40" s="207"/>
      <c r="S40" s="207"/>
      <c r="T40" s="207"/>
      <c r="U40" s="208"/>
      <c r="V40" s="207"/>
      <c r="W40" s="207"/>
      <c r="X40" s="207"/>
      <c r="Y40" s="208"/>
      <c r="Z40" s="207"/>
      <c r="AA40" s="207"/>
      <c r="AB40" s="207"/>
      <c r="AC40" s="208"/>
      <c r="AD40" s="207"/>
      <c r="AE40" s="217"/>
      <c r="AF40" s="217"/>
      <c r="AG40" s="208"/>
      <c r="AH40" s="217"/>
      <c r="AI40" s="207"/>
      <c r="AJ40" s="207"/>
      <c r="AK40" s="218"/>
      <c r="AL40" s="217"/>
      <c r="AM40" s="217"/>
      <c r="AN40" s="217"/>
      <c r="AO40" s="208"/>
      <c r="AP40" s="207"/>
      <c r="AQ40" s="207"/>
      <c r="AR40" s="207"/>
      <c r="AS40" s="208"/>
      <c r="AT40" s="207"/>
      <c r="AU40" s="207"/>
      <c r="AV40" s="207"/>
      <c r="AW40" s="208"/>
      <c r="AX40" s="207"/>
      <c r="AY40" s="207"/>
      <c r="AZ40" s="207"/>
      <c r="BA40" s="208"/>
      <c r="BB40" s="207"/>
      <c r="BC40" s="219"/>
      <c r="BD40" s="219"/>
      <c r="BE40" s="208"/>
      <c r="BF40" s="207"/>
      <c r="BG40" s="207"/>
      <c r="BH40" s="207"/>
      <c r="BI40" s="207"/>
      <c r="BJ40" s="207"/>
      <c r="BK40" s="208"/>
      <c r="BL40" s="217"/>
      <c r="BM40" s="207"/>
      <c r="BN40" s="207"/>
      <c r="BO40" s="218"/>
      <c r="BP40" s="207"/>
      <c r="BQ40" s="207"/>
      <c r="BR40" s="207"/>
      <c r="BS40" s="217"/>
      <c r="BT40" s="217"/>
      <c r="BU40" s="218"/>
      <c r="BV40" s="207"/>
      <c r="BW40" s="207"/>
      <c r="BX40" s="207"/>
      <c r="BY40" s="204"/>
      <c r="BZ40" s="207"/>
      <c r="CA40" s="203"/>
      <c r="CB40" s="207"/>
      <c r="CC40" s="208"/>
      <c r="CD40" s="207"/>
      <c r="CE40" s="203"/>
      <c r="CF40" s="207"/>
      <c r="CG40" s="218"/>
      <c r="CH40" s="207"/>
      <c r="CI40" s="207"/>
      <c r="CJ40" s="207"/>
      <c r="CK40" s="208"/>
      <c r="CL40" s="217"/>
      <c r="CM40" s="217"/>
      <c r="CN40" s="217"/>
      <c r="CO40" s="207"/>
      <c r="CP40" s="207"/>
      <c r="CQ40" s="218"/>
      <c r="CR40" s="217"/>
      <c r="CS40" s="217"/>
      <c r="CT40" s="217"/>
      <c r="CU40" s="208"/>
      <c r="CV40" s="207"/>
      <c r="CW40" s="207"/>
      <c r="CX40" s="207"/>
      <c r="CY40" s="208"/>
      <c r="CZ40" s="207"/>
      <c r="DA40" s="207"/>
      <c r="DB40" s="207"/>
      <c r="DC40" s="207"/>
    </row>
    <row r="41">
      <c r="A41" s="227"/>
      <c r="E41" s="222"/>
      <c r="F41" s="217"/>
      <c r="G41" s="207"/>
      <c r="H41" s="207"/>
      <c r="I41" s="218"/>
      <c r="J41" s="217"/>
      <c r="K41" s="207"/>
      <c r="L41" s="207"/>
      <c r="M41" s="218"/>
      <c r="N41" s="217"/>
      <c r="O41" s="217"/>
      <c r="P41" s="217"/>
      <c r="Q41" s="208"/>
      <c r="R41" s="207"/>
      <c r="S41" s="207"/>
      <c r="T41" s="207"/>
      <c r="U41" s="208"/>
      <c r="V41" s="207"/>
      <c r="W41" s="207"/>
      <c r="X41" s="207"/>
      <c r="Y41" s="208"/>
      <c r="Z41" s="207"/>
      <c r="AA41" s="207"/>
      <c r="AB41" s="207"/>
      <c r="AC41" s="208"/>
      <c r="AD41" s="207"/>
      <c r="AE41" s="217"/>
      <c r="AF41" s="217"/>
      <c r="AG41" s="208"/>
      <c r="AH41" s="217"/>
      <c r="AI41" s="207"/>
      <c r="AJ41" s="207"/>
      <c r="AK41" s="218"/>
      <c r="AL41" s="217"/>
      <c r="AM41" s="217"/>
      <c r="AN41" s="217"/>
      <c r="AO41" s="208"/>
      <c r="AP41" s="207"/>
      <c r="AQ41" s="207"/>
      <c r="AR41" s="207"/>
      <c r="AS41" s="208"/>
      <c r="AT41" s="207"/>
      <c r="AU41" s="207"/>
      <c r="AV41" s="207"/>
      <c r="AW41" s="208"/>
      <c r="AX41" s="207"/>
      <c r="AY41" s="207"/>
      <c r="AZ41" s="207"/>
      <c r="BA41" s="208"/>
      <c r="BB41" s="207"/>
      <c r="BC41" s="230"/>
      <c r="BD41" s="230"/>
      <c r="BE41" s="222"/>
      <c r="BK41" s="222"/>
      <c r="BL41" s="217"/>
      <c r="BM41" s="207"/>
      <c r="BN41" s="207"/>
      <c r="BO41" s="218"/>
      <c r="BP41" s="207"/>
      <c r="BQ41" s="207"/>
      <c r="BR41" s="207"/>
      <c r="BS41" s="217"/>
      <c r="BT41" s="217"/>
      <c r="BU41" s="218"/>
      <c r="BV41" s="207"/>
      <c r="BW41" s="207"/>
      <c r="BX41" s="207"/>
      <c r="BY41" s="204"/>
      <c r="BZ41" s="207"/>
      <c r="CA41" s="203"/>
      <c r="CB41" s="207"/>
      <c r="CC41" s="208"/>
      <c r="CD41" s="207"/>
      <c r="CE41" s="203"/>
      <c r="CF41" s="207"/>
      <c r="CG41" s="226"/>
      <c r="CH41" s="207"/>
      <c r="CI41" s="207"/>
      <c r="CJ41" s="207"/>
      <c r="CK41" s="208"/>
      <c r="CL41" s="217"/>
      <c r="CM41" s="217"/>
      <c r="CN41" s="217"/>
      <c r="CO41" s="207"/>
      <c r="CP41" s="207"/>
      <c r="CQ41" s="218"/>
      <c r="CR41" s="217"/>
      <c r="CS41" s="217"/>
      <c r="CT41" s="217"/>
      <c r="CU41" s="208"/>
      <c r="CV41" s="207"/>
      <c r="CW41" s="207"/>
      <c r="CX41" s="207"/>
      <c r="CY41" s="208"/>
      <c r="CZ41" s="207"/>
      <c r="DA41" s="207"/>
      <c r="DB41" s="207"/>
      <c r="DC41" s="207"/>
    </row>
    <row r="42">
      <c r="A42" s="227"/>
      <c r="E42" s="222"/>
      <c r="F42" s="217"/>
      <c r="G42" s="207"/>
      <c r="H42" s="207"/>
      <c r="I42" s="218"/>
      <c r="J42" s="217"/>
      <c r="K42" s="207"/>
      <c r="L42" s="207"/>
      <c r="M42" s="218"/>
      <c r="N42" s="217"/>
      <c r="O42" s="217"/>
      <c r="P42" s="217"/>
      <c r="Q42" s="208"/>
      <c r="R42" s="207"/>
      <c r="S42" s="207"/>
      <c r="T42" s="207"/>
      <c r="U42" s="208"/>
      <c r="V42" s="207"/>
      <c r="W42" s="207"/>
      <c r="X42" s="207"/>
      <c r="Y42" s="208"/>
      <c r="Z42" s="207"/>
      <c r="AA42" s="207"/>
      <c r="AB42" s="207"/>
      <c r="AC42" s="208"/>
      <c r="AD42" s="207"/>
      <c r="AE42" s="217"/>
      <c r="AF42" s="217"/>
      <c r="AG42" s="208"/>
      <c r="AH42" s="217"/>
      <c r="AI42" s="207"/>
      <c r="AJ42" s="207"/>
      <c r="AK42" s="218"/>
      <c r="AL42" s="217"/>
      <c r="AM42" s="217"/>
      <c r="AN42" s="217"/>
      <c r="AO42" s="208"/>
      <c r="AP42" s="207"/>
      <c r="AQ42" s="207"/>
      <c r="AR42" s="207"/>
      <c r="AS42" s="208"/>
      <c r="AT42" s="207"/>
      <c r="AU42" s="207"/>
      <c r="AV42" s="207"/>
      <c r="AW42" s="208"/>
      <c r="AX42" s="207"/>
      <c r="AY42" s="207"/>
      <c r="AZ42" s="207"/>
      <c r="BA42" s="208"/>
      <c r="BB42" s="207"/>
      <c r="BC42" s="230"/>
      <c r="BD42" s="230"/>
      <c r="BE42" s="222"/>
      <c r="BK42" s="222"/>
      <c r="BO42" s="218"/>
      <c r="BP42" s="207"/>
      <c r="BQ42" s="207"/>
      <c r="BR42" s="207"/>
      <c r="BS42" s="217"/>
      <c r="BT42" s="217"/>
      <c r="BU42" s="218"/>
      <c r="BV42" s="207"/>
      <c r="BW42" s="207"/>
      <c r="BX42" s="207"/>
      <c r="BY42" s="204"/>
      <c r="BZ42" s="207"/>
      <c r="CA42" s="203"/>
      <c r="CB42" s="207"/>
      <c r="CC42" s="208"/>
      <c r="CD42" s="207"/>
      <c r="CE42" s="203"/>
      <c r="CF42" s="207"/>
      <c r="CG42" s="218"/>
      <c r="CH42" s="207"/>
      <c r="CI42" s="207"/>
      <c r="CJ42" s="207"/>
      <c r="CK42" s="208"/>
      <c r="CL42" s="229"/>
      <c r="CM42" s="229"/>
      <c r="CN42" s="229"/>
      <c r="CO42" s="207"/>
      <c r="CP42" s="207"/>
      <c r="CQ42" s="208"/>
      <c r="CR42" s="207"/>
      <c r="CS42" s="217"/>
      <c r="CT42" s="217"/>
      <c r="CU42" s="218"/>
      <c r="CV42" s="217"/>
      <c r="CW42" s="217"/>
      <c r="CX42" s="217"/>
      <c r="CY42" s="208"/>
      <c r="CZ42" s="207"/>
      <c r="DA42" s="207"/>
      <c r="DB42" s="207"/>
      <c r="DC42" s="207"/>
    </row>
    <row r="43">
      <c r="A43" s="227"/>
      <c r="E43" s="222"/>
      <c r="F43" s="231"/>
      <c r="I43" s="222"/>
      <c r="J43" s="217"/>
      <c r="K43" s="207"/>
      <c r="L43" s="207"/>
      <c r="M43" s="218"/>
      <c r="N43" s="217"/>
      <c r="O43" s="217"/>
      <c r="P43" s="217"/>
      <c r="Q43" s="208"/>
      <c r="R43" s="207"/>
      <c r="S43" s="207"/>
      <c r="T43" s="207"/>
      <c r="U43" s="208"/>
      <c r="V43" s="207"/>
      <c r="W43" s="207"/>
      <c r="X43" s="207"/>
      <c r="Y43" s="208"/>
      <c r="Z43" s="207"/>
      <c r="AA43" s="207"/>
      <c r="AB43" s="207"/>
      <c r="AC43" s="208"/>
      <c r="AD43" s="207"/>
      <c r="AE43" s="217"/>
      <c r="AF43" s="217"/>
      <c r="AG43" s="222"/>
      <c r="AH43" s="231"/>
      <c r="AK43" s="222"/>
      <c r="AO43" s="222"/>
      <c r="AS43" s="222"/>
      <c r="AW43" s="222"/>
      <c r="BA43" s="222"/>
      <c r="BE43" s="222"/>
      <c r="BK43" s="222"/>
      <c r="BO43" s="218"/>
      <c r="BP43" s="207"/>
      <c r="BQ43" s="207"/>
      <c r="BR43" s="207"/>
      <c r="BS43" s="217"/>
      <c r="BT43" s="217"/>
      <c r="BU43" s="218"/>
      <c r="BV43" s="207"/>
      <c r="BW43" s="207"/>
      <c r="BX43" s="207"/>
      <c r="BY43" s="204"/>
      <c r="BZ43" s="207"/>
      <c r="CA43" s="203"/>
      <c r="CB43" s="207"/>
      <c r="CC43" s="208"/>
      <c r="CD43" s="207"/>
      <c r="CE43" s="203"/>
      <c r="CF43" s="207"/>
      <c r="CG43" s="218"/>
      <c r="CH43" s="207"/>
      <c r="CI43" s="207"/>
      <c r="CJ43" s="207"/>
      <c r="CK43" s="208"/>
      <c r="CL43" s="207"/>
      <c r="CM43" s="207"/>
      <c r="CN43" s="207"/>
      <c r="CO43" s="207"/>
      <c r="CP43" s="207"/>
      <c r="CQ43" s="208"/>
      <c r="CR43" s="207"/>
      <c r="CS43" s="217"/>
      <c r="CT43" s="217"/>
      <c r="CU43" s="218"/>
      <c r="CV43" s="217"/>
      <c r="CW43" s="217"/>
      <c r="CX43" s="217"/>
      <c r="CY43" s="208"/>
      <c r="CZ43" s="207"/>
      <c r="DA43" s="207"/>
      <c r="DB43" s="207"/>
      <c r="DC43" s="207"/>
    </row>
    <row r="44">
      <c r="A44" s="227"/>
      <c r="E44" s="222"/>
      <c r="I44" s="222"/>
      <c r="J44" s="217"/>
      <c r="K44" s="207"/>
      <c r="L44" s="207"/>
      <c r="M44" s="218"/>
      <c r="N44" s="217"/>
      <c r="O44" s="217"/>
      <c r="P44" s="217"/>
      <c r="Q44" s="208"/>
      <c r="R44" s="207"/>
      <c r="S44" s="207"/>
      <c r="T44" s="207"/>
      <c r="U44" s="208"/>
      <c r="V44" s="207"/>
      <c r="W44" s="207"/>
      <c r="X44" s="207"/>
      <c r="Y44" s="208"/>
      <c r="Z44" s="207"/>
      <c r="AA44" s="207"/>
      <c r="AB44" s="207"/>
      <c r="AC44" s="208"/>
      <c r="AD44" s="207"/>
      <c r="AE44" s="217"/>
      <c r="AF44" s="217"/>
      <c r="AG44" s="222"/>
      <c r="AK44" s="222"/>
      <c r="AO44" s="222"/>
      <c r="AS44" s="222"/>
      <c r="AW44" s="222"/>
      <c r="BA44" s="222"/>
      <c r="BE44" s="222"/>
      <c r="BK44" s="222"/>
      <c r="BO44" s="218"/>
      <c r="BP44" s="207"/>
      <c r="BQ44" s="207"/>
      <c r="BR44" s="207"/>
      <c r="BS44" s="217"/>
      <c r="BT44" s="217"/>
      <c r="BU44" s="218"/>
      <c r="BV44" s="207"/>
      <c r="BW44" s="207"/>
      <c r="BX44" s="207"/>
      <c r="BY44" s="208"/>
      <c r="BZ44" s="207"/>
      <c r="CA44" s="207"/>
      <c r="CB44" s="207"/>
      <c r="CC44" s="208"/>
      <c r="CD44" s="207"/>
      <c r="CE44" s="207"/>
      <c r="CF44" s="207"/>
      <c r="CG44" s="218"/>
      <c r="CH44" s="207"/>
      <c r="CI44" s="207"/>
      <c r="CJ44" s="207"/>
      <c r="CK44" s="208"/>
      <c r="CL44" s="207"/>
      <c r="CM44" s="207"/>
      <c r="CN44" s="207"/>
      <c r="CO44" s="207"/>
      <c r="CP44" s="207"/>
      <c r="CQ44" s="208"/>
      <c r="CR44" s="207"/>
      <c r="CS44" s="230"/>
      <c r="CT44" s="230"/>
      <c r="CU44" s="222"/>
      <c r="CY44" s="222"/>
    </row>
    <row r="45">
      <c r="A45" s="227"/>
      <c r="E45" s="222"/>
      <c r="I45" s="222"/>
      <c r="J45" s="217"/>
      <c r="K45" s="207"/>
      <c r="L45" s="207"/>
      <c r="M45" s="218"/>
      <c r="N45" s="217"/>
      <c r="O45" s="217"/>
      <c r="P45" s="217"/>
      <c r="Q45" s="208"/>
      <c r="R45" s="207"/>
      <c r="S45" s="207"/>
      <c r="T45" s="207"/>
      <c r="U45" s="208"/>
      <c r="V45" s="207"/>
      <c r="W45" s="207"/>
      <c r="X45" s="207"/>
      <c r="Y45" s="208"/>
      <c r="Z45" s="207"/>
      <c r="AA45" s="207"/>
      <c r="AB45" s="207"/>
      <c r="AC45" s="208"/>
      <c r="AD45" s="207"/>
      <c r="AE45" s="230"/>
      <c r="AF45" s="230"/>
      <c r="AG45" s="222"/>
      <c r="AK45" s="222"/>
      <c r="AO45" s="222"/>
      <c r="AS45" s="222"/>
      <c r="AW45" s="222"/>
      <c r="BA45" s="222"/>
      <c r="BE45" s="222"/>
      <c r="BK45" s="222"/>
      <c r="BO45" s="218"/>
      <c r="BP45" s="207"/>
      <c r="BQ45" s="207"/>
      <c r="BR45" s="207"/>
      <c r="BS45" s="217"/>
      <c r="BT45" s="217"/>
      <c r="BU45" s="218"/>
      <c r="BV45" s="207"/>
      <c r="BW45" s="207"/>
      <c r="BX45" s="207"/>
      <c r="BY45" s="208"/>
      <c r="BZ45" s="207"/>
      <c r="CA45" s="207"/>
      <c r="CB45" s="207"/>
      <c r="CC45" s="208"/>
      <c r="CD45" s="207"/>
      <c r="CE45" s="207"/>
      <c r="CF45" s="207"/>
      <c r="CG45" s="226"/>
      <c r="CH45" s="207"/>
      <c r="CI45" s="207"/>
      <c r="CJ45" s="207"/>
      <c r="CK45" s="208"/>
      <c r="CL45" s="207"/>
      <c r="CM45" s="207"/>
      <c r="CN45" s="207"/>
      <c r="CO45" s="207"/>
      <c r="CP45" s="207"/>
      <c r="CQ45" s="208"/>
      <c r="CR45" s="207"/>
      <c r="CS45" s="230"/>
      <c r="CT45" s="230"/>
      <c r="CU45" s="222"/>
      <c r="CY45" s="222"/>
    </row>
    <row r="46">
      <c r="A46" s="227"/>
      <c r="E46" s="222"/>
      <c r="I46" s="222"/>
      <c r="J46" s="231"/>
      <c r="M46" s="222"/>
      <c r="Q46" s="222"/>
      <c r="U46" s="222"/>
      <c r="Y46" s="222"/>
      <c r="AC46" s="222"/>
      <c r="AG46" s="222"/>
      <c r="AK46" s="222"/>
      <c r="AO46" s="222"/>
      <c r="AS46" s="222"/>
      <c r="AW46" s="222"/>
      <c r="BA46" s="222"/>
      <c r="BE46" s="222"/>
      <c r="BK46" s="222"/>
      <c r="BO46" s="232"/>
      <c r="BU46" s="222"/>
      <c r="BV46" s="217"/>
      <c r="BW46" s="207"/>
      <c r="BX46" s="207"/>
      <c r="BY46" s="218"/>
      <c r="BZ46" s="217"/>
      <c r="CA46" s="217"/>
      <c r="CB46" s="217"/>
      <c r="CC46" s="208"/>
      <c r="CD46" s="207"/>
      <c r="CE46" s="207"/>
      <c r="CF46" s="207"/>
      <c r="CG46" s="208"/>
      <c r="CH46" s="207"/>
      <c r="CI46" s="207"/>
      <c r="CJ46" s="207"/>
      <c r="CK46" s="208"/>
      <c r="CL46" s="207"/>
      <c r="CM46" s="207"/>
      <c r="CN46" s="207"/>
      <c r="CO46" s="207"/>
      <c r="CP46" s="207"/>
      <c r="CQ46" s="208"/>
      <c r="CR46" s="207"/>
      <c r="CS46" s="217"/>
      <c r="CT46" s="217"/>
      <c r="CU46" s="222"/>
      <c r="CY46" s="222"/>
    </row>
    <row r="47">
      <c r="A47" s="227"/>
      <c r="E47" s="222"/>
      <c r="I47" s="222"/>
      <c r="M47" s="222"/>
      <c r="Q47" s="222"/>
      <c r="U47" s="222"/>
      <c r="Y47" s="222"/>
      <c r="AC47" s="222"/>
      <c r="AG47" s="222"/>
      <c r="AK47" s="222"/>
      <c r="AO47" s="222"/>
      <c r="AS47" s="222"/>
      <c r="AW47" s="222"/>
      <c r="BA47" s="222"/>
      <c r="BE47" s="222"/>
      <c r="BK47" s="222"/>
      <c r="BO47" s="222"/>
      <c r="BU47" s="222"/>
      <c r="BV47" s="217"/>
      <c r="BW47" s="207"/>
      <c r="BX47" s="207"/>
      <c r="BY47" s="218"/>
      <c r="BZ47" s="217"/>
      <c r="CA47" s="217"/>
      <c r="CB47" s="217"/>
      <c r="CC47" s="208"/>
      <c r="CD47" s="207"/>
      <c r="CE47" s="207"/>
      <c r="CF47" s="207"/>
      <c r="CG47" s="208"/>
      <c r="CH47" s="207"/>
      <c r="CI47" s="207"/>
      <c r="CJ47" s="207"/>
      <c r="CK47" s="208"/>
      <c r="CL47" s="207"/>
      <c r="CM47" s="207"/>
      <c r="CN47" s="207"/>
      <c r="CO47" s="207"/>
      <c r="CP47" s="207"/>
      <c r="CQ47" s="208"/>
      <c r="CR47" s="207"/>
      <c r="CS47" s="230"/>
      <c r="CT47" s="230"/>
      <c r="CU47" s="222"/>
      <c r="CY47" s="222"/>
    </row>
    <row r="48">
      <c r="A48" s="227"/>
      <c r="E48" s="222"/>
      <c r="I48" s="222"/>
      <c r="M48" s="222"/>
      <c r="Q48" s="222"/>
      <c r="U48" s="222"/>
      <c r="Y48" s="222"/>
      <c r="AC48" s="222"/>
      <c r="AG48" s="222"/>
      <c r="AK48" s="222"/>
      <c r="AO48" s="222"/>
      <c r="AS48" s="222"/>
      <c r="AW48" s="222"/>
      <c r="BA48" s="222"/>
      <c r="BE48" s="222"/>
      <c r="BK48" s="222"/>
      <c r="BO48" s="222"/>
      <c r="BU48" s="222"/>
      <c r="BV48" s="231"/>
      <c r="BY48" s="222"/>
      <c r="CC48" s="222"/>
      <c r="CG48" s="222"/>
      <c r="CK48" s="222"/>
      <c r="CQ48" s="222"/>
      <c r="CU48" s="222"/>
      <c r="CY48" s="222"/>
    </row>
    <row r="49">
      <c r="A49" s="227"/>
      <c r="E49" s="222"/>
      <c r="I49" s="222"/>
      <c r="M49" s="222"/>
      <c r="Q49" s="222"/>
      <c r="U49" s="222"/>
      <c r="Y49" s="222"/>
      <c r="AC49" s="222"/>
      <c r="AG49" s="222"/>
      <c r="AK49" s="222"/>
      <c r="AO49" s="222"/>
      <c r="AS49" s="222"/>
      <c r="AW49" s="222"/>
      <c r="BA49" s="222"/>
      <c r="BE49" s="222"/>
      <c r="BK49" s="222"/>
      <c r="BO49" s="222"/>
      <c r="BU49" s="222"/>
      <c r="BY49" s="222"/>
      <c r="CC49" s="222"/>
      <c r="CG49" s="222"/>
      <c r="CK49" s="222"/>
      <c r="CQ49" s="222"/>
      <c r="CU49" s="222"/>
      <c r="CY49" s="222"/>
    </row>
    <row r="50">
      <c r="A50" s="227"/>
      <c r="E50" s="222"/>
      <c r="I50" s="222"/>
      <c r="M50" s="222"/>
      <c r="Q50" s="222"/>
      <c r="U50" s="222"/>
      <c r="Y50" s="222"/>
      <c r="AC50" s="222"/>
      <c r="AG50" s="222"/>
      <c r="AK50" s="222"/>
      <c r="AO50" s="222"/>
      <c r="AS50" s="222"/>
      <c r="AW50" s="222"/>
      <c r="BA50" s="222"/>
      <c r="BE50" s="222"/>
      <c r="BK50" s="222"/>
      <c r="BO50" s="222"/>
      <c r="BU50" s="222"/>
      <c r="BY50" s="222"/>
      <c r="CC50" s="222"/>
      <c r="CG50" s="222"/>
      <c r="CK50" s="222"/>
      <c r="CQ50" s="222"/>
      <c r="CU50" s="222"/>
      <c r="CY50" s="222"/>
    </row>
    <row r="51">
      <c r="A51" s="227"/>
      <c r="E51" s="222"/>
      <c r="I51" s="222"/>
      <c r="M51" s="222"/>
      <c r="Q51" s="222"/>
      <c r="U51" s="222"/>
      <c r="Y51" s="222"/>
      <c r="AC51" s="222"/>
      <c r="AG51" s="222"/>
      <c r="AK51" s="222"/>
      <c r="AO51" s="222"/>
      <c r="AS51" s="222"/>
      <c r="AW51" s="222"/>
      <c r="BA51" s="222"/>
      <c r="BE51" s="222"/>
      <c r="BK51" s="222"/>
      <c r="BO51" s="222"/>
      <c r="BU51" s="222"/>
      <c r="BY51" s="222"/>
      <c r="CC51" s="222"/>
      <c r="CG51" s="222"/>
      <c r="CK51" s="222"/>
      <c r="CQ51" s="222"/>
      <c r="CU51" s="222"/>
      <c r="CY51" s="222"/>
    </row>
    <row r="52">
      <c r="A52" s="227"/>
      <c r="E52" s="222"/>
      <c r="I52" s="222"/>
      <c r="M52" s="222"/>
      <c r="Q52" s="222"/>
      <c r="U52" s="222"/>
      <c r="Y52" s="222"/>
      <c r="AC52" s="222"/>
      <c r="AG52" s="222"/>
      <c r="AK52" s="222"/>
      <c r="AO52" s="222"/>
      <c r="AS52" s="222"/>
      <c r="AW52" s="222"/>
      <c r="BA52" s="222"/>
      <c r="BE52" s="222"/>
      <c r="BK52" s="222"/>
      <c r="BO52" s="222"/>
      <c r="BU52" s="222"/>
      <c r="BY52" s="222"/>
      <c r="CC52" s="222"/>
      <c r="CG52" s="222"/>
      <c r="CK52" s="222"/>
      <c r="CQ52" s="222"/>
      <c r="CU52" s="222"/>
      <c r="CY52" s="222"/>
    </row>
    <row r="53">
      <c r="A53" s="227"/>
      <c r="E53" s="222"/>
      <c r="I53" s="222"/>
      <c r="M53" s="222"/>
      <c r="Q53" s="222"/>
      <c r="U53" s="222"/>
      <c r="Y53" s="222"/>
      <c r="AC53" s="222"/>
      <c r="AG53" s="222"/>
      <c r="AK53" s="222"/>
      <c r="AO53" s="222"/>
      <c r="AS53" s="222"/>
      <c r="AW53" s="222"/>
      <c r="BA53" s="222"/>
      <c r="BE53" s="222"/>
      <c r="BK53" s="222"/>
      <c r="BO53" s="222"/>
      <c r="BU53" s="222"/>
      <c r="BY53" s="222"/>
      <c r="CC53" s="222"/>
      <c r="CG53" s="222"/>
      <c r="CK53" s="222"/>
      <c r="CQ53" s="222"/>
      <c r="CU53" s="222"/>
      <c r="CY53" s="222"/>
    </row>
    <row r="54">
      <c r="A54" s="227"/>
      <c r="E54" s="222"/>
      <c r="I54" s="222"/>
      <c r="M54" s="222"/>
      <c r="Q54" s="222"/>
      <c r="U54" s="222"/>
      <c r="Y54" s="222"/>
      <c r="AC54" s="222"/>
      <c r="AG54" s="222"/>
      <c r="AK54" s="222"/>
      <c r="AO54" s="222"/>
      <c r="AS54" s="222"/>
      <c r="AW54" s="222"/>
      <c r="BA54" s="222"/>
      <c r="BE54" s="222"/>
      <c r="BK54" s="222"/>
      <c r="BO54" s="222"/>
      <c r="BU54" s="222"/>
      <c r="BY54" s="222"/>
      <c r="CC54" s="222"/>
      <c r="CG54" s="222"/>
      <c r="CK54" s="222"/>
      <c r="CQ54" s="222"/>
      <c r="CU54" s="222"/>
      <c r="CY54" s="222"/>
    </row>
    <row r="55">
      <c r="A55" s="227"/>
      <c r="E55" s="222"/>
      <c r="I55" s="222"/>
      <c r="M55" s="222"/>
      <c r="Q55" s="222"/>
      <c r="U55" s="222"/>
      <c r="Y55" s="222"/>
      <c r="AC55" s="222"/>
      <c r="AG55" s="222"/>
      <c r="AK55" s="222"/>
      <c r="AO55" s="222"/>
      <c r="AS55" s="222"/>
      <c r="AW55" s="222"/>
      <c r="BA55" s="222"/>
      <c r="BE55" s="222"/>
      <c r="BK55" s="222"/>
      <c r="BO55" s="222"/>
      <c r="BU55" s="222"/>
      <c r="BY55" s="222"/>
      <c r="CC55" s="222"/>
      <c r="CG55" s="222"/>
      <c r="CK55" s="222"/>
      <c r="CQ55" s="222"/>
      <c r="CU55" s="222"/>
      <c r="CY55" s="222"/>
    </row>
    <row r="56">
      <c r="A56" s="227"/>
      <c r="E56" s="222"/>
      <c r="I56" s="222"/>
      <c r="M56" s="222"/>
      <c r="Q56" s="222"/>
      <c r="U56" s="222"/>
      <c r="Y56" s="222"/>
      <c r="AC56" s="222"/>
      <c r="AG56" s="222"/>
      <c r="AK56" s="222"/>
      <c r="AO56" s="222"/>
      <c r="AS56" s="222"/>
      <c r="AW56" s="222"/>
      <c r="BA56" s="222"/>
      <c r="BE56" s="222"/>
      <c r="BK56" s="222"/>
      <c r="BO56" s="222"/>
      <c r="BU56" s="222"/>
      <c r="BY56" s="222"/>
      <c r="CC56" s="222"/>
      <c r="CG56" s="222"/>
      <c r="CK56" s="222"/>
      <c r="CQ56" s="222"/>
      <c r="CU56" s="222"/>
      <c r="CY56" s="222"/>
    </row>
    <row r="57">
      <c r="A57" s="227"/>
      <c r="E57" s="222"/>
      <c r="I57" s="222"/>
      <c r="M57" s="222"/>
      <c r="Q57" s="222"/>
      <c r="U57" s="222"/>
      <c r="Y57" s="222"/>
      <c r="AC57" s="222"/>
      <c r="AG57" s="222"/>
      <c r="AK57" s="222"/>
      <c r="AO57" s="222"/>
      <c r="AS57" s="222"/>
      <c r="AW57" s="222"/>
      <c r="BA57" s="222"/>
      <c r="BE57" s="222"/>
      <c r="BK57" s="222"/>
      <c r="BO57" s="222"/>
      <c r="BU57" s="222"/>
      <c r="BY57" s="222"/>
      <c r="CC57" s="222"/>
      <c r="CG57" s="222"/>
      <c r="CK57" s="222"/>
      <c r="CQ57" s="222"/>
      <c r="CU57" s="222"/>
      <c r="CY57" s="222"/>
    </row>
    <row r="58">
      <c r="A58" s="227"/>
      <c r="E58" s="222"/>
      <c r="I58" s="222"/>
      <c r="M58" s="222"/>
      <c r="Q58" s="222"/>
      <c r="U58" s="222"/>
      <c r="Y58" s="222"/>
      <c r="AC58" s="222"/>
      <c r="AG58" s="222"/>
      <c r="AK58" s="222"/>
      <c r="AO58" s="222"/>
      <c r="AS58" s="222"/>
      <c r="AW58" s="222"/>
      <c r="BA58" s="222"/>
      <c r="BE58" s="222"/>
      <c r="BK58" s="222"/>
      <c r="BO58" s="222"/>
      <c r="BU58" s="222"/>
      <c r="BY58" s="222"/>
      <c r="CC58" s="222"/>
      <c r="CG58" s="222"/>
      <c r="CK58" s="222"/>
      <c r="CQ58" s="222"/>
      <c r="CU58" s="222"/>
      <c r="CY58" s="222"/>
    </row>
    <row r="59">
      <c r="A59" s="227"/>
      <c r="E59" s="222"/>
      <c r="I59" s="222"/>
      <c r="M59" s="222"/>
      <c r="Q59" s="222"/>
      <c r="U59" s="222"/>
      <c r="Y59" s="222"/>
      <c r="AC59" s="222"/>
      <c r="AG59" s="222"/>
      <c r="AK59" s="222"/>
      <c r="AO59" s="222"/>
      <c r="AS59" s="222"/>
      <c r="AW59" s="222"/>
      <c r="BA59" s="222"/>
      <c r="BE59" s="222"/>
      <c r="BK59" s="222"/>
      <c r="BO59" s="222"/>
      <c r="BU59" s="222"/>
      <c r="BY59" s="222"/>
      <c r="CC59" s="222"/>
      <c r="CG59" s="222"/>
      <c r="CK59" s="222"/>
      <c r="CQ59" s="222"/>
      <c r="CU59" s="222"/>
      <c r="CY59" s="222"/>
    </row>
    <row r="60">
      <c r="A60" s="227"/>
      <c r="E60" s="222"/>
      <c r="I60" s="222"/>
      <c r="M60" s="222"/>
      <c r="Q60" s="222"/>
      <c r="U60" s="222"/>
      <c r="Y60" s="222"/>
      <c r="AC60" s="222"/>
      <c r="AG60" s="222"/>
      <c r="AK60" s="222"/>
      <c r="AO60" s="222"/>
      <c r="AS60" s="222"/>
      <c r="AW60" s="222"/>
      <c r="BA60" s="222"/>
      <c r="BE60" s="222"/>
      <c r="BK60" s="222"/>
      <c r="BO60" s="222"/>
      <c r="BU60" s="222"/>
      <c r="BY60" s="222"/>
      <c r="CC60" s="222"/>
      <c r="CG60" s="222"/>
      <c r="CK60" s="222"/>
      <c r="CQ60" s="222"/>
      <c r="CU60" s="222"/>
      <c r="CY60" s="222"/>
    </row>
    <row r="61">
      <c r="A61" s="227"/>
      <c r="E61" s="222"/>
      <c r="I61" s="222"/>
      <c r="M61" s="222"/>
      <c r="Q61" s="222"/>
      <c r="U61" s="222"/>
      <c r="Y61" s="222"/>
      <c r="AC61" s="222"/>
      <c r="AG61" s="222"/>
      <c r="AK61" s="222"/>
      <c r="AO61" s="222"/>
      <c r="AS61" s="222"/>
      <c r="AW61" s="222"/>
      <c r="BA61" s="222"/>
      <c r="BE61" s="222"/>
      <c r="BK61" s="222"/>
      <c r="BO61" s="222"/>
      <c r="BU61" s="222"/>
      <c r="BY61" s="222"/>
      <c r="CC61" s="222"/>
      <c r="CG61" s="222"/>
      <c r="CK61" s="222"/>
      <c r="CQ61" s="222"/>
      <c r="CU61" s="222"/>
      <c r="CY61" s="222"/>
    </row>
    <row r="62">
      <c r="A62" s="227"/>
      <c r="E62" s="222"/>
      <c r="I62" s="222"/>
      <c r="M62" s="222"/>
      <c r="Q62" s="222"/>
      <c r="U62" s="222"/>
      <c r="Y62" s="222"/>
      <c r="AC62" s="222"/>
      <c r="AG62" s="222"/>
      <c r="AK62" s="222"/>
      <c r="AO62" s="222"/>
      <c r="AS62" s="222"/>
      <c r="AW62" s="222"/>
      <c r="BA62" s="222"/>
      <c r="BE62" s="222"/>
      <c r="BK62" s="222"/>
      <c r="BO62" s="222"/>
      <c r="BU62" s="222"/>
      <c r="BY62" s="222"/>
      <c r="CC62" s="222"/>
      <c r="CG62" s="222"/>
      <c r="CK62" s="222"/>
      <c r="CQ62" s="222"/>
      <c r="CU62" s="222"/>
      <c r="CY62" s="222"/>
    </row>
    <row r="63">
      <c r="A63" s="227"/>
      <c r="E63" s="222"/>
      <c r="I63" s="222"/>
      <c r="M63" s="222"/>
      <c r="Q63" s="222"/>
      <c r="U63" s="222"/>
      <c r="Y63" s="222"/>
      <c r="AC63" s="222"/>
      <c r="AG63" s="222"/>
      <c r="AK63" s="222"/>
      <c r="AO63" s="222"/>
      <c r="AS63" s="222"/>
      <c r="AW63" s="222"/>
      <c r="BA63" s="222"/>
      <c r="BE63" s="222"/>
      <c r="BK63" s="222"/>
      <c r="BO63" s="222"/>
      <c r="BU63" s="222"/>
      <c r="BY63" s="222"/>
      <c r="CC63" s="222"/>
      <c r="CG63" s="222"/>
      <c r="CK63" s="222"/>
      <c r="CQ63" s="222"/>
      <c r="CU63" s="222"/>
      <c r="CY63" s="222"/>
    </row>
    <row r="64">
      <c r="A64" s="227"/>
      <c r="E64" s="222"/>
      <c r="I64" s="222"/>
      <c r="M64" s="222"/>
      <c r="Q64" s="222"/>
      <c r="U64" s="222"/>
      <c r="Y64" s="222"/>
      <c r="AC64" s="222"/>
      <c r="AG64" s="222"/>
      <c r="AK64" s="222"/>
      <c r="AO64" s="222"/>
      <c r="AS64" s="222"/>
      <c r="AW64" s="222"/>
      <c r="BA64" s="222"/>
      <c r="BE64" s="222"/>
      <c r="BK64" s="222"/>
      <c r="BO64" s="222"/>
      <c r="BU64" s="222"/>
      <c r="BY64" s="222"/>
      <c r="CC64" s="222"/>
      <c r="CG64" s="222"/>
      <c r="CK64" s="222"/>
      <c r="CQ64" s="222"/>
      <c r="CU64" s="222"/>
      <c r="CY64" s="222"/>
    </row>
    <row r="65">
      <c r="A65" s="227"/>
      <c r="E65" s="222"/>
      <c r="I65" s="222"/>
      <c r="M65" s="222"/>
      <c r="Q65" s="222"/>
      <c r="U65" s="222"/>
      <c r="Y65" s="222"/>
      <c r="AC65" s="222"/>
      <c r="AG65" s="222"/>
      <c r="AK65" s="222"/>
      <c r="AO65" s="222"/>
      <c r="AS65" s="222"/>
      <c r="AW65" s="222"/>
      <c r="BA65" s="222"/>
      <c r="BE65" s="222"/>
      <c r="BK65" s="222"/>
      <c r="BO65" s="222"/>
      <c r="BU65" s="222"/>
      <c r="BY65" s="222"/>
      <c r="CC65" s="222"/>
      <c r="CG65" s="222"/>
      <c r="CK65" s="222"/>
      <c r="CQ65" s="222"/>
      <c r="CU65" s="222"/>
      <c r="CY65" s="222"/>
    </row>
    <row r="66">
      <c r="A66" s="227"/>
      <c r="E66" s="222"/>
      <c r="I66" s="222"/>
      <c r="M66" s="222"/>
      <c r="Q66" s="222"/>
      <c r="U66" s="222"/>
      <c r="Y66" s="222"/>
      <c r="AC66" s="222"/>
      <c r="AG66" s="222"/>
      <c r="AK66" s="222"/>
      <c r="AO66" s="222"/>
      <c r="AS66" s="222"/>
      <c r="AW66" s="222"/>
      <c r="BA66" s="222"/>
      <c r="BE66" s="222"/>
      <c r="BK66" s="222"/>
      <c r="BO66" s="222"/>
      <c r="BU66" s="222"/>
      <c r="BY66" s="222"/>
      <c r="CC66" s="222"/>
      <c r="CG66" s="222"/>
      <c r="CK66" s="222"/>
      <c r="CQ66" s="222"/>
      <c r="CU66" s="222"/>
      <c r="CY66" s="222"/>
    </row>
    <row r="67">
      <c r="A67" s="227"/>
      <c r="E67" s="222"/>
      <c r="I67" s="222"/>
      <c r="M67" s="222"/>
      <c r="Q67" s="222"/>
      <c r="U67" s="222"/>
      <c r="Y67" s="222"/>
      <c r="AC67" s="222"/>
      <c r="AG67" s="222"/>
      <c r="AK67" s="222"/>
      <c r="AO67" s="222"/>
      <c r="AS67" s="222"/>
      <c r="AW67" s="222"/>
      <c r="BA67" s="222"/>
      <c r="BE67" s="222"/>
      <c r="BK67" s="222"/>
      <c r="BO67" s="222"/>
      <c r="BU67" s="222"/>
      <c r="BY67" s="222"/>
      <c r="CC67" s="222"/>
      <c r="CG67" s="222"/>
      <c r="CK67" s="222"/>
      <c r="CQ67" s="222"/>
      <c r="CU67" s="222"/>
      <c r="CY67" s="222"/>
    </row>
    <row r="68">
      <c r="A68" s="227"/>
      <c r="E68" s="222"/>
      <c r="I68" s="222"/>
      <c r="M68" s="222"/>
      <c r="Q68" s="222"/>
      <c r="U68" s="222"/>
      <c r="Y68" s="222"/>
      <c r="AC68" s="222"/>
      <c r="AG68" s="222"/>
      <c r="AK68" s="222"/>
      <c r="AO68" s="222"/>
      <c r="AS68" s="222"/>
      <c r="AW68" s="222"/>
      <c r="BA68" s="222"/>
      <c r="BE68" s="222"/>
      <c r="BK68" s="222"/>
      <c r="BO68" s="222"/>
      <c r="BU68" s="222"/>
      <c r="BY68" s="222"/>
      <c r="CC68" s="222"/>
      <c r="CG68" s="222"/>
      <c r="CK68" s="222"/>
      <c r="CQ68" s="222"/>
      <c r="CU68" s="222"/>
      <c r="CY68" s="222"/>
    </row>
    <row r="69">
      <c r="A69" s="227"/>
      <c r="E69" s="222"/>
      <c r="I69" s="222"/>
      <c r="M69" s="222"/>
      <c r="Q69" s="222"/>
      <c r="U69" s="222"/>
      <c r="Y69" s="222"/>
      <c r="AC69" s="222"/>
      <c r="AG69" s="222"/>
      <c r="AK69" s="222"/>
      <c r="AO69" s="222"/>
      <c r="AS69" s="222"/>
      <c r="AW69" s="222"/>
      <c r="BA69" s="222"/>
      <c r="BE69" s="222"/>
      <c r="BK69" s="222"/>
      <c r="BO69" s="222"/>
      <c r="BU69" s="222"/>
      <c r="BY69" s="222"/>
      <c r="CC69" s="222"/>
      <c r="CG69" s="222"/>
      <c r="CK69" s="222"/>
      <c r="CQ69" s="222"/>
      <c r="CU69" s="222"/>
      <c r="CY69" s="222"/>
    </row>
    <row r="70">
      <c r="A70" s="227"/>
      <c r="E70" s="222"/>
      <c r="I70" s="222"/>
      <c r="M70" s="222"/>
      <c r="Q70" s="222"/>
      <c r="U70" s="222"/>
      <c r="Y70" s="222"/>
      <c r="AC70" s="222"/>
      <c r="AG70" s="222"/>
      <c r="AK70" s="222"/>
      <c r="AO70" s="222"/>
      <c r="AS70" s="222"/>
      <c r="AW70" s="222"/>
      <c r="BA70" s="222"/>
      <c r="BE70" s="222"/>
      <c r="BK70" s="222"/>
      <c r="BO70" s="222"/>
      <c r="BU70" s="222"/>
      <c r="BY70" s="222"/>
      <c r="CC70" s="222"/>
      <c r="CG70" s="222"/>
      <c r="CK70" s="222"/>
      <c r="CQ70" s="222"/>
      <c r="CU70" s="222"/>
      <c r="CY70" s="222"/>
    </row>
    <row r="71">
      <c r="A71" s="227"/>
      <c r="E71" s="222"/>
      <c r="I71" s="222"/>
      <c r="M71" s="222"/>
      <c r="Q71" s="222"/>
      <c r="U71" s="222"/>
      <c r="Y71" s="222"/>
      <c r="AC71" s="222"/>
      <c r="AG71" s="222"/>
      <c r="AK71" s="222"/>
      <c r="AO71" s="222"/>
      <c r="AS71" s="222"/>
      <c r="AW71" s="222"/>
      <c r="BA71" s="222"/>
      <c r="BE71" s="222"/>
      <c r="BK71" s="222"/>
      <c r="BO71" s="222"/>
      <c r="BU71" s="222"/>
      <c r="BY71" s="222"/>
      <c r="CC71" s="222"/>
      <c r="CG71" s="222"/>
      <c r="CK71" s="222"/>
      <c r="CQ71" s="222"/>
      <c r="CU71" s="222"/>
      <c r="CY71" s="222"/>
    </row>
    <row r="72">
      <c r="A72" s="227"/>
      <c r="E72" s="222"/>
      <c r="I72" s="222"/>
      <c r="M72" s="222"/>
      <c r="Q72" s="222"/>
      <c r="U72" s="222"/>
      <c r="Y72" s="222"/>
      <c r="AC72" s="222"/>
      <c r="AG72" s="222"/>
      <c r="AK72" s="222"/>
      <c r="AO72" s="222"/>
      <c r="AS72" s="222"/>
      <c r="AW72" s="222"/>
      <c r="BA72" s="222"/>
      <c r="BE72" s="222"/>
      <c r="BK72" s="222"/>
      <c r="BO72" s="222"/>
      <c r="BU72" s="222"/>
      <c r="BY72" s="222"/>
      <c r="CC72" s="222"/>
      <c r="CG72" s="222"/>
      <c r="CK72" s="222"/>
      <c r="CQ72" s="222"/>
      <c r="CU72" s="222"/>
      <c r="CY72" s="222"/>
    </row>
    <row r="73">
      <c r="A73" s="227"/>
      <c r="E73" s="222"/>
      <c r="I73" s="222"/>
      <c r="M73" s="222"/>
      <c r="Q73" s="222"/>
      <c r="U73" s="222"/>
      <c r="Y73" s="222"/>
      <c r="AC73" s="222"/>
      <c r="AG73" s="222"/>
      <c r="AK73" s="222"/>
      <c r="AO73" s="222"/>
      <c r="AS73" s="222"/>
      <c r="AW73" s="222"/>
      <c r="BA73" s="222"/>
      <c r="BE73" s="222"/>
      <c r="BK73" s="222"/>
      <c r="BO73" s="222"/>
      <c r="BU73" s="222"/>
      <c r="BY73" s="222"/>
      <c r="CC73" s="222"/>
      <c r="CG73" s="222"/>
      <c r="CK73" s="222"/>
      <c r="CQ73" s="222"/>
      <c r="CU73" s="222"/>
      <c r="CY73" s="222"/>
    </row>
    <row r="74">
      <c r="A74" s="227"/>
      <c r="E74" s="222"/>
      <c r="I74" s="222"/>
      <c r="M74" s="222"/>
      <c r="Q74" s="222"/>
      <c r="U74" s="222"/>
      <c r="Y74" s="222"/>
      <c r="AC74" s="222"/>
      <c r="AG74" s="222"/>
      <c r="AK74" s="222"/>
      <c r="AO74" s="222"/>
      <c r="AS74" s="222"/>
      <c r="AW74" s="222"/>
      <c r="BA74" s="222"/>
      <c r="BE74" s="222"/>
      <c r="BK74" s="222"/>
      <c r="BO74" s="222"/>
      <c r="BU74" s="222"/>
      <c r="BY74" s="222"/>
      <c r="CC74" s="222"/>
      <c r="CG74" s="222"/>
      <c r="CK74" s="222"/>
      <c r="CQ74" s="222"/>
      <c r="CU74" s="222"/>
      <c r="CY74" s="222"/>
    </row>
    <row r="75">
      <c r="A75" s="227"/>
      <c r="E75" s="222"/>
      <c r="I75" s="222"/>
      <c r="M75" s="222"/>
      <c r="Q75" s="222"/>
      <c r="U75" s="222"/>
      <c r="Y75" s="222"/>
      <c r="AC75" s="222"/>
      <c r="AG75" s="222"/>
      <c r="AK75" s="222"/>
      <c r="AO75" s="222"/>
      <c r="AS75" s="222"/>
      <c r="AW75" s="222"/>
      <c r="BA75" s="222"/>
      <c r="BE75" s="222"/>
      <c r="BK75" s="222"/>
      <c r="BO75" s="222"/>
      <c r="BU75" s="222"/>
      <c r="BY75" s="222"/>
      <c r="CC75" s="222"/>
      <c r="CG75" s="222"/>
      <c r="CK75" s="222"/>
      <c r="CQ75" s="222"/>
      <c r="CU75" s="222"/>
      <c r="CY75" s="222"/>
    </row>
    <row r="76">
      <c r="A76" s="227"/>
      <c r="E76" s="222"/>
      <c r="I76" s="222"/>
      <c r="M76" s="222"/>
      <c r="Q76" s="222"/>
      <c r="U76" s="222"/>
      <c r="Y76" s="222"/>
      <c r="AC76" s="222"/>
      <c r="AG76" s="222"/>
      <c r="AK76" s="222"/>
      <c r="AO76" s="222"/>
      <c r="AS76" s="222"/>
      <c r="AW76" s="222"/>
      <c r="BA76" s="222"/>
      <c r="BE76" s="222"/>
      <c r="BK76" s="222"/>
      <c r="BO76" s="222"/>
      <c r="BU76" s="222"/>
      <c r="BY76" s="222"/>
      <c r="CC76" s="222"/>
      <c r="CG76" s="222"/>
      <c r="CK76" s="222"/>
      <c r="CQ76" s="222"/>
      <c r="CU76" s="222"/>
      <c r="CY76" s="222"/>
    </row>
    <row r="77">
      <c r="A77" s="227"/>
      <c r="E77" s="222"/>
      <c r="I77" s="222"/>
      <c r="M77" s="222"/>
      <c r="Q77" s="222"/>
      <c r="U77" s="222"/>
      <c r="Y77" s="222"/>
      <c r="AC77" s="222"/>
      <c r="AG77" s="222"/>
      <c r="AK77" s="222"/>
      <c r="AO77" s="222"/>
      <c r="AS77" s="222"/>
      <c r="AW77" s="222"/>
      <c r="BA77" s="222"/>
      <c r="BE77" s="222"/>
      <c r="BK77" s="222"/>
      <c r="BO77" s="222"/>
      <c r="BU77" s="222"/>
      <c r="BY77" s="222"/>
      <c r="CC77" s="222"/>
      <c r="CG77" s="222"/>
      <c r="CK77" s="222"/>
      <c r="CQ77" s="222"/>
      <c r="CU77" s="222"/>
      <c r="CY77" s="222"/>
    </row>
    <row r="78">
      <c r="A78" s="227"/>
      <c r="E78" s="222"/>
      <c r="I78" s="222"/>
      <c r="M78" s="222"/>
      <c r="Q78" s="222"/>
      <c r="U78" s="222"/>
      <c r="Y78" s="222"/>
      <c r="AC78" s="222"/>
      <c r="AG78" s="222"/>
      <c r="AK78" s="222"/>
      <c r="AO78" s="222"/>
      <c r="AS78" s="222"/>
      <c r="AW78" s="222"/>
      <c r="BA78" s="222"/>
      <c r="BE78" s="222"/>
      <c r="BK78" s="222"/>
      <c r="BO78" s="222"/>
      <c r="BU78" s="222"/>
      <c r="BY78" s="222"/>
      <c r="CC78" s="222"/>
      <c r="CG78" s="222"/>
      <c r="CK78" s="222"/>
      <c r="CQ78" s="222"/>
      <c r="CU78" s="222"/>
      <c r="CY78" s="222"/>
    </row>
    <row r="79">
      <c r="A79" s="227"/>
      <c r="E79" s="222"/>
      <c r="I79" s="222"/>
      <c r="M79" s="222"/>
      <c r="Q79" s="222"/>
      <c r="U79" s="222"/>
      <c r="Y79" s="222"/>
      <c r="AC79" s="222"/>
      <c r="AG79" s="222"/>
      <c r="AK79" s="222"/>
      <c r="AO79" s="222"/>
      <c r="AS79" s="222"/>
      <c r="AW79" s="222"/>
      <c r="BA79" s="222"/>
      <c r="BE79" s="222"/>
      <c r="BK79" s="222"/>
      <c r="BO79" s="222"/>
      <c r="BU79" s="222"/>
      <c r="BY79" s="222"/>
      <c r="CC79" s="222"/>
      <c r="CG79" s="222"/>
      <c r="CK79" s="222"/>
      <c r="CQ79" s="222"/>
      <c r="CU79" s="222"/>
      <c r="CY79" s="222"/>
    </row>
    <row r="80">
      <c r="A80" s="227"/>
      <c r="E80" s="222"/>
      <c r="I80" s="222"/>
      <c r="M80" s="222"/>
      <c r="Q80" s="222"/>
      <c r="U80" s="222"/>
      <c r="Y80" s="222"/>
      <c r="AC80" s="222"/>
      <c r="AG80" s="222"/>
      <c r="AK80" s="222"/>
      <c r="AO80" s="222"/>
      <c r="AS80" s="222"/>
      <c r="AW80" s="222"/>
      <c r="BA80" s="222"/>
      <c r="BE80" s="222"/>
      <c r="BK80" s="222"/>
      <c r="BO80" s="222"/>
      <c r="BU80" s="222"/>
      <c r="BY80" s="222"/>
      <c r="CC80" s="222"/>
      <c r="CG80" s="222"/>
      <c r="CK80" s="222"/>
      <c r="CQ80" s="222"/>
      <c r="CU80" s="222"/>
      <c r="CY80" s="222"/>
    </row>
    <row r="81">
      <c r="A81" s="227"/>
      <c r="E81" s="222"/>
      <c r="I81" s="222"/>
      <c r="M81" s="222"/>
      <c r="Q81" s="222"/>
      <c r="U81" s="222"/>
      <c r="Y81" s="222"/>
      <c r="AC81" s="222"/>
      <c r="AG81" s="222"/>
      <c r="AK81" s="222"/>
      <c r="AO81" s="222"/>
      <c r="AS81" s="222"/>
      <c r="AW81" s="222"/>
      <c r="BA81" s="222"/>
      <c r="BE81" s="222"/>
      <c r="BK81" s="222"/>
      <c r="BO81" s="222"/>
      <c r="BU81" s="222"/>
      <c r="BY81" s="222"/>
      <c r="CC81" s="222"/>
      <c r="CG81" s="222"/>
      <c r="CK81" s="222"/>
      <c r="CQ81" s="222"/>
      <c r="CU81" s="222"/>
      <c r="CY81" s="222"/>
    </row>
    <row r="82">
      <c r="A82" s="227"/>
      <c r="E82" s="222"/>
      <c r="I82" s="222"/>
      <c r="M82" s="222"/>
      <c r="Q82" s="222"/>
      <c r="U82" s="222"/>
      <c r="Y82" s="222"/>
      <c r="AC82" s="222"/>
      <c r="AG82" s="222"/>
      <c r="AK82" s="222"/>
      <c r="AO82" s="222"/>
      <c r="AS82" s="222"/>
      <c r="AW82" s="222"/>
      <c r="BA82" s="222"/>
      <c r="BE82" s="222"/>
      <c r="BK82" s="222"/>
      <c r="BO82" s="222"/>
      <c r="BU82" s="222"/>
      <c r="BY82" s="222"/>
      <c r="CC82" s="222"/>
      <c r="CG82" s="222"/>
      <c r="CK82" s="222"/>
      <c r="CQ82" s="222"/>
      <c r="CU82" s="222"/>
      <c r="CY82" s="222"/>
    </row>
    <row r="83">
      <c r="A83" s="227"/>
      <c r="E83" s="222"/>
      <c r="I83" s="222"/>
      <c r="M83" s="222"/>
      <c r="Q83" s="222"/>
      <c r="U83" s="222"/>
      <c r="Y83" s="222"/>
      <c r="AC83" s="222"/>
      <c r="AG83" s="222"/>
      <c r="AK83" s="222"/>
      <c r="AO83" s="222"/>
      <c r="AS83" s="222"/>
      <c r="AW83" s="222"/>
      <c r="BA83" s="222"/>
      <c r="BE83" s="222"/>
      <c r="BK83" s="222"/>
      <c r="BO83" s="222"/>
      <c r="BU83" s="222"/>
      <c r="BY83" s="222"/>
      <c r="CC83" s="222"/>
      <c r="CG83" s="222"/>
      <c r="CK83" s="222"/>
      <c r="CQ83" s="222"/>
      <c r="CU83" s="222"/>
      <c r="CY83" s="222"/>
    </row>
    <row r="84">
      <c r="A84" s="227"/>
      <c r="E84" s="222"/>
      <c r="I84" s="222"/>
      <c r="M84" s="222"/>
      <c r="Q84" s="222"/>
      <c r="U84" s="222"/>
      <c r="Y84" s="222"/>
      <c r="AC84" s="222"/>
      <c r="AG84" s="222"/>
      <c r="AK84" s="222"/>
      <c r="AO84" s="222"/>
      <c r="AS84" s="222"/>
      <c r="AW84" s="222"/>
      <c r="BA84" s="222"/>
      <c r="BE84" s="222"/>
      <c r="BK84" s="222"/>
      <c r="BO84" s="222"/>
      <c r="BU84" s="222"/>
      <c r="BY84" s="222"/>
      <c r="CC84" s="222"/>
      <c r="CG84" s="222"/>
      <c r="CK84" s="222"/>
      <c r="CQ84" s="222"/>
      <c r="CU84" s="222"/>
      <c r="CY84" s="222"/>
    </row>
    <row r="85">
      <c r="A85" s="227"/>
      <c r="E85" s="222"/>
      <c r="I85" s="222"/>
      <c r="M85" s="222"/>
      <c r="Q85" s="222"/>
      <c r="U85" s="222"/>
      <c r="Y85" s="222"/>
      <c r="AC85" s="222"/>
      <c r="AG85" s="222"/>
      <c r="AK85" s="222"/>
      <c r="AO85" s="222"/>
      <c r="AS85" s="222"/>
      <c r="AW85" s="222"/>
      <c r="BA85" s="222"/>
      <c r="BE85" s="222"/>
      <c r="BK85" s="222"/>
      <c r="BO85" s="222"/>
      <c r="BU85" s="222"/>
      <c r="BY85" s="222"/>
      <c r="CC85" s="222"/>
      <c r="CG85" s="222"/>
      <c r="CK85" s="222"/>
      <c r="CQ85" s="222"/>
      <c r="CU85" s="222"/>
      <c r="CY85" s="222"/>
    </row>
    <row r="86">
      <c r="A86" s="227"/>
      <c r="E86" s="222"/>
      <c r="I86" s="222"/>
      <c r="M86" s="222"/>
      <c r="Q86" s="222"/>
      <c r="U86" s="222"/>
      <c r="Y86" s="222"/>
      <c r="AC86" s="222"/>
      <c r="AG86" s="222"/>
      <c r="AK86" s="222"/>
      <c r="AO86" s="222"/>
      <c r="AS86" s="222"/>
      <c r="AW86" s="222"/>
      <c r="BA86" s="222"/>
      <c r="BE86" s="222"/>
      <c r="BK86" s="222"/>
      <c r="BO86" s="222"/>
      <c r="BU86" s="222"/>
      <c r="BY86" s="222"/>
      <c r="CC86" s="222"/>
      <c r="CG86" s="222"/>
      <c r="CK86" s="222"/>
      <c r="CQ86" s="222"/>
      <c r="CU86" s="222"/>
      <c r="CY86" s="222"/>
    </row>
    <row r="87">
      <c r="A87" s="227"/>
      <c r="E87" s="222"/>
      <c r="I87" s="222"/>
      <c r="M87" s="222"/>
      <c r="Q87" s="222"/>
      <c r="U87" s="222"/>
      <c r="Y87" s="222"/>
      <c r="AC87" s="222"/>
      <c r="AG87" s="222"/>
      <c r="AK87" s="222"/>
      <c r="AO87" s="222"/>
      <c r="AS87" s="222"/>
      <c r="AW87" s="222"/>
      <c r="BA87" s="222"/>
      <c r="BE87" s="222"/>
      <c r="BK87" s="222"/>
      <c r="BO87" s="222"/>
      <c r="BU87" s="222"/>
      <c r="BY87" s="222"/>
      <c r="CC87" s="222"/>
      <c r="CG87" s="222"/>
      <c r="CK87" s="222"/>
      <c r="CQ87" s="222"/>
      <c r="CU87" s="222"/>
      <c r="CY87" s="222"/>
    </row>
    <row r="88">
      <c r="A88" s="227"/>
      <c r="E88" s="222"/>
      <c r="I88" s="222"/>
      <c r="M88" s="222"/>
      <c r="Q88" s="222"/>
      <c r="U88" s="222"/>
      <c r="Y88" s="222"/>
      <c r="AC88" s="222"/>
      <c r="AG88" s="222"/>
      <c r="AK88" s="222"/>
      <c r="AO88" s="222"/>
      <c r="AS88" s="222"/>
      <c r="AW88" s="222"/>
      <c r="BA88" s="222"/>
      <c r="BE88" s="222"/>
      <c r="BK88" s="222"/>
      <c r="BO88" s="222"/>
      <c r="BU88" s="222"/>
      <c r="BY88" s="222"/>
      <c r="CC88" s="222"/>
      <c r="CG88" s="222"/>
      <c r="CK88" s="222"/>
      <c r="CQ88" s="222"/>
      <c r="CU88" s="222"/>
      <c r="CY88" s="222"/>
    </row>
    <row r="89">
      <c r="A89" s="227"/>
      <c r="E89" s="222"/>
      <c r="I89" s="222"/>
      <c r="M89" s="222"/>
      <c r="Q89" s="222"/>
      <c r="U89" s="222"/>
      <c r="Y89" s="222"/>
      <c r="AC89" s="222"/>
      <c r="AG89" s="222"/>
      <c r="AK89" s="222"/>
      <c r="AO89" s="222"/>
      <c r="AS89" s="222"/>
      <c r="AW89" s="222"/>
      <c r="BA89" s="222"/>
      <c r="BE89" s="222"/>
      <c r="BK89" s="222"/>
      <c r="BO89" s="222"/>
      <c r="BU89" s="222"/>
      <c r="BY89" s="222"/>
      <c r="CC89" s="222"/>
      <c r="CG89" s="222"/>
      <c r="CK89" s="222"/>
      <c r="CQ89" s="222"/>
      <c r="CU89" s="222"/>
      <c r="CY89" s="222"/>
    </row>
    <row r="90">
      <c r="A90" s="227"/>
      <c r="E90" s="222"/>
      <c r="I90" s="222"/>
      <c r="M90" s="222"/>
      <c r="Q90" s="222"/>
      <c r="U90" s="222"/>
      <c r="Y90" s="222"/>
      <c r="AC90" s="222"/>
      <c r="AG90" s="222"/>
      <c r="AK90" s="222"/>
      <c r="AO90" s="222"/>
      <c r="AS90" s="222"/>
      <c r="AW90" s="222"/>
      <c r="BA90" s="222"/>
      <c r="BE90" s="222"/>
      <c r="BK90" s="222"/>
      <c r="BO90" s="222"/>
      <c r="BU90" s="222"/>
      <c r="BY90" s="222"/>
      <c r="CC90" s="222"/>
      <c r="CG90" s="222"/>
      <c r="CK90" s="222"/>
      <c r="CQ90" s="222"/>
      <c r="CU90" s="222"/>
      <c r="CY90" s="222"/>
    </row>
    <row r="91">
      <c r="A91" s="227"/>
      <c r="E91" s="222"/>
      <c r="I91" s="222"/>
      <c r="M91" s="222"/>
      <c r="Q91" s="222"/>
      <c r="U91" s="222"/>
      <c r="Y91" s="222"/>
      <c r="AC91" s="222"/>
      <c r="AG91" s="222"/>
      <c r="AK91" s="222"/>
      <c r="AO91" s="222"/>
      <c r="AS91" s="222"/>
      <c r="AW91" s="222"/>
      <c r="BA91" s="222"/>
      <c r="BE91" s="222"/>
      <c r="BK91" s="222"/>
      <c r="BO91" s="222"/>
      <c r="BU91" s="222"/>
      <c r="BY91" s="222"/>
      <c r="CC91" s="222"/>
      <c r="CG91" s="222"/>
      <c r="CK91" s="222"/>
      <c r="CQ91" s="222"/>
      <c r="CU91" s="222"/>
      <c r="CY91" s="222"/>
    </row>
    <row r="92">
      <c r="A92" s="227"/>
      <c r="E92" s="222"/>
      <c r="I92" s="222"/>
      <c r="M92" s="222"/>
      <c r="Q92" s="222"/>
      <c r="U92" s="222"/>
      <c r="Y92" s="222"/>
      <c r="AC92" s="222"/>
      <c r="AG92" s="222"/>
      <c r="AK92" s="222"/>
      <c r="AO92" s="222"/>
      <c r="AS92" s="222"/>
      <c r="AW92" s="222"/>
      <c r="BA92" s="222"/>
      <c r="BE92" s="222"/>
      <c r="BK92" s="222"/>
      <c r="BO92" s="222"/>
      <c r="BU92" s="222"/>
      <c r="BY92" s="222"/>
      <c r="CC92" s="222"/>
      <c r="CG92" s="222"/>
      <c r="CK92" s="222"/>
      <c r="CQ92" s="222"/>
      <c r="CU92" s="222"/>
      <c r="CY92" s="222"/>
    </row>
    <row r="93">
      <c r="A93" s="227"/>
      <c r="E93" s="222"/>
      <c r="I93" s="222"/>
      <c r="M93" s="222"/>
      <c r="Q93" s="222"/>
      <c r="U93" s="222"/>
      <c r="Y93" s="222"/>
      <c r="AC93" s="222"/>
      <c r="AG93" s="222"/>
      <c r="AK93" s="222"/>
      <c r="AO93" s="222"/>
      <c r="AS93" s="222"/>
      <c r="AW93" s="222"/>
      <c r="BA93" s="222"/>
      <c r="BE93" s="222"/>
      <c r="BK93" s="222"/>
      <c r="BO93" s="222"/>
      <c r="BU93" s="222"/>
      <c r="BY93" s="222"/>
      <c r="CC93" s="222"/>
      <c r="CG93" s="222"/>
      <c r="CK93" s="222"/>
      <c r="CQ93" s="222"/>
      <c r="CU93" s="222"/>
      <c r="CY93" s="222"/>
    </row>
    <row r="94">
      <c r="A94" s="227"/>
      <c r="E94" s="222"/>
      <c r="I94" s="222"/>
      <c r="M94" s="222"/>
      <c r="Q94" s="222"/>
      <c r="U94" s="222"/>
      <c r="Y94" s="222"/>
      <c r="AC94" s="222"/>
      <c r="AG94" s="222"/>
      <c r="AK94" s="222"/>
      <c r="AO94" s="222"/>
      <c r="AS94" s="222"/>
      <c r="AW94" s="222"/>
      <c r="BA94" s="222"/>
      <c r="BE94" s="222"/>
      <c r="BK94" s="222"/>
      <c r="BO94" s="222"/>
      <c r="BU94" s="222"/>
      <c r="BY94" s="222"/>
      <c r="CC94" s="222"/>
      <c r="CG94" s="222"/>
      <c r="CK94" s="222"/>
      <c r="CQ94" s="222"/>
      <c r="CU94" s="222"/>
      <c r="CY94" s="222"/>
    </row>
    <row r="95">
      <c r="A95" s="227"/>
      <c r="E95" s="222"/>
      <c r="I95" s="222"/>
      <c r="M95" s="222"/>
      <c r="Q95" s="222"/>
      <c r="U95" s="222"/>
      <c r="Y95" s="222"/>
      <c r="AC95" s="222"/>
      <c r="AG95" s="222"/>
      <c r="AK95" s="222"/>
      <c r="AO95" s="222"/>
      <c r="AS95" s="222"/>
      <c r="AW95" s="222"/>
      <c r="BA95" s="222"/>
      <c r="BE95" s="222"/>
      <c r="BK95" s="222"/>
      <c r="BO95" s="222"/>
      <c r="BU95" s="222"/>
      <c r="BY95" s="222"/>
      <c r="CC95" s="222"/>
      <c r="CG95" s="222"/>
      <c r="CK95" s="222"/>
      <c r="CQ95" s="222"/>
      <c r="CU95" s="222"/>
      <c r="CY95" s="222"/>
    </row>
    <row r="96">
      <c r="A96" s="227"/>
      <c r="E96" s="222"/>
      <c r="I96" s="222"/>
      <c r="M96" s="222"/>
      <c r="Q96" s="222"/>
      <c r="U96" s="222"/>
      <c r="Y96" s="222"/>
      <c r="AC96" s="222"/>
      <c r="AG96" s="222"/>
      <c r="AK96" s="222"/>
      <c r="AO96" s="222"/>
      <c r="AS96" s="222"/>
      <c r="AW96" s="222"/>
      <c r="BA96" s="222"/>
      <c r="BE96" s="222"/>
      <c r="BK96" s="222"/>
      <c r="BO96" s="222"/>
      <c r="BU96" s="222"/>
      <c r="BY96" s="222"/>
      <c r="CC96" s="222"/>
      <c r="CG96" s="222"/>
      <c r="CK96" s="222"/>
      <c r="CQ96" s="222"/>
      <c r="CU96" s="222"/>
      <c r="CY96" s="222"/>
    </row>
    <row r="97">
      <c r="A97" s="227"/>
      <c r="E97" s="222"/>
      <c r="I97" s="222"/>
      <c r="M97" s="222"/>
      <c r="Q97" s="222"/>
      <c r="U97" s="222"/>
      <c r="Y97" s="222"/>
      <c r="AC97" s="222"/>
      <c r="AG97" s="222"/>
      <c r="AK97" s="222"/>
      <c r="AO97" s="222"/>
      <c r="AS97" s="222"/>
      <c r="AW97" s="222"/>
      <c r="BA97" s="222"/>
      <c r="BE97" s="222"/>
      <c r="BK97" s="222"/>
      <c r="BO97" s="222"/>
      <c r="BU97" s="222"/>
      <c r="BY97" s="222"/>
      <c r="CC97" s="222"/>
      <c r="CG97" s="222"/>
      <c r="CK97" s="222"/>
      <c r="CQ97" s="222"/>
      <c r="CU97" s="222"/>
      <c r="CY97" s="222"/>
    </row>
    <row r="98">
      <c r="A98" s="227"/>
      <c r="E98" s="222"/>
      <c r="I98" s="222"/>
      <c r="M98" s="222"/>
      <c r="Q98" s="222"/>
      <c r="U98" s="222"/>
      <c r="Y98" s="222"/>
      <c r="AC98" s="222"/>
      <c r="AG98" s="222"/>
      <c r="AK98" s="222"/>
      <c r="AO98" s="222"/>
      <c r="AS98" s="222"/>
      <c r="AW98" s="222"/>
      <c r="BA98" s="222"/>
      <c r="BE98" s="222"/>
      <c r="BK98" s="222"/>
      <c r="BO98" s="222"/>
      <c r="BU98" s="222"/>
      <c r="BY98" s="222"/>
      <c r="CC98" s="222"/>
      <c r="CG98" s="222"/>
      <c r="CK98" s="222"/>
      <c r="CQ98" s="222"/>
      <c r="CU98" s="222"/>
      <c r="CY98" s="222"/>
    </row>
    <row r="99">
      <c r="A99" s="227"/>
      <c r="E99" s="222"/>
      <c r="I99" s="222"/>
      <c r="M99" s="222"/>
      <c r="Q99" s="222"/>
      <c r="U99" s="222"/>
      <c r="Y99" s="222"/>
      <c r="AC99" s="222"/>
      <c r="AG99" s="222"/>
      <c r="AK99" s="222"/>
      <c r="AO99" s="222"/>
      <c r="AS99" s="222"/>
      <c r="AW99" s="222"/>
      <c r="BA99" s="222"/>
      <c r="BE99" s="222"/>
      <c r="BK99" s="222"/>
      <c r="BO99" s="222"/>
      <c r="BU99" s="222"/>
      <c r="BY99" s="222"/>
      <c r="CC99" s="222"/>
      <c r="CG99" s="222"/>
      <c r="CK99" s="222"/>
      <c r="CQ99" s="222"/>
      <c r="CU99" s="222"/>
      <c r="CY99" s="222"/>
    </row>
    <row r="100">
      <c r="A100" s="227"/>
      <c r="E100" s="222"/>
      <c r="I100" s="222"/>
      <c r="M100" s="222"/>
      <c r="Q100" s="222"/>
      <c r="U100" s="222"/>
      <c r="Y100" s="222"/>
      <c r="AC100" s="222"/>
      <c r="AG100" s="222"/>
      <c r="AK100" s="222"/>
      <c r="AO100" s="222"/>
      <c r="AS100" s="222"/>
      <c r="AW100" s="222"/>
      <c r="BA100" s="222"/>
      <c r="BE100" s="222"/>
      <c r="BK100" s="222"/>
      <c r="BO100" s="222"/>
      <c r="BU100" s="222"/>
      <c r="BY100" s="222"/>
      <c r="CC100" s="222"/>
      <c r="CG100" s="222"/>
      <c r="CK100" s="222"/>
      <c r="CQ100" s="222"/>
      <c r="CU100" s="222"/>
      <c r="CY100" s="222"/>
    </row>
    <row r="101">
      <c r="A101" s="227"/>
      <c r="E101" s="222"/>
      <c r="I101" s="222"/>
      <c r="M101" s="222"/>
      <c r="Q101" s="222"/>
      <c r="U101" s="222"/>
      <c r="Y101" s="222"/>
      <c r="AC101" s="222"/>
      <c r="AG101" s="222"/>
      <c r="AK101" s="222"/>
      <c r="AO101" s="222"/>
      <c r="AS101" s="222"/>
      <c r="AW101" s="222"/>
      <c r="BA101" s="222"/>
      <c r="BE101" s="222"/>
      <c r="BK101" s="222"/>
      <c r="BO101" s="222"/>
      <c r="BU101" s="222"/>
      <c r="BY101" s="222"/>
      <c r="CC101" s="222"/>
      <c r="CG101" s="222"/>
      <c r="CK101" s="222"/>
      <c r="CQ101" s="222"/>
      <c r="CU101" s="222"/>
      <c r="CY101" s="222"/>
    </row>
    <row r="102">
      <c r="A102" s="227"/>
      <c r="E102" s="222"/>
      <c r="I102" s="222"/>
      <c r="M102" s="222"/>
      <c r="Q102" s="222"/>
      <c r="U102" s="222"/>
      <c r="Y102" s="222"/>
      <c r="AC102" s="222"/>
      <c r="AG102" s="222"/>
      <c r="AK102" s="222"/>
      <c r="AO102" s="222"/>
      <c r="AS102" s="222"/>
      <c r="AW102" s="222"/>
      <c r="BA102" s="222"/>
      <c r="BE102" s="222"/>
      <c r="BK102" s="222"/>
      <c r="BO102" s="222"/>
      <c r="BU102" s="222"/>
      <c r="BY102" s="222"/>
      <c r="CC102" s="222"/>
      <c r="CG102" s="222"/>
      <c r="CK102" s="222"/>
      <c r="CQ102" s="222"/>
      <c r="CU102" s="222"/>
      <c r="CY102" s="222"/>
    </row>
    <row r="103">
      <c r="A103" s="227"/>
      <c r="E103" s="222"/>
      <c r="I103" s="222"/>
      <c r="M103" s="222"/>
      <c r="Q103" s="222"/>
      <c r="U103" s="222"/>
      <c r="Y103" s="222"/>
      <c r="AC103" s="222"/>
      <c r="AG103" s="222"/>
      <c r="AK103" s="222"/>
      <c r="AO103" s="222"/>
      <c r="AS103" s="222"/>
      <c r="AW103" s="222"/>
      <c r="BA103" s="222"/>
      <c r="BE103" s="222"/>
      <c r="BK103" s="222"/>
      <c r="BO103" s="222"/>
      <c r="BU103" s="222"/>
      <c r="BY103" s="222"/>
      <c r="CC103" s="222"/>
      <c r="CG103" s="222"/>
      <c r="CK103" s="222"/>
      <c r="CQ103" s="222"/>
      <c r="CU103" s="222"/>
      <c r="CY103" s="222"/>
    </row>
    <row r="104">
      <c r="A104" s="227"/>
      <c r="E104" s="222"/>
      <c r="I104" s="222"/>
      <c r="M104" s="222"/>
      <c r="Q104" s="222"/>
      <c r="U104" s="222"/>
      <c r="Y104" s="222"/>
      <c r="AC104" s="222"/>
      <c r="AG104" s="222"/>
      <c r="AK104" s="222"/>
      <c r="AO104" s="222"/>
      <c r="AS104" s="222"/>
      <c r="AW104" s="222"/>
      <c r="BA104" s="222"/>
      <c r="BE104" s="222"/>
      <c r="BK104" s="222"/>
      <c r="BO104" s="222"/>
      <c r="BU104" s="222"/>
      <c r="BY104" s="222"/>
      <c r="CC104" s="222"/>
      <c r="CG104" s="222"/>
      <c r="CK104" s="222"/>
      <c r="CQ104" s="222"/>
      <c r="CU104" s="222"/>
      <c r="CY104" s="222"/>
    </row>
    <row r="105">
      <c r="A105" s="227"/>
      <c r="E105" s="222"/>
      <c r="I105" s="222"/>
      <c r="M105" s="222"/>
      <c r="Q105" s="222"/>
      <c r="U105" s="222"/>
      <c r="Y105" s="222"/>
      <c r="AC105" s="222"/>
      <c r="AG105" s="222"/>
      <c r="AK105" s="222"/>
      <c r="AO105" s="222"/>
      <c r="AS105" s="222"/>
      <c r="AW105" s="222"/>
      <c r="BA105" s="222"/>
      <c r="BE105" s="222"/>
      <c r="BK105" s="222"/>
      <c r="BO105" s="222"/>
      <c r="BU105" s="222"/>
      <c r="BY105" s="222"/>
      <c r="CC105" s="222"/>
      <c r="CG105" s="222"/>
      <c r="CK105" s="222"/>
      <c r="CQ105" s="222"/>
      <c r="CU105" s="222"/>
      <c r="CY105" s="222"/>
    </row>
    <row r="106">
      <c r="A106" s="227"/>
      <c r="E106" s="222"/>
      <c r="I106" s="222"/>
      <c r="M106" s="222"/>
      <c r="Q106" s="222"/>
      <c r="U106" s="222"/>
      <c r="Y106" s="222"/>
      <c r="AC106" s="222"/>
      <c r="AG106" s="222"/>
      <c r="AK106" s="222"/>
      <c r="AO106" s="222"/>
      <c r="AS106" s="222"/>
      <c r="AW106" s="222"/>
      <c r="BA106" s="222"/>
      <c r="BE106" s="222"/>
      <c r="BK106" s="222"/>
      <c r="BO106" s="222"/>
      <c r="BU106" s="222"/>
      <c r="BY106" s="222"/>
      <c r="CC106" s="222"/>
      <c r="CG106" s="222"/>
      <c r="CK106" s="222"/>
      <c r="CQ106" s="222"/>
      <c r="CU106" s="222"/>
      <c r="CY106" s="222"/>
    </row>
    <row r="107">
      <c r="A107" s="227"/>
      <c r="E107" s="222"/>
      <c r="I107" s="222"/>
      <c r="M107" s="222"/>
      <c r="Q107" s="222"/>
      <c r="U107" s="222"/>
      <c r="Y107" s="222"/>
      <c r="AC107" s="222"/>
      <c r="AG107" s="222"/>
      <c r="AK107" s="222"/>
      <c r="AO107" s="222"/>
      <c r="AS107" s="222"/>
      <c r="AW107" s="222"/>
      <c r="BA107" s="222"/>
      <c r="BE107" s="222"/>
      <c r="BK107" s="222"/>
      <c r="BO107" s="222"/>
      <c r="BU107" s="222"/>
      <c r="BY107" s="222"/>
      <c r="CC107" s="222"/>
      <c r="CG107" s="222"/>
      <c r="CK107" s="222"/>
      <c r="CQ107" s="222"/>
      <c r="CU107" s="222"/>
      <c r="CY107" s="222"/>
    </row>
    <row r="108">
      <c r="A108" s="227"/>
      <c r="E108" s="222"/>
      <c r="I108" s="222"/>
      <c r="M108" s="222"/>
      <c r="Q108" s="222"/>
      <c r="U108" s="222"/>
      <c r="Y108" s="222"/>
      <c r="AC108" s="222"/>
      <c r="AG108" s="222"/>
      <c r="AK108" s="222"/>
      <c r="AO108" s="222"/>
      <c r="AS108" s="222"/>
      <c r="AW108" s="222"/>
      <c r="BA108" s="222"/>
      <c r="BE108" s="222"/>
      <c r="BK108" s="222"/>
      <c r="BO108" s="222"/>
      <c r="BU108" s="222"/>
      <c r="BY108" s="222"/>
      <c r="CC108" s="222"/>
      <c r="CG108" s="222"/>
      <c r="CK108" s="222"/>
      <c r="CQ108" s="222"/>
      <c r="CU108" s="222"/>
      <c r="CY108" s="222"/>
    </row>
    <row r="109">
      <c r="A109" s="227"/>
      <c r="E109" s="222"/>
      <c r="I109" s="222"/>
      <c r="M109" s="222"/>
      <c r="Q109" s="222"/>
      <c r="U109" s="222"/>
      <c r="Y109" s="222"/>
      <c r="AC109" s="222"/>
      <c r="AG109" s="222"/>
      <c r="AK109" s="222"/>
      <c r="AO109" s="222"/>
      <c r="AS109" s="222"/>
      <c r="AW109" s="222"/>
      <c r="BA109" s="222"/>
      <c r="BE109" s="222"/>
      <c r="BK109" s="222"/>
      <c r="BO109" s="222"/>
      <c r="BU109" s="222"/>
      <c r="BY109" s="222"/>
      <c r="CC109" s="222"/>
      <c r="CG109" s="222"/>
      <c r="CK109" s="222"/>
      <c r="CQ109" s="222"/>
      <c r="CU109" s="222"/>
      <c r="CY109" s="222"/>
    </row>
    <row r="110">
      <c r="A110" s="227"/>
      <c r="E110" s="222"/>
      <c r="I110" s="222"/>
      <c r="M110" s="222"/>
      <c r="Q110" s="222"/>
      <c r="U110" s="222"/>
      <c r="Y110" s="222"/>
      <c r="AC110" s="222"/>
      <c r="AG110" s="222"/>
      <c r="AK110" s="222"/>
      <c r="AO110" s="222"/>
      <c r="AS110" s="222"/>
      <c r="AW110" s="222"/>
      <c r="BA110" s="222"/>
      <c r="BE110" s="222"/>
      <c r="BK110" s="222"/>
      <c r="BO110" s="222"/>
      <c r="BU110" s="222"/>
      <c r="BY110" s="222"/>
      <c r="CC110" s="222"/>
      <c r="CG110" s="222"/>
      <c r="CK110" s="222"/>
      <c r="CQ110" s="222"/>
      <c r="CU110" s="222"/>
      <c r="CY110" s="222"/>
    </row>
    <row r="111">
      <c r="A111" s="227"/>
      <c r="E111" s="222"/>
      <c r="I111" s="222"/>
      <c r="M111" s="222"/>
      <c r="Q111" s="222"/>
      <c r="U111" s="222"/>
      <c r="Y111" s="222"/>
      <c r="AC111" s="222"/>
      <c r="AG111" s="222"/>
      <c r="AK111" s="222"/>
      <c r="AO111" s="222"/>
      <c r="AS111" s="222"/>
      <c r="AW111" s="222"/>
      <c r="BA111" s="222"/>
      <c r="BE111" s="222"/>
      <c r="BK111" s="222"/>
      <c r="BO111" s="222"/>
      <c r="BU111" s="222"/>
      <c r="BY111" s="222"/>
      <c r="CC111" s="222"/>
      <c r="CG111" s="222"/>
      <c r="CK111" s="222"/>
      <c r="CQ111" s="222"/>
      <c r="CU111" s="222"/>
      <c r="CY111" s="222"/>
    </row>
    <row r="112">
      <c r="A112" s="227"/>
      <c r="E112" s="222"/>
      <c r="I112" s="222"/>
      <c r="M112" s="222"/>
      <c r="Q112" s="222"/>
      <c r="U112" s="222"/>
      <c r="Y112" s="222"/>
      <c r="AC112" s="222"/>
      <c r="AG112" s="222"/>
      <c r="AK112" s="222"/>
      <c r="AO112" s="222"/>
      <c r="AS112" s="222"/>
      <c r="AW112" s="222"/>
      <c r="BA112" s="222"/>
      <c r="BE112" s="222"/>
      <c r="BK112" s="222"/>
      <c r="BO112" s="222"/>
      <c r="BU112" s="222"/>
      <c r="BY112" s="222"/>
      <c r="CC112" s="222"/>
      <c r="CG112" s="222"/>
      <c r="CK112" s="222"/>
      <c r="CQ112" s="222"/>
      <c r="CU112" s="222"/>
      <c r="CY112" s="222"/>
    </row>
    <row r="113">
      <c r="A113" s="227"/>
      <c r="E113" s="222"/>
      <c r="I113" s="222"/>
      <c r="M113" s="222"/>
      <c r="Q113" s="222"/>
      <c r="U113" s="222"/>
      <c r="Y113" s="222"/>
      <c r="AC113" s="222"/>
      <c r="AG113" s="222"/>
      <c r="AK113" s="222"/>
      <c r="AO113" s="222"/>
      <c r="AS113" s="222"/>
      <c r="AW113" s="222"/>
      <c r="BA113" s="222"/>
      <c r="BE113" s="222"/>
      <c r="BK113" s="222"/>
      <c r="BO113" s="222"/>
      <c r="BU113" s="222"/>
      <c r="BY113" s="222"/>
      <c r="CC113" s="222"/>
      <c r="CG113" s="222"/>
      <c r="CK113" s="222"/>
      <c r="CQ113" s="222"/>
      <c r="CU113" s="222"/>
      <c r="CY113" s="222"/>
    </row>
    <row r="114">
      <c r="A114" s="227"/>
      <c r="E114" s="222"/>
      <c r="I114" s="222"/>
      <c r="M114" s="222"/>
      <c r="Q114" s="222"/>
      <c r="U114" s="222"/>
      <c r="Y114" s="222"/>
      <c r="AC114" s="222"/>
      <c r="AG114" s="222"/>
      <c r="AK114" s="222"/>
      <c r="AO114" s="222"/>
      <c r="AS114" s="222"/>
      <c r="AW114" s="222"/>
      <c r="BA114" s="222"/>
      <c r="BE114" s="222"/>
      <c r="BK114" s="222"/>
      <c r="BO114" s="222"/>
      <c r="BU114" s="222"/>
      <c r="BY114" s="222"/>
      <c r="CC114" s="222"/>
      <c r="CG114" s="222"/>
      <c r="CK114" s="222"/>
      <c r="CQ114" s="222"/>
      <c r="CU114" s="222"/>
      <c r="CY114" s="222"/>
    </row>
    <row r="115">
      <c r="A115" s="227"/>
      <c r="E115" s="222"/>
      <c r="I115" s="222"/>
      <c r="M115" s="222"/>
      <c r="Q115" s="222"/>
      <c r="U115" s="222"/>
      <c r="Y115" s="222"/>
      <c r="AC115" s="222"/>
      <c r="AG115" s="222"/>
      <c r="AK115" s="222"/>
      <c r="AO115" s="222"/>
      <c r="AS115" s="222"/>
      <c r="AW115" s="222"/>
      <c r="BA115" s="222"/>
      <c r="BE115" s="222"/>
      <c r="BK115" s="222"/>
      <c r="BO115" s="222"/>
      <c r="BU115" s="222"/>
      <c r="BY115" s="222"/>
      <c r="CC115" s="222"/>
      <c r="CG115" s="222"/>
      <c r="CK115" s="222"/>
      <c r="CQ115" s="222"/>
      <c r="CU115" s="222"/>
      <c r="CY115" s="222"/>
    </row>
    <row r="116">
      <c r="A116" s="227"/>
      <c r="E116" s="222"/>
      <c r="I116" s="222"/>
      <c r="M116" s="222"/>
      <c r="Q116" s="222"/>
      <c r="U116" s="222"/>
      <c r="Y116" s="222"/>
      <c r="AC116" s="222"/>
      <c r="AG116" s="222"/>
      <c r="AK116" s="222"/>
      <c r="AO116" s="222"/>
      <c r="AS116" s="222"/>
      <c r="AW116" s="222"/>
      <c r="BA116" s="222"/>
      <c r="BE116" s="222"/>
      <c r="BK116" s="222"/>
      <c r="BO116" s="222"/>
      <c r="BU116" s="222"/>
      <c r="BY116" s="222"/>
      <c r="CC116" s="222"/>
      <c r="CG116" s="222"/>
      <c r="CK116" s="222"/>
      <c r="CQ116" s="222"/>
      <c r="CU116" s="222"/>
      <c r="CY116" s="222"/>
    </row>
    <row r="117">
      <c r="A117" s="227"/>
      <c r="E117" s="222"/>
      <c r="I117" s="222"/>
      <c r="M117" s="222"/>
      <c r="Q117" s="222"/>
      <c r="U117" s="222"/>
      <c r="Y117" s="222"/>
      <c r="AC117" s="222"/>
      <c r="AG117" s="222"/>
      <c r="AK117" s="222"/>
      <c r="AO117" s="222"/>
      <c r="AS117" s="222"/>
      <c r="AW117" s="222"/>
      <c r="BA117" s="222"/>
      <c r="BE117" s="222"/>
      <c r="BK117" s="222"/>
      <c r="BO117" s="222"/>
      <c r="BU117" s="222"/>
      <c r="BY117" s="222"/>
      <c r="CC117" s="222"/>
      <c r="CG117" s="222"/>
      <c r="CK117" s="222"/>
      <c r="CQ117" s="222"/>
      <c r="CU117" s="222"/>
      <c r="CY117" s="222"/>
    </row>
    <row r="118">
      <c r="A118" s="227"/>
      <c r="E118" s="222"/>
      <c r="I118" s="222"/>
      <c r="M118" s="222"/>
      <c r="Q118" s="222"/>
      <c r="U118" s="222"/>
      <c r="Y118" s="222"/>
      <c r="AC118" s="222"/>
      <c r="AG118" s="222"/>
      <c r="AK118" s="222"/>
      <c r="AO118" s="222"/>
      <c r="AS118" s="222"/>
      <c r="AW118" s="222"/>
      <c r="BA118" s="222"/>
      <c r="BE118" s="222"/>
      <c r="BK118" s="222"/>
      <c r="BO118" s="222"/>
      <c r="BU118" s="222"/>
      <c r="BY118" s="222"/>
      <c r="CC118" s="222"/>
      <c r="CG118" s="222"/>
      <c r="CK118" s="222"/>
      <c r="CQ118" s="222"/>
      <c r="CU118" s="222"/>
      <c r="CY118" s="222"/>
    </row>
    <row r="119">
      <c r="A119" s="227"/>
      <c r="E119" s="222"/>
      <c r="I119" s="222"/>
      <c r="M119" s="222"/>
      <c r="Q119" s="222"/>
      <c r="U119" s="222"/>
      <c r="Y119" s="222"/>
      <c r="AC119" s="222"/>
      <c r="AG119" s="222"/>
      <c r="AK119" s="222"/>
      <c r="AO119" s="222"/>
      <c r="AS119" s="222"/>
      <c r="AW119" s="222"/>
      <c r="BA119" s="222"/>
      <c r="BE119" s="222"/>
      <c r="BK119" s="222"/>
      <c r="BO119" s="222"/>
      <c r="BU119" s="222"/>
      <c r="BY119" s="222"/>
      <c r="CC119" s="222"/>
      <c r="CG119" s="222"/>
      <c r="CK119" s="222"/>
      <c r="CQ119" s="222"/>
      <c r="CU119" s="222"/>
      <c r="CY119" s="222"/>
    </row>
    <row r="120">
      <c r="A120" s="227"/>
      <c r="E120" s="222"/>
      <c r="I120" s="222"/>
      <c r="M120" s="222"/>
      <c r="Q120" s="222"/>
      <c r="U120" s="222"/>
      <c r="Y120" s="222"/>
      <c r="AC120" s="222"/>
      <c r="AG120" s="222"/>
      <c r="AK120" s="222"/>
      <c r="AO120" s="222"/>
      <c r="AS120" s="222"/>
      <c r="AW120" s="222"/>
      <c r="BA120" s="222"/>
      <c r="BE120" s="222"/>
      <c r="BK120" s="222"/>
      <c r="BO120" s="222"/>
      <c r="BU120" s="222"/>
      <c r="BY120" s="222"/>
      <c r="CC120" s="222"/>
      <c r="CG120" s="222"/>
      <c r="CK120" s="222"/>
      <c r="CQ120" s="222"/>
      <c r="CU120" s="222"/>
      <c r="CY120" s="222"/>
    </row>
    <row r="121">
      <c r="A121" s="227"/>
      <c r="E121" s="222"/>
      <c r="I121" s="222"/>
      <c r="M121" s="222"/>
      <c r="Q121" s="222"/>
      <c r="U121" s="222"/>
      <c r="Y121" s="222"/>
      <c r="AC121" s="222"/>
      <c r="AG121" s="222"/>
      <c r="AK121" s="222"/>
      <c r="AO121" s="222"/>
      <c r="AS121" s="222"/>
      <c r="AW121" s="222"/>
      <c r="BA121" s="222"/>
      <c r="BE121" s="222"/>
      <c r="BK121" s="222"/>
      <c r="BO121" s="222"/>
      <c r="BU121" s="222"/>
      <c r="BY121" s="222"/>
      <c r="CC121" s="222"/>
      <c r="CG121" s="222"/>
      <c r="CK121" s="222"/>
      <c r="CQ121" s="222"/>
      <c r="CU121" s="222"/>
      <c r="CY121" s="222"/>
    </row>
    <row r="122">
      <c r="A122" s="227"/>
      <c r="E122" s="222"/>
      <c r="I122" s="222"/>
      <c r="M122" s="222"/>
      <c r="Q122" s="222"/>
      <c r="U122" s="222"/>
      <c r="Y122" s="222"/>
      <c r="AC122" s="222"/>
      <c r="AG122" s="222"/>
      <c r="AK122" s="222"/>
      <c r="AO122" s="222"/>
      <c r="AS122" s="222"/>
      <c r="AW122" s="222"/>
      <c r="BA122" s="222"/>
      <c r="BE122" s="222"/>
      <c r="BK122" s="222"/>
      <c r="BO122" s="222"/>
      <c r="BU122" s="222"/>
      <c r="BY122" s="222"/>
      <c r="CC122" s="222"/>
      <c r="CG122" s="222"/>
      <c r="CK122" s="222"/>
      <c r="CQ122" s="222"/>
      <c r="CU122" s="222"/>
      <c r="CY122" s="222"/>
    </row>
    <row r="123">
      <c r="A123" s="227"/>
      <c r="E123" s="222"/>
      <c r="I123" s="222"/>
      <c r="M123" s="222"/>
      <c r="Q123" s="222"/>
      <c r="U123" s="222"/>
      <c r="Y123" s="222"/>
      <c r="AC123" s="222"/>
      <c r="AG123" s="222"/>
      <c r="AK123" s="222"/>
      <c r="AO123" s="222"/>
      <c r="AS123" s="222"/>
      <c r="AW123" s="222"/>
      <c r="BA123" s="222"/>
      <c r="BE123" s="222"/>
      <c r="BK123" s="222"/>
      <c r="BO123" s="222"/>
      <c r="BU123" s="222"/>
      <c r="BY123" s="222"/>
      <c r="CC123" s="222"/>
      <c r="CG123" s="222"/>
      <c r="CK123" s="222"/>
      <c r="CQ123" s="222"/>
      <c r="CU123" s="222"/>
      <c r="CY123" s="222"/>
    </row>
    <row r="124">
      <c r="A124" s="227"/>
      <c r="E124" s="222"/>
      <c r="I124" s="222"/>
      <c r="M124" s="222"/>
      <c r="Q124" s="222"/>
      <c r="U124" s="222"/>
      <c r="Y124" s="222"/>
      <c r="AC124" s="222"/>
      <c r="AG124" s="222"/>
      <c r="AK124" s="222"/>
      <c r="AO124" s="222"/>
      <c r="AS124" s="222"/>
      <c r="AW124" s="222"/>
      <c r="BA124" s="222"/>
      <c r="BE124" s="222"/>
      <c r="BK124" s="222"/>
      <c r="BO124" s="222"/>
      <c r="BU124" s="222"/>
      <c r="BY124" s="222"/>
      <c r="CC124" s="222"/>
      <c r="CG124" s="222"/>
      <c r="CK124" s="222"/>
      <c r="CQ124" s="222"/>
      <c r="CU124" s="222"/>
      <c r="CY124" s="222"/>
    </row>
    <row r="125">
      <c r="A125" s="227"/>
      <c r="E125" s="222"/>
      <c r="I125" s="222"/>
      <c r="M125" s="222"/>
      <c r="Q125" s="222"/>
      <c r="U125" s="222"/>
      <c r="Y125" s="222"/>
      <c r="AC125" s="222"/>
      <c r="AG125" s="222"/>
      <c r="AK125" s="222"/>
      <c r="AO125" s="222"/>
      <c r="AS125" s="222"/>
      <c r="AW125" s="222"/>
      <c r="BA125" s="222"/>
      <c r="BE125" s="222"/>
      <c r="BK125" s="222"/>
      <c r="BO125" s="222"/>
      <c r="BU125" s="222"/>
      <c r="BY125" s="222"/>
      <c r="CC125" s="222"/>
      <c r="CG125" s="222"/>
      <c r="CK125" s="222"/>
      <c r="CQ125" s="222"/>
      <c r="CU125" s="222"/>
      <c r="CY125" s="222"/>
    </row>
    <row r="126">
      <c r="A126" s="227"/>
      <c r="E126" s="222"/>
      <c r="I126" s="222"/>
      <c r="M126" s="222"/>
      <c r="Q126" s="222"/>
      <c r="U126" s="222"/>
      <c r="Y126" s="222"/>
      <c r="AC126" s="222"/>
      <c r="AG126" s="222"/>
      <c r="AK126" s="222"/>
      <c r="AO126" s="222"/>
      <c r="AS126" s="222"/>
      <c r="AW126" s="222"/>
      <c r="BA126" s="222"/>
      <c r="BE126" s="222"/>
      <c r="BK126" s="222"/>
      <c r="BO126" s="222"/>
      <c r="BU126" s="222"/>
      <c r="BY126" s="222"/>
      <c r="CC126" s="222"/>
      <c r="CG126" s="222"/>
      <c r="CK126" s="222"/>
      <c r="CQ126" s="222"/>
      <c r="CU126" s="222"/>
      <c r="CY126" s="222"/>
    </row>
    <row r="127">
      <c r="A127" s="227"/>
      <c r="E127" s="222"/>
      <c r="I127" s="222"/>
      <c r="M127" s="222"/>
      <c r="Q127" s="222"/>
      <c r="U127" s="222"/>
      <c r="Y127" s="222"/>
      <c r="AC127" s="222"/>
      <c r="AG127" s="222"/>
      <c r="AK127" s="222"/>
      <c r="AO127" s="222"/>
      <c r="AS127" s="222"/>
      <c r="AW127" s="222"/>
      <c r="BA127" s="222"/>
      <c r="BE127" s="222"/>
      <c r="BK127" s="222"/>
      <c r="BO127" s="222"/>
      <c r="BU127" s="222"/>
      <c r="BY127" s="222"/>
      <c r="CC127" s="222"/>
      <c r="CG127" s="222"/>
      <c r="CK127" s="222"/>
      <c r="CQ127" s="222"/>
      <c r="CU127" s="222"/>
      <c r="CY127" s="222"/>
    </row>
    <row r="128">
      <c r="A128" s="227"/>
      <c r="E128" s="222"/>
      <c r="I128" s="222"/>
      <c r="M128" s="222"/>
      <c r="Q128" s="222"/>
      <c r="U128" s="222"/>
      <c r="Y128" s="222"/>
      <c r="AC128" s="222"/>
      <c r="AG128" s="222"/>
      <c r="AK128" s="222"/>
      <c r="AO128" s="222"/>
      <c r="AS128" s="222"/>
      <c r="AW128" s="222"/>
      <c r="BA128" s="222"/>
      <c r="BE128" s="222"/>
      <c r="BK128" s="222"/>
      <c r="BO128" s="222"/>
      <c r="BU128" s="222"/>
      <c r="BY128" s="222"/>
      <c r="CC128" s="222"/>
      <c r="CG128" s="222"/>
      <c r="CK128" s="222"/>
      <c r="CQ128" s="222"/>
      <c r="CU128" s="222"/>
      <c r="CY128" s="222"/>
    </row>
    <row r="129">
      <c r="A129" s="227"/>
      <c r="E129" s="222"/>
      <c r="I129" s="222"/>
      <c r="M129" s="222"/>
      <c r="Q129" s="222"/>
      <c r="U129" s="222"/>
      <c r="Y129" s="222"/>
      <c r="AC129" s="222"/>
      <c r="AG129" s="222"/>
      <c r="AK129" s="222"/>
      <c r="AO129" s="222"/>
      <c r="AS129" s="222"/>
      <c r="AW129" s="222"/>
      <c r="BA129" s="222"/>
      <c r="BE129" s="222"/>
      <c r="BK129" s="222"/>
      <c r="BO129" s="222"/>
      <c r="BU129" s="222"/>
      <c r="BY129" s="222"/>
      <c r="CC129" s="222"/>
      <c r="CG129" s="222"/>
      <c r="CK129" s="222"/>
      <c r="CQ129" s="222"/>
      <c r="CU129" s="222"/>
      <c r="CY129" s="222"/>
    </row>
    <row r="130">
      <c r="A130" s="227"/>
      <c r="E130" s="222"/>
      <c r="I130" s="222"/>
      <c r="M130" s="222"/>
      <c r="Q130" s="222"/>
      <c r="U130" s="222"/>
      <c r="Y130" s="222"/>
      <c r="AC130" s="222"/>
      <c r="AG130" s="222"/>
      <c r="AK130" s="222"/>
      <c r="AO130" s="222"/>
      <c r="AS130" s="222"/>
      <c r="AW130" s="222"/>
      <c r="BA130" s="222"/>
      <c r="BE130" s="222"/>
      <c r="BK130" s="222"/>
      <c r="BO130" s="222"/>
      <c r="BU130" s="222"/>
      <c r="BY130" s="222"/>
      <c r="CC130" s="222"/>
      <c r="CG130" s="222"/>
      <c r="CK130" s="222"/>
      <c r="CQ130" s="222"/>
      <c r="CU130" s="222"/>
      <c r="CY130" s="222"/>
    </row>
    <row r="131">
      <c r="A131" s="227"/>
      <c r="E131" s="222"/>
      <c r="I131" s="222"/>
      <c r="M131" s="222"/>
      <c r="Q131" s="222"/>
      <c r="U131" s="222"/>
      <c r="Y131" s="222"/>
      <c r="AC131" s="222"/>
      <c r="AG131" s="222"/>
      <c r="AK131" s="222"/>
      <c r="AO131" s="222"/>
      <c r="AS131" s="222"/>
      <c r="AW131" s="222"/>
      <c r="BA131" s="222"/>
      <c r="BE131" s="222"/>
      <c r="BK131" s="222"/>
      <c r="BO131" s="222"/>
      <c r="BU131" s="222"/>
      <c r="BY131" s="222"/>
      <c r="CC131" s="222"/>
      <c r="CG131" s="222"/>
      <c r="CK131" s="222"/>
      <c r="CQ131" s="222"/>
      <c r="CU131" s="222"/>
      <c r="CY131" s="222"/>
    </row>
    <row r="132">
      <c r="A132" s="227"/>
      <c r="E132" s="222"/>
      <c r="I132" s="222"/>
      <c r="M132" s="222"/>
      <c r="Q132" s="222"/>
      <c r="U132" s="222"/>
      <c r="Y132" s="222"/>
      <c r="AC132" s="222"/>
      <c r="AG132" s="222"/>
      <c r="AK132" s="222"/>
      <c r="AO132" s="222"/>
      <c r="AS132" s="222"/>
      <c r="AW132" s="222"/>
      <c r="BA132" s="222"/>
      <c r="BE132" s="222"/>
      <c r="BK132" s="222"/>
      <c r="BO132" s="222"/>
      <c r="BU132" s="222"/>
      <c r="BY132" s="222"/>
      <c r="CC132" s="222"/>
      <c r="CG132" s="222"/>
      <c r="CK132" s="222"/>
      <c r="CQ132" s="222"/>
      <c r="CU132" s="222"/>
      <c r="CY132" s="222"/>
    </row>
    <row r="133">
      <c r="A133" s="227"/>
      <c r="E133" s="222"/>
      <c r="I133" s="222"/>
      <c r="M133" s="222"/>
      <c r="Q133" s="222"/>
      <c r="U133" s="222"/>
      <c r="Y133" s="222"/>
      <c r="AC133" s="222"/>
      <c r="AG133" s="222"/>
      <c r="AK133" s="222"/>
      <c r="AO133" s="222"/>
      <c r="AS133" s="222"/>
      <c r="AW133" s="222"/>
      <c r="BA133" s="222"/>
      <c r="BE133" s="222"/>
      <c r="BK133" s="222"/>
      <c r="BO133" s="222"/>
      <c r="BU133" s="222"/>
      <c r="BY133" s="222"/>
      <c r="CC133" s="222"/>
      <c r="CG133" s="222"/>
      <c r="CK133" s="222"/>
      <c r="CQ133" s="222"/>
      <c r="CU133" s="222"/>
      <c r="CY133" s="222"/>
    </row>
    <row r="134">
      <c r="A134" s="227"/>
      <c r="E134" s="222"/>
      <c r="I134" s="222"/>
      <c r="M134" s="222"/>
      <c r="Q134" s="222"/>
      <c r="U134" s="222"/>
      <c r="Y134" s="222"/>
      <c r="AC134" s="222"/>
      <c r="AG134" s="222"/>
      <c r="AK134" s="222"/>
      <c r="AO134" s="222"/>
      <c r="AS134" s="222"/>
      <c r="AW134" s="222"/>
      <c r="BA134" s="222"/>
      <c r="BE134" s="222"/>
      <c r="BK134" s="222"/>
      <c r="BO134" s="222"/>
      <c r="BU134" s="222"/>
      <c r="BY134" s="222"/>
      <c r="CC134" s="222"/>
      <c r="CG134" s="222"/>
      <c r="CK134" s="222"/>
      <c r="CQ134" s="222"/>
      <c r="CU134" s="222"/>
      <c r="CY134" s="222"/>
    </row>
    <row r="135">
      <c r="A135" s="227"/>
      <c r="E135" s="222"/>
      <c r="I135" s="222"/>
      <c r="M135" s="222"/>
      <c r="Q135" s="222"/>
      <c r="U135" s="222"/>
      <c r="Y135" s="222"/>
      <c r="AC135" s="222"/>
      <c r="AG135" s="222"/>
      <c r="AK135" s="222"/>
      <c r="AO135" s="222"/>
      <c r="AS135" s="222"/>
      <c r="AW135" s="222"/>
      <c r="BA135" s="222"/>
      <c r="BE135" s="222"/>
      <c r="BK135" s="222"/>
      <c r="BO135" s="222"/>
      <c r="BU135" s="222"/>
      <c r="BY135" s="222"/>
      <c r="CC135" s="222"/>
      <c r="CG135" s="222"/>
      <c r="CK135" s="222"/>
      <c r="CQ135" s="222"/>
      <c r="CU135" s="222"/>
      <c r="CY135" s="222"/>
    </row>
    <row r="136">
      <c r="A136" s="227"/>
      <c r="E136" s="222"/>
      <c r="I136" s="222"/>
      <c r="M136" s="222"/>
      <c r="Q136" s="222"/>
      <c r="U136" s="222"/>
      <c r="Y136" s="222"/>
      <c r="AC136" s="222"/>
      <c r="AG136" s="222"/>
      <c r="AK136" s="222"/>
      <c r="AO136" s="222"/>
      <c r="AS136" s="222"/>
      <c r="AW136" s="222"/>
      <c r="BA136" s="222"/>
      <c r="BE136" s="222"/>
      <c r="BK136" s="222"/>
      <c r="BO136" s="222"/>
      <c r="BU136" s="222"/>
      <c r="BY136" s="222"/>
      <c r="CC136" s="222"/>
      <c r="CG136" s="222"/>
      <c r="CK136" s="222"/>
      <c r="CQ136" s="222"/>
      <c r="CU136" s="222"/>
      <c r="CY136" s="222"/>
    </row>
    <row r="137">
      <c r="A137" s="227"/>
      <c r="E137" s="222"/>
      <c r="I137" s="222"/>
      <c r="M137" s="222"/>
      <c r="Q137" s="222"/>
      <c r="U137" s="222"/>
      <c r="Y137" s="222"/>
      <c r="AC137" s="222"/>
      <c r="AG137" s="222"/>
      <c r="AK137" s="222"/>
      <c r="AO137" s="222"/>
      <c r="AS137" s="222"/>
      <c r="AW137" s="222"/>
      <c r="BA137" s="222"/>
      <c r="BE137" s="222"/>
      <c r="BK137" s="222"/>
      <c r="BO137" s="222"/>
      <c r="BU137" s="222"/>
      <c r="BY137" s="222"/>
      <c r="CC137" s="222"/>
      <c r="CG137" s="222"/>
      <c r="CK137" s="222"/>
      <c r="CQ137" s="222"/>
      <c r="CU137" s="222"/>
      <c r="CY137" s="222"/>
    </row>
    <row r="138">
      <c r="A138" s="227"/>
      <c r="E138" s="222"/>
      <c r="I138" s="222"/>
      <c r="M138" s="222"/>
      <c r="Q138" s="222"/>
      <c r="U138" s="222"/>
      <c r="Y138" s="222"/>
      <c r="AC138" s="222"/>
      <c r="AG138" s="222"/>
      <c r="AK138" s="222"/>
      <c r="AO138" s="222"/>
      <c r="AS138" s="222"/>
      <c r="AW138" s="222"/>
      <c r="BA138" s="222"/>
      <c r="BE138" s="222"/>
      <c r="BK138" s="222"/>
      <c r="BO138" s="222"/>
      <c r="BU138" s="222"/>
      <c r="BY138" s="222"/>
      <c r="CC138" s="222"/>
      <c r="CG138" s="222"/>
      <c r="CK138" s="222"/>
      <c r="CQ138" s="222"/>
      <c r="CU138" s="222"/>
      <c r="CY138" s="222"/>
    </row>
    <row r="139">
      <c r="A139" s="227"/>
      <c r="E139" s="222"/>
      <c r="I139" s="222"/>
      <c r="M139" s="222"/>
      <c r="Q139" s="222"/>
      <c r="U139" s="222"/>
      <c r="Y139" s="222"/>
      <c r="AC139" s="222"/>
      <c r="AG139" s="222"/>
      <c r="AK139" s="222"/>
      <c r="AO139" s="222"/>
      <c r="AS139" s="222"/>
      <c r="AW139" s="222"/>
      <c r="BA139" s="222"/>
      <c r="BE139" s="222"/>
      <c r="BK139" s="222"/>
      <c r="BO139" s="222"/>
      <c r="BU139" s="222"/>
      <c r="BY139" s="222"/>
      <c r="CC139" s="222"/>
      <c r="CG139" s="222"/>
      <c r="CK139" s="222"/>
      <c r="CQ139" s="222"/>
      <c r="CU139" s="222"/>
      <c r="CY139" s="222"/>
    </row>
    <row r="140">
      <c r="A140" s="227"/>
      <c r="E140" s="222"/>
      <c r="I140" s="222"/>
      <c r="M140" s="222"/>
      <c r="Q140" s="222"/>
      <c r="U140" s="222"/>
      <c r="Y140" s="222"/>
      <c r="AC140" s="222"/>
      <c r="AG140" s="222"/>
      <c r="AK140" s="222"/>
      <c r="AO140" s="222"/>
      <c r="AS140" s="222"/>
      <c r="AW140" s="222"/>
      <c r="BA140" s="222"/>
      <c r="BE140" s="222"/>
      <c r="BK140" s="222"/>
      <c r="BO140" s="222"/>
      <c r="BU140" s="222"/>
      <c r="BY140" s="222"/>
      <c r="CC140" s="222"/>
      <c r="CG140" s="222"/>
      <c r="CK140" s="222"/>
      <c r="CQ140" s="222"/>
      <c r="CU140" s="222"/>
      <c r="CY140" s="222"/>
    </row>
    <row r="141">
      <c r="A141" s="227"/>
      <c r="E141" s="222"/>
      <c r="I141" s="222"/>
      <c r="M141" s="222"/>
      <c r="Q141" s="222"/>
      <c r="U141" s="222"/>
      <c r="Y141" s="222"/>
      <c r="AC141" s="222"/>
      <c r="AG141" s="222"/>
      <c r="AK141" s="222"/>
      <c r="AO141" s="222"/>
      <c r="AS141" s="222"/>
      <c r="AW141" s="222"/>
      <c r="BA141" s="222"/>
      <c r="BE141" s="222"/>
      <c r="BK141" s="222"/>
      <c r="BO141" s="222"/>
      <c r="BU141" s="222"/>
      <c r="BY141" s="222"/>
      <c r="CC141" s="222"/>
      <c r="CG141" s="222"/>
      <c r="CK141" s="222"/>
      <c r="CQ141" s="222"/>
      <c r="CU141" s="222"/>
      <c r="CY141" s="222"/>
    </row>
    <row r="142">
      <c r="A142" s="227"/>
      <c r="E142" s="222"/>
      <c r="I142" s="222"/>
      <c r="M142" s="222"/>
      <c r="Q142" s="222"/>
      <c r="U142" s="222"/>
      <c r="Y142" s="222"/>
      <c r="AC142" s="222"/>
      <c r="AG142" s="222"/>
      <c r="AK142" s="222"/>
      <c r="AO142" s="222"/>
      <c r="AS142" s="222"/>
      <c r="AW142" s="222"/>
      <c r="BA142" s="222"/>
      <c r="BE142" s="222"/>
      <c r="BK142" s="222"/>
      <c r="BO142" s="222"/>
      <c r="BU142" s="222"/>
      <c r="BY142" s="222"/>
      <c r="CC142" s="222"/>
      <c r="CG142" s="222"/>
      <c r="CK142" s="222"/>
      <c r="CQ142" s="222"/>
      <c r="CU142" s="222"/>
      <c r="CY142" s="222"/>
    </row>
    <row r="143">
      <c r="A143" s="227"/>
      <c r="E143" s="222"/>
      <c r="I143" s="222"/>
      <c r="M143" s="222"/>
      <c r="Q143" s="222"/>
      <c r="U143" s="222"/>
      <c r="Y143" s="222"/>
      <c r="AC143" s="222"/>
      <c r="AG143" s="222"/>
      <c r="AK143" s="222"/>
      <c r="AO143" s="222"/>
      <c r="AS143" s="222"/>
      <c r="AW143" s="222"/>
      <c r="BA143" s="222"/>
      <c r="BE143" s="222"/>
      <c r="BK143" s="222"/>
      <c r="BO143" s="222"/>
      <c r="BU143" s="222"/>
      <c r="BY143" s="222"/>
      <c r="CC143" s="222"/>
      <c r="CG143" s="222"/>
      <c r="CK143" s="222"/>
      <c r="CQ143" s="222"/>
      <c r="CU143" s="222"/>
      <c r="CY143" s="222"/>
    </row>
    <row r="144">
      <c r="A144" s="227"/>
      <c r="E144" s="222"/>
      <c r="I144" s="222"/>
      <c r="M144" s="222"/>
      <c r="Q144" s="222"/>
      <c r="U144" s="222"/>
      <c r="Y144" s="222"/>
      <c r="AC144" s="222"/>
      <c r="AG144" s="222"/>
      <c r="AK144" s="222"/>
      <c r="AO144" s="222"/>
      <c r="AS144" s="222"/>
      <c r="AW144" s="222"/>
      <c r="BA144" s="222"/>
      <c r="BE144" s="222"/>
      <c r="BK144" s="222"/>
      <c r="BO144" s="222"/>
      <c r="BU144" s="222"/>
      <c r="BY144" s="222"/>
      <c r="CC144" s="222"/>
      <c r="CG144" s="222"/>
      <c r="CK144" s="222"/>
      <c r="CQ144" s="222"/>
      <c r="CU144" s="222"/>
      <c r="CY144" s="222"/>
    </row>
    <row r="145">
      <c r="A145" s="227"/>
      <c r="E145" s="222"/>
      <c r="I145" s="222"/>
      <c r="M145" s="222"/>
      <c r="Q145" s="222"/>
      <c r="U145" s="222"/>
      <c r="Y145" s="222"/>
      <c r="AC145" s="222"/>
      <c r="AG145" s="222"/>
      <c r="AK145" s="222"/>
      <c r="AO145" s="222"/>
      <c r="AS145" s="222"/>
      <c r="AW145" s="222"/>
      <c r="BA145" s="222"/>
      <c r="BE145" s="222"/>
      <c r="BK145" s="222"/>
      <c r="BO145" s="222"/>
      <c r="BU145" s="222"/>
      <c r="BY145" s="222"/>
      <c r="CC145" s="222"/>
      <c r="CG145" s="222"/>
      <c r="CK145" s="222"/>
      <c r="CQ145" s="222"/>
      <c r="CU145" s="222"/>
      <c r="CY145" s="222"/>
    </row>
    <row r="146">
      <c r="A146" s="227"/>
      <c r="E146" s="222"/>
      <c r="I146" s="222"/>
      <c r="M146" s="222"/>
      <c r="Q146" s="222"/>
      <c r="U146" s="222"/>
      <c r="Y146" s="222"/>
      <c r="AC146" s="222"/>
      <c r="AG146" s="222"/>
      <c r="AK146" s="222"/>
      <c r="AO146" s="222"/>
      <c r="AS146" s="222"/>
      <c r="AW146" s="222"/>
      <c r="BA146" s="222"/>
      <c r="BE146" s="222"/>
      <c r="BK146" s="222"/>
      <c r="BO146" s="222"/>
      <c r="BU146" s="222"/>
      <c r="BY146" s="222"/>
      <c r="CC146" s="222"/>
      <c r="CG146" s="222"/>
      <c r="CK146" s="222"/>
      <c r="CQ146" s="222"/>
      <c r="CU146" s="222"/>
      <c r="CY146" s="222"/>
    </row>
    <row r="147">
      <c r="A147" s="227"/>
      <c r="E147" s="222"/>
      <c r="I147" s="222"/>
      <c r="M147" s="222"/>
      <c r="Q147" s="222"/>
      <c r="U147" s="222"/>
      <c r="Y147" s="222"/>
      <c r="AC147" s="222"/>
      <c r="AG147" s="222"/>
      <c r="AK147" s="222"/>
      <c r="AO147" s="222"/>
      <c r="AS147" s="222"/>
      <c r="AW147" s="222"/>
      <c r="BA147" s="222"/>
      <c r="BE147" s="222"/>
      <c r="BK147" s="222"/>
      <c r="BO147" s="222"/>
      <c r="BU147" s="222"/>
      <c r="BY147" s="222"/>
      <c r="CC147" s="222"/>
      <c r="CG147" s="222"/>
      <c r="CK147" s="222"/>
      <c r="CQ147" s="222"/>
      <c r="CU147" s="222"/>
      <c r="CY147" s="222"/>
    </row>
    <row r="148">
      <c r="A148" s="227"/>
      <c r="E148" s="222"/>
      <c r="I148" s="222"/>
      <c r="M148" s="222"/>
      <c r="Q148" s="222"/>
      <c r="U148" s="222"/>
      <c r="Y148" s="222"/>
      <c r="AC148" s="222"/>
      <c r="AG148" s="222"/>
      <c r="AK148" s="222"/>
      <c r="AO148" s="222"/>
      <c r="AS148" s="222"/>
      <c r="AW148" s="222"/>
      <c r="BA148" s="222"/>
      <c r="BE148" s="222"/>
      <c r="BK148" s="222"/>
      <c r="BO148" s="222"/>
      <c r="BU148" s="222"/>
      <c r="BY148" s="222"/>
      <c r="CC148" s="222"/>
      <c r="CG148" s="222"/>
      <c r="CK148" s="222"/>
      <c r="CQ148" s="222"/>
      <c r="CU148" s="222"/>
      <c r="CY148" s="222"/>
    </row>
    <row r="149">
      <c r="A149" s="227"/>
      <c r="E149" s="222"/>
      <c r="I149" s="222"/>
      <c r="M149" s="222"/>
      <c r="Q149" s="222"/>
      <c r="U149" s="222"/>
      <c r="Y149" s="222"/>
      <c r="AC149" s="222"/>
      <c r="AG149" s="222"/>
      <c r="AK149" s="222"/>
      <c r="AO149" s="222"/>
      <c r="AS149" s="222"/>
      <c r="AW149" s="222"/>
      <c r="BA149" s="222"/>
      <c r="BE149" s="222"/>
      <c r="BK149" s="222"/>
      <c r="BO149" s="222"/>
      <c r="BU149" s="222"/>
      <c r="BY149" s="222"/>
      <c r="CC149" s="222"/>
      <c r="CG149" s="222"/>
      <c r="CK149" s="222"/>
      <c r="CQ149" s="222"/>
      <c r="CU149" s="222"/>
      <c r="CY149" s="222"/>
    </row>
    <row r="150">
      <c r="A150" s="227"/>
      <c r="E150" s="222"/>
      <c r="I150" s="222"/>
      <c r="M150" s="222"/>
      <c r="Q150" s="222"/>
      <c r="U150" s="222"/>
      <c r="Y150" s="222"/>
      <c r="AC150" s="222"/>
      <c r="AG150" s="222"/>
      <c r="AK150" s="222"/>
      <c r="AO150" s="222"/>
      <c r="AS150" s="222"/>
      <c r="AW150" s="222"/>
      <c r="BA150" s="222"/>
      <c r="BE150" s="222"/>
      <c r="BK150" s="222"/>
      <c r="BO150" s="222"/>
      <c r="BU150" s="222"/>
      <c r="BY150" s="222"/>
      <c r="CC150" s="222"/>
      <c r="CG150" s="222"/>
      <c r="CK150" s="222"/>
      <c r="CQ150" s="222"/>
      <c r="CU150" s="222"/>
      <c r="CY150" s="222"/>
    </row>
    <row r="151">
      <c r="A151" s="227"/>
      <c r="E151" s="222"/>
      <c r="I151" s="222"/>
      <c r="M151" s="222"/>
      <c r="Q151" s="222"/>
      <c r="U151" s="222"/>
      <c r="Y151" s="222"/>
      <c r="AC151" s="222"/>
      <c r="AG151" s="222"/>
      <c r="AK151" s="222"/>
      <c r="AO151" s="222"/>
      <c r="AS151" s="222"/>
      <c r="AW151" s="222"/>
      <c r="BA151" s="222"/>
      <c r="BE151" s="222"/>
      <c r="BK151" s="222"/>
      <c r="BO151" s="222"/>
      <c r="BU151" s="222"/>
      <c r="BY151" s="222"/>
      <c r="CC151" s="222"/>
      <c r="CG151" s="222"/>
      <c r="CK151" s="222"/>
      <c r="CQ151" s="222"/>
      <c r="CU151" s="222"/>
      <c r="CY151" s="222"/>
    </row>
    <row r="152">
      <c r="A152" s="227"/>
      <c r="E152" s="222"/>
      <c r="I152" s="222"/>
      <c r="M152" s="222"/>
      <c r="Q152" s="222"/>
      <c r="U152" s="222"/>
      <c r="Y152" s="222"/>
      <c r="AC152" s="222"/>
      <c r="AG152" s="222"/>
      <c r="AK152" s="222"/>
      <c r="AO152" s="222"/>
      <c r="AS152" s="222"/>
      <c r="AW152" s="222"/>
      <c r="BA152" s="222"/>
      <c r="BE152" s="222"/>
      <c r="BK152" s="222"/>
      <c r="BO152" s="222"/>
      <c r="BU152" s="222"/>
      <c r="BY152" s="222"/>
      <c r="CC152" s="222"/>
      <c r="CG152" s="222"/>
      <c r="CK152" s="222"/>
      <c r="CQ152" s="222"/>
      <c r="CU152" s="222"/>
      <c r="CY152" s="222"/>
    </row>
    <row r="153">
      <c r="A153" s="227"/>
      <c r="E153" s="222"/>
      <c r="I153" s="222"/>
      <c r="M153" s="222"/>
      <c r="Q153" s="222"/>
      <c r="U153" s="222"/>
      <c r="Y153" s="222"/>
      <c r="AC153" s="222"/>
      <c r="AG153" s="222"/>
      <c r="AK153" s="222"/>
      <c r="AO153" s="222"/>
      <c r="AS153" s="222"/>
      <c r="AW153" s="222"/>
      <c r="BA153" s="222"/>
      <c r="BE153" s="222"/>
      <c r="BK153" s="222"/>
      <c r="BO153" s="222"/>
      <c r="BU153" s="222"/>
      <c r="BY153" s="222"/>
      <c r="CC153" s="222"/>
      <c r="CG153" s="222"/>
      <c r="CK153" s="222"/>
      <c r="CQ153" s="222"/>
      <c r="CU153" s="222"/>
      <c r="CY153" s="222"/>
    </row>
    <row r="154">
      <c r="A154" s="227"/>
      <c r="E154" s="222"/>
      <c r="I154" s="222"/>
      <c r="M154" s="222"/>
      <c r="Q154" s="222"/>
      <c r="U154" s="222"/>
      <c r="Y154" s="222"/>
      <c r="AC154" s="222"/>
      <c r="AG154" s="222"/>
      <c r="AK154" s="222"/>
      <c r="AO154" s="222"/>
      <c r="AS154" s="222"/>
      <c r="AW154" s="222"/>
      <c r="BA154" s="222"/>
      <c r="BE154" s="222"/>
      <c r="BK154" s="222"/>
      <c r="BO154" s="222"/>
      <c r="BU154" s="222"/>
      <c r="BY154" s="222"/>
      <c r="CC154" s="222"/>
      <c r="CG154" s="222"/>
      <c r="CK154" s="222"/>
      <c r="CQ154" s="222"/>
      <c r="CU154" s="222"/>
      <c r="CY154" s="222"/>
    </row>
    <row r="155">
      <c r="A155" s="227"/>
      <c r="E155" s="222"/>
      <c r="I155" s="222"/>
      <c r="M155" s="222"/>
      <c r="Q155" s="222"/>
      <c r="U155" s="222"/>
      <c r="Y155" s="222"/>
      <c r="AC155" s="222"/>
      <c r="AG155" s="222"/>
      <c r="AK155" s="222"/>
      <c r="AO155" s="222"/>
      <c r="AS155" s="222"/>
      <c r="AW155" s="222"/>
      <c r="BA155" s="222"/>
      <c r="BE155" s="222"/>
      <c r="BK155" s="222"/>
      <c r="BO155" s="222"/>
      <c r="BU155" s="222"/>
      <c r="BY155" s="222"/>
      <c r="CC155" s="222"/>
      <c r="CG155" s="222"/>
      <c r="CK155" s="222"/>
      <c r="CQ155" s="222"/>
      <c r="CU155" s="222"/>
      <c r="CY155" s="222"/>
    </row>
    <row r="156">
      <c r="A156" s="227"/>
      <c r="E156" s="222"/>
      <c r="I156" s="222"/>
      <c r="M156" s="222"/>
      <c r="Q156" s="222"/>
      <c r="U156" s="222"/>
      <c r="Y156" s="222"/>
      <c r="AC156" s="222"/>
      <c r="AG156" s="222"/>
      <c r="AK156" s="222"/>
      <c r="AO156" s="222"/>
      <c r="AS156" s="222"/>
      <c r="AW156" s="222"/>
      <c r="BA156" s="222"/>
      <c r="BE156" s="222"/>
      <c r="BK156" s="222"/>
      <c r="BO156" s="222"/>
      <c r="BU156" s="222"/>
      <c r="BY156" s="222"/>
      <c r="CC156" s="222"/>
      <c r="CG156" s="222"/>
      <c r="CK156" s="222"/>
      <c r="CQ156" s="222"/>
      <c r="CU156" s="222"/>
      <c r="CY156" s="222"/>
    </row>
    <row r="157">
      <c r="A157" s="227"/>
      <c r="E157" s="222"/>
      <c r="I157" s="222"/>
      <c r="M157" s="222"/>
      <c r="Q157" s="222"/>
      <c r="U157" s="222"/>
      <c r="Y157" s="222"/>
      <c r="AC157" s="222"/>
      <c r="AG157" s="222"/>
      <c r="AK157" s="222"/>
      <c r="AO157" s="222"/>
      <c r="AS157" s="222"/>
      <c r="AW157" s="222"/>
      <c r="BA157" s="222"/>
      <c r="BE157" s="222"/>
      <c r="BK157" s="222"/>
      <c r="BO157" s="222"/>
      <c r="BU157" s="222"/>
      <c r="BY157" s="222"/>
      <c r="CC157" s="222"/>
      <c r="CG157" s="222"/>
      <c r="CK157" s="222"/>
      <c r="CQ157" s="222"/>
      <c r="CU157" s="222"/>
      <c r="CY157" s="222"/>
    </row>
    <row r="158">
      <c r="A158" s="227"/>
      <c r="E158" s="222"/>
      <c r="I158" s="222"/>
      <c r="M158" s="222"/>
      <c r="Q158" s="222"/>
      <c r="U158" s="222"/>
      <c r="Y158" s="222"/>
      <c r="AC158" s="222"/>
      <c r="AG158" s="222"/>
      <c r="AK158" s="222"/>
      <c r="AO158" s="222"/>
      <c r="AS158" s="222"/>
      <c r="AW158" s="222"/>
      <c r="BA158" s="222"/>
      <c r="BE158" s="222"/>
      <c r="BK158" s="222"/>
      <c r="BO158" s="222"/>
      <c r="BU158" s="222"/>
      <c r="BY158" s="222"/>
      <c r="CC158" s="222"/>
      <c r="CG158" s="222"/>
      <c r="CK158" s="222"/>
      <c r="CQ158" s="222"/>
      <c r="CU158" s="222"/>
      <c r="CY158" s="222"/>
    </row>
    <row r="159">
      <c r="A159" s="227"/>
      <c r="E159" s="222"/>
      <c r="I159" s="222"/>
      <c r="M159" s="222"/>
      <c r="Q159" s="222"/>
      <c r="U159" s="222"/>
      <c r="Y159" s="222"/>
      <c r="AC159" s="222"/>
      <c r="AG159" s="222"/>
      <c r="AK159" s="222"/>
      <c r="AO159" s="222"/>
      <c r="AS159" s="222"/>
      <c r="AW159" s="222"/>
      <c r="BA159" s="222"/>
      <c r="BE159" s="222"/>
      <c r="BK159" s="222"/>
      <c r="BO159" s="222"/>
      <c r="BU159" s="222"/>
      <c r="BY159" s="222"/>
      <c r="CC159" s="222"/>
      <c r="CG159" s="222"/>
      <c r="CK159" s="222"/>
      <c r="CQ159" s="222"/>
      <c r="CU159" s="222"/>
      <c r="CY159" s="222"/>
    </row>
    <row r="160">
      <c r="A160" s="227"/>
      <c r="E160" s="222"/>
      <c r="I160" s="222"/>
      <c r="M160" s="222"/>
      <c r="Q160" s="222"/>
      <c r="U160" s="222"/>
      <c r="Y160" s="222"/>
      <c r="AC160" s="222"/>
      <c r="AG160" s="222"/>
      <c r="AK160" s="222"/>
      <c r="AO160" s="222"/>
      <c r="AS160" s="222"/>
      <c r="AW160" s="222"/>
      <c r="BA160" s="222"/>
      <c r="BE160" s="222"/>
      <c r="BK160" s="222"/>
      <c r="BO160" s="222"/>
      <c r="BU160" s="222"/>
      <c r="BY160" s="222"/>
      <c r="CC160" s="222"/>
      <c r="CG160" s="222"/>
      <c r="CK160" s="222"/>
      <c r="CQ160" s="222"/>
      <c r="CU160" s="222"/>
      <c r="CY160" s="222"/>
    </row>
    <row r="161">
      <c r="A161" s="227"/>
      <c r="E161" s="222"/>
      <c r="I161" s="222"/>
      <c r="M161" s="222"/>
      <c r="Q161" s="222"/>
      <c r="U161" s="222"/>
      <c r="Y161" s="222"/>
      <c r="AC161" s="222"/>
      <c r="AG161" s="222"/>
      <c r="AK161" s="222"/>
      <c r="AO161" s="222"/>
      <c r="AS161" s="222"/>
      <c r="AW161" s="222"/>
      <c r="BA161" s="222"/>
      <c r="BE161" s="222"/>
      <c r="BK161" s="222"/>
      <c r="BO161" s="222"/>
      <c r="BU161" s="222"/>
      <c r="BY161" s="222"/>
      <c r="CC161" s="222"/>
      <c r="CG161" s="222"/>
      <c r="CK161" s="222"/>
      <c r="CQ161" s="222"/>
      <c r="CU161" s="222"/>
      <c r="CY161" s="222"/>
    </row>
    <row r="162">
      <c r="A162" s="227"/>
      <c r="E162" s="222"/>
      <c r="I162" s="222"/>
      <c r="M162" s="222"/>
      <c r="Q162" s="222"/>
      <c r="U162" s="222"/>
      <c r="Y162" s="222"/>
      <c r="AC162" s="222"/>
      <c r="AG162" s="222"/>
      <c r="AK162" s="222"/>
      <c r="AO162" s="222"/>
      <c r="AS162" s="222"/>
      <c r="AW162" s="222"/>
      <c r="BA162" s="222"/>
      <c r="BE162" s="222"/>
      <c r="BK162" s="222"/>
      <c r="BO162" s="222"/>
      <c r="BU162" s="222"/>
      <c r="BY162" s="222"/>
      <c r="CC162" s="222"/>
      <c r="CG162" s="222"/>
      <c r="CK162" s="222"/>
      <c r="CQ162" s="222"/>
      <c r="CU162" s="222"/>
      <c r="CY162" s="222"/>
    </row>
    <row r="163">
      <c r="A163" s="227"/>
      <c r="E163" s="222"/>
      <c r="I163" s="222"/>
      <c r="M163" s="222"/>
      <c r="Q163" s="222"/>
      <c r="U163" s="222"/>
      <c r="Y163" s="222"/>
      <c r="AC163" s="222"/>
      <c r="AG163" s="222"/>
      <c r="AK163" s="222"/>
      <c r="AO163" s="222"/>
      <c r="AS163" s="222"/>
      <c r="AW163" s="222"/>
      <c r="BA163" s="222"/>
      <c r="BE163" s="222"/>
      <c r="BK163" s="222"/>
      <c r="BO163" s="222"/>
      <c r="BU163" s="222"/>
      <c r="BY163" s="222"/>
      <c r="CC163" s="222"/>
      <c r="CG163" s="222"/>
      <c r="CK163" s="222"/>
      <c r="CQ163" s="222"/>
      <c r="CU163" s="222"/>
      <c r="CY163" s="222"/>
    </row>
    <row r="164">
      <c r="A164" s="227"/>
      <c r="E164" s="222"/>
      <c r="I164" s="222"/>
      <c r="M164" s="222"/>
      <c r="Q164" s="222"/>
      <c r="U164" s="222"/>
      <c r="Y164" s="222"/>
      <c r="AC164" s="222"/>
      <c r="AG164" s="222"/>
      <c r="AK164" s="222"/>
      <c r="AO164" s="222"/>
      <c r="AS164" s="222"/>
      <c r="AW164" s="222"/>
      <c r="BA164" s="222"/>
      <c r="BE164" s="222"/>
      <c r="BK164" s="222"/>
      <c r="BO164" s="222"/>
      <c r="BU164" s="222"/>
      <c r="BY164" s="222"/>
      <c r="CC164" s="222"/>
      <c r="CG164" s="222"/>
      <c r="CK164" s="222"/>
      <c r="CQ164" s="222"/>
      <c r="CU164" s="222"/>
      <c r="CY164" s="222"/>
    </row>
    <row r="165">
      <c r="A165" s="227"/>
      <c r="E165" s="222"/>
      <c r="I165" s="222"/>
      <c r="M165" s="222"/>
      <c r="Q165" s="222"/>
      <c r="U165" s="222"/>
      <c r="Y165" s="222"/>
      <c r="AC165" s="222"/>
      <c r="AG165" s="222"/>
      <c r="AK165" s="222"/>
      <c r="AO165" s="222"/>
      <c r="AS165" s="222"/>
      <c r="AW165" s="222"/>
      <c r="BA165" s="222"/>
      <c r="BE165" s="222"/>
      <c r="BK165" s="222"/>
      <c r="BO165" s="222"/>
      <c r="BU165" s="222"/>
      <c r="BY165" s="222"/>
      <c r="CC165" s="222"/>
      <c r="CG165" s="222"/>
      <c r="CK165" s="222"/>
      <c r="CQ165" s="222"/>
      <c r="CU165" s="222"/>
      <c r="CY165" s="222"/>
    </row>
    <row r="166">
      <c r="A166" s="227"/>
      <c r="E166" s="222"/>
      <c r="I166" s="222"/>
      <c r="M166" s="222"/>
      <c r="Q166" s="222"/>
      <c r="U166" s="222"/>
      <c r="Y166" s="222"/>
      <c r="AC166" s="222"/>
      <c r="AG166" s="222"/>
      <c r="AK166" s="222"/>
      <c r="AO166" s="222"/>
      <c r="AS166" s="222"/>
      <c r="AW166" s="222"/>
      <c r="BA166" s="222"/>
      <c r="BE166" s="222"/>
      <c r="BK166" s="222"/>
      <c r="BO166" s="222"/>
      <c r="BU166" s="222"/>
      <c r="BY166" s="222"/>
      <c r="CC166" s="222"/>
      <c r="CG166" s="222"/>
      <c r="CK166" s="222"/>
      <c r="CQ166" s="222"/>
      <c r="CU166" s="222"/>
      <c r="CY166" s="222"/>
    </row>
    <row r="167">
      <c r="A167" s="227"/>
      <c r="E167" s="222"/>
      <c r="I167" s="222"/>
      <c r="M167" s="222"/>
      <c r="Q167" s="222"/>
      <c r="U167" s="222"/>
      <c r="Y167" s="222"/>
      <c r="AC167" s="222"/>
      <c r="AG167" s="222"/>
      <c r="AK167" s="222"/>
      <c r="AO167" s="222"/>
      <c r="AS167" s="222"/>
      <c r="AW167" s="222"/>
      <c r="BA167" s="222"/>
      <c r="BE167" s="222"/>
      <c r="BK167" s="222"/>
      <c r="BO167" s="222"/>
      <c r="BU167" s="222"/>
      <c r="BY167" s="222"/>
      <c r="CC167" s="222"/>
      <c r="CG167" s="222"/>
      <c r="CK167" s="222"/>
      <c r="CQ167" s="222"/>
      <c r="CU167" s="222"/>
      <c r="CY167" s="222"/>
    </row>
    <row r="168">
      <c r="A168" s="227"/>
      <c r="E168" s="222"/>
      <c r="I168" s="222"/>
      <c r="M168" s="222"/>
      <c r="Q168" s="222"/>
      <c r="U168" s="222"/>
      <c r="Y168" s="222"/>
      <c r="AC168" s="222"/>
      <c r="AG168" s="222"/>
      <c r="AK168" s="222"/>
      <c r="AO168" s="222"/>
      <c r="AS168" s="222"/>
      <c r="AW168" s="222"/>
      <c r="BA168" s="222"/>
      <c r="BE168" s="222"/>
      <c r="BK168" s="222"/>
      <c r="BO168" s="222"/>
      <c r="BU168" s="222"/>
      <c r="BY168" s="222"/>
      <c r="CC168" s="222"/>
      <c r="CG168" s="222"/>
      <c r="CK168" s="222"/>
      <c r="CQ168" s="222"/>
      <c r="CU168" s="222"/>
      <c r="CY168" s="222"/>
    </row>
    <row r="169">
      <c r="A169" s="227"/>
      <c r="E169" s="222"/>
      <c r="I169" s="222"/>
      <c r="M169" s="222"/>
      <c r="Q169" s="222"/>
      <c r="U169" s="222"/>
      <c r="Y169" s="222"/>
      <c r="AC169" s="222"/>
      <c r="AG169" s="222"/>
      <c r="AK169" s="222"/>
      <c r="AO169" s="222"/>
      <c r="AS169" s="222"/>
      <c r="AW169" s="222"/>
      <c r="BA169" s="222"/>
      <c r="BE169" s="222"/>
      <c r="BK169" s="222"/>
      <c r="BO169" s="222"/>
      <c r="BU169" s="222"/>
      <c r="BY169" s="222"/>
      <c r="CC169" s="222"/>
      <c r="CG169" s="222"/>
      <c r="CK169" s="222"/>
      <c r="CQ169" s="222"/>
      <c r="CU169" s="222"/>
      <c r="CY169" s="222"/>
    </row>
    <row r="170">
      <c r="A170" s="227"/>
      <c r="E170" s="222"/>
      <c r="I170" s="222"/>
      <c r="M170" s="222"/>
      <c r="Q170" s="222"/>
      <c r="U170" s="222"/>
      <c r="Y170" s="222"/>
      <c r="AC170" s="222"/>
      <c r="AG170" s="222"/>
      <c r="AK170" s="222"/>
      <c r="AO170" s="222"/>
      <c r="AS170" s="222"/>
      <c r="AW170" s="222"/>
      <c r="BA170" s="222"/>
      <c r="BE170" s="222"/>
      <c r="BK170" s="222"/>
      <c r="BO170" s="222"/>
      <c r="BU170" s="222"/>
      <c r="BY170" s="222"/>
      <c r="CC170" s="222"/>
      <c r="CG170" s="222"/>
      <c r="CK170" s="222"/>
      <c r="CQ170" s="222"/>
      <c r="CU170" s="222"/>
      <c r="CY170" s="222"/>
    </row>
    <row r="171">
      <c r="A171" s="227"/>
      <c r="E171" s="222"/>
      <c r="I171" s="222"/>
      <c r="M171" s="222"/>
      <c r="Q171" s="222"/>
      <c r="U171" s="222"/>
      <c r="Y171" s="222"/>
      <c r="AC171" s="222"/>
      <c r="AG171" s="222"/>
      <c r="AK171" s="222"/>
      <c r="AO171" s="222"/>
      <c r="AS171" s="222"/>
      <c r="AW171" s="222"/>
      <c r="BA171" s="222"/>
      <c r="BE171" s="222"/>
      <c r="BK171" s="222"/>
      <c r="BO171" s="222"/>
      <c r="BU171" s="222"/>
      <c r="BY171" s="222"/>
      <c r="CC171" s="222"/>
      <c r="CG171" s="222"/>
      <c r="CK171" s="222"/>
      <c r="CQ171" s="222"/>
      <c r="CU171" s="222"/>
      <c r="CY171" s="222"/>
    </row>
    <row r="172">
      <c r="A172" s="227"/>
      <c r="E172" s="222"/>
      <c r="I172" s="222"/>
      <c r="M172" s="222"/>
      <c r="Q172" s="222"/>
      <c r="U172" s="222"/>
      <c r="Y172" s="222"/>
      <c r="AC172" s="222"/>
      <c r="AG172" s="222"/>
      <c r="AK172" s="222"/>
      <c r="AO172" s="222"/>
      <c r="AS172" s="222"/>
      <c r="AW172" s="222"/>
      <c r="BA172" s="222"/>
      <c r="BE172" s="222"/>
      <c r="BK172" s="222"/>
      <c r="BO172" s="222"/>
      <c r="BU172" s="222"/>
      <c r="BY172" s="222"/>
      <c r="CC172" s="222"/>
      <c r="CG172" s="222"/>
      <c r="CK172" s="222"/>
      <c r="CQ172" s="222"/>
      <c r="CU172" s="222"/>
      <c r="CY172" s="222"/>
    </row>
    <row r="173">
      <c r="A173" s="227"/>
      <c r="E173" s="222"/>
      <c r="I173" s="222"/>
      <c r="M173" s="222"/>
      <c r="Q173" s="222"/>
      <c r="U173" s="222"/>
      <c r="Y173" s="222"/>
      <c r="AC173" s="222"/>
      <c r="AG173" s="222"/>
      <c r="AK173" s="222"/>
      <c r="AO173" s="222"/>
      <c r="AS173" s="222"/>
      <c r="AW173" s="222"/>
      <c r="BA173" s="222"/>
      <c r="BE173" s="222"/>
      <c r="BK173" s="222"/>
      <c r="BO173" s="222"/>
      <c r="BU173" s="222"/>
      <c r="BY173" s="222"/>
      <c r="CC173" s="222"/>
      <c r="CG173" s="222"/>
      <c r="CK173" s="222"/>
      <c r="CQ173" s="222"/>
      <c r="CU173" s="222"/>
      <c r="CY173" s="222"/>
    </row>
    <row r="174">
      <c r="A174" s="227"/>
      <c r="E174" s="222"/>
      <c r="I174" s="222"/>
      <c r="M174" s="222"/>
      <c r="Q174" s="222"/>
      <c r="U174" s="222"/>
      <c r="Y174" s="222"/>
      <c r="AC174" s="222"/>
      <c r="AG174" s="222"/>
      <c r="AK174" s="222"/>
      <c r="AO174" s="222"/>
      <c r="AS174" s="222"/>
      <c r="AW174" s="222"/>
      <c r="BA174" s="222"/>
      <c r="BE174" s="222"/>
      <c r="BK174" s="222"/>
      <c r="BO174" s="222"/>
      <c r="BU174" s="222"/>
      <c r="BY174" s="222"/>
      <c r="CC174" s="222"/>
      <c r="CG174" s="222"/>
      <c r="CK174" s="222"/>
      <c r="CQ174" s="222"/>
      <c r="CU174" s="222"/>
      <c r="CY174" s="222"/>
    </row>
    <row r="175">
      <c r="A175" s="227"/>
      <c r="E175" s="222"/>
      <c r="I175" s="222"/>
      <c r="M175" s="222"/>
      <c r="Q175" s="222"/>
      <c r="U175" s="222"/>
      <c r="Y175" s="222"/>
      <c r="AC175" s="222"/>
      <c r="AG175" s="222"/>
      <c r="AK175" s="222"/>
      <c r="AO175" s="222"/>
      <c r="AS175" s="222"/>
      <c r="AW175" s="222"/>
      <c r="BA175" s="222"/>
      <c r="BE175" s="222"/>
      <c r="BK175" s="222"/>
      <c r="BO175" s="222"/>
      <c r="BU175" s="222"/>
      <c r="BY175" s="222"/>
      <c r="CC175" s="222"/>
      <c r="CG175" s="222"/>
      <c r="CK175" s="222"/>
      <c r="CQ175" s="222"/>
      <c r="CU175" s="222"/>
      <c r="CY175" s="222"/>
    </row>
    <row r="176">
      <c r="A176" s="227"/>
      <c r="E176" s="222"/>
      <c r="I176" s="222"/>
      <c r="M176" s="222"/>
      <c r="Q176" s="222"/>
      <c r="U176" s="222"/>
      <c r="Y176" s="222"/>
      <c r="AC176" s="222"/>
      <c r="AG176" s="222"/>
      <c r="AK176" s="222"/>
      <c r="AO176" s="222"/>
      <c r="AS176" s="222"/>
      <c r="AW176" s="222"/>
      <c r="BA176" s="222"/>
      <c r="BE176" s="222"/>
      <c r="BK176" s="222"/>
      <c r="BO176" s="222"/>
      <c r="BU176" s="222"/>
      <c r="BY176" s="222"/>
      <c r="CC176" s="222"/>
      <c r="CG176" s="222"/>
      <c r="CK176" s="222"/>
      <c r="CQ176" s="222"/>
      <c r="CU176" s="222"/>
      <c r="CY176" s="222"/>
    </row>
    <row r="177">
      <c r="A177" s="227"/>
      <c r="E177" s="222"/>
      <c r="I177" s="222"/>
      <c r="M177" s="222"/>
      <c r="Q177" s="222"/>
      <c r="U177" s="222"/>
      <c r="Y177" s="222"/>
      <c r="AC177" s="222"/>
      <c r="AG177" s="222"/>
      <c r="AK177" s="222"/>
      <c r="AO177" s="222"/>
      <c r="AS177" s="222"/>
      <c r="AW177" s="222"/>
      <c r="BA177" s="222"/>
      <c r="BE177" s="222"/>
      <c r="BK177" s="222"/>
      <c r="BO177" s="222"/>
      <c r="BU177" s="222"/>
      <c r="BY177" s="222"/>
      <c r="CC177" s="222"/>
      <c r="CG177" s="222"/>
      <c r="CK177" s="222"/>
      <c r="CQ177" s="222"/>
      <c r="CU177" s="222"/>
      <c r="CY177" s="222"/>
    </row>
    <row r="178">
      <c r="A178" s="227"/>
      <c r="E178" s="222"/>
      <c r="I178" s="222"/>
      <c r="M178" s="222"/>
      <c r="Q178" s="222"/>
      <c r="U178" s="222"/>
      <c r="Y178" s="222"/>
      <c r="AC178" s="222"/>
      <c r="AG178" s="222"/>
      <c r="AK178" s="222"/>
      <c r="AO178" s="222"/>
      <c r="AS178" s="222"/>
      <c r="AW178" s="222"/>
      <c r="BA178" s="222"/>
      <c r="BE178" s="222"/>
      <c r="BK178" s="222"/>
      <c r="BO178" s="222"/>
      <c r="BU178" s="222"/>
      <c r="BY178" s="222"/>
      <c r="CC178" s="222"/>
      <c r="CG178" s="222"/>
      <c r="CK178" s="222"/>
      <c r="CQ178" s="222"/>
      <c r="CU178" s="222"/>
      <c r="CY178" s="222"/>
    </row>
    <row r="179">
      <c r="A179" s="227"/>
      <c r="E179" s="222"/>
      <c r="I179" s="222"/>
      <c r="M179" s="222"/>
      <c r="Q179" s="222"/>
      <c r="U179" s="222"/>
      <c r="Y179" s="222"/>
      <c r="AC179" s="222"/>
      <c r="AG179" s="222"/>
      <c r="AK179" s="222"/>
      <c r="AO179" s="222"/>
      <c r="AS179" s="222"/>
      <c r="AW179" s="222"/>
      <c r="BA179" s="222"/>
      <c r="BE179" s="222"/>
      <c r="BK179" s="222"/>
      <c r="BO179" s="222"/>
      <c r="BU179" s="222"/>
      <c r="BY179" s="222"/>
      <c r="CC179" s="222"/>
      <c r="CG179" s="222"/>
      <c r="CK179" s="222"/>
      <c r="CQ179" s="222"/>
      <c r="CU179" s="222"/>
      <c r="CY179" s="222"/>
    </row>
    <row r="180">
      <c r="A180" s="227"/>
      <c r="E180" s="222"/>
      <c r="I180" s="222"/>
      <c r="M180" s="222"/>
      <c r="Q180" s="222"/>
      <c r="U180" s="222"/>
      <c r="Y180" s="222"/>
      <c r="AC180" s="222"/>
      <c r="AG180" s="222"/>
      <c r="AK180" s="222"/>
      <c r="AO180" s="222"/>
      <c r="AS180" s="222"/>
      <c r="AW180" s="222"/>
      <c r="BA180" s="222"/>
      <c r="BE180" s="222"/>
      <c r="BK180" s="222"/>
      <c r="BO180" s="222"/>
      <c r="BU180" s="222"/>
      <c r="BY180" s="222"/>
      <c r="CC180" s="222"/>
      <c r="CG180" s="222"/>
      <c r="CK180" s="222"/>
      <c r="CQ180" s="222"/>
      <c r="CU180" s="222"/>
      <c r="CY180" s="222"/>
    </row>
    <row r="181">
      <c r="A181" s="227"/>
      <c r="E181" s="222"/>
      <c r="I181" s="222"/>
      <c r="M181" s="222"/>
      <c r="Q181" s="222"/>
      <c r="U181" s="222"/>
      <c r="Y181" s="222"/>
      <c r="AC181" s="222"/>
      <c r="AG181" s="222"/>
      <c r="AK181" s="222"/>
      <c r="AO181" s="222"/>
      <c r="AS181" s="222"/>
      <c r="AW181" s="222"/>
      <c r="BA181" s="222"/>
      <c r="BE181" s="222"/>
      <c r="BK181" s="222"/>
      <c r="BO181" s="222"/>
      <c r="BU181" s="222"/>
      <c r="BY181" s="222"/>
      <c r="CC181" s="222"/>
      <c r="CG181" s="222"/>
      <c r="CK181" s="222"/>
      <c r="CQ181" s="222"/>
      <c r="CU181" s="222"/>
      <c r="CY181" s="222"/>
    </row>
    <row r="182">
      <c r="A182" s="227"/>
      <c r="E182" s="222"/>
      <c r="I182" s="222"/>
      <c r="M182" s="222"/>
      <c r="Q182" s="222"/>
      <c r="U182" s="222"/>
      <c r="Y182" s="222"/>
      <c r="AC182" s="222"/>
      <c r="AG182" s="222"/>
      <c r="AK182" s="222"/>
      <c r="AO182" s="222"/>
      <c r="AS182" s="222"/>
      <c r="AW182" s="222"/>
      <c r="BA182" s="222"/>
      <c r="BE182" s="222"/>
      <c r="BK182" s="222"/>
      <c r="BO182" s="222"/>
      <c r="BU182" s="222"/>
      <c r="BY182" s="222"/>
      <c r="CC182" s="222"/>
      <c r="CG182" s="222"/>
      <c r="CK182" s="222"/>
      <c r="CQ182" s="222"/>
      <c r="CU182" s="222"/>
      <c r="CY182" s="222"/>
    </row>
    <row r="183">
      <c r="A183" s="227"/>
      <c r="E183" s="222"/>
      <c r="I183" s="222"/>
      <c r="M183" s="222"/>
      <c r="Q183" s="222"/>
      <c r="U183" s="222"/>
      <c r="Y183" s="222"/>
      <c r="AC183" s="222"/>
      <c r="AG183" s="222"/>
      <c r="AK183" s="222"/>
      <c r="AO183" s="222"/>
      <c r="AS183" s="222"/>
      <c r="AW183" s="222"/>
      <c r="BA183" s="222"/>
      <c r="BE183" s="222"/>
      <c r="BK183" s="222"/>
      <c r="BO183" s="222"/>
      <c r="BU183" s="222"/>
      <c r="BY183" s="222"/>
      <c r="CC183" s="222"/>
      <c r="CG183" s="222"/>
      <c r="CK183" s="222"/>
      <c r="CQ183" s="222"/>
      <c r="CU183" s="222"/>
      <c r="CY183" s="222"/>
    </row>
    <row r="184">
      <c r="A184" s="227"/>
      <c r="E184" s="222"/>
      <c r="I184" s="222"/>
      <c r="M184" s="222"/>
      <c r="Q184" s="222"/>
      <c r="U184" s="222"/>
      <c r="Y184" s="222"/>
      <c r="AC184" s="222"/>
      <c r="AG184" s="222"/>
      <c r="AK184" s="222"/>
      <c r="AO184" s="222"/>
      <c r="AS184" s="222"/>
      <c r="AW184" s="222"/>
      <c r="BA184" s="222"/>
      <c r="BE184" s="222"/>
      <c r="BK184" s="222"/>
      <c r="BO184" s="222"/>
      <c r="BU184" s="222"/>
      <c r="BY184" s="222"/>
      <c r="CC184" s="222"/>
      <c r="CG184" s="222"/>
      <c r="CK184" s="222"/>
      <c r="CQ184" s="222"/>
      <c r="CU184" s="222"/>
      <c r="CY184" s="222"/>
    </row>
    <row r="185">
      <c r="A185" s="227"/>
      <c r="E185" s="222"/>
      <c r="I185" s="222"/>
      <c r="M185" s="222"/>
      <c r="Q185" s="222"/>
      <c r="U185" s="222"/>
      <c r="Y185" s="222"/>
      <c r="AC185" s="222"/>
      <c r="AG185" s="222"/>
      <c r="AK185" s="222"/>
      <c r="AO185" s="222"/>
      <c r="AS185" s="222"/>
      <c r="AW185" s="222"/>
      <c r="BA185" s="222"/>
      <c r="BE185" s="222"/>
      <c r="BK185" s="222"/>
      <c r="BO185" s="222"/>
      <c r="BU185" s="222"/>
      <c r="BY185" s="222"/>
      <c r="CC185" s="222"/>
      <c r="CG185" s="222"/>
      <c r="CK185" s="222"/>
      <c r="CQ185" s="222"/>
      <c r="CU185" s="222"/>
      <c r="CY185" s="222"/>
    </row>
    <row r="186">
      <c r="A186" s="227"/>
      <c r="E186" s="222"/>
      <c r="I186" s="222"/>
      <c r="M186" s="222"/>
      <c r="Q186" s="222"/>
      <c r="U186" s="222"/>
      <c r="Y186" s="222"/>
      <c r="AC186" s="222"/>
      <c r="AG186" s="222"/>
      <c r="AK186" s="222"/>
      <c r="AO186" s="222"/>
      <c r="AS186" s="222"/>
      <c r="AW186" s="222"/>
      <c r="BA186" s="222"/>
      <c r="BE186" s="222"/>
      <c r="BK186" s="222"/>
      <c r="BO186" s="222"/>
      <c r="BU186" s="222"/>
      <c r="BY186" s="222"/>
      <c r="CC186" s="222"/>
      <c r="CG186" s="222"/>
      <c r="CK186" s="222"/>
      <c r="CQ186" s="222"/>
      <c r="CU186" s="222"/>
      <c r="CY186" s="222"/>
    </row>
    <row r="187">
      <c r="A187" s="227"/>
      <c r="E187" s="222"/>
      <c r="I187" s="222"/>
      <c r="M187" s="222"/>
      <c r="Q187" s="222"/>
      <c r="U187" s="222"/>
      <c r="Y187" s="222"/>
      <c r="AC187" s="222"/>
      <c r="AG187" s="222"/>
      <c r="AK187" s="222"/>
      <c r="AO187" s="222"/>
      <c r="AS187" s="222"/>
      <c r="AW187" s="222"/>
      <c r="BA187" s="222"/>
      <c r="BE187" s="222"/>
      <c r="BK187" s="222"/>
      <c r="BO187" s="222"/>
      <c r="BU187" s="222"/>
      <c r="BY187" s="222"/>
      <c r="CC187" s="222"/>
      <c r="CG187" s="222"/>
      <c r="CK187" s="222"/>
      <c r="CQ187" s="222"/>
      <c r="CU187" s="222"/>
      <c r="CY187" s="222"/>
    </row>
    <row r="188">
      <c r="A188" s="227"/>
      <c r="E188" s="222"/>
      <c r="I188" s="222"/>
      <c r="M188" s="222"/>
      <c r="Q188" s="222"/>
      <c r="U188" s="222"/>
      <c r="Y188" s="222"/>
      <c r="AC188" s="222"/>
      <c r="AG188" s="222"/>
      <c r="AK188" s="222"/>
      <c r="AO188" s="222"/>
      <c r="AS188" s="222"/>
      <c r="AW188" s="222"/>
      <c r="BA188" s="222"/>
      <c r="BE188" s="222"/>
      <c r="BK188" s="222"/>
      <c r="BO188" s="222"/>
      <c r="BU188" s="222"/>
      <c r="BY188" s="222"/>
      <c r="CC188" s="222"/>
      <c r="CG188" s="222"/>
      <c r="CK188" s="222"/>
      <c r="CQ188" s="222"/>
      <c r="CU188" s="222"/>
      <c r="CY188" s="222"/>
    </row>
    <row r="189">
      <c r="A189" s="227"/>
      <c r="E189" s="222"/>
      <c r="I189" s="222"/>
      <c r="M189" s="222"/>
      <c r="Q189" s="222"/>
      <c r="U189" s="222"/>
      <c r="Y189" s="222"/>
      <c r="AC189" s="222"/>
      <c r="AG189" s="222"/>
      <c r="AK189" s="222"/>
      <c r="AO189" s="222"/>
      <c r="AS189" s="222"/>
      <c r="AW189" s="222"/>
      <c r="BA189" s="222"/>
      <c r="BE189" s="222"/>
      <c r="BK189" s="222"/>
      <c r="BO189" s="222"/>
      <c r="BU189" s="222"/>
      <c r="BY189" s="222"/>
      <c r="CC189" s="222"/>
      <c r="CG189" s="222"/>
      <c r="CK189" s="222"/>
      <c r="CQ189" s="222"/>
      <c r="CU189" s="222"/>
      <c r="CY189" s="222"/>
    </row>
    <row r="190">
      <c r="A190" s="227"/>
      <c r="E190" s="222"/>
      <c r="I190" s="222"/>
      <c r="M190" s="222"/>
      <c r="Q190" s="222"/>
      <c r="U190" s="222"/>
      <c r="Y190" s="222"/>
      <c r="AC190" s="222"/>
      <c r="AG190" s="222"/>
      <c r="AK190" s="222"/>
      <c r="AO190" s="222"/>
      <c r="AS190" s="222"/>
      <c r="AW190" s="222"/>
      <c r="BA190" s="222"/>
      <c r="BE190" s="222"/>
      <c r="BK190" s="222"/>
      <c r="BO190" s="222"/>
      <c r="BU190" s="222"/>
      <c r="BY190" s="222"/>
      <c r="CC190" s="222"/>
      <c r="CG190" s="222"/>
      <c r="CK190" s="222"/>
      <c r="CQ190" s="222"/>
      <c r="CU190" s="222"/>
      <c r="CY190" s="222"/>
    </row>
    <row r="191">
      <c r="A191" s="227"/>
      <c r="E191" s="222"/>
      <c r="I191" s="222"/>
      <c r="M191" s="222"/>
      <c r="Q191" s="222"/>
      <c r="U191" s="222"/>
      <c r="Y191" s="222"/>
      <c r="AC191" s="222"/>
      <c r="AG191" s="222"/>
      <c r="AK191" s="222"/>
      <c r="AO191" s="222"/>
      <c r="AS191" s="222"/>
      <c r="AW191" s="222"/>
      <c r="BA191" s="222"/>
      <c r="BE191" s="222"/>
      <c r="BK191" s="222"/>
      <c r="BO191" s="222"/>
      <c r="BU191" s="222"/>
      <c r="BY191" s="222"/>
      <c r="CC191" s="222"/>
      <c r="CG191" s="222"/>
      <c r="CK191" s="222"/>
      <c r="CQ191" s="222"/>
      <c r="CU191" s="222"/>
      <c r="CY191" s="222"/>
    </row>
    <row r="192">
      <c r="A192" s="227"/>
      <c r="E192" s="222"/>
      <c r="I192" s="222"/>
      <c r="M192" s="222"/>
      <c r="Q192" s="222"/>
      <c r="U192" s="222"/>
      <c r="Y192" s="222"/>
      <c r="AC192" s="222"/>
      <c r="AG192" s="222"/>
      <c r="AK192" s="222"/>
      <c r="AO192" s="222"/>
      <c r="AS192" s="222"/>
      <c r="AW192" s="222"/>
      <c r="BA192" s="222"/>
      <c r="BE192" s="222"/>
      <c r="BK192" s="222"/>
      <c r="BO192" s="222"/>
      <c r="BU192" s="222"/>
      <c r="BY192" s="222"/>
      <c r="CC192" s="222"/>
      <c r="CG192" s="222"/>
      <c r="CK192" s="222"/>
      <c r="CQ192" s="222"/>
      <c r="CU192" s="222"/>
      <c r="CY192" s="222"/>
    </row>
    <row r="193">
      <c r="A193" s="227"/>
      <c r="E193" s="222"/>
      <c r="I193" s="222"/>
      <c r="M193" s="222"/>
      <c r="Q193" s="222"/>
      <c r="U193" s="222"/>
      <c r="Y193" s="222"/>
      <c r="AC193" s="222"/>
      <c r="AG193" s="222"/>
      <c r="AK193" s="222"/>
      <c r="AO193" s="222"/>
      <c r="AS193" s="222"/>
      <c r="AW193" s="222"/>
      <c r="BA193" s="222"/>
      <c r="BE193" s="222"/>
      <c r="BK193" s="222"/>
      <c r="BO193" s="222"/>
      <c r="BU193" s="222"/>
      <c r="BY193" s="222"/>
      <c r="CC193" s="222"/>
      <c r="CG193" s="222"/>
      <c r="CK193" s="222"/>
      <c r="CQ193" s="222"/>
      <c r="CU193" s="222"/>
      <c r="CY193" s="222"/>
    </row>
    <row r="194">
      <c r="A194" s="227"/>
      <c r="E194" s="222"/>
      <c r="I194" s="222"/>
      <c r="M194" s="222"/>
      <c r="Q194" s="222"/>
      <c r="U194" s="222"/>
      <c r="Y194" s="222"/>
      <c r="AC194" s="222"/>
      <c r="AG194" s="222"/>
      <c r="AK194" s="222"/>
      <c r="AO194" s="222"/>
      <c r="AS194" s="222"/>
      <c r="AW194" s="222"/>
      <c r="BA194" s="222"/>
      <c r="BE194" s="222"/>
      <c r="BK194" s="222"/>
      <c r="BO194" s="222"/>
      <c r="BU194" s="222"/>
      <c r="BY194" s="222"/>
      <c r="CC194" s="222"/>
      <c r="CG194" s="222"/>
      <c r="CK194" s="222"/>
      <c r="CQ194" s="222"/>
      <c r="CU194" s="222"/>
      <c r="CY194" s="222"/>
    </row>
    <row r="195">
      <c r="A195" s="227"/>
      <c r="E195" s="222"/>
      <c r="I195" s="222"/>
      <c r="M195" s="222"/>
      <c r="Q195" s="222"/>
      <c r="U195" s="222"/>
      <c r="Y195" s="222"/>
      <c r="AC195" s="222"/>
      <c r="AG195" s="222"/>
      <c r="AK195" s="222"/>
      <c r="AO195" s="222"/>
      <c r="AS195" s="222"/>
      <c r="AW195" s="222"/>
      <c r="BA195" s="222"/>
      <c r="BE195" s="222"/>
      <c r="BK195" s="222"/>
      <c r="BO195" s="222"/>
      <c r="BU195" s="222"/>
      <c r="BY195" s="222"/>
      <c r="CC195" s="222"/>
      <c r="CG195" s="222"/>
      <c r="CK195" s="222"/>
      <c r="CQ195" s="222"/>
      <c r="CU195" s="222"/>
      <c r="CY195" s="222"/>
    </row>
    <row r="196">
      <c r="A196" s="227"/>
      <c r="E196" s="222"/>
      <c r="I196" s="222"/>
      <c r="M196" s="222"/>
      <c r="Q196" s="222"/>
      <c r="U196" s="222"/>
      <c r="Y196" s="222"/>
      <c r="AC196" s="222"/>
      <c r="AG196" s="222"/>
      <c r="AK196" s="222"/>
      <c r="AO196" s="222"/>
      <c r="AS196" s="222"/>
      <c r="AW196" s="222"/>
      <c r="BA196" s="222"/>
      <c r="BE196" s="222"/>
      <c r="BK196" s="222"/>
      <c r="BO196" s="222"/>
      <c r="BU196" s="222"/>
      <c r="BY196" s="222"/>
      <c r="CC196" s="222"/>
      <c r="CG196" s="222"/>
      <c r="CK196" s="222"/>
      <c r="CQ196" s="222"/>
      <c r="CU196" s="222"/>
      <c r="CY196" s="222"/>
    </row>
    <row r="197">
      <c r="A197" s="227"/>
      <c r="E197" s="222"/>
      <c r="I197" s="222"/>
      <c r="M197" s="222"/>
      <c r="Q197" s="222"/>
      <c r="U197" s="222"/>
      <c r="Y197" s="222"/>
      <c r="AC197" s="222"/>
      <c r="AG197" s="222"/>
      <c r="AK197" s="222"/>
      <c r="AO197" s="222"/>
      <c r="AS197" s="222"/>
      <c r="AW197" s="222"/>
      <c r="BA197" s="222"/>
      <c r="BE197" s="222"/>
      <c r="BK197" s="222"/>
      <c r="BO197" s="222"/>
      <c r="BU197" s="222"/>
      <c r="BY197" s="222"/>
      <c r="CC197" s="222"/>
      <c r="CG197" s="222"/>
      <c r="CK197" s="222"/>
      <c r="CQ197" s="222"/>
      <c r="CU197" s="222"/>
      <c r="CY197" s="222"/>
    </row>
    <row r="198">
      <c r="A198" s="227"/>
      <c r="E198" s="222"/>
      <c r="I198" s="222"/>
      <c r="M198" s="222"/>
      <c r="Q198" s="222"/>
      <c r="U198" s="222"/>
      <c r="Y198" s="222"/>
      <c r="AC198" s="222"/>
      <c r="AG198" s="222"/>
      <c r="AK198" s="222"/>
      <c r="AO198" s="222"/>
      <c r="AS198" s="222"/>
      <c r="AW198" s="222"/>
      <c r="BA198" s="222"/>
      <c r="BE198" s="222"/>
      <c r="BK198" s="222"/>
      <c r="BO198" s="222"/>
      <c r="BU198" s="222"/>
      <c r="BY198" s="222"/>
      <c r="CC198" s="222"/>
      <c r="CG198" s="222"/>
      <c r="CK198" s="222"/>
      <c r="CQ198" s="222"/>
      <c r="CU198" s="222"/>
      <c r="CY198" s="222"/>
    </row>
    <row r="199">
      <c r="A199" s="227"/>
      <c r="E199" s="222"/>
      <c r="I199" s="222"/>
      <c r="M199" s="222"/>
      <c r="Q199" s="222"/>
      <c r="U199" s="222"/>
      <c r="Y199" s="222"/>
      <c r="AC199" s="222"/>
      <c r="AG199" s="222"/>
      <c r="AK199" s="222"/>
      <c r="AO199" s="222"/>
      <c r="AS199" s="222"/>
      <c r="AW199" s="222"/>
      <c r="BA199" s="222"/>
      <c r="BE199" s="222"/>
      <c r="BK199" s="222"/>
      <c r="BO199" s="222"/>
      <c r="BU199" s="222"/>
      <c r="BY199" s="222"/>
      <c r="CC199" s="222"/>
      <c r="CG199" s="222"/>
      <c r="CK199" s="222"/>
      <c r="CQ199" s="222"/>
      <c r="CU199" s="222"/>
      <c r="CY199" s="222"/>
    </row>
    <row r="200">
      <c r="A200" s="227"/>
      <c r="E200" s="222"/>
      <c r="I200" s="222"/>
      <c r="M200" s="222"/>
      <c r="Q200" s="222"/>
      <c r="U200" s="222"/>
      <c r="Y200" s="222"/>
      <c r="AC200" s="222"/>
      <c r="AG200" s="222"/>
      <c r="AK200" s="222"/>
      <c r="AO200" s="222"/>
      <c r="AS200" s="222"/>
      <c r="AW200" s="222"/>
      <c r="BA200" s="222"/>
      <c r="BE200" s="222"/>
      <c r="BK200" s="222"/>
      <c r="BO200" s="222"/>
      <c r="BU200" s="222"/>
      <c r="BY200" s="222"/>
      <c r="CC200" s="222"/>
      <c r="CG200" s="222"/>
      <c r="CK200" s="222"/>
      <c r="CQ200" s="222"/>
      <c r="CU200" s="222"/>
      <c r="CY200" s="222"/>
    </row>
    <row r="201">
      <c r="A201" s="227"/>
      <c r="E201" s="222"/>
      <c r="I201" s="222"/>
      <c r="M201" s="222"/>
      <c r="Q201" s="222"/>
      <c r="U201" s="222"/>
      <c r="Y201" s="222"/>
      <c r="AC201" s="222"/>
      <c r="AG201" s="222"/>
      <c r="AK201" s="222"/>
      <c r="AO201" s="222"/>
      <c r="AS201" s="222"/>
      <c r="AW201" s="222"/>
      <c r="BA201" s="222"/>
      <c r="BE201" s="222"/>
      <c r="BK201" s="222"/>
      <c r="BO201" s="222"/>
      <c r="BU201" s="222"/>
      <c r="BY201" s="222"/>
      <c r="CC201" s="222"/>
      <c r="CG201" s="222"/>
      <c r="CK201" s="222"/>
      <c r="CQ201" s="222"/>
      <c r="CU201" s="222"/>
      <c r="CY201" s="222"/>
    </row>
    <row r="202">
      <c r="A202" s="227"/>
      <c r="E202" s="222"/>
      <c r="I202" s="222"/>
      <c r="M202" s="222"/>
      <c r="Q202" s="222"/>
      <c r="U202" s="222"/>
      <c r="Y202" s="222"/>
      <c r="AC202" s="222"/>
      <c r="AG202" s="222"/>
      <c r="AK202" s="222"/>
      <c r="AO202" s="222"/>
      <c r="AS202" s="222"/>
      <c r="AW202" s="222"/>
      <c r="BA202" s="222"/>
      <c r="BE202" s="222"/>
      <c r="BK202" s="222"/>
      <c r="BO202" s="222"/>
      <c r="BU202" s="222"/>
      <c r="BY202" s="222"/>
      <c r="CC202" s="222"/>
      <c r="CG202" s="222"/>
      <c r="CK202" s="222"/>
      <c r="CQ202" s="222"/>
      <c r="CU202" s="222"/>
      <c r="CY202" s="222"/>
    </row>
    <row r="203">
      <c r="A203" s="227"/>
      <c r="E203" s="222"/>
      <c r="I203" s="222"/>
      <c r="M203" s="222"/>
      <c r="Q203" s="222"/>
      <c r="U203" s="222"/>
      <c r="Y203" s="222"/>
      <c r="AC203" s="222"/>
      <c r="AG203" s="222"/>
      <c r="AK203" s="222"/>
      <c r="AO203" s="222"/>
      <c r="AS203" s="222"/>
      <c r="AW203" s="222"/>
      <c r="BA203" s="222"/>
      <c r="BE203" s="222"/>
      <c r="BK203" s="222"/>
      <c r="BO203" s="222"/>
      <c r="BU203" s="222"/>
      <c r="BY203" s="222"/>
      <c r="CC203" s="222"/>
      <c r="CG203" s="222"/>
      <c r="CK203" s="222"/>
      <c r="CQ203" s="222"/>
      <c r="CU203" s="222"/>
      <c r="CY203" s="222"/>
    </row>
    <row r="204">
      <c r="A204" s="227"/>
      <c r="E204" s="222"/>
      <c r="I204" s="222"/>
      <c r="M204" s="222"/>
      <c r="Q204" s="222"/>
      <c r="U204" s="222"/>
      <c r="Y204" s="222"/>
      <c r="AC204" s="222"/>
      <c r="AG204" s="222"/>
      <c r="AK204" s="222"/>
      <c r="AO204" s="222"/>
      <c r="AS204" s="222"/>
      <c r="AW204" s="222"/>
      <c r="BA204" s="222"/>
      <c r="BE204" s="222"/>
      <c r="BK204" s="222"/>
      <c r="BO204" s="222"/>
      <c r="BU204" s="222"/>
      <c r="BY204" s="222"/>
      <c r="CC204" s="222"/>
      <c r="CG204" s="222"/>
      <c r="CK204" s="222"/>
      <c r="CQ204" s="222"/>
      <c r="CU204" s="222"/>
      <c r="CY204" s="222"/>
    </row>
    <row r="205">
      <c r="A205" s="227"/>
      <c r="E205" s="222"/>
      <c r="I205" s="222"/>
      <c r="M205" s="222"/>
      <c r="Q205" s="222"/>
      <c r="U205" s="222"/>
      <c r="Y205" s="222"/>
      <c r="AC205" s="222"/>
      <c r="AG205" s="222"/>
      <c r="AK205" s="222"/>
      <c r="AO205" s="222"/>
      <c r="AS205" s="222"/>
      <c r="AW205" s="222"/>
      <c r="BA205" s="222"/>
      <c r="BE205" s="222"/>
      <c r="BK205" s="222"/>
      <c r="BO205" s="222"/>
      <c r="BU205" s="222"/>
      <c r="BY205" s="222"/>
      <c r="CC205" s="222"/>
      <c r="CG205" s="222"/>
      <c r="CK205" s="222"/>
      <c r="CQ205" s="222"/>
      <c r="CU205" s="222"/>
      <c r="CY205" s="222"/>
    </row>
    <row r="206">
      <c r="A206" s="227"/>
      <c r="E206" s="222"/>
      <c r="I206" s="222"/>
      <c r="M206" s="222"/>
      <c r="Q206" s="222"/>
      <c r="U206" s="222"/>
      <c r="Y206" s="222"/>
      <c r="AC206" s="222"/>
      <c r="AG206" s="222"/>
      <c r="AK206" s="222"/>
      <c r="AO206" s="222"/>
      <c r="AS206" s="222"/>
      <c r="AW206" s="222"/>
      <c r="BA206" s="222"/>
      <c r="BE206" s="222"/>
      <c r="BK206" s="222"/>
      <c r="BO206" s="222"/>
      <c r="BU206" s="222"/>
      <c r="BY206" s="222"/>
      <c r="CC206" s="222"/>
      <c r="CG206" s="222"/>
      <c r="CK206" s="222"/>
      <c r="CQ206" s="222"/>
      <c r="CU206" s="222"/>
      <c r="CY206" s="222"/>
    </row>
    <row r="207">
      <c r="A207" s="227"/>
      <c r="E207" s="222"/>
      <c r="I207" s="222"/>
      <c r="M207" s="222"/>
      <c r="Q207" s="222"/>
      <c r="U207" s="222"/>
      <c r="Y207" s="222"/>
      <c r="AC207" s="222"/>
      <c r="AG207" s="222"/>
      <c r="AK207" s="222"/>
      <c r="AO207" s="222"/>
      <c r="AS207" s="222"/>
      <c r="AW207" s="222"/>
      <c r="BA207" s="222"/>
      <c r="BE207" s="222"/>
      <c r="BK207" s="222"/>
      <c r="BO207" s="222"/>
      <c r="BU207" s="222"/>
      <c r="BY207" s="222"/>
      <c r="CC207" s="222"/>
      <c r="CG207" s="222"/>
      <c r="CK207" s="222"/>
      <c r="CQ207" s="222"/>
      <c r="CU207" s="222"/>
      <c r="CY207" s="222"/>
    </row>
    <row r="208">
      <c r="A208" s="227"/>
      <c r="E208" s="222"/>
      <c r="I208" s="222"/>
      <c r="M208" s="222"/>
      <c r="Q208" s="222"/>
      <c r="U208" s="222"/>
      <c r="Y208" s="222"/>
      <c r="AC208" s="222"/>
      <c r="AG208" s="222"/>
      <c r="AK208" s="222"/>
      <c r="AO208" s="222"/>
      <c r="AS208" s="222"/>
      <c r="AW208" s="222"/>
      <c r="BA208" s="222"/>
      <c r="BE208" s="222"/>
      <c r="BK208" s="222"/>
      <c r="BO208" s="222"/>
      <c r="BU208" s="222"/>
      <c r="BY208" s="222"/>
      <c r="CC208" s="222"/>
      <c r="CG208" s="222"/>
      <c r="CK208" s="222"/>
      <c r="CQ208" s="222"/>
      <c r="CU208" s="222"/>
      <c r="CY208" s="222"/>
    </row>
    <row r="209">
      <c r="A209" s="227"/>
      <c r="E209" s="222"/>
      <c r="I209" s="222"/>
      <c r="M209" s="222"/>
      <c r="Q209" s="222"/>
      <c r="U209" s="222"/>
      <c r="Y209" s="222"/>
      <c r="AC209" s="222"/>
      <c r="AG209" s="222"/>
      <c r="AK209" s="222"/>
      <c r="AO209" s="222"/>
      <c r="AS209" s="222"/>
      <c r="AW209" s="222"/>
      <c r="BA209" s="222"/>
      <c r="BE209" s="222"/>
      <c r="BK209" s="222"/>
      <c r="BO209" s="222"/>
      <c r="BU209" s="222"/>
      <c r="BY209" s="222"/>
      <c r="CC209" s="222"/>
      <c r="CG209" s="222"/>
      <c r="CK209" s="222"/>
      <c r="CQ209" s="222"/>
      <c r="CU209" s="222"/>
      <c r="CY209" s="222"/>
    </row>
    <row r="210">
      <c r="A210" s="227"/>
      <c r="E210" s="222"/>
      <c r="I210" s="222"/>
      <c r="M210" s="222"/>
      <c r="Q210" s="222"/>
      <c r="U210" s="222"/>
      <c r="Y210" s="222"/>
      <c r="AC210" s="222"/>
      <c r="AG210" s="222"/>
      <c r="AK210" s="222"/>
      <c r="AO210" s="222"/>
      <c r="AS210" s="222"/>
      <c r="AW210" s="222"/>
      <c r="BA210" s="222"/>
      <c r="BE210" s="222"/>
      <c r="BK210" s="222"/>
      <c r="BO210" s="222"/>
      <c r="BU210" s="222"/>
      <c r="BY210" s="222"/>
      <c r="CC210" s="222"/>
      <c r="CG210" s="222"/>
      <c r="CK210" s="222"/>
      <c r="CQ210" s="222"/>
      <c r="CU210" s="222"/>
      <c r="CY210" s="222"/>
    </row>
    <row r="211">
      <c r="A211" s="227"/>
      <c r="E211" s="222"/>
      <c r="I211" s="222"/>
      <c r="M211" s="222"/>
      <c r="Q211" s="222"/>
      <c r="U211" s="222"/>
      <c r="Y211" s="222"/>
      <c r="AC211" s="222"/>
      <c r="AG211" s="222"/>
      <c r="AK211" s="222"/>
      <c r="AO211" s="222"/>
      <c r="AS211" s="222"/>
      <c r="AW211" s="222"/>
      <c r="BA211" s="222"/>
      <c r="BE211" s="222"/>
      <c r="BK211" s="222"/>
      <c r="BO211" s="222"/>
      <c r="BU211" s="222"/>
      <c r="BY211" s="222"/>
      <c r="CC211" s="222"/>
      <c r="CG211" s="222"/>
      <c r="CK211" s="222"/>
      <c r="CQ211" s="222"/>
      <c r="CU211" s="222"/>
      <c r="CY211" s="222"/>
    </row>
    <row r="212">
      <c r="A212" s="227"/>
      <c r="E212" s="222"/>
      <c r="I212" s="222"/>
      <c r="M212" s="222"/>
      <c r="Q212" s="222"/>
      <c r="U212" s="222"/>
      <c r="Y212" s="222"/>
      <c r="AC212" s="222"/>
      <c r="AG212" s="222"/>
      <c r="AK212" s="222"/>
      <c r="AO212" s="222"/>
      <c r="AS212" s="222"/>
      <c r="AW212" s="222"/>
      <c r="BA212" s="222"/>
      <c r="BE212" s="222"/>
      <c r="BK212" s="222"/>
      <c r="BO212" s="222"/>
      <c r="BU212" s="222"/>
      <c r="BY212" s="222"/>
      <c r="CC212" s="222"/>
      <c r="CG212" s="222"/>
      <c r="CK212" s="222"/>
      <c r="CQ212" s="222"/>
      <c r="CU212" s="222"/>
      <c r="CY212" s="222"/>
    </row>
    <row r="213">
      <c r="A213" s="227"/>
      <c r="E213" s="222"/>
      <c r="I213" s="222"/>
      <c r="M213" s="222"/>
      <c r="Q213" s="222"/>
      <c r="U213" s="222"/>
      <c r="Y213" s="222"/>
      <c r="AC213" s="222"/>
      <c r="AG213" s="222"/>
      <c r="AK213" s="222"/>
      <c r="AO213" s="222"/>
      <c r="AS213" s="222"/>
      <c r="AW213" s="222"/>
      <c r="BA213" s="222"/>
      <c r="BE213" s="222"/>
      <c r="BK213" s="222"/>
      <c r="BO213" s="222"/>
      <c r="BU213" s="222"/>
      <c r="BY213" s="222"/>
      <c r="CC213" s="222"/>
      <c r="CG213" s="222"/>
      <c r="CK213" s="222"/>
      <c r="CQ213" s="222"/>
      <c r="CU213" s="222"/>
      <c r="CY213" s="222"/>
    </row>
    <row r="214">
      <c r="A214" s="227"/>
      <c r="E214" s="222"/>
      <c r="I214" s="222"/>
      <c r="M214" s="222"/>
      <c r="Q214" s="222"/>
      <c r="U214" s="222"/>
      <c r="Y214" s="222"/>
      <c r="AC214" s="222"/>
      <c r="AG214" s="222"/>
      <c r="AK214" s="222"/>
      <c r="AO214" s="222"/>
      <c r="AS214" s="222"/>
      <c r="AW214" s="222"/>
      <c r="BA214" s="222"/>
      <c r="BE214" s="222"/>
      <c r="BK214" s="222"/>
      <c r="BO214" s="222"/>
      <c r="BU214" s="222"/>
      <c r="BY214" s="222"/>
      <c r="CC214" s="222"/>
      <c r="CG214" s="222"/>
      <c r="CK214" s="222"/>
      <c r="CQ214" s="222"/>
      <c r="CU214" s="222"/>
      <c r="CY214" s="222"/>
    </row>
    <row r="215">
      <c r="A215" s="227"/>
      <c r="E215" s="222"/>
      <c r="I215" s="222"/>
      <c r="M215" s="222"/>
      <c r="Q215" s="222"/>
      <c r="U215" s="222"/>
      <c r="Y215" s="222"/>
      <c r="AC215" s="222"/>
      <c r="AG215" s="222"/>
      <c r="AK215" s="222"/>
      <c r="AO215" s="222"/>
      <c r="AS215" s="222"/>
      <c r="AW215" s="222"/>
      <c r="BA215" s="222"/>
      <c r="BE215" s="222"/>
      <c r="BK215" s="222"/>
      <c r="BO215" s="222"/>
      <c r="BU215" s="222"/>
      <c r="BY215" s="222"/>
      <c r="CC215" s="222"/>
      <c r="CG215" s="222"/>
      <c r="CK215" s="222"/>
      <c r="CQ215" s="222"/>
      <c r="CU215" s="222"/>
      <c r="CY215" s="222"/>
    </row>
    <row r="216">
      <c r="A216" s="227"/>
      <c r="E216" s="222"/>
      <c r="I216" s="222"/>
      <c r="M216" s="222"/>
      <c r="Q216" s="222"/>
      <c r="U216" s="222"/>
      <c r="Y216" s="222"/>
      <c r="AC216" s="222"/>
      <c r="AG216" s="222"/>
      <c r="AK216" s="222"/>
      <c r="AO216" s="222"/>
      <c r="AS216" s="222"/>
      <c r="AW216" s="222"/>
      <c r="BA216" s="222"/>
      <c r="BE216" s="222"/>
      <c r="BK216" s="222"/>
      <c r="BO216" s="222"/>
      <c r="BU216" s="222"/>
      <c r="BY216" s="222"/>
      <c r="CC216" s="222"/>
      <c r="CG216" s="222"/>
      <c r="CK216" s="222"/>
      <c r="CQ216" s="222"/>
      <c r="CU216" s="222"/>
      <c r="CY216" s="222"/>
    </row>
    <row r="217">
      <c r="A217" s="227"/>
      <c r="E217" s="222"/>
      <c r="I217" s="222"/>
      <c r="M217" s="222"/>
      <c r="Q217" s="222"/>
      <c r="U217" s="222"/>
      <c r="Y217" s="222"/>
      <c r="AC217" s="222"/>
      <c r="AG217" s="222"/>
      <c r="AK217" s="222"/>
      <c r="AO217" s="222"/>
      <c r="AS217" s="222"/>
      <c r="AW217" s="222"/>
      <c r="BA217" s="222"/>
      <c r="BE217" s="222"/>
      <c r="BK217" s="222"/>
      <c r="BO217" s="222"/>
      <c r="BU217" s="222"/>
      <c r="BY217" s="222"/>
      <c r="CC217" s="222"/>
      <c r="CG217" s="222"/>
      <c r="CK217" s="222"/>
      <c r="CQ217" s="222"/>
      <c r="CU217" s="222"/>
      <c r="CY217" s="222"/>
    </row>
    <row r="218">
      <c r="A218" s="227"/>
      <c r="E218" s="222"/>
      <c r="I218" s="222"/>
      <c r="M218" s="222"/>
      <c r="Q218" s="222"/>
      <c r="U218" s="222"/>
      <c r="Y218" s="222"/>
      <c r="AC218" s="222"/>
      <c r="AG218" s="222"/>
      <c r="AK218" s="222"/>
      <c r="AO218" s="222"/>
      <c r="AS218" s="222"/>
      <c r="AW218" s="222"/>
      <c r="BA218" s="222"/>
      <c r="BE218" s="222"/>
      <c r="BK218" s="222"/>
      <c r="BO218" s="222"/>
      <c r="BU218" s="222"/>
      <c r="BY218" s="222"/>
      <c r="CC218" s="222"/>
      <c r="CG218" s="222"/>
      <c r="CK218" s="222"/>
      <c r="CQ218" s="222"/>
      <c r="CU218" s="222"/>
      <c r="CY218" s="222"/>
    </row>
    <row r="219">
      <c r="A219" s="227"/>
      <c r="E219" s="222"/>
      <c r="I219" s="222"/>
      <c r="M219" s="222"/>
      <c r="Q219" s="222"/>
      <c r="U219" s="222"/>
      <c r="Y219" s="222"/>
      <c r="AC219" s="222"/>
      <c r="AG219" s="222"/>
      <c r="AK219" s="222"/>
      <c r="AO219" s="222"/>
      <c r="AS219" s="222"/>
      <c r="AW219" s="222"/>
      <c r="BA219" s="222"/>
      <c r="BE219" s="222"/>
      <c r="BK219" s="222"/>
      <c r="BO219" s="222"/>
      <c r="BU219" s="222"/>
      <c r="BY219" s="222"/>
      <c r="CC219" s="222"/>
      <c r="CG219" s="222"/>
      <c r="CK219" s="222"/>
      <c r="CQ219" s="222"/>
      <c r="CU219" s="222"/>
      <c r="CY219" s="222"/>
    </row>
    <row r="220">
      <c r="A220" s="227"/>
      <c r="E220" s="222"/>
      <c r="I220" s="222"/>
      <c r="M220" s="222"/>
      <c r="Q220" s="222"/>
      <c r="U220" s="222"/>
      <c r="Y220" s="222"/>
      <c r="AC220" s="222"/>
      <c r="AG220" s="222"/>
      <c r="AK220" s="222"/>
      <c r="AO220" s="222"/>
      <c r="AS220" s="222"/>
      <c r="AW220" s="222"/>
      <c r="BA220" s="222"/>
      <c r="BE220" s="222"/>
      <c r="BK220" s="222"/>
      <c r="BO220" s="222"/>
      <c r="BU220" s="222"/>
      <c r="BY220" s="222"/>
      <c r="CC220" s="222"/>
      <c r="CG220" s="222"/>
      <c r="CK220" s="222"/>
      <c r="CQ220" s="222"/>
      <c r="CU220" s="222"/>
      <c r="CY220" s="222"/>
    </row>
    <row r="221">
      <c r="A221" s="227"/>
      <c r="E221" s="222"/>
      <c r="I221" s="222"/>
      <c r="M221" s="222"/>
      <c r="Q221" s="222"/>
      <c r="U221" s="222"/>
      <c r="Y221" s="222"/>
      <c r="AC221" s="222"/>
      <c r="AG221" s="222"/>
      <c r="AK221" s="222"/>
      <c r="AO221" s="222"/>
      <c r="AS221" s="222"/>
      <c r="AW221" s="222"/>
      <c r="BA221" s="222"/>
      <c r="BE221" s="222"/>
      <c r="BK221" s="222"/>
      <c r="BO221" s="222"/>
      <c r="BU221" s="222"/>
      <c r="BY221" s="222"/>
      <c r="CC221" s="222"/>
      <c r="CG221" s="222"/>
      <c r="CK221" s="222"/>
      <c r="CQ221" s="222"/>
      <c r="CU221" s="222"/>
      <c r="CY221" s="222"/>
    </row>
    <row r="222">
      <c r="A222" s="227"/>
      <c r="E222" s="222"/>
      <c r="I222" s="222"/>
      <c r="M222" s="222"/>
      <c r="Q222" s="222"/>
      <c r="U222" s="222"/>
      <c r="Y222" s="222"/>
      <c r="AC222" s="222"/>
      <c r="AG222" s="222"/>
      <c r="AK222" s="222"/>
      <c r="AO222" s="222"/>
      <c r="AS222" s="222"/>
      <c r="AW222" s="222"/>
      <c r="BA222" s="222"/>
      <c r="BE222" s="222"/>
      <c r="BK222" s="222"/>
      <c r="BO222" s="222"/>
      <c r="BU222" s="222"/>
      <c r="BY222" s="222"/>
      <c r="CC222" s="222"/>
      <c r="CG222" s="222"/>
      <c r="CK222" s="222"/>
      <c r="CQ222" s="222"/>
      <c r="CU222" s="222"/>
      <c r="CY222" s="222"/>
    </row>
    <row r="223">
      <c r="A223" s="227"/>
      <c r="E223" s="222"/>
      <c r="I223" s="222"/>
      <c r="M223" s="222"/>
      <c r="Q223" s="222"/>
      <c r="U223" s="222"/>
      <c r="Y223" s="222"/>
      <c r="AC223" s="222"/>
      <c r="AG223" s="222"/>
      <c r="AK223" s="222"/>
      <c r="AO223" s="222"/>
      <c r="AS223" s="222"/>
      <c r="AW223" s="222"/>
      <c r="BA223" s="222"/>
      <c r="BE223" s="222"/>
      <c r="BK223" s="222"/>
      <c r="BO223" s="222"/>
      <c r="BU223" s="222"/>
      <c r="BY223" s="222"/>
      <c r="CC223" s="222"/>
      <c r="CG223" s="222"/>
      <c r="CK223" s="222"/>
      <c r="CQ223" s="222"/>
      <c r="CU223" s="222"/>
      <c r="CY223" s="222"/>
    </row>
    <row r="224">
      <c r="A224" s="227"/>
      <c r="E224" s="222"/>
      <c r="I224" s="222"/>
      <c r="M224" s="222"/>
      <c r="Q224" s="222"/>
      <c r="U224" s="222"/>
      <c r="Y224" s="222"/>
      <c r="AC224" s="222"/>
      <c r="AG224" s="222"/>
      <c r="AK224" s="222"/>
      <c r="AO224" s="222"/>
      <c r="AS224" s="222"/>
      <c r="AW224" s="222"/>
      <c r="BA224" s="222"/>
      <c r="BE224" s="222"/>
      <c r="BK224" s="222"/>
      <c r="BO224" s="222"/>
      <c r="BU224" s="222"/>
      <c r="BY224" s="222"/>
      <c r="CC224" s="222"/>
      <c r="CG224" s="222"/>
      <c r="CK224" s="222"/>
      <c r="CQ224" s="222"/>
      <c r="CU224" s="222"/>
      <c r="CY224" s="222"/>
    </row>
    <row r="225">
      <c r="A225" s="227"/>
      <c r="E225" s="222"/>
      <c r="I225" s="222"/>
      <c r="M225" s="222"/>
      <c r="Q225" s="222"/>
      <c r="U225" s="222"/>
      <c r="Y225" s="222"/>
      <c r="AC225" s="222"/>
      <c r="AG225" s="222"/>
      <c r="AK225" s="222"/>
      <c r="AO225" s="222"/>
      <c r="AS225" s="222"/>
      <c r="AW225" s="222"/>
      <c r="BA225" s="222"/>
      <c r="BE225" s="222"/>
      <c r="BK225" s="222"/>
      <c r="BO225" s="222"/>
      <c r="BU225" s="222"/>
      <c r="BY225" s="222"/>
      <c r="CC225" s="222"/>
      <c r="CG225" s="222"/>
      <c r="CK225" s="222"/>
      <c r="CQ225" s="222"/>
      <c r="CU225" s="222"/>
      <c r="CY225" s="222"/>
    </row>
    <row r="226">
      <c r="A226" s="227"/>
      <c r="E226" s="222"/>
      <c r="I226" s="222"/>
      <c r="M226" s="222"/>
      <c r="Q226" s="222"/>
      <c r="U226" s="222"/>
      <c r="Y226" s="222"/>
      <c r="AC226" s="222"/>
      <c r="AG226" s="222"/>
      <c r="AK226" s="222"/>
      <c r="AO226" s="222"/>
      <c r="AS226" s="222"/>
      <c r="AW226" s="222"/>
      <c r="BA226" s="222"/>
      <c r="BE226" s="222"/>
      <c r="BK226" s="222"/>
      <c r="BO226" s="222"/>
      <c r="BU226" s="222"/>
      <c r="BY226" s="222"/>
      <c r="CC226" s="222"/>
      <c r="CG226" s="222"/>
      <c r="CK226" s="222"/>
      <c r="CQ226" s="222"/>
      <c r="CU226" s="222"/>
      <c r="CY226" s="222"/>
    </row>
    <row r="227">
      <c r="A227" s="227"/>
      <c r="E227" s="222"/>
      <c r="I227" s="222"/>
      <c r="M227" s="222"/>
      <c r="Q227" s="222"/>
      <c r="U227" s="222"/>
      <c r="Y227" s="222"/>
      <c r="AC227" s="222"/>
      <c r="AG227" s="222"/>
      <c r="AK227" s="222"/>
      <c r="AO227" s="222"/>
      <c r="AS227" s="222"/>
      <c r="AW227" s="222"/>
      <c r="BA227" s="222"/>
      <c r="BE227" s="222"/>
      <c r="BK227" s="222"/>
      <c r="BO227" s="222"/>
      <c r="BU227" s="222"/>
      <c r="BY227" s="222"/>
      <c r="CC227" s="222"/>
      <c r="CG227" s="222"/>
      <c r="CK227" s="222"/>
      <c r="CQ227" s="222"/>
      <c r="CU227" s="222"/>
      <c r="CY227" s="222"/>
    </row>
    <row r="228">
      <c r="A228" s="227"/>
      <c r="E228" s="222"/>
      <c r="I228" s="222"/>
      <c r="M228" s="222"/>
      <c r="Q228" s="222"/>
      <c r="U228" s="222"/>
      <c r="Y228" s="222"/>
      <c r="AC228" s="222"/>
      <c r="AG228" s="222"/>
      <c r="AK228" s="222"/>
      <c r="AO228" s="222"/>
      <c r="AS228" s="222"/>
      <c r="AW228" s="222"/>
      <c r="BA228" s="222"/>
      <c r="BE228" s="222"/>
      <c r="BK228" s="222"/>
      <c r="BO228" s="222"/>
      <c r="BU228" s="222"/>
      <c r="BY228" s="222"/>
      <c r="CC228" s="222"/>
      <c r="CG228" s="222"/>
      <c r="CK228" s="222"/>
      <c r="CQ228" s="222"/>
      <c r="CU228" s="222"/>
      <c r="CY228" s="222"/>
    </row>
    <row r="229">
      <c r="A229" s="227"/>
      <c r="E229" s="222"/>
      <c r="I229" s="222"/>
      <c r="M229" s="222"/>
      <c r="Q229" s="222"/>
      <c r="U229" s="222"/>
      <c r="Y229" s="222"/>
      <c r="AC229" s="222"/>
      <c r="AG229" s="222"/>
      <c r="AK229" s="222"/>
      <c r="AO229" s="222"/>
      <c r="AS229" s="222"/>
      <c r="AW229" s="222"/>
      <c r="BA229" s="222"/>
      <c r="BE229" s="222"/>
      <c r="BK229" s="222"/>
      <c r="BO229" s="222"/>
      <c r="BU229" s="222"/>
      <c r="BY229" s="222"/>
      <c r="CC229" s="222"/>
      <c r="CG229" s="222"/>
      <c r="CK229" s="222"/>
      <c r="CQ229" s="222"/>
      <c r="CU229" s="222"/>
      <c r="CY229" s="222"/>
    </row>
    <row r="230">
      <c r="A230" s="227"/>
      <c r="E230" s="222"/>
      <c r="I230" s="222"/>
      <c r="M230" s="222"/>
      <c r="Q230" s="222"/>
      <c r="U230" s="222"/>
      <c r="Y230" s="222"/>
      <c r="AC230" s="222"/>
      <c r="AG230" s="222"/>
      <c r="AK230" s="222"/>
      <c r="AO230" s="222"/>
      <c r="AS230" s="222"/>
      <c r="AW230" s="222"/>
      <c r="BA230" s="222"/>
      <c r="BE230" s="222"/>
      <c r="BK230" s="222"/>
      <c r="BO230" s="222"/>
      <c r="BU230" s="222"/>
      <c r="BY230" s="222"/>
      <c r="CC230" s="222"/>
      <c r="CG230" s="222"/>
      <c r="CK230" s="222"/>
      <c r="CQ230" s="222"/>
      <c r="CU230" s="222"/>
      <c r="CY230" s="222"/>
    </row>
    <row r="231">
      <c r="A231" s="227"/>
      <c r="E231" s="222"/>
      <c r="I231" s="222"/>
      <c r="M231" s="222"/>
      <c r="Q231" s="222"/>
      <c r="U231" s="222"/>
      <c r="Y231" s="222"/>
      <c r="AC231" s="222"/>
      <c r="AG231" s="222"/>
      <c r="AK231" s="222"/>
      <c r="AO231" s="222"/>
      <c r="AS231" s="222"/>
      <c r="AW231" s="222"/>
      <c r="BA231" s="222"/>
      <c r="BE231" s="222"/>
      <c r="BK231" s="222"/>
      <c r="BO231" s="222"/>
      <c r="BU231" s="222"/>
      <c r="BY231" s="222"/>
      <c r="CC231" s="222"/>
      <c r="CG231" s="222"/>
      <c r="CK231" s="222"/>
      <c r="CQ231" s="222"/>
      <c r="CU231" s="222"/>
      <c r="CY231" s="222"/>
    </row>
    <row r="232">
      <c r="A232" s="227"/>
      <c r="E232" s="222"/>
      <c r="I232" s="222"/>
      <c r="M232" s="222"/>
      <c r="Q232" s="222"/>
      <c r="U232" s="222"/>
      <c r="Y232" s="222"/>
      <c r="AC232" s="222"/>
      <c r="AG232" s="222"/>
      <c r="AK232" s="222"/>
      <c r="AO232" s="222"/>
      <c r="AS232" s="222"/>
      <c r="AW232" s="222"/>
      <c r="BA232" s="222"/>
      <c r="BE232" s="222"/>
      <c r="BK232" s="222"/>
      <c r="BO232" s="222"/>
      <c r="BU232" s="222"/>
      <c r="BY232" s="222"/>
      <c r="CC232" s="222"/>
      <c r="CG232" s="222"/>
      <c r="CK232" s="222"/>
      <c r="CQ232" s="222"/>
      <c r="CU232" s="222"/>
      <c r="CY232" s="222"/>
    </row>
    <row r="233">
      <c r="A233" s="227"/>
      <c r="E233" s="222"/>
      <c r="I233" s="222"/>
      <c r="M233" s="222"/>
      <c r="Q233" s="222"/>
      <c r="U233" s="222"/>
      <c r="Y233" s="222"/>
      <c r="AC233" s="222"/>
      <c r="AG233" s="222"/>
      <c r="AK233" s="222"/>
      <c r="AO233" s="222"/>
      <c r="AS233" s="222"/>
      <c r="AW233" s="222"/>
      <c r="BA233" s="222"/>
      <c r="BE233" s="222"/>
      <c r="BK233" s="222"/>
      <c r="BO233" s="222"/>
      <c r="BU233" s="222"/>
      <c r="BY233" s="222"/>
      <c r="CC233" s="222"/>
      <c r="CG233" s="222"/>
      <c r="CK233" s="222"/>
      <c r="CQ233" s="222"/>
      <c r="CU233" s="222"/>
      <c r="CY233" s="222"/>
    </row>
    <row r="234">
      <c r="A234" s="227"/>
      <c r="E234" s="222"/>
      <c r="I234" s="222"/>
      <c r="M234" s="222"/>
      <c r="Q234" s="222"/>
      <c r="U234" s="222"/>
      <c r="Y234" s="222"/>
      <c r="AC234" s="222"/>
      <c r="AG234" s="222"/>
      <c r="AK234" s="222"/>
      <c r="AO234" s="222"/>
      <c r="AS234" s="222"/>
      <c r="AW234" s="222"/>
      <c r="BA234" s="222"/>
      <c r="BE234" s="222"/>
      <c r="BK234" s="222"/>
      <c r="BO234" s="222"/>
      <c r="BU234" s="222"/>
      <c r="BY234" s="222"/>
      <c r="CC234" s="222"/>
      <c r="CG234" s="222"/>
      <c r="CK234" s="222"/>
      <c r="CQ234" s="222"/>
      <c r="CU234" s="222"/>
      <c r="CY234" s="222"/>
    </row>
    <row r="235">
      <c r="A235" s="227"/>
      <c r="E235" s="222"/>
      <c r="I235" s="222"/>
      <c r="M235" s="222"/>
      <c r="Q235" s="222"/>
      <c r="U235" s="222"/>
      <c r="Y235" s="222"/>
      <c r="AC235" s="222"/>
      <c r="AG235" s="222"/>
      <c r="AK235" s="222"/>
      <c r="AO235" s="222"/>
      <c r="AS235" s="222"/>
      <c r="AW235" s="222"/>
      <c r="BA235" s="222"/>
      <c r="BE235" s="222"/>
      <c r="BK235" s="222"/>
      <c r="BO235" s="222"/>
      <c r="BU235" s="222"/>
      <c r="BY235" s="222"/>
      <c r="CC235" s="222"/>
      <c r="CG235" s="222"/>
      <c r="CK235" s="222"/>
      <c r="CQ235" s="222"/>
      <c r="CU235" s="222"/>
      <c r="CY235" s="222"/>
    </row>
    <row r="236">
      <c r="A236" s="227"/>
      <c r="E236" s="222"/>
      <c r="I236" s="222"/>
      <c r="M236" s="222"/>
      <c r="Q236" s="222"/>
      <c r="U236" s="222"/>
      <c r="Y236" s="222"/>
      <c r="AC236" s="222"/>
      <c r="AG236" s="222"/>
      <c r="AK236" s="222"/>
      <c r="AO236" s="222"/>
      <c r="AS236" s="222"/>
      <c r="AW236" s="222"/>
      <c r="BA236" s="222"/>
      <c r="BE236" s="222"/>
      <c r="BK236" s="222"/>
      <c r="BO236" s="222"/>
      <c r="BU236" s="222"/>
      <c r="BY236" s="222"/>
      <c r="CC236" s="222"/>
      <c r="CG236" s="222"/>
      <c r="CK236" s="222"/>
      <c r="CQ236" s="222"/>
      <c r="CU236" s="222"/>
      <c r="CY236" s="222"/>
    </row>
    <row r="237">
      <c r="A237" s="227"/>
      <c r="E237" s="222"/>
      <c r="I237" s="222"/>
      <c r="M237" s="222"/>
      <c r="Q237" s="222"/>
      <c r="U237" s="222"/>
      <c r="Y237" s="222"/>
      <c r="AC237" s="222"/>
      <c r="AG237" s="222"/>
      <c r="AK237" s="222"/>
      <c r="AO237" s="222"/>
      <c r="AS237" s="222"/>
      <c r="AW237" s="222"/>
      <c r="BA237" s="222"/>
      <c r="BE237" s="222"/>
      <c r="BK237" s="222"/>
      <c r="BO237" s="222"/>
      <c r="BU237" s="222"/>
      <c r="BY237" s="222"/>
      <c r="CC237" s="222"/>
      <c r="CG237" s="222"/>
      <c r="CK237" s="222"/>
      <c r="CQ237" s="222"/>
      <c r="CU237" s="222"/>
      <c r="CY237" s="222"/>
    </row>
    <row r="238">
      <c r="A238" s="227"/>
      <c r="E238" s="222"/>
      <c r="I238" s="222"/>
      <c r="M238" s="222"/>
      <c r="Q238" s="222"/>
      <c r="U238" s="222"/>
      <c r="Y238" s="222"/>
      <c r="AC238" s="222"/>
      <c r="AG238" s="222"/>
      <c r="AK238" s="222"/>
      <c r="AO238" s="222"/>
      <c r="AS238" s="222"/>
      <c r="AW238" s="222"/>
      <c r="BA238" s="222"/>
      <c r="BE238" s="222"/>
      <c r="BK238" s="222"/>
      <c r="BO238" s="222"/>
      <c r="BU238" s="222"/>
      <c r="BY238" s="222"/>
      <c r="CC238" s="222"/>
      <c r="CG238" s="222"/>
      <c r="CK238" s="222"/>
      <c r="CQ238" s="222"/>
      <c r="CU238" s="222"/>
      <c r="CY238" s="222"/>
    </row>
    <row r="239">
      <c r="A239" s="227"/>
      <c r="E239" s="222"/>
      <c r="I239" s="222"/>
      <c r="M239" s="222"/>
      <c r="Q239" s="222"/>
      <c r="U239" s="222"/>
      <c r="Y239" s="222"/>
      <c r="AC239" s="222"/>
      <c r="AG239" s="222"/>
      <c r="AK239" s="222"/>
      <c r="AO239" s="222"/>
      <c r="AS239" s="222"/>
      <c r="AW239" s="222"/>
      <c r="BA239" s="222"/>
      <c r="BE239" s="222"/>
      <c r="BK239" s="222"/>
      <c r="BO239" s="222"/>
      <c r="BU239" s="222"/>
      <c r="BY239" s="222"/>
      <c r="CC239" s="222"/>
      <c r="CG239" s="222"/>
      <c r="CK239" s="222"/>
      <c r="CQ239" s="222"/>
      <c r="CU239" s="222"/>
      <c r="CY239" s="222"/>
    </row>
    <row r="240">
      <c r="A240" s="227"/>
      <c r="E240" s="222"/>
      <c r="I240" s="222"/>
      <c r="M240" s="222"/>
      <c r="Q240" s="222"/>
      <c r="U240" s="222"/>
      <c r="Y240" s="222"/>
      <c r="AC240" s="222"/>
      <c r="AG240" s="222"/>
      <c r="AK240" s="222"/>
      <c r="AO240" s="222"/>
      <c r="AS240" s="222"/>
      <c r="AW240" s="222"/>
      <c r="BA240" s="222"/>
      <c r="BE240" s="222"/>
      <c r="BK240" s="222"/>
      <c r="BO240" s="222"/>
      <c r="BU240" s="222"/>
      <c r="BY240" s="222"/>
      <c r="CC240" s="222"/>
      <c r="CG240" s="222"/>
      <c r="CK240" s="222"/>
      <c r="CQ240" s="222"/>
      <c r="CU240" s="222"/>
      <c r="CY240" s="222"/>
    </row>
    <row r="241">
      <c r="A241" s="227"/>
      <c r="E241" s="222"/>
      <c r="I241" s="222"/>
      <c r="M241" s="222"/>
      <c r="Q241" s="222"/>
      <c r="U241" s="222"/>
      <c r="Y241" s="222"/>
      <c r="AC241" s="222"/>
      <c r="AG241" s="222"/>
      <c r="AK241" s="222"/>
      <c r="AO241" s="222"/>
      <c r="AS241" s="222"/>
      <c r="AW241" s="222"/>
      <c r="BA241" s="222"/>
      <c r="BE241" s="222"/>
      <c r="BK241" s="222"/>
      <c r="BO241" s="222"/>
      <c r="BU241" s="222"/>
      <c r="BY241" s="222"/>
      <c r="CC241" s="222"/>
      <c r="CG241" s="222"/>
      <c r="CK241" s="222"/>
      <c r="CQ241" s="222"/>
      <c r="CU241" s="222"/>
      <c r="CY241" s="222"/>
    </row>
    <row r="242">
      <c r="A242" s="227"/>
      <c r="E242" s="222"/>
      <c r="I242" s="222"/>
      <c r="M242" s="222"/>
      <c r="Q242" s="222"/>
      <c r="U242" s="222"/>
      <c r="Y242" s="222"/>
      <c r="AC242" s="222"/>
      <c r="AG242" s="222"/>
      <c r="AK242" s="222"/>
      <c r="AO242" s="222"/>
      <c r="AS242" s="222"/>
      <c r="AW242" s="222"/>
      <c r="BA242" s="222"/>
      <c r="BE242" s="222"/>
      <c r="BK242" s="222"/>
      <c r="BO242" s="222"/>
      <c r="BU242" s="222"/>
      <c r="BY242" s="222"/>
      <c r="CC242" s="222"/>
      <c r="CG242" s="222"/>
      <c r="CK242" s="222"/>
      <c r="CQ242" s="222"/>
      <c r="CU242" s="222"/>
      <c r="CY242" s="222"/>
    </row>
    <row r="243">
      <c r="A243" s="227"/>
      <c r="E243" s="222"/>
      <c r="I243" s="222"/>
      <c r="M243" s="222"/>
      <c r="Q243" s="222"/>
      <c r="U243" s="222"/>
      <c r="Y243" s="222"/>
      <c r="AC243" s="222"/>
      <c r="AG243" s="222"/>
      <c r="AK243" s="222"/>
      <c r="AO243" s="222"/>
      <c r="AS243" s="222"/>
      <c r="AW243" s="222"/>
      <c r="BA243" s="222"/>
      <c r="BE243" s="222"/>
      <c r="BK243" s="222"/>
      <c r="BO243" s="222"/>
      <c r="BU243" s="222"/>
      <c r="BY243" s="222"/>
      <c r="CC243" s="222"/>
      <c r="CG243" s="222"/>
      <c r="CK243" s="222"/>
      <c r="CQ243" s="222"/>
      <c r="CU243" s="222"/>
      <c r="CY243" s="222"/>
    </row>
    <row r="244">
      <c r="A244" s="227"/>
      <c r="E244" s="222"/>
      <c r="I244" s="222"/>
      <c r="M244" s="222"/>
      <c r="Q244" s="222"/>
      <c r="U244" s="222"/>
      <c r="Y244" s="222"/>
      <c r="AC244" s="222"/>
      <c r="AG244" s="222"/>
      <c r="AK244" s="222"/>
      <c r="AO244" s="222"/>
      <c r="AS244" s="222"/>
      <c r="AW244" s="222"/>
      <c r="BA244" s="222"/>
      <c r="BE244" s="222"/>
      <c r="BK244" s="222"/>
      <c r="BO244" s="222"/>
      <c r="BU244" s="222"/>
      <c r="BY244" s="222"/>
      <c r="CC244" s="222"/>
      <c r="CG244" s="222"/>
      <c r="CK244" s="222"/>
      <c r="CQ244" s="222"/>
      <c r="CU244" s="222"/>
      <c r="CY244" s="222"/>
    </row>
    <row r="245">
      <c r="A245" s="227"/>
      <c r="E245" s="222"/>
      <c r="I245" s="222"/>
      <c r="M245" s="222"/>
      <c r="Q245" s="222"/>
      <c r="U245" s="222"/>
      <c r="Y245" s="222"/>
      <c r="AC245" s="222"/>
      <c r="AG245" s="222"/>
      <c r="AK245" s="222"/>
      <c r="AO245" s="222"/>
      <c r="AS245" s="222"/>
      <c r="AW245" s="222"/>
      <c r="BA245" s="222"/>
      <c r="BE245" s="222"/>
      <c r="BK245" s="222"/>
      <c r="BO245" s="222"/>
      <c r="BU245" s="222"/>
      <c r="BY245" s="222"/>
      <c r="CC245" s="222"/>
      <c r="CG245" s="222"/>
      <c r="CK245" s="222"/>
      <c r="CQ245" s="222"/>
      <c r="CU245" s="222"/>
      <c r="CY245" s="222"/>
    </row>
    <row r="246">
      <c r="A246" s="227"/>
      <c r="E246" s="222"/>
      <c r="I246" s="222"/>
      <c r="M246" s="222"/>
      <c r="Q246" s="222"/>
      <c r="U246" s="222"/>
      <c r="Y246" s="222"/>
      <c r="AC246" s="222"/>
      <c r="AG246" s="222"/>
      <c r="AK246" s="222"/>
      <c r="AO246" s="222"/>
      <c r="AS246" s="222"/>
      <c r="AW246" s="222"/>
      <c r="BA246" s="222"/>
      <c r="BE246" s="222"/>
      <c r="BK246" s="222"/>
      <c r="BO246" s="222"/>
      <c r="BU246" s="222"/>
      <c r="BY246" s="222"/>
      <c r="CC246" s="222"/>
      <c r="CG246" s="222"/>
      <c r="CK246" s="222"/>
      <c r="CQ246" s="222"/>
      <c r="CU246" s="222"/>
      <c r="CY246" s="222"/>
    </row>
    <row r="247">
      <c r="A247" s="227"/>
      <c r="E247" s="222"/>
      <c r="I247" s="222"/>
      <c r="M247" s="222"/>
      <c r="Q247" s="222"/>
      <c r="U247" s="222"/>
      <c r="Y247" s="222"/>
      <c r="AC247" s="222"/>
      <c r="AG247" s="222"/>
      <c r="AK247" s="222"/>
      <c r="AO247" s="222"/>
      <c r="AS247" s="222"/>
      <c r="AW247" s="222"/>
      <c r="BA247" s="222"/>
      <c r="BE247" s="222"/>
      <c r="BK247" s="222"/>
      <c r="BO247" s="222"/>
      <c r="BU247" s="222"/>
      <c r="BY247" s="222"/>
      <c r="CC247" s="222"/>
      <c r="CG247" s="222"/>
      <c r="CK247" s="222"/>
      <c r="CQ247" s="222"/>
      <c r="CU247" s="222"/>
      <c r="CY247" s="222"/>
    </row>
    <row r="248">
      <c r="A248" s="227"/>
      <c r="E248" s="222"/>
      <c r="I248" s="222"/>
      <c r="M248" s="222"/>
      <c r="Q248" s="222"/>
      <c r="U248" s="222"/>
      <c r="Y248" s="222"/>
      <c r="AC248" s="222"/>
      <c r="AG248" s="222"/>
      <c r="AK248" s="222"/>
      <c r="AO248" s="222"/>
      <c r="AS248" s="222"/>
      <c r="AW248" s="222"/>
      <c r="BA248" s="222"/>
      <c r="BE248" s="222"/>
      <c r="BK248" s="222"/>
      <c r="BO248" s="222"/>
      <c r="BU248" s="222"/>
      <c r="BY248" s="222"/>
      <c r="CC248" s="222"/>
      <c r="CG248" s="222"/>
      <c r="CK248" s="222"/>
      <c r="CQ248" s="222"/>
      <c r="CU248" s="222"/>
      <c r="CY248" s="222"/>
    </row>
    <row r="249">
      <c r="A249" s="227"/>
      <c r="E249" s="222"/>
      <c r="I249" s="222"/>
      <c r="M249" s="222"/>
      <c r="Q249" s="222"/>
      <c r="U249" s="222"/>
      <c r="Y249" s="222"/>
      <c r="AC249" s="222"/>
      <c r="AG249" s="222"/>
      <c r="AK249" s="222"/>
      <c r="AO249" s="222"/>
      <c r="AS249" s="222"/>
      <c r="AW249" s="222"/>
      <c r="BA249" s="222"/>
      <c r="BE249" s="222"/>
      <c r="BK249" s="222"/>
      <c r="BO249" s="222"/>
      <c r="BU249" s="222"/>
      <c r="BY249" s="222"/>
      <c r="CC249" s="222"/>
      <c r="CG249" s="222"/>
      <c r="CK249" s="222"/>
      <c r="CQ249" s="222"/>
      <c r="CU249" s="222"/>
      <c r="CY249" s="222"/>
    </row>
    <row r="250">
      <c r="A250" s="227"/>
      <c r="E250" s="222"/>
      <c r="I250" s="222"/>
      <c r="M250" s="222"/>
      <c r="Q250" s="222"/>
      <c r="U250" s="222"/>
      <c r="Y250" s="222"/>
      <c r="AC250" s="222"/>
      <c r="AG250" s="222"/>
      <c r="AK250" s="222"/>
      <c r="AO250" s="222"/>
      <c r="AS250" s="222"/>
      <c r="AW250" s="222"/>
      <c r="BA250" s="222"/>
      <c r="BE250" s="222"/>
      <c r="BK250" s="222"/>
      <c r="BO250" s="222"/>
      <c r="BU250" s="222"/>
      <c r="BY250" s="222"/>
      <c r="CC250" s="222"/>
      <c r="CG250" s="222"/>
      <c r="CK250" s="222"/>
      <c r="CQ250" s="222"/>
      <c r="CU250" s="222"/>
      <c r="CY250" s="222"/>
    </row>
    <row r="251">
      <c r="A251" s="227"/>
      <c r="E251" s="222"/>
      <c r="I251" s="222"/>
      <c r="M251" s="222"/>
      <c r="Q251" s="222"/>
      <c r="U251" s="222"/>
      <c r="Y251" s="222"/>
      <c r="AC251" s="222"/>
      <c r="AG251" s="222"/>
      <c r="AK251" s="222"/>
      <c r="AO251" s="222"/>
      <c r="AS251" s="222"/>
      <c r="AW251" s="222"/>
      <c r="BA251" s="222"/>
      <c r="BE251" s="222"/>
      <c r="BK251" s="222"/>
      <c r="BO251" s="222"/>
      <c r="BU251" s="222"/>
      <c r="BY251" s="222"/>
      <c r="CC251" s="222"/>
      <c r="CG251" s="222"/>
      <c r="CK251" s="222"/>
      <c r="CQ251" s="222"/>
      <c r="CU251" s="222"/>
      <c r="CY251" s="222"/>
    </row>
    <row r="252">
      <c r="A252" s="227"/>
      <c r="E252" s="222"/>
      <c r="I252" s="222"/>
      <c r="M252" s="222"/>
      <c r="Q252" s="222"/>
      <c r="U252" s="222"/>
      <c r="Y252" s="222"/>
      <c r="AC252" s="222"/>
      <c r="AG252" s="222"/>
      <c r="AK252" s="222"/>
      <c r="AO252" s="222"/>
      <c r="AS252" s="222"/>
      <c r="AW252" s="222"/>
      <c r="BA252" s="222"/>
      <c r="BE252" s="222"/>
      <c r="BK252" s="222"/>
      <c r="BO252" s="222"/>
      <c r="BU252" s="222"/>
      <c r="BY252" s="222"/>
      <c r="CC252" s="222"/>
      <c r="CG252" s="222"/>
      <c r="CK252" s="222"/>
      <c r="CQ252" s="222"/>
      <c r="CU252" s="222"/>
      <c r="CY252" s="222"/>
    </row>
    <row r="253">
      <c r="A253" s="227"/>
      <c r="E253" s="222"/>
      <c r="I253" s="222"/>
      <c r="M253" s="222"/>
      <c r="Q253" s="222"/>
      <c r="U253" s="222"/>
      <c r="Y253" s="222"/>
      <c r="AC253" s="222"/>
      <c r="AG253" s="222"/>
      <c r="AK253" s="222"/>
      <c r="AO253" s="222"/>
      <c r="AS253" s="222"/>
      <c r="AW253" s="222"/>
      <c r="BA253" s="222"/>
      <c r="BE253" s="222"/>
      <c r="BK253" s="222"/>
      <c r="BO253" s="222"/>
      <c r="BU253" s="222"/>
      <c r="BY253" s="222"/>
      <c r="CC253" s="222"/>
      <c r="CG253" s="222"/>
      <c r="CK253" s="222"/>
      <c r="CQ253" s="222"/>
      <c r="CU253" s="222"/>
      <c r="CY253" s="222"/>
    </row>
    <row r="254">
      <c r="A254" s="227"/>
      <c r="E254" s="222"/>
      <c r="I254" s="222"/>
      <c r="M254" s="222"/>
      <c r="Q254" s="222"/>
      <c r="U254" s="222"/>
      <c r="Y254" s="222"/>
      <c r="AC254" s="222"/>
      <c r="AG254" s="222"/>
      <c r="AK254" s="222"/>
      <c r="AO254" s="222"/>
      <c r="AS254" s="222"/>
      <c r="AW254" s="222"/>
      <c r="BA254" s="222"/>
      <c r="BE254" s="222"/>
      <c r="BK254" s="222"/>
      <c r="BO254" s="222"/>
      <c r="BU254" s="222"/>
      <c r="BY254" s="222"/>
      <c r="CC254" s="222"/>
      <c r="CG254" s="222"/>
      <c r="CK254" s="222"/>
      <c r="CQ254" s="222"/>
      <c r="CU254" s="222"/>
      <c r="CY254" s="222"/>
    </row>
    <row r="255">
      <c r="A255" s="227"/>
      <c r="E255" s="222"/>
      <c r="I255" s="222"/>
      <c r="M255" s="222"/>
      <c r="Q255" s="222"/>
      <c r="U255" s="222"/>
      <c r="Y255" s="222"/>
      <c r="AC255" s="222"/>
      <c r="AG255" s="222"/>
      <c r="AK255" s="222"/>
      <c r="AO255" s="222"/>
      <c r="AS255" s="222"/>
      <c r="AW255" s="222"/>
      <c r="BA255" s="222"/>
      <c r="BE255" s="222"/>
      <c r="BK255" s="222"/>
      <c r="BO255" s="222"/>
      <c r="BU255" s="222"/>
      <c r="BY255" s="222"/>
      <c r="CC255" s="222"/>
      <c r="CG255" s="222"/>
      <c r="CK255" s="222"/>
      <c r="CQ255" s="222"/>
      <c r="CU255" s="222"/>
      <c r="CY255" s="222"/>
    </row>
    <row r="256">
      <c r="A256" s="227"/>
      <c r="E256" s="222"/>
      <c r="I256" s="222"/>
      <c r="M256" s="222"/>
      <c r="Q256" s="222"/>
      <c r="U256" s="222"/>
      <c r="Y256" s="222"/>
      <c r="AC256" s="222"/>
      <c r="AG256" s="222"/>
      <c r="AK256" s="222"/>
      <c r="AO256" s="222"/>
      <c r="AS256" s="222"/>
      <c r="AW256" s="222"/>
      <c r="BA256" s="222"/>
      <c r="BE256" s="222"/>
      <c r="BK256" s="222"/>
      <c r="BO256" s="222"/>
      <c r="BU256" s="222"/>
      <c r="BY256" s="222"/>
      <c r="CC256" s="222"/>
      <c r="CG256" s="222"/>
      <c r="CK256" s="222"/>
      <c r="CQ256" s="222"/>
      <c r="CU256" s="222"/>
      <c r="CY256" s="222"/>
    </row>
    <row r="257">
      <c r="A257" s="227"/>
      <c r="E257" s="222"/>
      <c r="I257" s="222"/>
      <c r="M257" s="222"/>
      <c r="Q257" s="222"/>
      <c r="U257" s="222"/>
      <c r="Y257" s="222"/>
      <c r="AC257" s="222"/>
      <c r="AG257" s="222"/>
      <c r="AK257" s="222"/>
      <c r="AO257" s="222"/>
      <c r="AS257" s="222"/>
      <c r="AW257" s="222"/>
      <c r="BA257" s="222"/>
      <c r="BE257" s="222"/>
      <c r="BK257" s="222"/>
      <c r="BO257" s="222"/>
      <c r="BU257" s="222"/>
      <c r="BY257" s="222"/>
      <c r="CC257" s="222"/>
      <c r="CG257" s="222"/>
      <c r="CK257" s="222"/>
      <c r="CQ257" s="222"/>
      <c r="CU257" s="222"/>
      <c r="CY257" s="222"/>
    </row>
    <row r="258">
      <c r="A258" s="227"/>
      <c r="E258" s="222"/>
      <c r="I258" s="222"/>
      <c r="M258" s="222"/>
      <c r="Q258" s="222"/>
      <c r="U258" s="222"/>
      <c r="Y258" s="222"/>
      <c r="AC258" s="222"/>
      <c r="AG258" s="222"/>
      <c r="AK258" s="222"/>
      <c r="AO258" s="222"/>
      <c r="AS258" s="222"/>
      <c r="AW258" s="222"/>
      <c r="BA258" s="222"/>
      <c r="BE258" s="222"/>
      <c r="BK258" s="222"/>
      <c r="BO258" s="222"/>
      <c r="BU258" s="222"/>
      <c r="BY258" s="222"/>
      <c r="CC258" s="222"/>
      <c r="CG258" s="222"/>
      <c r="CK258" s="222"/>
      <c r="CQ258" s="222"/>
      <c r="CU258" s="222"/>
      <c r="CY258" s="222"/>
    </row>
    <row r="259">
      <c r="A259" s="227"/>
      <c r="E259" s="222"/>
      <c r="I259" s="222"/>
      <c r="M259" s="222"/>
      <c r="Q259" s="222"/>
      <c r="U259" s="222"/>
      <c r="Y259" s="222"/>
      <c r="AC259" s="222"/>
      <c r="AG259" s="222"/>
      <c r="AK259" s="222"/>
      <c r="AO259" s="222"/>
      <c r="AS259" s="222"/>
      <c r="AW259" s="222"/>
      <c r="BA259" s="222"/>
      <c r="BE259" s="222"/>
      <c r="BK259" s="222"/>
      <c r="BO259" s="222"/>
      <c r="BU259" s="222"/>
      <c r="BY259" s="222"/>
      <c r="CC259" s="222"/>
      <c r="CG259" s="222"/>
      <c r="CK259" s="222"/>
      <c r="CQ259" s="222"/>
      <c r="CU259" s="222"/>
      <c r="CY259" s="222"/>
    </row>
    <row r="260">
      <c r="A260" s="227"/>
      <c r="E260" s="222"/>
      <c r="I260" s="222"/>
      <c r="M260" s="222"/>
      <c r="Q260" s="222"/>
      <c r="U260" s="222"/>
      <c r="Y260" s="222"/>
      <c r="AC260" s="222"/>
      <c r="AG260" s="222"/>
      <c r="AK260" s="222"/>
      <c r="AO260" s="222"/>
      <c r="AS260" s="222"/>
      <c r="AW260" s="222"/>
      <c r="BA260" s="222"/>
      <c r="BE260" s="222"/>
      <c r="BK260" s="222"/>
      <c r="BO260" s="222"/>
      <c r="BU260" s="222"/>
      <c r="BY260" s="222"/>
      <c r="CC260" s="222"/>
      <c r="CG260" s="222"/>
      <c r="CK260" s="222"/>
      <c r="CQ260" s="222"/>
      <c r="CU260" s="222"/>
      <c r="CY260" s="222"/>
    </row>
    <row r="261">
      <c r="A261" s="227"/>
      <c r="E261" s="222"/>
      <c r="I261" s="222"/>
      <c r="M261" s="222"/>
      <c r="Q261" s="222"/>
      <c r="U261" s="222"/>
      <c r="Y261" s="222"/>
      <c r="AC261" s="222"/>
      <c r="AG261" s="222"/>
      <c r="AK261" s="222"/>
      <c r="AO261" s="222"/>
      <c r="AS261" s="222"/>
      <c r="AW261" s="222"/>
      <c r="BA261" s="222"/>
      <c r="BE261" s="222"/>
      <c r="BK261" s="222"/>
      <c r="BO261" s="222"/>
      <c r="BU261" s="222"/>
      <c r="BY261" s="222"/>
      <c r="CC261" s="222"/>
      <c r="CG261" s="222"/>
      <c r="CK261" s="222"/>
      <c r="CQ261" s="222"/>
      <c r="CU261" s="222"/>
      <c r="CY261" s="222"/>
    </row>
    <row r="262">
      <c r="A262" s="227"/>
      <c r="E262" s="222"/>
      <c r="I262" s="222"/>
      <c r="M262" s="222"/>
      <c r="Q262" s="222"/>
      <c r="U262" s="222"/>
      <c r="Y262" s="222"/>
      <c r="AC262" s="222"/>
      <c r="AG262" s="222"/>
      <c r="AK262" s="222"/>
      <c r="AO262" s="222"/>
      <c r="AS262" s="222"/>
      <c r="AW262" s="222"/>
      <c r="BA262" s="222"/>
      <c r="BE262" s="222"/>
      <c r="BK262" s="222"/>
      <c r="BO262" s="222"/>
      <c r="BU262" s="222"/>
      <c r="BY262" s="222"/>
      <c r="CC262" s="222"/>
      <c r="CG262" s="222"/>
      <c r="CK262" s="222"/>
      <c r="CQ262" s="222"/>
      <c r="CU262" s="222"/>
      <c r="CY262" s="222"/>
    </row>
    <row r="263">
      <c r="A263" s="227"/>
      <c r="E263" s="222"/>
      <c r="I263" s="222"/>
      <c r="M263" s="222"/>
      <c r="Q263" s="222"/>
      <c r="U263" s="222"/>
      <c r="Y263" s="222"/>
      <c r="AC263" s="222"/>
      <c r="AG263" s="222"/>
      <c r="AK263" s="222"/>
      <c r="AO263" s="222"/>
      <c r="AS263" s="222"/>
      <c r="AW263" s="222"/>
      <c r="BA263" s="222"/>
      <c r="BE263" s="222"/>
      <c r="BK263" s="222"/>
      <c r="BO263" s="222"/>
      <c r="BU263" s="222"/>
      <c r="BY263" s="222"/>
      <c r="CC263" s="222"/>
      <c r="CG263" s="222"/>
      <c r="CK263" s="222"/>
      <c r="CQ263" s="222"/>
      <c r="CU263" s="222"/>
      <c r="CY263" s="222"/>
    </row>
    <row r="264">
      <c r="A264" s="227"/>
      <c r="E264" s="222"/>
      <c r="I264" s="222"/>
      <c r="M264" s="222"/>
      <c r="Q264" s="222"/>
      <c r="U264" s="222"/>
      <c r="Y264" s="222"/>
      <c r="AC264" s="222"/>
      <c r="AG264" s="222"/>
      <c r="AK264" s="222"/>
      <c r="AO264" s="222"/>
      <c r="AS264" s="222"/>
      <c r="AW264" s="222"/>
      <c r="BA264" s="222"/>
      <c r="BE264" s="222"/>
      <c r="BK264" s="222"/>
      <c r="BO264" s="222"/>
      <c r="BU264" s="222"/>
      <c r="BY264" s="222"/>
      <c r="CC264" s="222"/>
      <c r="CG264" s="222"/>
      <c r="CK264" s="222"/>
      <c r="CQ264" s="222"/>
      <c r="CU264" s="222"/>
      <c r="CY264" s="222"/>
    </row>
    <row r="265">
      <c r="A265" s="227"/>
      <c r="E265" s="222"/>
      <c r="I265" s="222"/>
      <c r="M265" s="222"/>
      <c r="Q265" s="222"/>
      <c r="U265" s="222"/>
      <c r="Y265" s="222"/>
      <c r="AC265" s="222"/>
      <c r="AG265" s="222"/>
      <c r="AK265" s="222"/>
      <c r="AO265" s="222"/>
      <c r="AS265" s="222"/>
      <c r="AW265" s="222"/>
      <c r="BA265" s="222"/>
      <c r="BE265" s="222"/>
      <c r="BK265" s="222"/>
      <c r="BO265" s="222"/>
      <c r="BU265" s="222"/>
      <c r="BY265" s="222"/>
      <c r="CC265" s="222"/>
      <c r="CG265" s="222"/>
      <c r="CK265" s="222"/>
      <c r="CQ265" s="222"/>
      <c r="CU265" s="222"/>
      <c r="CY265" s="222"/>
    </row>
    <row r="266">
      <c r="A266" s="227"/>
      <c r="E266" s="222"/>
      <c r="I266" s="222"/>
      <c r="M266" s="222"/>
      <c r="Q266" s="222"/>
      <c r="U266" s="222"/>
      <c r="Y266" s="222"/>
      <c r="AC266" s="222"/>
      <c r="AG266" s="222"/>
      <c r="AK266" s="222"/>
      <c r="AO266" s="222"/>
      <c r="AS266" s="222"/>
      <c r="AW266" s="222"/>
      <c r="BA266" s="222"/>
      <c r="BE266" s="222"/>
      <c r="BK266" s="222"/>
      <c r="BO266" s="222"/>
      <c r="BU266" s="222"/>
      <c r="BY266" s="222"/>
      <c r="CC266" s="222"/>
      <c r="CG266" s="222"/>
      <c r="CK266" s="222"/>
      <c r="CQ266" s="222"/>
      <c r="CU266" s="222"/>
      <c r="CY266" s="222"/>
    </row>
    <row r="267">
      <c r="A267" s="227"/>
      <c r="E267" s="222"/>
      <c r="I267" s="222"/>
      <c r="M267" s="222"/>
      <c r="Q267" s="222"/>
      <c r="U267" s="222"/>
      <c r="Y267" s="222"/>
      <c r="AC267" s="222"/>
      <c r="AG267" s="222"/>
      <c r="AK267" s="222"/>
      <c r="AO267" s="222"/>
      <c r="AS267" s="222"/>
      <c r="AW267" s="222"/>
      <c r="BA267" s="222"/>
      <c r="BE267" s="222"/>
      <c r="BK267" s="222"/>
      <c r="BO267" s="222"/>
      <c r="BU267" s="222"/>
      <c r="BY267" s="222"/>
      <c r="CC267" s="222"/>
      <c r="CG267" s="222"/>
      <c r="CK267" s="222"/>
      <c r="CQ267" s="222"/>
      <c r="CU267" s="222"/>
      <c r="CY267" s="222"/>
    </row>
    <row r="268">
      <c r="A268" s="227"/>
      <c r="E268" s="222"/>
      <c r="I268" s="222"/>
      <c r="M268" s="222"/>
      <c r="Q268" s="222"/>
      <c r="U268" s="222"/>
      <c r="Y268" s="222"/>
      <c r="AC268" s="222"/>
      <c r="AG268" s="222"/>
      <c r="AK268" s="222"/>
      <c r="AO268" s="222"/>
      <c r="AS268" s="222"/>
      <c r="AW268" s="222"/>
      <c r="BA268" s="222"/>
      <c r="BE268" s="222"/>
      <c r="BK268" s="222"/>
      <c r="BO268" s="222"/>
      <c r="BU268" s="222"/>
      <c r="BY268" s="222"/>
      <c r="CC268" s="222"/>
      <c r="CG268" s="222"/>
      <c r="CK268" s="222"/>
      <c r="CQ268" s="222"/>
      <c r="CU268" s="222"/>
      <c r="CY268" s="222"/>
    </row>
    <row r="269">
      <c r="A269" s="227"/>
      <c r="E269" s="222"/>
      <c r="I269" s="222"/>
      <c r="M269" s="222"/>
      <c r="Q269" s="222"/>
      <c r="U269" s="222"/>
      <c r="Y269" s="222"/>
      <c r="AC269" s="222"/>
      <c r="AG269" s="222"/>
      <c r="AK269" s="222"/>
      <c r="AO269" s="222"/>
      <c r="AS269" s="222"/>
      <c r="AW269" s="222"/>
      <c r="BA269" s="222"/>
      <c r="BE269" s="222"/>
      <c r="BK269" s="222"/>
      <c r="BO269" s="222"/>
      <c r="BU269" s="222"/>
      <c r="BY269" s="222"/>
      <c r="CC269" s="222"/>
      <c r="CG269" s="222"/>
      <c r="CK269" s="222"/>
      <c r="CQ269" s="222"/>
      <c r="CU269" s="222"/>
      <c r="CY269" s="222"/>
    </row>
    <row r="270">
      <c r="A270" s="227"/>
      <c r="E270" s="222"/>
      <c r="I270" s="222"/>
      <c r="M270" s="222"/>
      <c r="Q270" s="222"/>
      <c r="U270" s="222"/>
      <c r="Y270" s="222"/>
      <c r="AC270" s="222"/>
      <c r="AG270" s="222"/>
      <c r="AK270" s="222"/>
      <c r="AO270" s="222"/>
      <c r="AS270" s="222"/>
      <c r="AW270" s="222"/>
      <c r="BA270" s="222"/>
      <c r="BE270" s="222"/>
      <c r="BK270" s="222"/>
      <c r="BO270" s="222"/>
      <c r="BU270" s="222"/>
      <c r="BY270" s="222"/>
      <c r="CC270" s="222"/>
      <c r="CG270" s="222"/>
      <c r="CK270" s="222"/>
      <c r="CQ270" s="222"/>
      <c r="CU270" s="222"/>
      <c r="CY270" s="222"/>
    </row>
    <row r="271">
      <c r="A271" s="227"/>
      <c r="E271" s="222"/>
      <c r="I271" s="222"/>
      <c r="M271" s="222"/>
      <c r="Q271" s="222"/>
      <c r="U271" s="222"/>
      <c r="Y271" s="222"/>
      <c r="AC271" s="222"/>
      <c r="AG271" s="222"/>
      <c r="AK271" s="222"/>
      <c r="AO271" s="222"/>
      <c r="AS271" s="222"/>
      <c r="AW271" s="222"/>
      <c r="BA271" s="222"/>
      <c r="BE271" s="222"/>
      <c r="BK271" s="222"/>
      <c r="BO271" s="222"/>
      <c r="BU271" s="222"/>
      <c r="BY271" s="222"/>
      <c r="CC271" s="222"/>
      <c r="CG271" s="222"/>
      <c r="CK271" s="222"/>
      <c r="CQ271" s="222"/>
      <c r="CU271" s="222"/>
      <c r="CY271" s="222"/>
    </row>
    <row r="272">
      <c r="A272" s="227"/>
      <c r="E272" s="222"/>
      <c r="I272" s="222"/>
      <c r="M272" s="222"/>
      <c r="Q272" s="222"/>
      <c r="U272" s="222"/>
      <c r="Y272" s="222"/>
      <c r="AC272" s="222"/>
      <c r="AG272" s="222"/>
      <c r="AK272" s="222"/>
      <c r="AO272" s="222"/>
      <c r="AS272" s="222"/>
      <c r="AW272" s="222"/>
      <c r="BA272" s="222"/>
      <c r="BE272" s="222"/>
      <c r="BK272" s="222"/>
      <c r="BO272" s="222"/>
      <c r="BU272" s="222"/>
      <c r="BY272" s="222"/>
      <c r="CC272" s="222"/>
      <c r="CG272" s="222"/>
      <c r="CK272" s="222"/>
      <c r="CQ272" s="222"/>
      <c r="CU272" s="222"/>
      <c r="CY272" s="222"/>
    </row>
    <row r="273">
      <c r="A273" s="227"/>
      <c r="E273" s="222"/>
      <c r="I273" s="222"/>
      <c r="M273" s="222"/>
      <c r="Q273" s="222"/>
      <c r="U273" s="222"/>
      <c r="Y273" s="222"/>
      <c r="AC273" s="222"/>
      <c r="AG273" s="222"/>
      <c r="AK273" s="222"/>
      <c r="AO273" s="222"/>
      <c r="AS273" s="222"/>
      <c r="AW273" s="222"/>
      <c r="BA273" s="222"/>
      <c r="BE273" s="222"/>
      <c r="BK273" s="222"/>
      <c r="BO273" s="222"/>
      <c r="BU273" s="222"/>
      <c r="BY273" s="222"/>
      <c r="CC273" s="222"/>
      <c r="CG273" s="222"/>
      <c r="CK273" s="222"/>
      <c r="CQ273" s="222"/>
      <c r="CU273" s="222"/>
      <c r="CY273" s="222"/>
    </row>
    <row r="274">
      <c r="A274" s="227"/>
      <c r="E274" s="222"/>
      <c r="I274" s="222"/>
      <c r="M274" s="222"/>
      <c r="Q274" s="222"/>
      <c r="U274" s="222"/>
      <c r="Y274" s="222"/>
      <c r="AC274" s="222"/>
      <c r="AG274" s="222"/>
      <c r="AK274" s="222"/>
      <c r="AO274" s="222"/>
      <c r="AS274" s="222"/>
      <c r="AW274" s="222"/>
      <c r="BA274" s="222"/>
      <c r="BE274" s="222"/>
      <c r="BK274" s="222"/>
      <c r="BO274" s="222"/>
      <c r="BU274" s="222"/>
      <c r="BY274" s="222"/>
      <c r="CC274" s="222"/>
      <c r="CG274" s="222"/>
      <c r="CK274" s="222"/>
      <c r="CQ274" s="222"/>
      <c r="CU274" s="222"/>
      <c r="CY274" s="222"/>
    </row>
    <row r="275">
      <c r="A275" s="227"/>
      <c r="E275" s="222"/>
      <c r="I275" s="222"/>
      <c r="M275" s="222"/>
      <c r="Q275" s="222"/>
      <c r="U275" s="222"/>
      <c r="Y275" s="222"/>
      <c r="AC275" s="222"/>
      <c r="AG275" s="222"/>
      <c r="AK275" s="222"/>
      <c r="AO275" s="222"/>
      <c r="AS275" s="222"/>
      <c r="AW275" s="222"/>
      <c r="BA275" s="222"/>
      <c r="BE275" s="222"/>
      <c r="BK275" s="222"/>
      <c r="BO275" s="222"/>
      <c r="BU275" s="222"/>
      <c r="BY275" s="222"/>
      <c r="CC275" s="222"/>
      <c r="CG275" s="222"/>
      <c r="CK275" s="222"/>
      <c r="CQ275" s="222"/>
      <c r="CU275" s="222"/>
      <c r="CY275" s="222"/>
    </row>
    <row r="276">
      <c r="A276" s="227"/>
      <c r="E276" s="222"/>
      <c r="I276" s="222"/>
      <c r="M276" s="222"/>
      <c r="Q276" s="222"/>
      <c r="U276" s="222"/>
      <c r="Y276" s="222"/>
      <c r="AC276" s="222"/>
      <c r="AG276" s="222"/>
      <c r="AK276" s="222"/>
      <c r="AO276" s="222"/>
      <c r="AS276" s="222"/>
      <c r="AW276" s="222"/>
      <c r="BA276" s="222"/>
      <c r="BE276" s="222"/>
      <c r="BK276" s="222"/>
      <c r="BO276" s="222"/>
      <c r="BU276" s="222"/>
      <c r="BY276" s="222"/>
      <c r="CC276" s="222"/>
      <c r="CG276" s="222"/>
      <c r="CK276" s="222"/>
      <c r="CQ276" s="222"/>
      <c r="CU276" s="222"/>
      <c r="CY276" s="222"/>
    </row>
    <row r="277">
      <c r="A277" s="227"/>
      <c r="E277" s="222"/>
      <c r="I277" s="222"/>
      <c r="M277" s="222"/>
      <c r="Q277" s="222"/>
      <c r="U277" s="222"/>
      <c r="Y277" s="222"/>
      <c r="AC277" s="222"/>
      <c r="AG277" s="222"/>
      <c r="AK277" s="222"/>
      <c r="AO277" s="222"/>
      <c r="AS277" s="222"/>
      <c r="AW277" s="222"/>
      <c r="BA277" s="222"/>
      <c r="BE277" s="222"/>
      <c r="BK277" s="222"/>
      <c r="BO277" s="222"/>
      <c r="BU277" s="222"/>
      <c r="BY277" s="222"/>
      <c r="CC277" s="222"/>
      <c r="CG277" s="222"/>
      <c r="CK277" s="222"/>
      <c r="CQ277" s="222"/>
      <c r="CU277" s="222"/>
      <c r="CY277" s="222"/>
    </row>
    <row r="278">
      <c r="A278" s="227"/>
      <c r="E278" s="222"/>
      <c r="I278" s="222"/>
      <c r="M278" s="222"/>
      <c r="Q278" s="222"/>
      <c r="U278" s="222"/>
      <c r="Y278" s="222"/>
      <c r="AC278" s="222"/>
      <c r="AG278" s="222"/>
      <c r="AK278" s="222"/>
      <c r="AO278" s="222"/>
      <c r="AS278" s="222"/>
      <c r="AW278" s="222"/>
      <c r="BA278" s="222"/>
      <c r="BE278" s="222"/>
      <c r="BK278" s="222"/>
      <c r="BO278" s="222"/>
      <c r="BU278" s="222"/>
      <c r="BY278" s="222"/>
      <c r="CC278" s="222"/>
      <c r="CG278" s="222"/>
      <c r="CK278" s="222"/>
      <c r="CQ278" s="222"/>
      <c r="CU278" s="222"/>
      <c r="CY278" s="222"/>
    </row>
    <row r="279">
      <c r="A279" s="227"/>
      <c r="E279" s="222"/>
      <c r="I279" s="222"/>
      <c r="M279" s="222"/>
      <c r="Q279" s="222"/>
      <c r="U279" s="222"/>
      <c r="Y279" s="222"/>
      <c r="AC279" s="222"/>
      <c r="AG279" s="222"/>
      <c r="AK279" s="222"/>
      <c r="AO279" s="222"/>
      <c r="AS279" s="222"/>
      <c r="AW279" s="222"/>
      <c r="BA279" s="222"/>
      <c r="BE279" s="222"/>
      <c r="BK279" s="222"/>
      <c r="BO279" s="222"/>
      <c r="BU279" s="222"/>
      <c r="BY279" s="222"/>
      <c r="CC279" s="222"/>
      <c r="CG279" s="222"/>
      <c r="CK279" s="222"/>
      <c r="CQ279" s="222"/>
      <c r="CU279" s="222"/>
      <c r="CY279" s="222"/>
    </row>
    <row r="280">
      <c r="A280" s="227"/>
      <c r="E280" s="222"/>
      <c r="I280" s="222"/>
      <c r="M280" s="222"/>
      <c r="Q280" s="222"/>
      <c r="U280" s="222"/>
      <c r="Y280" s="222"/>
      <c r="AC280" s="222"/>
      <c r="AG280" s="222"/>
      <c r="AK280" s="222"/>
      <c r="AO280" s="222"/>
      <c r="AS280" s="222"/>
      <c r="AW280" s="222"/>
      <c r="BA280" s="222"/>
      <c r="BE280" s="222"/>
      <c r="BK280" s="222"/>
      <c r="BO280" s="222"/>
      <c r="BU280" s="222"/>
      <c r="BY280" s="222"/>
      <c r="CC280" s="222"/>
      <c r="CG280" s="222"/>
      <c r="CK280" s="222"/>
      <c r="CQ280" s="222"/>
      <c r="CU280" s="222"/>
      <c r="CY280" s="222"/>
    </row>
    <row r="281">
      <c r="A281" s="227"/>
      <c r="E281" s="222"/>
      <c r="I281" s="222"/>
      <c r="M281" s="222"/>
      <c r="Q281" s="222"/>
      <c r="U281" s="222"/>
      <c r="Y281" s="222"/>
      <c r="AC281" s="222"/>
      <c r="AG281" s="222"/>
      <c r="AK281" s="222"/>
      <c r="AO281" s="222"/>
      <c r="AS281" s="222"/>
      <c r="AW281" s="222"/>
      <c r="BA281" s="222"/>
      <c r="BE281" s="222"/>
      <c r="BK281" s="222"/>
      <c r="BO281" s="222"/>
      <c r="BU281" s="222"/>
      <c r="BY281" s="222"/>
      <c r="CC281" s="222"/>
      <c r="CG281" s="222"/>
      <c r="CK281" s="222"/>
      <c r="CQ281" s="222"/>
      <c r="CU281" s="222"/>
      <c r="CY281" s="222"/>
    </row>
    <row r="282">
      <c r="A282" s="227"/>
      <c r="E282" s="222"/>
      <c r="I282" s="222"/>
      <c r="M282" s="222"/>
      <c r="Q282" s="222"/>
      <c r="U282" s="222"/>
      <c r="Y282" s="222"/>
      <c r="AC282" s="222"/>
      <c r="AG282" s="222"/>
      <c r="AK282" s="222"/>
      <c r="AO282" s="222"/>
      <c r="AS282" s="222"/>
      <c r="AW282" s="222"/>
      <c r="BA282" s="222"/>
      <c r="BE282" s="222"/>
      <c r="BK282" s="222"/>
      <c r="BO282" s="222"/>
      <c r="BU282" s="222"/>
      <c r="BY282" s="222"/>
      <c r="CC282" s="222"/>
      <c r="CG282" s="222"/>
      <c r="CK282" s="222"/>
      <c r="CQ282" s="222"/>
      <c r="CU282" s="222"/>
      <c r="CY282" s="222"/>
    </row>
    <row r="283">
      <c r="A283" s="227"/>
      <c r="E283" s="222"/>
      <c r="I283" s="222"/>
      <c r="M283" s="222"/>
      <c r="Q283" s="222"/>
      <c r="U283" s="222"/>
      <c r="Y283" s="222"/>
      <c r="AC283" s="222"/>
      <c r="AG283" s="222"/>
      <c r="AK283" s="222"/>
      <c r="AO283" s="222"/>
      <c r="AS283" s="222"/>
      <c r="AW283" s="222"/>
      <c r="BA283" s="222"/>
      <c r="BE283" s="222"/>
      <c r="BK283" s="222"/>
      <c r="BO283" s="222"/>
      <c r="BU283" s="222"/>
      <c r="BY283" s="222"/>
      <c r="CC283" s="222"/>
      <c r="CG283" s="222"/>
      <c r="CK283" s="222"/>
      <c r="CQ283" s="222"/>
      <c r="CU283" s="222"/>
      <c r="CY283" s="222"/>
    </row>
    <row r="284">
      <c r="A284" s="227"/>
      <c r="E284" s="222"/>
      <c r="I284" s="222"/>
      <c r="M284" s="222"/>
      <c r="Q284" s="222"/>
      <c r="U284" s="222"/>
      <c r="Y284" s="222"/>
      <c r="AC284" s="222"/>
      <c r="AG284" s="222"/>
      <c r="AK284" s="222"/>
      <c r="AO284" s="222"/>
      <c r="AS284" s="222"/>
      <c r="AW284" s="222"/>
      <c r="BA284" s="222"/>
      <c r="BE284" s="222"/>
      <c r="BK284" s="222"/>
      <c r="BO284" s="222"/>
      <c r="BU284" s="222"/>
      <c r="BY284" s="222"/>
      <c r="CC284" s="222"/>
      <c r="CG284" s="222"/>
      <c r="CK284" s="222"/>
      <c r="CQ284" s="222"/>
      <c r="CU284" s="222"/>
      <c r="CY284" s="222"/>
    </row>
    <row r="285">
      <c r="A285" s="227"/>
      <c r="E285" s="222"/>
      <c r="I285" s="222"/>
      <c r="M285" s="222"/>
      <c r="Q285" s="222"/>
      <c r="U285" s="222"/>
      <c r="Y285" s="222"/>
      <c r="AC285" s="222"/>
      <c r="AG285" s="222"/>
      <c r="AK285" s="222"/>
      <c r="AO285" s="222"/>
      <c r="AS285" s="222"/>
      <c r="AW285" s="222"/>
      <c r="BA285" s="222"/>
      <c r="BE285" s="222"/>
      <c r="BK285" s="222"/>
      <c r="BO285" s="222"/>
      <c r="BU285" s="222"/>
      <c r="BY285" s="222"/>
      <c r="CC285" s="222"/>
      <c r="CG285" s="222"/>
      <c r="CK285" s="222"/>
      <c r="CQ285" s="222"/>
      <c r="CU285" s="222"/>
      <c r="CY285" s="222"/>
    </row>
    <row r="286">
      <c r="A286" s="227"/>
      <c r="E286" s="222"/>
      <c r="I286" s="222"/>
      <c r="M286" s="222"/>
      <c r="Q286" s="222"/>
      <c r="U286" s="222"/>
      <c r="Y286" s="222"/>
      <c r="AC286" s="222"/>
      <c r="AG286" s="222"/>
      <c r="AK286" s="222"/>
      <c r="AO286" s="222"/>
      <c r="AS286" s="222"/>
      <c r="AW286" s="222"/>
      <c r="BA286" s="222"/>
      <c r="BE286" s="222"/>
      <c r="BK286" s="222"/>
      <c r="BO286" s="222"/>
      <c r="BU286" s="222"/>
      <c r="BY286" s="222"/>
      <c r="CC286" s="222"/>
      <c r="CG286" s="222"/>
      <c r="CK286" s="222"/>
      <c r="CQ286" s="222"/>
      <c r="CU286" s="222"/>
      <c r="CY286" s="222"/>
    </row>
    <row r="287">
      <c r="A287" s="227"/>
      <c r="E287" s="222"/>
      <c r="I287" s="222"/>
      <c r="M287" s="222"/>
      <c r="Q287" s="222"/>
      <c r="U287" s="222"/>
      <c r="Y287" s="222"/>
      <c r="AC287" s="222"/>
      <c r="AG287" s="222"/>
      <c r="AK287" s="222"/>
      <c r="AO287" s="222"/>
      <c r="AS287" s="222"/>
      <c r="AW287" s="222"/>
      <c r="BA287" s="222"/>
      <c r="BE287" s="222"/>
      <c r="BK287" s="222"/>
      <c r="BO287" s="222"/>
      <c r="BU287" s="222"/>
      <c r="BY287" s="222"/>
      <c r="CC287" s="222"/>
      <c r="CG287" s="222"/>
      <c r="CK287" s="222"/>
      <c r="CQ287" s="222"/>
      <c r="CU287" s="222"/>
      <c r="CY287" s="222"/>
    </row>
    <row r="288">
      <c r="A288" s="227"/>
      <c r="E288" s="222"/>
      <c r="I288" s="222"/>
      <c r="M288" s="222"/>
      <c r="Q288" s="222"/>
      <c r="U288" s="222"/>
      <c r="Y288" s="222"/>
      <c r="AC288" s="222"/>
      <c r="AG288" s="222"/>
      <c r="AK288" s="222"/>
      <c r="AO288" s="222"/>
      <c r="AS288" s="222"/>
      <c r="AW288" s="222"/>
      <c r="BA288" s="222"/>
      <c r="BE288" s="222"/>
      <c r="BK288" s="222"/>
      <c r="BO288" s="222"/>
      <c r="BU288" s="222"/>
      <c r="BY288" s="222"/>
      <c r="CC288" s="222"/>
      <c r="CG288" s="222"/>
      <c r="CK288" s="222"/>
      <c r="CQ288" s="222"/>
      <c r="CU288" s="222"/>
      <c r="CY288" s="222"/>
    </row>
    <row r="289">
      <c r="A289" s="227"/>
      <c r="E289" s="222"/>
      <c r="I289" s="222"/>
      <c r="M289" s="222"/>
      <c r="Q289" s="222"/>
      <c r="U289" s="222"/>
      <c r="Y289" s="222"/>
      <c r="AC289" s="222"/>
      <c r="AG289" s="222"/>
      <c r="AK289" s="222"/>
      <c r="AO289" s="222"/>
      <c r="AS289" s="222"/>
      <c r="AW289" s="222"/>
      <c r="BA289" s="222"/>
      <c r="BE289" s="222"/>
      <c r="BK289" s="222"/>
      <c r="BO289" s="222"/>
      <c r="BU289" s="222"/>
      <c r="BY289" s="222"/>
      <c r="CC289" s="222"/>
      <c r="CG289" s="222"/>
      <c r="CK289" s="222"/>
      <c r="CQ289" s="222"/>
      <c r="CU289" s="222"/>
      <c r="CY289" s="222"/>
    </row>
    <row r="290">
      <c r="A290" s="227"/>
      <c r="E290" s="222"/>
      <c r="I290" s="222"/>
      <c r="M290" s="222"/>
      <c r="Q290" s="222"/>
      <c r="U290" s="222"/>
      <c r="Y290" s="222"/>
      <c r="AC290" s="222"/>
      <c r="AG290" s="222"/>
      <c r="AK290" s="222"/>
      <c r="AO290" s="222"/>
      <c r="AS290" s="222"/>
      <c r="AW290" s="222"/>
      <c r="BA290" s="222"/>
      <c r="BE290" s="222"/>
      <c r="BK290" s="222"/>
      <c r="BO290" s="222"/>
      <c r="BU290" s="222"/>
      <c r="BY290" s="222"/>
      <c r="CC290" s="222"/>
      <c r="CG290" s="222"/>
      <c r="CK290" s="222"/>
      <c r="CQ290" s="222"/>
      <c r="CU290" s="222"/>
      <c r="CY290" s="222"/>
    </row>
    <row r="291">
      <c r="A291" s="227"/>
      <c r="E291" s="222"/>
      <c r="I291" s="222"/>
      <c r="M291" s="222"/>
      <c r="Q291" s="222"/>
      <c r="U291" s="222"/>
      <c r="Y291" s="222"/>
      <c r="AC291" s="222"/>
      <c r="AG291" s="222"/>
      <c r="AK291" s="222"/>
      <c r="AO291" s="222"/>
      <c r="AS291" s="222"/>
      <c r="AW291" s="222"/>
      <c r="BA291" s="222"/>
      <c r="BE291" s="222"/>
      <c r="BK291" s="222"/>
      <c r="BO291" s="222"/>
      <c r="BU291" s="222"/>
      <c r="BY291" s="222"/>
      <c r="CC291" s="222"/>
      <c r="CG291" s="222"/>
      <c r="CK291" s="222"/>
      <c r="CQ291" s="222"/>
      <c r="CU291" s="222"/>
      <c r="CY291" s="222"/>
    </row>
    <row r="292">
      <c r="A292" s="227"/>
      <c r="E292" s="222"/>
      <c r="I292" s="222"/>
      <c r="M292" s="222"/>
      <c r="Q292" s="222"/>
      <c r="U292" s="222"/>
      <c r="Y292" s="222"/>
      <c r="AC292" s="222"/>
      <c r="AG292" s="222"/>
      <c r="AK292" s="222"/>
      <c r="AO292" s="222"/>
      <c r="AS292" s="222"/>
      <c r="AW292" s="222"/>
      <c r="BA292" s="222"/>
      <c r="BE292" s="222"/>
      <c r="BK292" s="222"/>
      <c r="BO292" s="222"/>
      <c r="BU292" s="222"/>
      <c r="BY292" s="222"/>
      <c r="CC292" s="222"/>
      <c r="CG292" s="222"/>
      <c r="CK292" s="222"/>
      <c r="CQ292" s="222"/>
      <c r="CU292" s="222"/>
      <c r="CY292" s="222"/>
    </row>
    <row r="293">
      <c r="A293" s="227"/>
      <c r="E293" s="222"/>
      <c r="I293" s="222"/>
      <c r="M293" s="222"/>
      <c r="Q293" s="222"/>
      <c r="U293" s="222"/>
      <c r="Y293" s="222"/>
      <c r="AC293" s="222"/>
      <c r="AG293" s="222"/>
      <c r="AK293" s="222"/>
      <c r="AO293" s="222"/>
      <c r="AS293" s="222"/>
      <c r="AW293" s="222"/>
      <c r="BA293" s="222"/>
      <c r="BE293" s="222"/>
      <c r="BK293" s="222"/>
      <c r="BO293" s="222"/>
      <c r="BU293" s="222"/>
      <c r="BY293" s="222"/>
      <c r="CC293" s="222"/>
      <c r="CG293" s="222"/>
      <c r="CK293" s="222"/>
      <c r="CQ293" s="222"/>
      <c r="CU293" s="222"/>
      <c r="CY293" s="222"/>
    </row>
    <row r="294">
      <c r="A294" s="227"/>
      <c r="E294" s="222"/>
      <c r="I294" s="222"/>
      <c r="M294" s="222"/>
      <c r="Q294" s="222"/>
      <c r="U294" s="222"/>
      <c r="Y294" s="222"/>
      <c r="AC294" s="222"/>
      <c r="AG294" s="222"/>
      <c r="AK294" s="222"/>
      <c r="AO294" s="222"/>
      <c r="AS294" s="222"/>
      <c r="AW294" s="222"/>
      <c r="BA294" s="222"/>
      <c r="BE294" s="222"/>
      <c r="BK294" s="222"/>
      <c r="BO294" s="222"/>
      <c r="BU294" s="222"/>
      <c r="BY294" s="222"/>
      <c r="CC294" s="222"/>
      <c r="CG294" s="222"/>
      <c r="CK294" s="222"/>
      <c r="CQ294" s="222"/>
      <c r="CU294" s="222"/>
      <c r="CY294" s="222"/>
    </row>
    <row r="295">
      <c r="A295" s="227"/>
      <c r="E295" s="222"/>
      <c r="I295" s="222"/>
      <c r="M295" s="222"/>
      <c r="Q295" s="222"/>
      <c r="U295" s="222"/>
      <c r="Y295" s="222"/>
      <c r="AC295" s="222"/>
      <c r="AG295" s="222"/>
      <c r="AK295" s="222"/>
      <c r="AO295" s="222"/>
      <c r="AS295" s="222"/>
      <c r="AW295" s="222"/>
      <c r="BA295" s="222"/>
      <c r="BE295" s="222"/>
      <c r="BK295" s="222"/>
      <c r="BO295" s="222"/>
      <c r="BU295" s="222"/>
      <c r="BY295" s="222"/>
      <c r="CC295" s="222"/>
      <c r="CG295" s="222"/>
      <c r="CK295" s="222"/>
      <c r="CQ295" s="222"/>
      <c r="CU295" s="222"/>
      <c r="CY295" s="222"/>
    </row>
    <row r="296">
      <c r="A296" s="227"/>
      <c r="E296" s="222"/>
      <c r="I296" s="222"/>
      <c r="M296" s="222"/>
      <c r="Q296" s="222"/>
      <c r="U296" s="222"/>
      <c r="Y296" s="222"/>
      <c r="AC296" s="222"/>
      <c r="AG296" s="222"/>
      <c r="AK296" s="222"/>
      <c r="AO296" s="222"/>
      <c r="AS296" s="222"/>
      <c r="AW296" s="222"/>
      <c r="BA296" s="222"/>
      <c r="BE296" s="222"/>
      <c r="BK296" s="222"/>
      <c r="BO296" s="222"/>
      <c r="BU296" s="222"/>
      <c r="BY296" s="222"/>
      <c r="CC296" s="222"/>
      <c r="CG296" s="222"/>
      <c r="CK296" s="222"/>
      <c r="CQ296" s="222"/>
      <c r="CU296" s="222"/>
      <c r="CY296" s="222"/>
    </row>
    <row r="297">
      <c r="A297" s="227"/>
      <c r="E297" s="222"/>
      <c r="I297" s="222"/>
      <c r="M297" s="222"/>
      <c r="Q297" s="222"/>
      <c r="U297" s="222"/>
      <c r="Y297" s="222"/>
      <c r="AC297" s="222"/>
      <c r="AG297" s="222"/>
      <c r="AK297" s="222"/>
      <c r="AO297" s="222"/>
      <c r="AS297" s="222"/>
      <c r="AW297" s="222"/>
      <c r="BA297" s="222"/>
      <c r="BE297" s="222"/>
      <c r="BK297" s="222"/>
      <c r="BO297" s="222"/>
      <c r="BU297" s="222"/>
      <c r="BY297" s="222"/>
      <c r="CC297" s="222"/>
      <c r="CG297" s="222"/>
      <c r="CK297" s="222"/>
      <c r="CQ297" s="222"/>
      <c r="CU297" s="222"/>
      <c r="CY297" s="222"/>
    </row>
    <row r="298">
      <c r="A298" s="227"/>
      <c r="E298" s="222"/>
      <c r="I298" s="222"/>
      <c r="M298" s="222"/>
      <c r="Q298" s="222"/>
      <c r="U298" s="222"/>
      <c r="Y298" s="222"/>
      <c r="AC298" s="222"/>
      <c r="AG298" s="222"/>
      <c r="AK298" s="222"/>
      <c r="AO298" s="222"/>
      <c r="AS298" s="222"/>
      <c r="AW298" s="222"/>
      <c r="BA298" s="222"/>
      <c r="BE298" s="222"/>
      <c r="BK298" s="222"/>
      <c r="BO298" s="222"/>
      <c r="BU298" s="222"/>
      <c r="BY298" s="222"/>
      <c r="CC298" s="222"/>
      <c r="CG298" s="222"/>
      <c r="CK298" s="222"/>
      <c r="CQ298" s="222"/>
      <c r="CU298" s="222"/>
      <c r="CY298" s="222"/>
    </row>
    <row r="299">
      <c r="A299" s="227"/>
      <c r="E299" s="222"/>
      <c r="I299" s="222"/>
      <c r="M299" s="222"/>
      <c r="Q299" s="222"/>
      <c r="U299" s="222"/>
      <c r="Y299" s="222"/>
      <c r="AC299" s="222"/>
      <c r="AG299" s="222"/>
      <c r="AK299" s="222"/>
      <c r="AO299" s="222"/>
      <c r="AS299" s="222"/>
      <c r="AW299" s="222"/>
      <c r="BA299" s="222"/>
      <c r="BE299" s="222"/>
      <c r="BK299" s="222"/>
      <c r="BO299" s="222"/>
      <c r="BU299" s="222"/>
      <c r="BY299" s="222"/>
      <c r="CC299" s="222"/>
      <c r="CG299" s="222"/>
      <c r="CK299" s="222"/>
      <c r="CQ299" s="222"/>
      <c r="CU299" s="222"/>
      <c r="CY299" s="222"/>
    </row>
    <row r="300">
      <c r="A300" s="227"/>
      <c r="E300" s="222"/>
      <c r="I300" s="222"/>
      <c r="M300" s="222"/>
      <c r="Q300" s="222"/>
      <c r="U300" s="222"/>
      <c r="Y300" s="222"/>
      <c r="AC300" s="222"/>
      <c r="AG300" s="222"/>
      <c r="AK300" s="222"/>
      <c r="AO300" s="222"/>
      <c r="AS300" s="222"/>
      <c r="AW300" s="222"/>
      <c r="BA300" s="222"/>
      <c r="BE300" s="222"/>
      <c r="BK300" s="222"/>
      <c r="BO300" s="222"/>
      <c r="BU300" s="222"/>
      <c r="BY300" s="222"/>
      <c r="CC300" s="222"/>
      <c r="CG300" s="222"/>
      <c r="CK300" s="222"/>
      <c r="CQ300" s="222"/>
      <c r="CU300" s="222"/>
      <c r="CY300" s="222"/>
    </row>
    <row r="301">
      <c r="A301" s="227"/>
      <c r="E301" s="222"/>
      <c r="I301" s="222"/>
      <c r="M301" s="222"/>
      <c r="Q301" s="222"/>
      <c r="U301" s="222"/>
      <c r="Y301" s="222"/>
      <c r="AC301" s="222"/>
      <c r="AG301" s="222"/>
      <c r="AK301" s="222"/>
      <c r="AO301" s="222"/>
      <c r="AS301" s="222"/>
      <c r="AW301" s="222"/>
      <c r="BA301" s="222"/>
      <c r="BE301" s="222"/>
      <c r="BK301" s="222"/>
      <c r="BO301" s="222"/>
      <c r="BU301" s="222"/>
      <c r="BY301" s="222"/>
      <c r="CC301" s="222"/>
      <c r="CG301" s="222"/>
      <c r="CK301" s="222"/>
      <c r="CQ301" s="222"/>
      <c r="CU301" s="222"/>
      <c r="CY301" s="222"/>
    </row>
    <row r="302">
      <c r="A302" s="227"/>
      <c r="E302" s="222"/>
      <c r="I302" s="222"/>
      <c r="M302" s="222"/>
      <c r="Q302" s="222"/>
      <c r="U302" s="222"/>
      <c r="Y302" s="222"/>
      <c r="AC302" s="222"/>
      <c r="AG302" s="222"/>
      <c r="AK302" s="222"/>
      <c r="AO302" s="222"/>
      <c r="AS302" s="222"/>
      <c r="AW302" s="222"/>
      <c r="BA302" s="222"/>
      <c r="BE302" s="222"/>
      <c r="BK302" s="222"/>
      <c r="BO302" s="222"/>
      <c r="BU302" s="222"/>
      <c r="BY302" s="222"/>
      <c r="CC302" s="222"/>
      <c r="CG302" s="222"/>
      <c r="CK302" s="222"/>
      <c r="CQ302" s="222"/>
      <c r="CU302" s="222"/>
      <c r="CY302" s="222"/>
    </row>
    <row r="303">
      <c r="A303" s="227"/>
      <c r="E303" s="222"/>
      <c r="I303" s="222"/>
      <c r="M303" s="222"/>
      <c r="Q303" s="222"/>
      <c r="U303" s="222"/>
      <c r="Y303" s="222"/>
      <c r="AC303" s="222"/>
      <c r="AG303" s="222"/>
      <c r="AK303" s="222"/>
      <c r="AO303" s="222"/>
      <c r="AS303" s="222"/>
      <c r="AW303" s="222"/>
      <c r="BA303" s="222"/>
      <c r="BE303" s="222"/>
      <c r="BK303" s="222"/>
      <c r="BO303" s="222"/>
      <c r="BU303" s="222"/>
      <c r="BY303" s="222"/>
      <c r="CC303" s="222"/>
      <c r="CG303" s="222"/>
      <c r="CK303" s="222"/>
      <c r="CQ303" s="222"/>
      <c r="CU303" s="222"/>
      <c r="CY303" s="222"/>
    </row>
    <row r="304">
      <c r="A304" s="227"/>
      <c r="E304" s="222"/>
      <c r="I304" s="222"/>
      <c r="M304" s="222"/>
      <c r="Q304" s="222"/>
      <c r="U304" s="222"/>
      <c r="Y304" s="222"/>
      <c r="AC304" s="222"/>
      <c r="AG304" s="222"/>
      <c r="AK304" s="222"/>
      <c r="AO304" s="222"/>
      <c r="AS304" s="222"/>
      <c r="AW304" s="222"/>
      <c r="BA304" s="222"/>
      <c r="BE304" s="222"/>
      <c r="BK304" s="222"/>
      <c r="BO304" s="222"/>
      <c r="BU304" s="222"/>
      <c r="BY304" s="222"/>
      <c r="CC304" s="222"/>
      <c r="CG304" s="222"/>
      <c r="CK304" s="222"/>
      <c r="CQ304" s="222"/>
      <c r="CU304" s="222"/>
      <c r="CY304" s="222"/>
    </row>
    <row r="305">
      <c r="A305" s="227"/>
      <c r="E305" s="222"/>
      <c r="I305" s="222"/>
      <c r="M305" s="222"/>
      <c r="Q305" s="222"/>
      <c r="U305" s="222"/>
      <c r="Y305" s="222"/>
      <c r="AC305" s="222"/>
      <c r="AG305" s="222"/>
      <c r="AK305" s="222"/>
      <c r="AO305" s="222"/>
      <c r="AS305" s="222"/>
      <c r="AW305" s="222"/>
      <c r="BA305" s="222"/>
      <c r="BE305" s="222"/>
      <c r="BK305" s="222"/>
      <c r="BO305" s="222"/>
      <c r="BU305" s="222"/>
      <c r="BY305" s="222"/>
      <c r="CC305" s="222"/>
      <c r="CG305" s="222"/>
      <c r="CK305" s="222"/>
      <c r="CQ305" s="222"/>
      <c r="CU305" s="222"/>
      <c r="CY305" s="222"/>
    </row>
    <row r="306">
      <c r="A306" s="227"/>
      <c r="E306" s="222"/>
      <c r="I306" s="222"/>
      <c r="M306" s="222"/>
      <c r="Q306" s="222"/>
      <c r="U306" s="222"/>
      <c r="Y306" s="222"/>
      <c r="AC306" s="222"/>
      <c r="AG306" s="222"/>
      <c r="AK306" s="222"/>
      <c r="AO306" s="222"/>
      <c r="AS306" s="222"/>
      <c r="AW306" s="222"/>
      <c r="BA306" s="222"/>
      <c r="BE306" s="222"/>
      <c r="BK306" s="222"/>
      <c r="BO306" s="222"/>
      <c r="BU306" s="222"/>
      <c r="BY306" s="222"/>
      <c r="CC306" s="222"/>
      <c r="CG306" s="222"/>
      <c r="CK306" s="222"/>
      <c r="CQ306" s="222"/>
      <c r="CU306" s="222"/>
      <c r="CY306" s="222"/>
    </row>
    <row r="307">
      <c r="A307" s="227"/>
      <c r="E307" s="222"/>
      <c r="I307" s="222"/>
      <c r="M307" s="222"/>
      <c r="Q307" s="222"/>
      <c r="U307" s="222"/>
      <c r="Y307" s="222"/>
      <c r="AC307" s="222"/>
      <c r="AG307" s="222"/>
      <c r="AK307" s="222"/>
      <c r="AO307" s="222"/>
      <c r="AS307" s="222"/>
      <c r="AW307" s="222"/>
      <c r="BA307" s="222"/>
      <c r="BE307" s="222"/>
      <c r="BK307" s="222"/>
      <c r="BO307" s="222"/>
      <c r="BU307" s="222"/>
      <c r="BY307" s="222"/>
      <c r="CC307" s="222"/>
      <c r="CG307" s="222"/>
      <c r="CK307" s="222"/>
      <c r="CQ307" s="222"/>
      <c r="CU307" s="222"/>
      <c r="CY307" s="222"/>
    </row>
    <row r="308">
      <c r="A308" s="227"/>
      <c r="E308" s="222"/>
      <c r="I308" s="222"/>
      <c r="M308" s="222"/>
      <c r="Q308" s="222"/>
      <c r="U308" s="222"/>
      <c r="Y308" s="222"/>
      <c r="AC308" s="222"/>
      <c r="AG308" s="222"/>
      <c r="AK308" s="222"/>
      <c r="AO308" s="222"/>
      <c r="AS308" s="222"/>
      <c r="AW308" s="222"/>
      <c r="BA308" s="222"/>
      <c r="BE308" s="222"/>
      <c r="BK308" s="222"/>
      <c r="BO308" s="222"/>
      <c r="BU308" s="222"/>
      <c r="BY308" s="222"/>
      <c r="CC308" s="222"/>
      <c r="CG308" s="222"/>
      <c r="CK308" s="222"/>
      <c r="CQ308" s="222"/>
      <c r="CU308" s="222"/>
      <c r="CY308" s="222"/>
    </row>
    <row r="309">
      <c r="A309" s="227"/>
      <c r="E309" s="222"/>
      <c r="I309" s="222"/>
      <c r="M309" s="222"/>
      <c r="Q309" s="222"/>
      <c r="U309" s="222"/>
      <c r="Y309" s="222"/>
      <c r="AC309" s="222"/>
      <c r="AG309" s="222"/>
      <c r="AK309" s="222"/>
      <c r="AO309" s="222"/>
      <c r="AS309" s="222"/>
      <c r="AW309" s="222"/>
      <c r="BA309" s="222"/>
      <c r="BE309" s="222"/>
      <c r="BK309" s="222"/>
      <c r="BO309" s="222"/>
      <c r="BU309" s="222"/>
      <c r="BY309" s="222"/>
      <c r="CC309" s="222"/>
      <c r="CG309" s="222"/>
      <c r="CK309" s="222"/>
      <c r="CQ309" s="222"/>
      <c r="CU309" s="222"/>
      <c r="CY309" s="222"/>
    </row>
    <row r="310">
      <c r="A310" s="227"/>
      <c r="E310" s="222"/>
      <c r="I310" s="222"/>
      <c r="M310" s="222"/>
      <c r="Q310" s="222"/>
      <c r="U310" s="222"/>
      <c r="Y310" s="222"/>
      <c r="AC310" s="222"/>
      <c r="AG310" s="222"/>
      <c r="AK310" s="222"/>
      <c r="AO310" s="222"/>
      <c r="AS310" s="222"/>
      <c r="AW310" s="222"/>
      <c r="BA310" s="222"/>
      <c r="BE310" s="222"/>
      <c r="BK310" s="222"/>
      <c r="BO310" s="222"/>
      <c r="BU310" s="222"/>
      <c r="BY310" s="222"/>
      <c r="CC310" s="222"/>
      <c r="CG310" s="222"/>
      <c r="CK310" s="222"/>
      <c r="CQ310" s="222"/>
      <c r="CU310" s="222"/>
      <c r="CY310" s="222"/>
    </row>
    <row r="311">
      <c r="A311" s="227"/>
      <c r="E311" s="222"/>
      <c r="I311" s="222"/>
      <c r="M311" s="222"/>
      <c r="Q311" s="222"/>
      <c r="U311" s="222"/>
      <c r="Y311" s="222"/>
      <c r="AC311" s="222"/>
      <c r="AG311" s="222"/>
      <c r="AK311" s="222"/>
      <c r="AO311" s="222"/>
      <c r="AS311" s="222"/>
      <c r="AW311" s="222"/>
      <c r="BA311" s="222"/>
      <c r="BE311" s="222"/>
      <c r="BK311" s="222"/>
      <c r="BO311" s="222"/>
      <c r="BU311" s="222"/>
      <c r="BY311" s="222"/>
      <c r="CC311" s="222"/>
      <c r="CG311" s="222"/>
      <c r="CK311" s="222"/>
      <c r="CQ311" s="222"/>
      <c r="CU311" s="222"/>
      <c r="CY311" s="222"/>
    </row>
    <row r="312">
      <c r="A312" s="227"/>
      <c r="E312" s="222"/>
      <c r="I312" s="222"/>
      <c r="M312" s="222"/>
      <c r="Q312" s="222"/>
      <c r="U312" s="222"/>
      <c r="Y312" s="222"/>
      <c r="AC312" s="222"/>
      <c r="AG312" s="222"/>
      <c r="AK312" s="222"/>
      <c r="AO312" s="222"/>
      <c r="AS312" s="222"/>
      <c r="AW312" s="222"/>
      <c r="BA312" s="222"/>
      <c r="BE312" s="222"/>
      <c r="BK312" s="222"/>
      <c r="BO312" s="222"/>
      <c r="BU312" s="222"/>
      <c r="BY312" s="222"/>
      <c r="CC312" s="222"/>
      <c r="CG312" s="222"/>
      <c r="CK312" s="222"/>
      <c r="CQ312" s="222"/>
      <c r="CU312" s="222"/>
      <c r="CY312" s="222"/>
    </row>
    <row r="313">
      <c r="A313" s="227"/>
      <c r="E313" s="222"/>
      <c r="I313" s="222"/>
      <c r="M313" s="222"/>
      <c r="Q313" s="222"/>
      <c r="U313" s="222"/>
      <c r="Y313" s="222"/>
      <c r="AC313" s="222"/>
      <c r="AG313" s="222"/>
      <c r="AK313" s="222"/>
      <c r="AO313" s="222"/>
      <c r="AS313" s="222"/>
      <c r="AW313" s="222"/>
      <c r="BA313" s="222"/>
      <c r="BE313" s="222"/>
      <c r="BK313" s="222"/>
      <c r="BO313" s="222"/>
      <c r="BU313" s="222"/>
      <c r="BY313" s="222"/>
      <c r="CC313" s="222"/>
      <c r="CG313" s="222"/>
      <c r="CK313" s="222"/>
      <c r="CQ313" s="222"/>
      <c r="CU313" s="222"/>
      <c r="CY313" s="222"/>
    </row>
    <row r="314">
      <c r="A314" s="227"/>
      <c r="E314" s="222"/>
      <c r="I314" s="222"/>
      <c r="M314" s="222"/>
      <c r="Q314" s="222"/>
      <c r="U314" s="222"/>
      <c r="Y314" s="222"/>
      <c r="AC314" s="222"/>
      <c r="AG314" s="222"/>
      <c r="AK314" s="222"/>
      <c r="AO314" s="222"/>
      <c r="AS314" s="222"/>
      <c r="AW314" s="222"/>
      <c r="BA314" s="222"/>
      <c r="BE314" s="222"/>
      <c r="BK314" s="222"/>
      <c r="BO314" s="222"/>
      <c r="BU314" s="222"/>
      <c r="BY314" s="222"/>
      <c r="CC314" s="222"/>
      <c r="CG314" s="222"/>
      <c r="CK314" s="222"/>
      <c r="CQ314" s="222"/>
      <c r="CU314" s="222"/>
      <c r="CY314" s="222"/>
    </row>
    <row r="315">
      <c r="A315" s="227"/>
      <c r="E315" s="222"/>
      <c r="I315" s="222"/>
      <c r="M315" s="222"/>
      <c r="Q315" s="222"/>
      <c r="U315" s="222"/>
      <c r="Y315" s="222"/>
      <c r="AC315" s="222"/>
      <c r="AG315" s="222"/>
      <c r="AK315" s="222"/>
      <c r="AO315" s="222"/>
      <c r="AS315" s="222"/>
      <c r="AW315" s="222"/>
      <c r="BA315" s="222"/>
      <c r="BE315" s="222"/>
      <c r="BK315" s="222"/>
      <c r="BO315" s="222"/>
      <c r="BU315" s="222"/>
      <c r="BY315" s="222"/>
      <c r="CC315" s="222"/>
      <c r="CG315" s="222"/>
      <c r="CK315" s="222"/>
      <c r="CQ315" s="222"/>
      <c r="CU315" s="222"/>
      <c r="CY315" s="222"/>
    </row>
    <row r="316">
      <c r="A316" s="227"/>
      <c r="E316" s="222"/>
      <c r="I316" s="222"/>
      <c r="M316" s="222"/>
      <c r="Q316" s="222"/>
      <c r="U316" s="222"/>
      <c r="Y316" s="222"/>
      <c r="AC316" s="222"/>
      <c r="AG316" s="222"/>
      <c r="AK316" s="222"/>
      <c r="AO316" s="222"/>
      <c r="AS316" s="222"/>
      <c r="AW316" s="222"/>
      <c r="BA316" s="222"/>
      <c r="BE316" s="222"/>
      <c r="BK316" s="222"/>
      <c r="BO316" s="222"/>
      <c r="BU316" s="222"/>
      <c r="BY316" s="222"/>
      <c r="CC316" s="222"/>
      <c r="CG316" s="222"/>
      <c r="CK316" s="222"/>
      <c r="CQ316" s="222"/>
      <c r="CU316" s="222"/>
      <c r="CY316" s="222"/>
    </row>
    <row r="317">
      <c r="A317" s="227"/>
      <c r="E317" s="222"/>
      <c r="I317" s="222"/>
      <c r="M317" s="222"/>
      <c r="Q317" s="222"/>
      <c r="U317" s="222"/>
      <c r="Y317" s="222"/>
      <c r="AC317" s="222"/>
      <c r="AG317" s="222"/>
      <c r="AK317" s="222"/>
      <c r="AO317" s="222"/>
      <c r="AS317" s="222"/>
      <c r="AW317" s="222"/>
      <c r="BA317" s="222"/>
      <c r="BE317" s="222"/>
      <c r="BK317" s="222"/>
      <c r="BO317" s="222"/>
      <c r="BU317" s="222"/>
      <c r="BY317" s="222"/>
      <c r="CC317" s="222"/>
      <c r="CG317" s="222"/>
      <c r="CK317" s="222"/>
      <c r="CQ317" s="222"/>
      <c r="CU317" s="222"/>
      <c r="CY317" s="222"/>
    </row>
    <row r="318">
      <c r="A318" s="227"/>
      <c r="E318" s="222"/>
      <c r="I318" s="222"/>
      <c r="M318" s="222"/>
      <c r="Q318" s="222"/>
      <c r="U318" s="222"/>
      <c r="Y318" s="222"/>
      <c r="AC318" s="222"/>
      <c r="AG318" s="222"/>
      <c r="AK318" s="222"/>
      <c r="AO318" s="222"/>
      <c r="AS318" s="222"/>
      <c r="AW318" s="222"/>
      <c r="BA318" s="222"/>
      <c r="BE318" s="222"/>
      <c r="BK318" s="222"/>
      <c r="BO318" s="222"/>
      <c r="BU318" s="222"/>
      <c r="BY318" s="222"/>
      <c r="CC318" s="222"/>
      <c r="CG318" s="222"/>
      <c r="CK318" s="222"/>
      <c r="CQ318" s="222"/>
      <c r="CU318" s="222"/>
      <c r="CY318" s="222"/>
    </row>
    <row r="319">
      <c r="A319" s="227"/>
      <c r="E319" s="222"/>
      <c r="I319" s="222"/>
      <c r="M319" s="222"/>
      <c r="Q319" s="222"/>
      <c r="U319" s="222"/>
      <c r="Y319" s="222"/>
      <c r="AC319" s="222"/>
      <c r="AG319" s="222"/>
      <c r="AK319" s="222"/>
      <c r="AO319" s="222"/>
      <c r="AS319" s="222"/>
      <c r="AW319" s="222"/>
      <c r="BA319" s="222"/>
      <c r="BE319" s="222"/>
      <c r="BK319" s="222"/>
      <c r="BO319" s="222"/>
      <c r="BU319" s="222"/>
      <c r="BY319" s="222"/>
      <c r="CC319" s="222"/>
      <c r="CG319" s="222"/>
      <c r="CK319" s="222"/>
      <c r="CQ319" s="222"/>
      <c r="CU319" s="222"/>
      <c r="CY319" s="222"/>
    </row>
    <row r="320">
      <c r="A320" s="227"/>
      <c r="E320" s="222"/>
      <c r="I320" s="222"/>
      <c r="M320" s="222"/>
      <c r="Q320" s="222"/>
      <c r="U320" s="222"/>
      <c r="Y320" s="222"/>
      <c r="AC320" s="222"/>
      <c r="AG320" s="222"/>
      <c r="AK320" s="222"/>
      <c r="AO320" s="222"/>
      <c r="AS320" s="222"/>
      <c r="AW320" s="222"/>
      <c r="BA320" s="222"/>
      <c r="BE320" s="222"/>
      <c r="BK320" s="222"/>
      <c r="BO320" s="222"/>
      <c r="BU320" s="222"/>
      <c r="BY320" s="222"/>
      <c r="CC320" s="222"/>
      <c r="CG320" s="222"/>
      <c r="CK320" s="222"/>
      <c r="CQ320" s="222"/>
      <c r="CU320" s="222"/>
      <c r="CY320" s="222"/>
    </row>
    <row r="321">
      <c r="A321" s="227"/>
      <c r="E321" s="222"/>
      <c r="I321" s="222"/>
      <c r="M321" s="222"/>
      <c r="Q321" s="222"/>
      <c r="U321" s="222"/>
      <c r="Y321" s="222"/>
      <c r="AC321" s="222"/>
      <c r="AG321" s="222"/>
      <c r="AK321" s="222"/>
      <c r="AO321" s="222"/>
      <c r="AS321" s="222"/>
      <c r="AW321" s="222"/>
      <c r="BA321" s="222"/>
      <c r="BE321" s="222"/>
      <c r="BK321" s="222"/>
      <c r="BO321" s="222"/>
      <c r="BU321" s="222"/>
      <c r="BY321" s="222"/>
      <c r="CC321" s="222"/>
      <c r="CG321" s="222"/>
      <c r="CK321" s="222"/>
      <c r="CQ321" s="222"/>
      <c r="CU321" s="222"/>
      <c r="CY321" s="222"/>
    </row>
    <row r="322">
      <c r="A322" s="227"/>
      <c r="E322" s="222"/>
      <c r="I322" s="222"/>
      <c r="M322" s="222"/>
      <c r="Q322" s="222"/>
      <c r="U322" s="222"/>
      <c r="Y322" s="222"/>
      <c r="AC322" s="222"/>
      <c r="AG322" s="222"/>
      <c r="AK322" s="222"/>
      <c r="AO322" s="222"/>
      <c r="AS322" s="222"/>
      <c r="AW322" s="222"/>
      <c r="BA322" s="222"/>
      <c r="BE322" s="222"/>
      <c r="BK322" s="222"/>
      <c r="BO322" s="222"/>
      <c r="BU322" s="222"/>
      <c r="BY322" s="222"/>
      <c r="CC322" s="222"/>
      <c r="CG322" s="222"/>
      <c r="CK322" s="222"/>
      <c r="CQ322" s="222"/>
      <c r="CU322" s="222"/>
      <c r="CY322" s="222"/>
    </row>
    <row r="323">
      <c r="A323" s="227"/>
      <c r="E323" s="222"/>
      <c r="I323" s="222"/>
      <c r="M323" s="222"/>
      <c r="Q323" s="222"/>
      <c r="U323" s="222"/>
      <c r="Y323" s="222"/>
      <c r="AC323" s="222"/>
      <c r="AG323" s="222"/>
      <c r="AK323" s="222"/>
      <c r="AO323" s="222"/>
      <c r="AS323" s="222"/>
      <c r="AW323" s="222"/>
      <c r="BA323" s="222"/>
      <c r="BE323" s="222"/>
      <c r="BK323" s="222"/>
      <c r="BO323" s="222"/>
      <c r="BU323" s="222"/>
      <c r="BY323" s="222"/>
      <c r="CC323" s="222"/>
      <c r="CG323" s="222"/>
      <c r="CK323" s="222"/>
      <c r="CQ323" s="222"/>
      <c r="CU323" s="222"/>
      <c r="CY323" s="222"/>
    </row>
    <row r="324">
      <c r="A324" s="227"/>
      <c r="E324" s="222"/>
      <c r="I324" s="222"/>
      <c r="M324" s="222"/>
      <c r="Q324" s="222"/>
      <c r="U324" s="222"/>
      <c r="Y324" s="222"/>
      <c r="AC324" s="222"/>
      <c r="AG324" s="222"/>
      <c r="AK324" s="222"/>
      <c r="AO324" s="222"/>
      <c r="AS324" s="222"/>
      <c r="AW324" s="222"/>
      <c r="BA324" s="222"/>
      <c r="BE324" s="222"/>
      <c r="BK324" s="222"/>
      <c r="BO324" s="222"/>
      <c r="BU324" s="222"/>
      <c r="BY324" s="222"/>
      <c r="CC324" s="222"/>
      <c r="CG324" s="222"/>
      <c r="CK324" s="222"/>
      <c r="CQ324" s="222"/>
      <c r="CU324" s="222"/>
      <c r="CY324" s="222"/>
    </row>
    <row r="325">
      <c r="A325" s="227"/>
      <c r="E325" s="222"/>
      <c r="I325" s="222"/>
      <c r="M325" s="222"/>
      <c r="Q325" s="222"/>
      <c r="U325" s="222"/>
      <c r="Y325" s="222"/>
      <c r="AC325" s="222"/>
      <c r="AG325" s="222"/>
      <c r="AK325" s="222"/>
      <c r="AO325" s="222"/>
      <c r="AS325" s="222"/>
      <c r="AW325" s="222"/>
      <c r="BA325" s="222"/>
      <c r="BE325" s="222"/>
      <c r="BK325" s="222"/>
      <c r="BO325" s="222"/>
      <c r="BU325" s="222"/>
      <c r="BY325" s="222"/>
      <c r="CC325" s="222"/>
      <c r="CG325" s="222"/>
      <c r="CK325" s="222"/>
      <c r="CQ325" s="222"/>
      <c r="CU325" s="222"/>
      <c r="CY325" s="222"/>
    </row>
    <row r="326">
      <c r="A326" s="227"/>
      <c r="E326" s="222"/>
      <c r="I326" s="222"/>
      <c r="M326" s="222"/>
      <c r="Q326" s="222"/>
      <c r="U326" s="222"/>
      <c r="Y326" s="222"/>
      <c r="AC326" s="222"/>
      <c r="AG326" s="222"/>
      <c r="AK326" s="222"/>
      <c r="AO326" s="222"/>
      <c r="AS326" s="222"/>
      <c r="AW326" s="222"/>
      <c r="BA326" s="222"/>
      <c r="BE326" s="222"/>
      <c r="BK326" s="222"/>
      <c r="BO326" s="222"/>
      <c r="BU326" s="222"/>
      <c r="BY326" s="222"/>
      <c r="CC326" s="222"/>
      <c r="CG326" s="222"/>
      <c r="CK326" s="222"/>
      <c r="CQ326" s="222"/>
      <c r="CU326" s="222"/>
      <c r="CY326" s="222"/>
    </row>
    <row r="327">
      <c r="A327" s="227"/>
      <c r="E327" s="222"/>
      <c r="I327" s="222"/>
      <c r="M327" s="222"/>
      <c r="Q327" s="222"/>
      <c r="U327" s="222"/>
      <c r="Y327" s="222"/>
      <c r="AC327" s="222"/>
      <c r="AG327" s="222"/>
      <c r="AK327" s="222"/>
      <c r="AO327" s="222"/>
      <c r="AS327" s="222"/>
      <c r="AW327" s="222"/>
      <c r="BA327" s="222"/>
      <c r="BE327" s="222"/>
      <c r="BK327" s="222"/>
      <c r="BO327" s="222"/>
      <c r="BU327" s="222"/>
      <c r="BY327" s="222"/>
      <c r="CC327" s="222"/>
      <c r="CG327" s="222"/>
      <c r="CK327" s="222"/>
      <c r="CQ327" s="222"/>
      <c r="CU327" s="222"/>
      <c r="CY327" s="222"/>
    </row>
    <row r="328">
      <c r="A328" s="227"/>
      <c r="E328" s="222"/>
      <c r="I328" s="222"/>
      <c r="M328" s="222"/>
      <c r="Q328" s="222"/>
      <c r="U328" s="222"/>
      <c r="Y328" s="222"/>
      <c r="AC328" s="222"/>
      <c r="AG328" s="222"/>
      <c r="AK328" s="222"/>
      <c r="AO328" s="222"/>
      <c r="AS328" s="222"/>
      <c r="AW328" s="222"/>
      <c r="BA328" s="222"/>
      <c r="BE328" s="222"/>
      <c r="BK328" s="222"/>
      <c r="BO328" s="222"/>
      <c r="BU328" s="222"/>
      <c r="BY328" s="222"/>
      <c r="CC328" s="222"/>
      <c r="CG328" s="222"/>
      <c r="CK328" s="222"/>
      <c r="CQ328" s="222"/>
      <c r="CU328" s="222"/>
      <c r="CY328" s="222"/>
    </row>
    <row r="329">
      <c r="A329" s="227"/>
      <c r="E329" s="222"/>
      <c r="I329" s="222"/>
      <c r="M329" s="222"/>
      <c r="Q329" s="222"/>
      <c r="U329" s="222"/>
      <c r="Y329" s="222"/>
      <c r="AC329" s="222"/>
      <c r="AG329" s="222"/>
      <c r="AK329" s="222"/>
      <c r="AO329" s="222"/>
      <c r="AS329" s="222"/>
      <c r="AW329" s="222"/>
      <c r="BA329" s="222"/>
      <c r="BE329" s="222"/>
      <c r="BK329" s="222"/>
      <c r="BO329" s="222"/>
      <c r="BU329" s="222"/>
      <c r="BY329" s="222"/>
      <c r="CC329" s="222"/>
      <c r="CG329" s="222"/>
      <c r="CK329" s="222"/>
      <c r="CQ329" s="222"/>
      <c r="CU329" s="222"/>
      <c r="CY329" s="222"/>
    </row>
    <row r="330">
      <c r="A330" s="227"/>
      <c r="E330" s="222"/>
      <c r="I330" s="222"/>
      <c r="M330" s="222"/>
      <c r="Q330" s="222"/>
      <c r="U330" s="222"/>
      <c r="Y330" s="222"/>
      <c r="AC330" s="222"/>
      <c r="AG330" s="222"/>
      <c r="AK330" s="222"/>
      <c r="AO330" s="222"/>
      <c r="AS330" s="222"/>
      <c r="AW330" s="222"/>
      <c r="BA330" s="222"/>
      <c r="BE330" s="222"/>
      <c r="BK330" s="222"/>
      <c r="BO330" s="222"/>
      <c r="BU330" s="222"/>
      <c r="BY330" s="222"/>
      <c r="CC330" s="222"/>
      <c r="CG330" s="222"/>
      <c r="CK330" s="222"/>
      <c r="CQ330" s="222"/>
      <c r="CU330" s="222"/>
      <c r="CY330" s="222"/>
    </row>
    <row r="331">
      <c r="A331" s="227"/>
      <c r="E331" s="222"/>
      <c r="I331" s="222"/>
      <c r="M331" s="222"/>
      <c r="Q331" s="222"/>
      <c r="U331" s="222"/>
      <c r="Y331" s="222"/>
      <c r="AC331" s="222"/>
      <c r="AG331" s="222"/>
      <c r="AK331" s="222"/>
      <c r="AO331" s="222"/>
      <c r="AS331" s="222"/>
      <c r="AW331" s="222"/>
      <c r="BA331" s="222"/>
      <c r="BE331" s="222"/>
      <c r="BK331" s="222"/>
      <c r="BO331" s="222"/>
      <c r="BU331" s="222"/>
      <c r="BY331" s="222"/>
      <c r="CC331" s="222"/>
      <c r="CG331" s="222"/>
      <c r="CK331" s="222"/>
      <c r="CQ331" s="222"/>
      <c r="CU331" s="222"/>
      <c r="CY331" s="222"/>
    </row>
    <row r="332">
      <c r="A332" s="227"/>
      <c r="E332" s="222"/>
      <c r="I332" s="222"/>
      <c r="M332" s="222"/>
      <c r="Q332" s="222"/>
      <c r="U332" s="222"/>
      <c r="Y332" s="222"/>
      <c r="AC332" s="222"/>
      <c r="AG332" s="222"/>
      <c r="AK332" s="222"/>
      <c r="AO332" s="222"/>
      <c r="AS332" s="222"/>
      <c r="AW332" s="222"/>
      <c r="BA332" s="222"/>
      <c r="BE332" s="222"/>
      <c r="BK332" s="222"/>
      <c r="BO332" s="222"/>
      <c r="BU332" s="222"/>
      <c r="BY332" s="222"/>
      <c r="CC332" s="222"/>
      <c r="CG332" s="222"/>
      <c r="CK332" s="222"/>
      <c r="CQ332" s="222"/>
      <c r="CU332" s="222"/>
      <c r="CY332" s="222"/>
    </row>
    <row r="333">
      <c r="A333" s="227"/>
      <c r="E333" s="222"/>
      <c r="I333" s="222"/>
      <c r="M333" s="222"/>
      <c r="Q333" s="222"/>
      <c r="U333" s="222"/>
      <c r="Y333" s="222"/>
      <c r="AC333" s="222"/>
      <c r="AG333" s="222"/>
      <c r="AK333" s="222"/>
      <c r="AO333" s="222"/>
      <c r="AS333" s="222"/>
      <c r="AW333" s="222"/>
      <c r="BA333" s="222"/>
      <c r="BE333" s="222"/>
      <c r="BK333" s="222"/>
      <c r="BO333" s="222"/>
      <c r="BU333" s="222"/>
      <c r="BY333" s="222"/>
      <c r="CC333" s="222"/>
      <c r="CG333" s="222"/>
      <c r="CK333" s="222"/>
      <c r="CQ333" s="222"/>
      <c r="CU333" s="222"/>
      <c r="CY333" s="222"/>
    </row>
    <row r="334">
      <c r="A334" s="227"/>
      <c r="E334" s="222"/>
      <c r="I334" s="222"/>
      <c r="M334" s="222"/>
      <c r="Q334" s="222"/>
      <c r="U334" s="222"/>
      <c r="Y334" s="222"/>
      <c r="AC334" s="222"/>
      <c r="AG334" s="222"/>
      <c r="AK334" s="222"/>
      <c r="AO334" s="222"/>
      <c r="AS334" s="222"/>
      <c r="AW334" s="222"/>
      <c r="BA334" s="222"/>
      <c r="BE334" s="222"/>
      <c r="BK334" s="222"/>
      <c r="BO334" s="222"/>
      <c r="BU334" s="222"/>
      <c r="BY334" s="222"/>
      <c r="CC334" s="222"/>
      <c r="CG334" s="222"/>
      <c r="CK334" s="222"/>
      <c r="CQ334" s="222"/>
      <c r="CU334" s="222"/>
      <c r="CY334" s="222"/>
    </row>
    <row r="335">
      <c r="A335" s="227"/>
      <c r="E335" s="222"/>
      <c r="I335" s="222"/>
      <c r="M335" s="222"/>
      <c r="Q335" s="222"/>
      <c r="U335" s="222"/>
      <c r="Y335" s="222"/>
      <c r="AC335" s="222"/>
      <c r="AG335" s="222"/>
      <c r="AK335" s="222"/>
      <c r="AO335" s="222"/>
      <c r="AS335" s="222"/>
      <c r="AW335" s="222"/>
      <c r="BA335" s="222"/>
      <c r="BE335" s="222"/>
      <c r="BK335" s="222"/>
      <c r="BO335" s="222"/>
      <c r="BU335" s="222"/>
      <c r="BY335" s="222"/>
      <c r="CC335" s="222"/>
      <c r="CG335" s="222"/>
      <c r="CK335" s="222"/>
      <c r="CQ335" s="222"/>
      <c r="CU335" s="222"/>
      <c r="CY335" s="222"/>
    </row>
    <row r="336">
      <c r="A336" s="227"/>
      <c r="E336" s="222"/>
      <c r="I336" s="222"/>
      <c r="M336" s="222"/>
      <c r="Q336" s="222"/>
      <c r="U336" s="222"/>
      <c r="Y336" s="222"/>
      <c r="AC336" s="222"/>
      <c r="AG336" s="222"/>
      <c r="AK336" s="222"/>
      <c r="AO336" s="222"/>
      <c r="AS336" s="222"/>
      <c r="AW336" s="222"/>
      <c r="BA336" s="222"/>
      <c r="BE336" s="222"/>
      <c r="BK336" s="222"/>
      <c r="BO336" s="222"/>
      <c r="BU336" s="222"/>
      <c r="BY336" s="222"/>
      <c r="CC336" s="222"/>
      <c r="CG336" s="222"/>
      <c r="CK336" s="222"/>
      <c r="CQ336" s="222"/>
      <c r="CU336" s="222"/>
      <c r="CY336" s="222"/>
    </row>
    <row r="337">
      <c r="A337" s="227"/>
      <c r="E337" s="222"/>
      <c r="I337" s="222"/>
      <c r="M337" s="222"/>
      <c r="Q337" s="222"/>
      <c r="U337" s="222"/>
      <c r="Y337" s="222"/>
      <c r="AC337" s="222"/>
      <c r="AG337" s="222"/>
      <c r="AK337" s="222"/>
      <c r="AO337" s="222"/>
      <c r="AS337" s="222"/>
      <c r="AW337" s="222"/>
      <c r="BA337" s="222"/>
      <c r="BE337" s="222"/>
      <c r="BK337" s="222"/>
      <c r="BO337" s="222"/>
      <c r="BU337" s="222"/>
      <c r="BY337" s="222"/>
      <c r="CC337" s="222"/>
      <c r="CG337" s="222"/>
      <c r="CK337" s="222"/>
      <c r="CQ337" s="222"/>
      <c r="CU337" s="222"/>
      <c r="CY337" s="222"/>
    </row>
    <row r="338">
      <c r="A338" s="227"/>
      <c r="E338" s="222"/>
      <c r="I338" s="222"/>
      <c r="M338" s="222"/>
      <c r="Q338" s="222"/>
      <c r="U338" s="222"/>
      <c r="Y338" s="222"/>
      <c r="AC338" s="222"/>
      <c r="AG338" s="222"/>
      <c r="AK338" s="222"/>
      <c r="AO338" s="222"/>
      <c r="AS338" s="222"/>
      <c r="AW338" s="222"/>
      <c r="BA338" s="222"/>
      <c r="BE338" s="222"/>
      <c r="BK338" s="222"/>
      <c r="BO338" s="222"/>
      <c r="BU338" s="222"/>
      <c r="BY338" s="222"/>
      <c r="CC338" s="222"/>
      <c r="CG338" s="222"/>
      <c r="CK338" s="222"/>
      <c r="CQ338" s="222"/>
      <c r="CU338" s="222"/>
      <c r="CY338" s="222"/>
    </row>
    <row r="339">
      <c r="A339" s="227"/>
      <c r="E339" s="222"/>
      <c r="I339" s="222"/>
      <c r="M339" s="222"/>
      <c r="Q339" s="222"/>
      <c r="U339" s="222"/>
      <c r="Y339" s="222"/>
      <c r="AC339" s="222"/>
      <c r="AG339" s="222"/>
      <c r="AK339" s="222"/>
      <c r="AO339" s="222"/>
      <c r="AS339" s="222"/>
      <c r="AW339" s="222"/>
      <c r="BA339" s="222"/>
      <c r="BE339" s="222"/>
      <c r="BK339" s="222"/>
      <c r="BO339" s="222"/>
      <c r="BU339" s="222"/>
      <c r="BY339" s="222"/>
      <c r="CC339" s="222"/>
      <c r="CG339" s="222"/>
      <c r="CK339" s="222"/>
      <c r="CQ339" s="222"/>
      <c r="CU339" s="222"/>
      <c r="CY339" s="222"/>
    </row>
    <row r="340">
      <c r="A340" s="227"/>
      <c r="E340" s="222"/>
      <c r="I340" s="222"/>
      <c r="M340" s="222"/>
      <c r="Q340" s="222"/>
      <c r="U340" s="222"/>
      <c r="Y340" s="222"/>
      <c r="AC340" s="222"/>
      <c r="AG340" s="222"/>
      <c r="AK340" s="222"/>
      <c r="AO340" s="222"/>
      <c r="AS340" s="222"/>
      <c r="AW340" s="222"/>
      <c r="BA340" s="222"/>
      <c r="BE340" s="222"/>
      <c r="BK340" s="222"/>
      <c r="BO340" s="222"/>
      <c r="BU340" s="222"/>
      <c r="BY340" s="222"/>
      <c r="CC340" s="222"/>
      <c r="CG340" s="222"/>
      <c r="CK340" s="222"/>
      <c r="CQ340" s="222"/>
      <c r="CU340" s="222"/>
      <c r="CY340" s="222"/>
    </row>
    <row r="341">
      <c r="A341" s="227"/>
      <c r="E341" s="222"/>
      <c r="I341" s="222"/>
      <c r="M341" s="222"/>
      <c r="Q341" s="222"/>
      <c r="U341" s="222"/>
      <c r="Y341" s="222"/>
      <c r="AC341" s="222"/>
      <c r="AG341" s="222"/>
      <c r="AK341" s="222"/>
      <c r="AO341" s="222"/>
      <c r="AS341" s="222"/>
      <c r="AW341" s="222"/>
      <c r="BA341" s="222"/>
      <c r="BE341" s="222"/>
      <c r="BK341" s="222"/>
      <c r="BO341" s="222"/>
      <c r="BU341" s="222"/>
      <c r="BY341" s="222"/>
      <c r="CC341" s="222"/>
      <c r="CG341" s="222"/>
      <c r="CK341" s="222"/>
      <c r="CQ341" s="222"/>
      <c r="CU341" s="222"/>
      <c r="CY341" s="222"/>
    </row>
    <row r="342">
      <c r="A342" s="227"/>
      <c r="E342" s="222"/>
      <c r="I342" s="222"/>
      <c r="M342" s="222"/>
      <c r="Q342" s="222"/>
      <c r="U342" s="222"/>
      <c r="Y342" s="222"/>
      <c r="AC342" s="222"/>
      <c r="AG342" s="222"/>
      <c r="AK342" s="222"/>
      <c r="AO342" s="222"/>
      <c r="AS342" s="222"/>
      <c r="AW342" s="222"/>
      <c r="BA342" s="222"/>
      <c r="BE342" s="222"/>
      <c r="BK342" s="222"/>
      <c r="BO342" s="222"/>
      <c r="BU342" s="222"/>
      <c r="BY342" s="222"/>
      <c r="CC342" s="222"/>
      <c r="CG342" s="222"/>
      <c r="CK342" s="222"/>
      <c r="CQ342" s="222"/>
      <c r="CU342" s="222"/>
      <c r="CY342" s="222"/>
    </row>
    <row r="343">
      <c r="A343" s="227"/>
      <c r="E343" s="222"/>
      <c r="I343" s="222"/>
      <c r="M343" s="222"/>
      <c r="Q343" s="222"/>
      <c r="U343" s="222"/>
      <c r="Y343" s="222"/>
      <c r="AC343" s="222"/>
      <c r="AG343" s="222"/>
      <c r="AK343" s="222"/>
      <c r="AO343" s="222"/>
      <c r="AS343" s="222"/>
      <c r="AW343" s="222"/>
      <c r="BA343" s="222"/>
      <c r="BE343" s="222"/>
      <c r="BK343" s="222"/>
      <c r="BO343" s="222"/>
      <c r="BU343" s="222"/>
      <c r="BY343" s="222"/>
      <c r="CC343" s="222"/>
      <c r="CG343" s="222"/>
      <c r="CK343" s="222"/>
      <c r="CQ343" s="222"/>
      <c r="CU343" s="222"/>
      <c r="CY343" s="222"/>
    </row>
    <row r="344">
      <c r="A344" s="227"/>
      <c r="E344" s="222"/>
      <c r="I344" s="222"/>
      <c r="M344" s="222"/>
      <c r="Q344" s="222"/>
      <c r="U344" s="222"/>
      <c r="Y344" s="222"/>
      <c r="AC344" s="222"/>
      <c r="AG344" s="222"/>
      <c r="AK344" s="222"/>
      <c r="AO344" s="222"/>
      <c r="AS344" s="222"/>
      <c r="AW344" s="222"/>
      <c r="BA344" s="222"/>
      <c r="BE344" s="222"/>
      <c r="BK344" s="222"/>
      <c r="BO344" s="222"/>
      <c r="BU344" s="222"/>
      <c r="BY344" s="222"/>
      <c r="CC344" s="222"/>
      <c r="CG344" s="222"/>
      <c r="CK344" s="222"/>
      <c r="CQ344" s="222"/>
      <c r="CU344" s="222"/>
      <c r="CY344" s="222"/>
    </row>
    <row r="345">
      <c r="A345" s="227"/>
      <c r="E345" s="222"/>
      <c r="I345" s="222"/>
      <c r="M345" s="222"/>
      <c r="Q345" s="222"/>
      <c r="U345" s="222"/>
      <c r="Y345" s="222"/>
      <c r="AC345" s="222"/>
      <c r="AG345" s="222"/>
      <c r="AK345" s="222"/>
      <c r="AO345" s="222"/>
      <c r="AS345" s="222"/>
      <c r="AW345" s="222"/>
      <c r="BA345" s="222"/>
      <c r="BE345" s="222"/>
      <c r="BK345" s="222"/>
      <c r="BO345" s="222"/>
      <c r="BU345" s="222"/>
      <c r="BY345" s="222"/>
      <c r="CC345" s="222"/>
      <c r="CG345" s="222"/>
      <c r="CK345" s="222"/>
      <c r="CQ345" s="222"/>
      <c r="CU345" s="222"/>
      <c r="CY345" s="222"/>
    </row>
    <row r="346">
      <c r="A346" s="227"/>
      <c r="E346" s="222"/>
      <c r="I346" s="222"/>
      <c r="M346" s="222"/>
      <c r="Q346" s="222"/>
      <c r="U346" s="222"/>
      <c r="Y346" s="222"/>
      <c r="AC346" s="222"/>
      <c r="AG346" s="222"/>
      <c r="AK346" s="222"/>
      <c r="AO346" s="222"/>
      <c r="AS346" s="222"/>
      <c r="AW346" s="222"/>
      <c r="BA346" s="222"/>
      <c r="BE346" s="222"/>
      <c r="BK346" s="222"/>
      <c r="BO346" s="222"/>
      <c r="BU346" s="222"/>
      <c r="BY346" s="222"/>
      <c r="CC346" s="222"/>
      <c r="CG346" s="222"/>
      <c r="CK346" s="222"/>
      <c r="CQ346" s="222"/>
      <c r="CU346" s="222"/>
      <c r="CY346" s="222"/>
    </row>
    <row r="347">
      <c r="A347" s="227"/>
      <c r="E347" s="222"/>
      <c r="I347" s="222"/>
      <c r="M347" s="222"/>
      <c r="Q347" s="222"/>
      <c r="U347" s="222"/>
      <c r="Y347" s="222"/>
      <c r="AC347" s="222"/>
      <c r="AG347" s="222"/>
      <c r="AK347" s="222"/>
      <c r="AO347" s="222"/>
      <c r="AS347" s="222"/>
      <c r="AW347" s="222"/>
      <c r="BA347" s="222"/>
      <c r="BE347" s="222"/>
      <c r="BK347" s="222"/>
      <c r="BO347" s="222"/>
      <c r="BU347" s="222"/>
      <c r="BY347" s="222"/>
      <c r="CC347" s="222"/>
      <c r="CG347" s="222"/>
      <c r="CK347" s="222"/>
      <c r="CQ347" s="222"/>
      <c r="CU347" s="222"/>
      <c r="CY347" s="222"/>
    </row>
    <row r="348">
      <c r="A348" s="227"/>
      <c r="E348" s="222"/>
      <c r="I348" s="222"/>
      <c r="M348" s="222"/>
      <c r="Q348" s="222"/>
      <c r="U348" s="222"/>
      <c r="Y348" s="222"/>
      <c r="AC348" s="222"/>
      <c r="AG348" s="222"/>
      <c r="AK348" s="222"/>
      <c r="AO348" s="222"/>
      <c r="AS348" s="222"/>
      <c r="AW348" s="222"/>
      <c r="BA348" s="222"/>
      <c r="BE348" s="222"/>
      <c r="BK348" s="222"/>
      <c r="BO348" s="222"/>
      <c r="BU348" s="222"/>
      <c r="BY348" s="222"/>
      <c r="CC348" s="222"/>
      <c r="CG348" s="222"/>
      <c r="CK348" s="222"/>
      <c r="CQ348" s="222"/>
      <c r="CU348" s="222"/>
      <c r="CY348" s="222"/>
    </row>
    <row r="349">
      <c r="A349" s="227"/>
      <c r="E349" s="222"/>
      <c r="I349" s="222"/>
      <c r="M349" s="222"/>
      <c r="Q349" s="222"/>
      <c r="U349" s="222"/>
      <c r="Y349" s="222"/>
      <c r="AC349" s="222"/>
      <c r="AG349" s="222"/>
      <c r="AK349" s="222"/>
      <c r="AO349" s="222"/>
      <c r="AS349" s="222"/>
      <c r="AW349" s="222"/>
      <c r="BA349" s="222"/>
      <c r="BE349" s="222"/>
      <c r="BK349" s="222"/>
      <c r="BO349" s="222"/>
      <c r="BU349" s="222"/>
      <c r="BY349" s="222"/>
      <c r="CC349" s="222"/>
      <c r="CG349" s="222"/>
      <c r="CK349" s="222"/>
      <c r="CQ349" s="222"/>
      <c r="CU349" s="222"/>
      <c r="CY349" s="222"/>
    </row>
    <row r="350">
      <c r="A350" s="227"/>
      <c r="E350" s="222"/>
      <c r="I350" s="222"/>
      <c r="M350" s="222"/>
      <c r="Q350" s="222"/>
      <c r="U350" s="222"/>
      <c r="Y350" s="222"/>
      <c r="AC350" s="222"/>
      <c r="AG350" s="222"/>
      <c r="AK350" s="222"/>
      <c r="AO350" s="222"/>
      <c r="AS350" s="222"/>
      <c r="AW350" s="222"/>
      <c r="BA350" s="222"/>
      <c r="BE350" s="222"/>
      <c r="BK350" s="222"/>
      <c r="BO350" s="222"/>
      <c r="BU350" s="222"/>
      <c r="BY350" s="222"/>
      <c r="CC350" s="222"/>
      <c r="CG350" s="222"/>
      <c r="CK350" s="222"/>
      <c r="CQ350" s="222"/>
      <c r="CU350" s="222"/>
      <c r="CY350" s="222"/>
    </row>
    <row r="351">
      <c r="A351" s="227"/>
      <c r="E351" s="222"/>
      <c r="I351" s="222"/>
      <c r="M351" s="222"/>
      <c r="Q351" s="222"/>
      <c r="U351" s="222"/>
      <c r="Y351" s="222"/>
      <c r="AC351" s="222"/>
      <c r="AG351" s="222"/>
      <c r="AK351" s="222"/>
      <c r="AO351" s="222"/>
      <c r="AS351" s="222"/>
      <c r="AW351" s="222"/>
      <c r="BA351" s="222"/>
      <c r="BE351" s="222"/>
      <c r="BK351" s="222"/>
      <c r="BO351" s="222"/>
      <c r="BU351" s="222"/>
      <c r="BY351" s="222"/>
      <c r="CC351" s="222"/>
      <c r="CG351" s="222"/>
      <c r="CK351" s="222"/>
      <c r="CQ351" s="222"/>
      <c r="CU351" s="222"/>
      <c r="CY351" s="222"/>
    </row>
    <row r="352">
      <c r="A352" s="227"/>
      <c r="E352" s="222"/>
      <c r="I352" s="222"/>
      <c r="M352" s="222"/>
      <c r="Q352" s="222"/>
      <c r="U352" s="222"/>
      <c r="Y352" s="222"/>
      <c r="AC352" s="222"/>
      <c r="AG352" s="222"/>
      <c r="AK352" s="222"/>
      <c r="AO352" s="222"/>
      <c r="AS352" s="222"/>
      <c r="AW352" s="222"/>
      <c r="BA352" s="222"/>
      <c r="BE352" s="222"/>
      <c r="BK352" s="222"/>
      <c r="BO352" s="222"/>
      <c r="BU352" s="222"/>
      <c r="BY352" s="222"/>
      <c r="CC352" s="222"/>
      <c r="CG352" s="222"/>
      <c r="CK352" s="222"/>
      <c r="CQ352" s="222"/>
      <c r="CU352" s="222"/>
      <c r="CY352" s="222"/>
    </row>
    <row r="353">
      <c r="A353" s="227"/>
      <c r="E353" s="222"/>
      <c r="I353" s="222"/>
      <c r="M353" s="222"/>
      <c r="Q353" s="222"/>
      <c r="U353" s="222"/>
      <c r="Y353" s="222"/>
      <c r="AC353" s="222"/>
      <c r="AG353" s="222"/>
      <c r="AK353" s="222"/>
      <c r="AO353" s="222"/>
      <c r="AS353" s="222"/>
      <c r="AW353" s="222"/>
      <c r="BA353" s="222"/>
      <c r="BE353" s="222"/>
      <c r="BK353" s="222"/>
      <c r="BO353" s="222"/>
      <c r="BU353" s="222"/>
      <c r="BY353" s="222"/>
      <c r="CC353" s="222"/>
      <c r="CG353" s="222"/>
      <c r="CK353" s="222"/>
      <c r="CQ353" s="222"/>
      <c r="CU353" s="222"/>
      <c r="CY353" s="222"/>
    </row>
    <row r="354">
      <c r="A354" s="227"/>
      <c r="E354" s="222"/>
      <c r="I354" s="222"/>
      <c r="M354" s="222"/>
      <c r="Q354" s="222"/>
      <c r="U354" s="222"/>
      <c r="Y354" s="222"/>
      <c r="AC354" s="222"/>
      <c r="AG354" s="222"/>
      <c r="AK354" s="222"/>
      <c r="AO354" s="222"/>
      <c r="AS354" s="222"/>
      <c r="AW354" s="222"/>
      <c r="BA354" s="222"/>
      <c r="BE354" s="222"/>
      <c r="BK354" s="222"/>
      <c r="BO354" s="222"/>
      <c r="BU354" s="222"/>
      <c r="BY354" s="222"/>
      <c r="CC354" s="222"/>
      <c r="CG354" s="222"/>
      <c r="CK354" s="222"/>
      <c r="CQ354" s="222"/>
      <c r="CU354" s="222"/>
      <c r="CY354" s="222"/>
    </row>
    <row r="355">
      <c r="A355" s="227"/>
      <c r="E355" s="222"/>
      <c r="I355" s="222"/>
      <c r="M355" s="222"/>
      <c r="Q355" s="222"/>
      <c r="U355" s="222"/>
      <c r="Y355" s="222"/>
      <c r="AC355" s="222"/>
      <c r="AG355" s="222"/>
      <c r="AK355" s="222"/>
      <c r="AO355" s="222"/>
      <c r="AS355" s="222"/>
      <c r="AW355" s="222"/>
      <c r="BA355" s="222"/>
      <c r="BE355" s="222"/>
      <c r="BK355" s="222"/>
      <c r="BO355" s="222"/>
      <c r="BU355" s="222"/>
      <c r="BY355" s="222"/>
      <c r="CC355" s="222"/>
      <c r="CG355" s="222"/>
      <c r="CK355" s="222"/>
      <c r="CQ355" s="222"/>
      <c r="CU355" s="222"/>
      <c r="CY355" s="222"/>
    </row>
    <row r="356">
      <c r="A356" s="227"/>
      <c r="E356" s="222"/>
      <c r="I356" s="222"/>
      <c r="M356" s="222"/>
      <c r="Q356" s="222"/>
      <c r="U356" s="222"/>
      <c r="Y356" s="222"/>
      <c r="AC356" s="222"/>
      <c r="AG356" s="222"/>
      <c r="AK356" s="222"/>
      <c r="AO356" s="222"/>
      <c r="AS356" s="222"/>
      <c r="AW356" s="222"/>
      <c r="BA356" s="222"/>
      <c r="BE356" s="222"/>
      <c r="BK356" s="222"/>
      <c r="BO356" s="222"/>
      <c r="BU356" s="222"/>
      <c r="BY356" s="222"/>
      <c r="CC356" s="222"/>
      <c r="CG356" s="222"/>
      <c r="CK356" s="222"/>
      <c r="CQ356" s="222"/>
      <c r="CU356" s="222"/>
      <c r="CY356" s="222"/>
    </row>
    <row r="357">
      <c r="A357" s="227"/>
      <c r="E357" s="222"/>
      <c r="I357" s="222"/>
      <c r="M357" s="222"/>
      <c r="Q357" s="222"/>
      <c r="U357" s="222"/>
      <c r="Y357" s="222"/>
      <c r="AC357" s="222"/>
      <c r="AG357" s="222"/>
      <c r="AK357" s="222"/>
      <c r="AO357" s="222"/>
      <c r="AS357" s="222"/>
      <c r="AW357" s="222"/>
      <c r="BA357" s="222"/>
      <c r="BE357" s="222"/>
      <c r="BK357" s="222"/>
      <c r="BO357" s="222"/>
      <c r="BU357" s="222"/>
      <c r="BY357" s="222"/>
      <c r="CC357" s="222"/>
      <c r="CG357" s="222"/>
      <c r="CK357" s="222"/>
      <c r="CQ357" s="222"/>
      <c r="CU357" s="222"/>
      <c r="CY357" s="222"/>
    </row>
    <row r="358">
      <c r="A358" s="227"/>
      <c r="E358" s="222"/>
      <c r="I358" s="222"/>
      <c r="M358" s="222"/>
      <c r="Q358" s="222"/>
      <c r="U358" s="222"/>
      <c r="Y358" s="222"/>
      <c r="AC358" s="222"/>
      <c r="AG358" s="222"/>
      <c r="AK358" s="222"/>
      <c r="AO358" s="222"/>
      <c r="AS358" s="222"/>
      <c r="AW358" s="222"/>
      <c r="BA358" s="222"/>
      <c r="BE358" s="222"/>
      <c r="BK358" s="222"/>
      <c r="BO358" s="222"/>
      <c r="BU358" s="222"/>
      <c r="BY358" s="222"/>
      <c r="CC358" s="222"/>
      <c r="CG358" s="222"/>
      <c r="CK358" s="222"/>
      <c r="CQ358" s="222"/>
      <c r="CU358" s="222"/>
      <c r="CY358" s="222"/>
    </row>
    <row r="359">
      <c r="A359" s="227"/>
      <c r="E359" s="222"/>
      <c r="I359" s="222"/>
      <c r="M359" s="222"/>
      <c r="Q359" s="222"/>
      <c r="U359" s="222"/>
      <c r="Y359" s="222"/>
      <c r="AC359" s="222"/>
      <c r="AG359" s="222"/>
      <c r="AK359" s="222"/>
      <c r="AO359" s="222"/>
      <c r="AS359" s="222"/>
      <c r="AW359" s="222"/>
      <c r="BA359" s="222"/>
      <c r="BE359" s="222"/>
      <c r="BK359" s="222"/>
      <c r="BO359" s="222"/>
      <c r="BU359" s="222"/>
      <c r="BY359" s="222"/>
      <c r="CC359" s="222"/>
      <c r="CG359" s="222"/>
      <c r="CK359" s="222"/>
      <c r="CQ359" s="222"/>
      <c r="CU359" s="222"/>
      <c r="CY359" s="222"/>
    </row>
    <row r="360">
      <c r="A360" s="227"/>
      <c r="E360" s="222"/>
      <c r="I360" s="222"/>
      <c r="M360" s="222"/>
      <c r="Q360" s="222"/>
      <c r="U360" s="222"/>
      <c r="Y360" s="222"/>
      <c r="AC360" s="222"/>
      <c r="AG360" s="222"/>
      <c r="AK360" s="222"/>
      <c r="AO360" s="222"/>
      <c r="AS360" s="222"/>
      <c r="AW360" s="222"/>
      <c r="BA360" s="222"/>
      <c r="BE360" s="222"/>
      <c r="BK360" s="222"/>
      <c r="BO360" s="222"/>
      <c r="BU360" s="222"/>
      <c r="BY360" s="222"/>
      <c r="CC360" s="222"/>
      <c r="CG360" s="222"/>
      <c r="CK360" s="222"/>
      <c r="CQ360" s="222"/>
      <c r="CU360" s="222"/>
      <c r="CY360" s="222"/>
    </row>
    <row r="361">
      <c r="A361" s="227"/>
      <c r="E361" s="222"/>
      <c r="I361" s="222"/>
      <c r="M361" s="222"/>
      <c r="Q361" s="222"/>
      <c r="U361" s="222"/>
      <c r="Y361" s="222"/>
      <c r="AC361" s="222"/>
      <c r="AG361" s="222"/>
      <c r="AK361" s="222"/>
      <c r="AO361" s="222"/>
      <c r="AS361" s="222"/>
      <c r="AW361" s="222"/>
      <c r="BA361" s="222"/>
      <c r="BE361" s="222"/>
      <c r="BK361" s="222"/>
      <c r="BO361" s="222"/>
      <c r="BU361" s="222"/>
      <c r="BY361" s="222"/>
      <c r="CC361" s="222"/>
      <c r="CG361" s="222"/>
      <c r="CK361" s="222"/>
      <c r="CQ361" s="222"/>
      <c r="CU361" s="222"/>
      <c r="CY361" s="222"/>
    </row>
    <row r="362">
      <c r="A362" s="227"/>
      <c r="E362" s="222"/>
      <c r="I362" s="222"/>
      <c r="M362" s="222"/>
      <c r="Q362" s="222"/>
      <c r="U362" s="222"/>
      <c r="Y362" s="222"/>
      <c r="AC362" s="222"/>
      <c r="AG362" s="222"/>
      <c r="AK362" s="222"/>
      <c r="AO362" s="222"/>
      <c r="AS362" s="222"/>
      <c r="AW362" s="222"/>
      <c r="BA362" s="222"/>
      <c r="BE362" s="222"/>
      <c r="BK362" s="222"/>
      <c r="BO362" s="222"/>
      <c r="BU362" s="222"/>
      <c r="BY362" s="222"/>
      <c r="CC362" s="222"/>
      <c r="CG362" s="222"/>
      <c r="CK362" s="222"/>
      <c r="CQ362" s="222"/>
      <c r="CU362" s="222"/>
      <c r="CY362" s="222"/>
    </row>
    <row r="363">
      <c r="A363" s="227"/>
      <c r="E363" s="222"/>
      <c r="I363" s="222"/>
      <c r="M363" s="222"/>
      <c r="Q363" s="222"/>
      <c r="U363" s="222"/>
      <c r="Y363" s="222"/>
      <c r="AC363" s="222"/>
      <c r="AG363" s="222"/>
      <c r="AK363" s="222"/>
      <c r="AO363" s="222"/>
      <c r="AS363" s="222"/>
      <c r="AW363" s="222"/>
      <c r="BA363" s="222"/>
      <c r="BE363" s="222"/>
      <c r="BK363" s="222"/>
      <c r="BO363" s="222"/>
      <c r="BU363" s="222"/>
      <c r="BY363" s="222"/>
      <c r="CC363" s="222"/>
      <c r="CG363" s="222"/>
      <c r="CK363" s="222"/>
      <c r="CQ363" s="222"/>
      <c r="CU363" s="222"/>
      <c r="CY363" s="222"/>
    </row>
    <row r="364">
      <c r="A364" s="227"/>
      <c r="E364" s="222"/>
      <c r="I364" s="222"/>
      <c r="M364" s="222"/>
      <c r="Q364" s="222"/>
      <c r="U364" s="222"/>
      <c r="Y364" s="222"/>
      <c r="AC364" s="222"/>
      <c r="AG364" s="222"/>
      <c r="AK364" s="222"/>
      <c r="AO364" s="222"/>
      <c r="AS364" s="222"/>
      <c r="AW364" s="222"/>
      <c r="BA364" s="222"/>
      <c r="BE364" s="222"/>
      <c r="BK364" s="222"/>
      <c r="BO364" s="222"/>
      <c r="BU364" s="222"/>
      <c r="BY364" s="222"/>
      <c r="CC364" s="222"/>
      <c r="CG364" s="222"/>
      <c r="CK364" s="222"/>
      <c r="CQ364" s="222"/>
      <c r="CU364" s="222"/>
      <c r="CY364" s="222"/>
    </row>
    <row r="365">
      <c r="A365" s="227"/>
      <c r="E365" s="222"/>
      <c r="I365" s="222"/>
      <c r="M365" s="222"/>
      <c r="Q365" s="222"/>
      <c r="U365" s="222"/>
      <c r="Y365" s="222"/>
      <c r="AC365" s="222"/>
      <c r="AG365" s="222"/>
      <c r="AK365" s="222"/>
      <c r="AO365" s="222"/>
      <c r="AS365" s="222"/>
      <c r="AW365" s="222"/>
      <c r="BA365" s="222"/>
      <c r="BE365" s="222"/>
      <c r="BK365" s="222"/>
      <c r="BO365" s="222"/>
      <c r="BU365" s="222"/>
      <c r="BY365" s="222"/>
      <c r="CC365" s="222"/>
      <c r="CG365" s="222"/>
      <c r="CK365" s="222"/>
      <c r="CQ365" s="222"/>
      <c r="CU365" s="222"/>
      <c r="CY365" s="222"/>
    </row>
    <row r="366">
      <c r="A366" s="227"/>
      <c r="E366" s="222"/>
      <c r="I366" s="222"/>
      <c r="M366" s="222"/>
      <c r="Q366" s="222"/>
      <c r="U366" s="222"/>
      <c r="Y366" s="222"/>
      <c r="AC366" s="222"/>
      <c r="AG366" s="222"/>
      <c r="AK366" s="222"/>
      <c r="AO366" s="222"/>
      <c r="AS366" s="222"/>
      <c r="AW366" s="222"/>
      <c r="BA366" s="222"/>
      <c r="BE366" s="222"/>
      <c r="BK366" s="222"/>
      <c r="BO366" s="222"/>
      <c r="BU366" s="222"/>
      <c r="BY366" s="222"/>
      <c r="CC366" s="222"/>
      <c r="CG366" s="222"/>
      <c r="CK366" s="222"/>
      <c r="CQ366" s="222"/>
      <c r="CU366" s="222"/>
      <c r="CY366" s="222"/>
    </row>
    <row r="367">
      <c r="A367" s="227"/>
      <c r="E367" s="222"/>
      <c r="I367" s="222"/>
      <c r="M367" s="222"/>
      <c r="Q367" s="222"/>
      <c r="U367" s="222"/>
      <c r="Y367" s="222"/>
      <c r="AC367" s="222"/>
      <c r="AG367" s="222"/>
      <c r="AK367" s="222"/>
      <c r="AO367" s="222"/>
      <c r="AS367" s="222"/>
      <c r="AW367" s="222"/>
      <c r="BA367" s="222"/>
      <c r="BE367" s="222"/>
      <c r="BK367" s="222"/>
      <c r="BO367" s="222"/>
      <c r="BU367" s="222"/>
      <c r="BY367" s="222"/>
      <c r="CC367" s="222"/>
      <c r="CG367" s="222"/>
      <c r="CK367" s="222"/>
      <c r="CQ367" s="222"/>
      <c r="CU367" s="222"/>
      <c r="CY367" s="222"/>
    </row>
    <row r="368">
      <c r="A368" s="227"/>
      <c r="E368" s="222"/>
      <c r="I368" s="222"/>
      <c r="M368" s="222"/>
      <c r="Q368" s="222"/>
      <c r="U368" s="222"/>
      <c r="Y368" s="222"/>
      <c r="AC368" s="222"/>
      <c r="AG368" s="222"/>
      <c r="AK368" s="222"/>
      <c r="AO368" s="222"/>
      <c r="AS368" s="222"/>
      <c r="AW368" s="222"/>
      <c r="BA368" s="222"/>
      <c r="BE368" s="222"/>
      <c r="BK368" s="222"/>
      <c r="BO368" s="222"/>
      <c r="BU368" s="222"/>
      <c r="BY368" s="222"/>
      <c r="CC368" s="222"/>
      <c r="CG368" s="222"/>
      <c r="CK368" s="222"/>
      <c r="CQ368" s="222"/>
      <c r="CU368" s="222"/>
      <c r="CY368" s="222"/>
    </row>
    <row r="369">
      <c r="A369" s="227"/>
      <c r="E369" s="222"/>
      <c r="I369" s="222"/>
      <c r="M369" s="222"/>
      <c r="Q369" s="222"/>
      <c r="U369" s="222"/>
      <c r="Y369" s="222"/>
      <c r="AC369" s="222"/>
      <c r="AG369" s="222"/>
      <c r="AK369" s="222"/>
      <c r="AO369" s="222"/>
      <c r="AS369" s="222"/>
      <c r="AW369" s="222"/>
      <c r="BA369" s="222"/>
      <c r="BE369" s="222"/>
      <c r="BK369" s="222"/>
      <c r="BO369" s="222"/>
      <c r="BU369" s="222"/>
      <c r="BY369" s="222"/>
      <c r="CC369" s="222"/>
      <c r="CG369" s="222"/>
      <c r="CK369" s="222"/>
      <c r="CQ369" s="222"/>
      <c r="CU369" s="222"/>
      <c r="CY369" s="222"/>
    </row>
    <row r="370">
      <c r="A370" s="227"/>
      <c r="E370" s="222"/>
      <c r="I370" s="222"/>
      <c r="M370" s="222"/>
      <c r="Q370" s="222"/>
      <c r="U370" s="222"/>
      <c r="Y370" s="222"/>
      <c r="AC370" s="222"/>
      <c r="AG370" s="222"/>
      <c r="AK370" s="222"/>
      <c r="AO370" s="222"/>
      <c r="AS370" s="222"/>
      <c r="AW370" s="222"/>
      <c r="BA370" s="222"/>
      <c r="BE370" s="222"/>
      <c r="BK370" s="222"/>
      <c r="BO370" s="222"/>
      <c r="BU370" s="222"/>
      <c r="BY370" s="222"/>
      <c r="CC370" s="222"/>
      <c r="CG370" s="222"/>
      <c r="CK370" s="222"/>
      <c r="CQ370" s="222"/>
      <c r="CU370" s="222"/>
      <c r="CY370" s="222"/>
    </row>
    <row r="371">
      <c r="A371" s="227"/>
      <c r="E371" s="222"/>
      <c r="I371" s="222"/>
      <c r="M371" s="222"/>
      <c r="Q371" s="222"/>
      <c r="U371" s="222"/>
      <c r="Y371" s="222"/>
      <c r="AC371" s="222"/>
      <c r="AG371" s="222"/>
      <c r="AK371" s="222"/>
      <c r="AO371" s="222"/>
      <c r="AS371" s="222"/>
      <c r="AW371" s="222"/>
      <c r="BA371" s="222"/>
      <c r="BE371" s="222"/>
      <c r="BK371" s="222"/>
      <c r="BO371" s="222"/>
      <c r="BU371" s="222"/>
      <c r="BY371" s="222"/>
      <c r="CC371" s="222"/>
      <c r="CG371" s="222"/>
      <c r="CK371" s="222"/>
      <c r="CQ371" s="222"/>
      <c r="CU371" s="222"/>
      <c r="CY371" s="222"/>
    </row>
    <row r="372">
      <c r="A372" s="227"/>
      <c r="E372" s="222"/>
      <c r="I372" s="222"/>
      <c r="M372" s="222"/>
      <c r="Q372" s="222"/>
      <c r="U372" s="222"/>
      <c r="Y372" s="222"/>
      <c r="AC372" s="222"/>
      <c r="AG372" s="222"/>
      <c r="AK372" s="222"/>
      <c r="AO372" s="222"/>
      <c r="AS372" s="222"/>
      <c r="AW372" s="222"/>
      <c r="BA372" s="222"/>
      <c r="BE372" s="222"/>
      <c r="BK372" s="222"/>
      <c r="BO372" s="222"/>
      <c r="BU372" s="222"/>
      <c r="BY372" s="222"/>
      <c r="CC372" s="222"/>
      <c r="CG372" s="222"/>
      <c r="CK372" s="222"/>
      <c r="CQ372" s="222"/>
      <c r="CU372" s="222"/>
      <c r="CY372" s="222"/>
    </row>
    <row r="373">
      <c r="A373" s="227"/>
      <c r="E373" s="222"/>
      <c r="I373" s="222"/>
      <c r="M373" s="222"/>
      <c r="Q373" s="222"/>
      <c r="U373" s="222"/>
      <c r="Y373" s="222"/>
      <c r="AC373" s="222"/>
      <c r="AG373" s="222"/>
      <c r="AK373" s="222"/>
      <c r="AO373" s="222"/>
      <c r="AS373" s="222"/>
      <c r="AW373" s="222"/>
      <c r="BA373" s="222"/>
      <c r="BE373" s="222"/>
      <c r="BK373" s="222"/>
      <c r="BO373" s="222"/>
      <c r="BU373" s="222"/>
      <c r="BY373" s="222"/>
      <c r="CC373" s="222"/>
      <c r="CG373" s="222"/>
      <c r="CK373" s="222"/>
      <c r="CQ373" s="222"/>
      <c r="CU373" s="222"/>
      <c r="CY373" s="222"/>
    </row>
    <row r="374">
      <c r="A374" s="227"/>
      <c r="E374" s="222"/>
      <c r="I374" s="222"/>
      <c r="M374" s="222"/>
      <c r="Q374" s="222"/>
      <c r="U374" s="222"/>
      <c r="Y374" s="222"/>
      <c r="AC374" s="222"/>
      <c r="AG374" s="222"/>
      <c r="AK374" s="222"/>
      <c r="AO374" s="222"/>
      <c r="AS374" s="222"/>
      <c r="AW374" s="222"/>
      <c r="BA374" s="222"/>
      <c r="BE374" s="222"/>
      <c r="BK374" s="222"/>
      <c r="BO374" s="222"/>
      <c r="BU374" s="222"/>
      <c r="BY374" s="222"/>
      <c r="CC374" s="222"/>
      <c r="CG374" s="222"/>
      <c r="CK374" s="222"/>
      <c r="CQ374" s="222"/>
      <c r="CU374" s="222"/>
      <c r="CY374" s="222"/>
    </row>
    <row r="375">
      <c r="A375" s="227"/>
      <c r="E375" s="222"/>
      <c r="I375" s="222"/>
      <c r="M375" s="222"/>
      <c r="Q375" s="222"/>
      <c r="U375" s="222"/>
      <c r="Y375" s="222"/>
      <c r="AC375" s="222"/>
      <c r="AG375" s="222"/>
      <c r="AK375" s="222"/>
      <c r="AO375" s="222"/>
      <c r="AS375" s="222"/>
      <c r="AW375" s="222"/>
      <c r="BA375" s="222"/>
      <c r="BE375" s="222"/>
      <c r="BK375" s="222"/>
      <c r="BO375" s="222"/>
      <c r="BU375" s="222"/>
      <c r="BY375" s="222"/>
      <c r="CC375" s="222"/>
      <c r="CG375" s="222"/>
      <c r="CK375" s="222"/>
      <c r="CQ375" s="222"/>
      <c r="CU375" s="222"/>
      <c r="CY375" s="222"/>
    </row>
    <row r="376">
      <c r="A376" s="227"/>
      <c r="E376" s="222"/>
      <c r="I376" s="222"/>
      <c r="M376" s="222"/>
      <c r="Q376" s="222"/>
      <c r="U376" s="222"/>
      <c r="Y376" s="222"/>
      <c r="AC376" s="222"/>
      <c r="AG376" s="222"/>
      <c r="AK376" s="222"/>
      <c r="AO376" s="222"/>
      <c r="AS376" s="222"/>
      <c r="AW376" s="222"/>
      <c r="BA376" s="222"/>
      <c r="BE376" s="222"/>
      <c r="BK376" s="222"/>
      <c r="BO376" s="222"/>
      <c r="BU376" s="222"/>
      <c r="BY376" s="222"/>
      <c r="CC376" s="222"/>
      <c r="CG376" s="222"/>
      <c r="CK376" s="222"/>
      <c r="CQ376" s="222"/>
      <c r="CU376" s="222"/>
      <c r="CY376" s="222"/>
    </row>
    <row r="377">
      <c r="A377" s="227"/>
      <c r="E377" s="222"/>
      <c r="I377" s="222"/>
      <c r="M377" s="222"/>
      <c r="Q377" s="222"/>
      <c r="U377" s="222"/>
      <c r="Y377" s="222"/>
      <c r="AC377" s="222"/>
      <c r="AG377" s="222"/>
      <c r="AK377" s="222"/>
      <c r="AO377" s="222"/>
      <c r="AS377" s="222"/>
      <c r="AW377" s="222"/>
      <c r="BA377" s="222"/>
      <c r="BE377" s="222"/>
      <c r="BK377" s="222"/>
      <c r="BO377" s="222"/>
      <c r="BU377" s="222"/>
      <c r="BY377" s="222"/>
      <c r="CC377" s="222"/>
      <c r="CG377" s="222"/>
      <c r="CK377" s="222"/>
      <c r="CQ377" s="222"/>
      <c r="CU377" s="222"/>
      <c r="CY377" s="222"/>
    </row>
    <row r="378">
      <c r="A378" s="227"/>
      <c r="E378" s="222"/>
      <c r="I378" s="222"/>
      <c r="M378" s="222"/>
      <c r="Q378" s="222"/>
      <c r="U378" s="222"/>
      <c r="Y378" s="222"/>
      <c r="AC378" s="222"/>
      <c r="AG378" s="222"/>
      <c r="AK378" s="222"/>
      <c r="AO378" s="222"/>
      <c r="AS378" s="222"/>
      <c r="AW378" s="222"/>
      <c r="BA378" s="222"/>
      <c r="BE378" s="222"/>
      <c r="BK378" s="222"/>
      <c r="BO378" s="222"/>
      <c r="BU378" s="222"/>
      <c r="BY378" s="222"/>
      <c r="CC378" s="222"/>
      <c r="CG378" s="222"/>
      <c r="CK378" s="222"/>
      <c r="CQ378" s="222"/>
      <c r="CU378" s="222"/>
      <c r="CY378" s="222"/>
    </row>
    <row r="379">
      <c r="A379" s="227"/>
      <c r="E379" s="222"/>
      <c r="I379" s="222"/>
      <c r="M379" s="222"/>
      <c r="Q379" s="222"/>
      <c r="U379" s="222"/>
      <c r="Y379" s="222"/>
      <c r="AC379" s="222"/>
      <c r="AG379" s="222"/>
      <c r="AK379" s="222"/>
      <c r="AO379" s="222"/>
      <c r="AS379" s="222"/>
      <c r="AW379" s="222"/>
      <c r="BA379" s="222"/>
      <c r="BE379" s="222"/>
      <c r="BK379" s="222"/>
      <c r="BO379" s="222"/>
      <c r="BU379" s="222"/>
      <c r="BY379" s="222"/>
      <c r="CC379" s="222"/>
      <c r="CG379" s="222"/>
      <c r="CK379" s="222"/>
      <c r="CQ379" s="222"/>
      <c r="CU379" s="222"/>
      <c r="CY379" s="222"/>
    </row>
    <row r="380">
      <c r="A380" s="227"/>
      <c r="E380" s="222"/>
      <c r="I380" s="222"/>
      <c r="M380" s="222"/>
      <c r="Q380" s="222"/>
      <c r="U380" s="222"/>
      <c r="Y380" s="222"/>
      <c r="AC380" s="222"/>
      <c r="AG380" s="222"/>
      <c r="AK380" s="222"/>
      <c r="AO380" s="222"/>
      <c r="AS380" s="222"/>
      <c r="AW380" s="222"/>
      <c r="BA380" s="222"/>
      <c r="BE380" s="222"/>
      <c r="BK380" s="222"/>
      <c r="BO380" s="222"/>
      <c r="BU380" s="222"/>
      <c r="BY380" s="222"/>
      <c r="CC380" s="222"/>
      <c r="CG380" s="222"/>
      <c r="CK380" s="222"/>
      <c r="CQ380" s="222"/>
      <c r="CU380" s="222"/>
      <c r="CY380" s="222"/>
    </row>
    <row r="381">
      <c r="A381" s="227"/>
      <c r="E381" s="222"/>
      <c r="I381" s="222"/>
      <c r="M381" s="222"/>
      <c r="Q381" s="222"/>
      <c r="U381" s="222"/>
      <c r="Y381" s="222"/>
      <c r="AC381" s="222"/>
      <c r="AG381" s="222"/>
      <c r="AK381" s="222"/>
      <c r="AO381" s="222"/>
      <c r="AS381" s="222"/>
      <c r="AW381" s="222"/>
      <c r="BA381" s="222"/>
      <c r="BE381" s="222"/>
      <c r="BK381" s="222"/>
      <c r="BO381" s="222"/>
      <c r="BU381" s="222"/>
      <c r="BY381" s="222"/>
      <c r="CC381" s="222"/>
      <c r="CG381" s="222"/>
      <c r="CK381" s="222"/>
      <c r="CQ381" s="222"/>
      <c r="CU381" s="222"/>
      <c r="CY381" s="222"/>
    </row>
    <row r="382">
      <c r="A382" s="227"/>
      <c r="E382" s="222"/>
      <c r="I382" s="222"/>
      <c r="M382" s="222"/>
      <c r="Q382" s="222"/>
      <c r="U382" s="222"/>
      <c r="Y382" s="222"/>
      <c r="AC382" s="222"/>
      <c r="AG382" s="222"/>
      <c r="AK382" s="222"/>
      <c r="AO382" s="222"/>
      <c r="AS382" s="222"/>
      <c r="AW382" s="222"/>
      <c r="BA382" s="222"/>
      <c r="BE382" s="222"/>
      <c r="BK382" s="222"/>
      <c r="BO382" s="222"/>
      <c r="BU382" s="222"/>
      <c r="BY382" s="222"/>
      <c r="CC382" s="222"/>
      <c r="CG382" s="222"/>
      <c r="CK382" s="222"/>
      <c r="CQ382" s="222"/>
      <c r="CU382" s="222"/>
      <c r="CY382" s="222"/>
    </row>
    <row r="383">
      <c r="A383" s="227"/>
      <c r="E383" s="222"/>
      <c r="I383" s="222"/>
      <c r="M383" s="222"/>
      <c r="Q383" s="222"/>
      <c r="U383" s="222"/>
      <c r="Y383" s="222"/>
      <c r="AC383" s="222"/>
      <c r="AG383" s="222"/>
      <c r="AK383" s="222"/>
      <c r="AO383" s="222"/>
      <c r="AS383" s="222"/>
      <c r="AW383" s="222"/>
      <c r="BA383" s="222"/>
      <c r="BE383" s="222"/>
      <c r="BK383" s="222"/>
      <c r="BO383" s="222"/>
      <c r="BU383" s="222"/>
      <c r="BY383" s="222"/>
      <c r="CC383" s="222"/>
      <c r="CG383" s="222"/>
      <c r="CK383" s="222"/>
      <c r="CQ383" s="222"/>
      <c r="CU383" s="222"/>
      <c r="CY383" s="222"/>
    </row>
    <row r="384">
      <c r="A384" s="227"/>
      <c r="E384" s="222"/>
      <c r="I384" s="222"/>
      <c r="M384" s="222"/>
      <c r="Q384" s="222"/>
      <c r="U384" s="222"/>
      <c r="Y384" s="222"/>
      <c r="AC384" s="222"/>
      <c r="AG384" s="222"/>
      <c r="AK384" s="222"/>
      <c r="AO384" s="222"/>
      <c r="AS384" s="222"/>
      <c r="AW384" s="222"/>
      <c r="BA384" s="222"/>
      <c r="BE384" s="222"/>
      <c r="BK384" s="222"/>
      <c r="BO384" s="222"/>
      <c r="BU384" s="222"/>
      <c r="BY384" s="222"/>
      <c r="CC384" s="222"/>
      <c r="CG384" s="222"/>
      <c r="CK384" s="222"/>
      <c r="CQ384" s="222"/>
      <c r="CU384" s="222"/>
      <c r="CY384" s="222"/>
    </row>
    <row r="385">
      <c r="A385" s="227"/>
      <c r="E385" s="222"/>
      <c r="I385" s="222"/>
      <c r="M385" s="222"/>
      <c r="Q385" s="222"/>
      <c r="U385" s="222"/>
      <c r="Y385" s="222"/>
      <c r="AC385" s="222"/>
      <c r="AG385" s="222"/>
      <c r="AK385" s="222"/>
      <c r="AO385" s="222"/>
      <c r="AS385" s="222"/>
      <c r="AW385" s="222"/>
      <c r="BA385" s="222"/>
      <c r="BE385" s="222"/>
      <c r="BK385" s="222"/>
      <c r="BO385" s="222"/>
      <c r="BU385" s="222"/>
      <c r="BY385" s="222"/>
      <c r="CC385" s="222"/>
      <c r="CG385" s="222"/>
      <c r="CK385" s="222"/>
      <c r="CQ385" s="222"/>
      <c r="CU385" s="222"/>
      <c r="CY385" s="222"/>
    </row>
    <row r="386">
      <c r="A386" s="227"/>
      <c r="E386" s="222"/>
      <c r="I386" s="222"/>
      <c r="M386" s="222"/>
      <c r="Q386" s="222"/>
      <c r="U386" s="222"/>
      <c r="Y386" s="222"/>
      <c r="AC386" s="222"/>
      <c r="AG386" s="222"/>
      <c r="AK386" s="222"/>
      <c r="AO386" s="222"/>
      <c r="AS386" s="222"/>
      <c r="AW386" s="222"/>
      <c r="BA386" s="222"/>
      <c r="BE386" s="222"/>
      <c r="BK386" s="222"/>
      <c r="BO386" s="222"/>
      <c r="BU386" s="222"/>
      <c r="BY386" s="222"/>
      <c r="CC386" s="222"/>
      <c r="CG386" s="222"/>
      <c r="CK386" s="222"/>
      <c r="CQ386" s="222"/>
      <c r="CU386" s="222"/>
      <c r="CY386" s="222"/>
    </row>
    <row r="387">
      <c r="A387" s="227"/>
      <c r="E387" s="222"/>
      <c r="I387" s="222"/>
      <c r="M387" s="222"/>
      <c r="Q387" s="222"/>
      <c r="U387" s="222"/>
      <c r="Y387" s="222"/>
      <c r="AC387" s="222"/>
      <c r="AG387" s="222"/>
      <c r="AK387" s="222"/>
      <c r="AO387" s="222"/>
      <c r="AS387" s="222"/>
      <c r="AW387" s="222"/>
      <c r="BA387" s="222"/>
      <c r="BE387" s="222"/>
      <c r="BK387" s="222"/>
      <c r="BO387" s="222"/>
      <c r="BU387" s="222"/>
      <c r="BY387" s="222"/>
      <c r="CC387" s="222"/>
      <c r="CG387" s="222"/>
      <c r="CK387" s="222"/>
      <c r="CQ387" s="222"/>
      <c r="CU387" s="222"/>
      <c r="CY387" s="222"/>
    </row>
    <row r="388">
      <c r="A388" s="227"/>
      <c r="E388" s="222"/>
      <c r="I388" s="222"/>
      <c r="M388" s="222"/>
      <c r="Q388" s="222"/>
      <c r="U388" s="222"/>
      <c r="Y388" s="222"/>
      <c r="AC388" s="222"/>
      <c r="AG388" s="222"/>
      <c r="AK388" s="222"/>
      <c r="AO388" s="222"/>
      <c r="AS388" s="222"/>
      <c r="AW388" s="222"/>
      <c r="BA388" s="222"/>
      <c r="BE388" s="222"/>
      <c r="BK388" s="222"/>
      <c r="BO388" s="222"/>
      <c r="BU388" s="222"/>
      <c r="BY388" s="222"/>
      <c r="CC388" s="222"/>
      <c r="CG388" s="222"/>
      <c r="CK388" s="222"/>
      <c r="CQ388" s="222"/>
      <c r="CU388" s="222"/>
      <c r="CY388" s="222"/>
    </row>
    <row r="389">
      <c r="A389" s="227"/>
      <c r="E389" s="222"/>
      <c r="I389" s="222"/>
      <c r="M389" s="222"/>
      <c r="Q389" s="222"/>
      <c r="U389" s="222"/>
      <c r="Y389" s="222"/>
      <c r="AC389" s="222"/>
      <c r="AG389" s="222"/>
      <c r="AK389" s="222"/>
      <c r="AO389" s="222"/>
      <c r="AS389" s="222"/>
      <c r="AW389" s="222"/>
      <c r="BA389" s="222"/>
      <c r="BE389" s="222"/>
      <c r="BK389" s="222"/>
      <c r="BO389" s="222"/>
      <c r="BU389" s="222"/>
      <c r="BY389" s="222"/>
      <c r="CC389" s="222"/>
      <c r="CG389" s="222"/>
      <c r="CK389" s="222"/>
      <c r="CQ389" s="222"/>
      <c r="CU389" s="222"/>
      <c r="CY389" s="222"/>
    </row>
    <row r="390">
      <c r="A390" s="227"/>
      <c r="E390" s="222"/>
      <c r="I390" s="222"/>
      <c r="M390" s="222"/>
      <c r="Q390" s="222"/>
      <c r="U390" s="222"/>
      <c r="Y390" s="222"/>
      <c r="AC390" s="222"/>
      <c r="AG390" s="222"/>
      <c r="AK390" s="222"/>
      <c r="AO390" s="222"/>
      <c r="AS390" s="222"/>
      <c r="AW390" s="222"/>
      <c r="BA390" s="222"/>
      <c r="BE390" s="222"/>
      <c r="BK390" s="222"/>
      <c r="BO390" s="222"/>
      <c r="BU390" s="222"/>
      <c r="BY390" s="222"/>
      <c r="CC390" s="222"/>
      <c r="CG390" s="222"/>
      <c r="CK390" s="222"/>
      <c r="CQ390" s="222"/>
      <c r="CU390" s="222"/>
      <c r="CY390" s="222"/>
    </row>
    <row r="391">
      <c r="A391" s="227"/>
      <c r="E391" s="222"/>
      <c r="I391" s="222"/>
      <c r="M391" s="222"/>
      <c r="Q391" s="222"/>
      <c r="U391" s="222"/>
      <c r="Y391" s="222"/>
      <c r="AC391" s="222"/>
      <c r="AG391" s="222"/>
      <c r="AK391" s="222"/>
      <c r="AO391" s="222"/>
      <c r="AS391" s="222"/>
      <c r="AW391" s="222"/>
      <c r="BA391" s="222"/>
      <c r="BE391" s="222"/>
      <c r="BK391" s="222"/>
      <c r="BO391" s="222"/>
      <c r="BU391" s="222"/>
      <c r="BY391" s="222"/>
      <c r="CC391" s="222"/>
      <c r="CG391" s="222"/>
      <c r="CK391" s="222"/>
      <c r="CQ391" s="222"/>
      <c r="CU391" s="222"/>
      <c r="CY391" s="222"/>
    </row>
    <row r="392">
      <c r="A392" s="227"/>
      <c r="E392" s="222"/>
      <c r="I392" s="222"/>
      <c r="M392" s="222"/>
      <c r="Q392" s="222"/>
      <c r="U392" s="222"/>
      <c r="Y392" s="222"/>
      <c r="AC392" s="222"/>
      <c r="AG392" s="222"/>
      <c r="AK392" s="222"/>
      <c r="AO392" s="222"/>
      <c r="AS392" s="222"/>
      <c r="AW392" s="222"/>
      <c r="BA392" s="222"/>
      <c r="BE392" s="222"/>
      <c r="BK392" s="222"/>
      <c r="BO392" s="222"/>
      <c r="BU392" s="222"/>
      <c r="BY392" s="222"/>
      <c r="CC392" s="222"/>
      <c r="CG392" s="222"/>
      <c r="CK392" s="222"/>
      <c r="CQ392" s="222"/>
      <c r="CU392" s="222"/>
      <c r="CY392" s="222"/>
    </row>
    <row r="393">
      <c r="A393" s="227"/>
      <c r="E393" s="222"/>
      <c r="I393" s="222"/>
      <c r="M393" s="222"/>
      <c r="Q393" s="222"/>
      <c r="U393" s="222"/>
      <c r="Y393" s="222"/>
      <c r="AC393" s="222"/>
      <c r="AG393" s="222"/>
      <c r="AK393" s="222"/>
      <c r="AO393" s="222"/>
      <c r="AS393" s="222"/>
      <c r="AW393" s="222"/>
      <c r="BA393" s="222"/>
      <c r="BE393" s="222"/>
      <c r="BK393" s="222"/>
      <c r="BO393" s="222"/>
      <c r="BU393" s="222"/>
      <c r="BY393" s="222"/>
      <c r="CC393" s="222"/>
      <c r="CG393" s="222"/>
      <c r="CK393" s="222"/>
      <c r="CQ393" s="222"/>
      <c r="CU393" s="222"/>
      <c r="CY393" s="222"/>
    </row>
    <row r="394">
      <c r="A394" s="227"/>
      <c r="E394" s="222"/>
      <c r="I394" s="222"/>
      <c r="M394" s="222"/>
      <c r="Q394" s="222"/>
      <c r="U394" s="222"/>
      <c r="Y394" s="222"/>
      <c r="AC394" s="222"/>
      <c r="AG394" s="222"/>
      <c r="AK394" s="222"/>
      <c r="AO394" s="222"/>
      <c r="AS394" s="222"/>
      <c r="AW394" s="222"/>
      <c r="BA394" s="222"/>
      <c r="BE394" s="222"/>
      <c r="BK394" s="222"/>
      <c r="BO394" s="222"/>
      <c r="BU394" s="222"/>
      <c r="BY394" s="222"/>
      <c r="CC394" s="222"/>
      <c r="CG394" s="222"/>
      <c r="CK394" s="222"/>
      <c r="CQ394" s="222"/>
      <c r="CU394" s="222"/>
      <c r="CY394" s="222"/>
    </row>
    <row r="395">
      <c r="A395" s="227"/>
      <c r="E395" s="222"/>
      <c r="I395" s="222"/>
      <c r="M395" s="222"/>
      <c r="Q395" s="222"/>
      <c r="U395" s="222"/>
      <c r="Y395" s="222"/>
      <c r="AC395" s="222"/>
      <c r="AG395" s="222"/>
      <c r="AK395" s="222"/>
      <c r="AO395" s="222"/>
      <c r="AS395" s="222"/>
      <c r="AW395" s="222"/>
      <c r="BA395" s="222"/>
      <c r="BE395" s="222"/>
      <c r="BK395" s="222"/>
      <c r="BO395" s="222"/>
      <c r="BU395" s="222"/>
      <c r="BY395" s="222"/>
      <c r="CC395" s="222"/>
      <c r="CG395" s="222"/>
      <c r="CK395" s="222"/>
      <c r="CQ395" s="222"/>
      <c r="CU395" s="222"/>
      <c r="CY395" s="222"/>
    </row>
    <row r="396">
      <c r="A396" s="227"/>
      <c r="E396" s="222"/>
      <c r="I396" s="222"/>
      <c r="M396" s="222"/>
      <c r="Q396" s="222"/>
      <c r="U396" s="222"/>
      <c r="Y396" s="222"/>
      <c r="AC396" s="222"/>
      <c r="AG396" s="222"/>
      <c r="AK396" s="222"/>
      <c r="AO396" s="222"/>
      <c r="AS396" s="222"/>
      <c r="AW396" s="222"/>
      <c r="BA396" s="222"/>
      <c r="BE396" s="222"/>
      <c r="BK396" s="222"/>
      <c r="BO396" s="222"/>
      <c r="BU396" s="222"/>
      <c r="BY396" s="222"/>
      <c r="CC396" s="222"/>
      <c r="CG396" s="222"/>
      <c r="CK396" s="222"/>
      <c r="CQ396" s="222"/>
      <c r="CU396" s="222"/>
      <c r="CY396" s="222"/>
    </row>
    <row r="397">
      <c r="A397" s="227"/>
      <c r="E397" s="222"/>
      <c r="I397" s="222"/>
      <c r="M397" s="222"/>
      <c r="Q397" s="222"/>
      <c r="U397" s="222"/>
      <c r="Y397" s="222"/>
      <c r="AC397" s="222"/>
      <c r="AG397" s="222"/>
      <c r="AK397" s="222"/>
      <c r="AO397" s="222"/>
      <c r="AS397" s="222"/>
      <c r="AW397" s="222"/>
      <c r="BA397" s="222"/>
      <c r="BE397" s="222"/>
      <c r="BK397" s="222"/>
      <c r="BO397" s="222"/>
      <c r="BU397" s="222"/>
      <c r="BY397" s="222"/>
      <c r="CC397" s="222"/>
      <c r="CG397" s="222"/>
      <c r="CK397" s="222"/>
      <c r="CQ397" s="222"/>
      <c r="CU397" s="222"/>
      <c r="CY397" s="222"/>
    </row>
    <row r="398">
      <c r="A398" s="227"/>
      <c r="E398" s="222"/>
      <c r="I398" s="222"/>
      <c r="M398" s="222"/>
      <c r="Q398" s="222"/>
      <c r="U398" s="222"/>
      <c r="Y398" s="222"/>
      <c r="AC398" s="222"/>
      <c r="AG398" s="222"/>
      <c r="AK398" s="222"/>
      <c r="AO398" s="222"/>
      <c r="AS398" s="222"/>
      <c r="AW398" s="222"/>
      <c r="BA398" s="222"/>
      <c r="BE398" s="222"/>
      <c r="BK398" s="222"/>
      <c r="BO398" s="222"/>
      <c r="BU398" s="222"/>
      <c r="BY398" s="222"/>
      <c r="CC398" s="222"/>
      <c r="CG398" s="222"/>
      <c r="CK398" s="222"/>
      <c r="CQ398" s="222"/>
      <c r="CU398" s="222"/>
      <c r="CY398" s="222"/>
    </row>
    <row r="399">
      <c r="A399" s="227"/>
      <c r="E399" s="222"/>
      <c r="I399" s="222"/>
      <c r="M399" s="222"/>
      <c r="Q399" s="222"/>
      <c r="U399" s="222"/>
      <c r="Y399" s="222"/>
      <c r="AC399" s="222"/>
      <c r="AG399" s="222"/>
      <c r="AK399" s="222"/>
      <c r="AO399" s="222"/>
      <c r="AS399" s="222"/>
      <c r="AW399" s="222"/>
      <c r="BA399" s="222"/>
      <c r="BE399" s="222"/>
      <c r="BK399" s="222"/>
      <c r="BO399" s="222"/>
      <c r="BU399" s="222"/>
      <c r="BY399" s="222"/>
      <c r="CC399" s="222"/>
      <c r="CG399" s="222"/>
      <c r="CK399" s="222"/>
      <c r="CQ399" s="222"/>
      <c r="CU399" s="222"/>
      <c r="CY399" s="222"/>
    </row>
    <row r="400">
      <c r="A400" s="227"/>
      <c r="E400" s="222"/>
      <c r="I400" s="222"/>
      <c r="M400" s="222"/>
      <c r="Q400" s="222"/>
      <c r="U400" s="222"/>
      <c r="Y400" s="222"/>
      <c r="AC400" s="222"/>
      <c r="AG400" s="222"/>
      <c r="AK400" s="222"/>
      <c r="AO400" s="222"/>
      <c r="AS400" s="222"/>
      <c r="AW400" s="222"/>
      <c r="BA400" s="222"/>
      <c r="BE400" s="222"/>
      <c r="BK400" s="222"/>
      <c r="BO400" s="222"/>
      <c r="BU400" s="222"/>
      <c r="BY400" s="222"/>
      <c r="CC400" s="222"/>
      <c r="CG400" s="222"/>
      <c r="CK400" s="222"/>
      <c r="CQ400" s="222"/>
      <c r="CU400" s="222"/>
      <c r="CY400" s="222"/>
    </row>
    <row r="401">
      <c r="A401" s="227"/>
      <c r="E401" s="222"/>
      <c r="I401" s="222"/>
      <c r="M401" s="222"/>
      <c r="Q401" s="222"/>
      <c r="U401" s="222"/>
      <c r="Y401" s="222"/>
      <c r="AC401" s="222"/>
      <c r="AG401" s="222"/>
      <c r="AK401" s="222"/>
      <c r="AO401" s="222"/>
      <c r="AS401" s="222"/>
      <c r="AW401" s="222"/>
      <c r="BA401" s="222"/>
      <c r="BE401" s="222"/>
      <c r="BK401" s="222"/>
      <c r="BO401" s="222"/>
      <c r="BU401" s="222"/>
      <c r="BY401" s="222"/>
      <c r="CC401" s="222"/>
      <c r="CG401" s="222"/>
      <c r="CK401" s="222"/>
      <c r="CQ401" s="222"/>
      <c r="CU401" s="222"/>
      <c r="CY401" s="222"/>
    </row>
    <row r="402">
      <c r="A402" s="227"/>
      <c r="E402" s="222"/>
      <c r="I402" s="222"/>
      <c r="M402" s="222"/>
      <c r="Q402" s="222"/>
      <c r="U402" s="222"/>
      <c r="Y402" s="222"/>
      <c r="AC402" s="222"/>
      <c r="AG402" s="222"/>
      <c r="AK402" s="222"/>
      <c r="AO402" s="222"/>
      <c r="AS402" s="222"/>
      <c r="AW402" s="222"/>
      <c r="BA402" s="222"/>
      <c r="BE402" s="222"/>
      <c r="BK402" s="222"/>
      <c r="BO402" s="222"/>
      <c r="BU402" s="222"/>
      <c r="BY402" s="222"/>
      <c r="CC402" s="222"/>
      <c r="CG402" s="222"/>
      <c r="CK402" s="222"/>
      <c r="CQ402" s="222"/>
      <c r="CU402" s="222"/>
      <c r="CY402" s="222"/>
    </row>
    <row r="403">
      <c r="A403" s="227"/>
      <c r="E403" s="222"/>
      <c r="I403" s="222"/>
      <c r="M403" s="222"/>
      <c r="Q403" s="222"/>
      <c r="U403" s="222"/>
      <c r="Y403" s="222"/>
      <c r="AC403" s="222"/>
      <c r="AG403" s="222"/>
      <c r="AK403" s="222"/>
      <c r="AO403" s="222"/>
      <c r="AS403" s="222"/>
      <c r="AW403" s="222"/>
      <c r="BA403" s="222"/>
      <c r="BE403" s="222"/>
      <c r="BK403" s="222"/>
      <c r="BO403" s="222"/>
      <c r="BU403" s="222"/>
      <c r="BY403" s="222"/>
      <c r="CC403" s="222"/>
      <c r="CG403" s="222"/>
      <c r="CK403" s="222"/>
      <c r="CQ403" s="222"/>
      <c r="CU403" s="222"/>
      <c r="CY403" s="222"/>
    </row>
    <row r="404">
      <c r="A404" s="227"/>
      <c r="E404" s="222"/>
      <c r="I404" s="222"/>
      <c r="M404" s="222"/>
      <c r="Q404" s="222"/>
      <c r="U404" s="222"/>
      <c r="Y404" s="222"/>
      <c r="AC404" s="222"/>
      <c r="AG404" s="222"/>
      <c r="AK404" s="222"/>
      <c r="AO404" s="222"/>
      <c r="AS404" s="222"/>
      <c r="AW404" s="222"/>
      <c r="BA404" s="222"/>
      <c r="BE404" s="222"/>
      <c r="BK404" s="222"/>
      <c r="BO404" s="222"/>
      <c r="BU404" s="222"/>
      <c r="BY404" s="222"/>
      <c r="CC404" s="222"/>
      <c r="CG404" s="222"/>
      <c r="CK404" s="222"/>
      <c r="CQ404" s="222"/>
      <c r="CU404" s="222"/>
      <c r="CY404" s="222"/>
    </row>
    <row r="405">
      <c r="A405" s="227"/>
      <c r="E405" s="222"/>
      <c r="I405" s="222"/>
      <c r="M405" s="222"/>
      <c r="Q405" s="222"/>
      <c r="U405" s="222"/>
      <c r="Y405" s="222"/>
      <c r="AC405" s="222"/>
      <c r="AG405" s="222"/>
      <c r="AK405" s="222"/>
      <c r="AO405" s="222"/>
      <c r="AS405" s="222"/>
      <c r="AW405" s="222"/>
      <c r="BA405" s="222"/>
      <c r="BE405" s="222"/>
      <c r="BK405" s="222"/>
      <c r="BO405" s="222"/>
      <c r="BU405" s="222"/>
      <c r="BY405" s="222"/>
      <c r="CC405" s="222"/>
      <c r="CG405" s="222"/>
      <c r="CK405" s="222"/>
      <c r="CQ405" s="222"/>
      <c r="CU405" s="222"/>
      <c r="CY405" s="222"/>
    </row>
    <row r="406">
      <c r="A406" s="227"/>
      <c r="E406" s="222"/>
      <c r="I406" s="222"/>
      <c r="M406" s="222"/>
      <c r="Q406" s="222"/>
      <c r="U406" s="222"/>
      <c r="Y406" s="222"/>
      <c r="AC406" s="222"/>
      <c r="AG406" s="222"/>
      <c r="AK406" s="222"/>
      <c r="AO406" s="222"/>
      <c r="AS406" s="222"/>
      <c r="AW406" s="222"/>
      <c r="BA406" s="222"/>
      <c r="BE406" s="222"/>
      <c r="BK406" s="222"/>
      <c r="BO406" s="222"/>
      <c r="BU406" s="222"/>
      <c r="BY406" s="222"/>
      <c r="CC406" s="222"/>
      <c r="CG406" s="222"/>
      <c r="CK406" s="222"/>
      <c r="CQ406" s="222"/>
      <c r="CU406" s="222"/>
      <c r="CY406" s="222"/>
    </row>
    <row r="407">
      <c r="A407" s="227"/>
      <c r="E407" s="222"/>
      <c r="I407" s="222"/>
      <c r="M407" s="222"/>
      <c r="Q407" s="222"/>
      <c r="U407" s="222"/>
      <c r="Y407" s="222"/>
      <c r="AC407" s="222"/>
      <c r="AG407" s="222"/>
      <c r="AK407" s="222"/>
      <c r="AO407" s="222"/>
      <c r="AS407" s="222"/>
      <c r="AW407" s="222"/>
      <c r="BA407" s="222"/>
      <c r="BE407" s="222"/>
      <c r="BK407" s="222"/>
      <c r="BO407" s="222"/>
      <c r="BU407" s="222"/>
      <c r="BY407" s="222"/>
      <c r="CC407" s="222"/>
      <c r="CG407" s="222"/>
      <c r="CK407" s="222"/>
      <c r="CQ407" s="222"/>
      <c r="CU407" s="222"/>
      <c r="CY407" s="222"/>
    </row>
    <row r="408">
      <c r="A408" s="227"/>
      <c r="E408" s="222"/>
      <c r="I408" s="222"/>
      <c r="M408" s="222"/>
      <c r="Q408" s="222"/>
      <c r="U408" s="222"/>
      <c r="Y408" s="222"/>
      <c r="AC408" s="222"/>
      <c r="AG408" s="222"/>
      <c r="AK408" s="222"/>
      <c r="AO408" s="222"/>
      <c r="AS408" s="222"/>
      <c r="AW408" s="222"/>
      <c r="BA408" s="222"/>
      <c r="BE408" s="222"/>
      <c r="BK408" s="222"/>
      <c r="BO408" s="222"/>
      <c r="BU408" s="222"/>
      <c r="BY408" s="222"/>
      <c r="CC408" s="222"/>
      <c r="CG408" s="222"/>
      <c r="CK408" s="222"/>
      <c r="CQ408" s="222"/>
      <c r="CU408" s="222"/>
      <c r="CY408" s="222"/>
    </row>
    <row r="409">
      <c r="A409" s="227"/>
      <c r="E409" s="222"/>
      <c r="I409" s="222"/>
      <c r="M409" s="222"/>
      <c r="Q409" s="222"/>
      <c r="U409" s="222"/>
      <c r="Y409" s="222"/>
      <c r="AC409" s="222"/>
      <c r="AG409" s="222"/>
      <c r="AK409" s="222"/>
      <c r="AO409" s="222"/>
      <c r="AS409" s="222"/>
      <c r="AW409" s="222"/>
      <c r="BA409" s="222"/>
      <c r="BE409" s="222"/>
      <c r="BK409" s="222"/>
      <c r="BO409" s="222"/>
      <c r="BU409" s="222"/>
      <c r="BY409" s="222"/>
      <c r="CC409" s="222"/>
      <c r="CG409" s="222"/>
      <c r="CK409" s="222"/>
      <c r="CQ409" s="222"/>
      <c r="CU409" s="222"/>
      <c r="CY409" s="222"/>
    </row>
    <row r="410">
      <c r="A410" s="227"/>
      <c r="E410" s="222"/>
      <c r="I410" s="222"/>
      <c r="M410" s="222"/>
      <c r="Q410" s="222"/>
      <c r="U410" s="222"/>
      <c r="Y410" s="222"/>
      <c r="AC410" s="222"/>
      <c r="AG410" s="222"/>
      <c r="AK410" s="222"/>
      <c r="AO410" s="222"/>
      <c r="AS410" s="222"/>
      <c r="AW410" s="222"/>
      <c r="BA410" s="222"/>
      <c r="BE410" s="222"/>
      <c r="BK410" s="222"/>
      <c r="BO410" s="222"/>
      <c r="BU410" s="222"/>
      <c r="BY410" s="222"/>
      <c r="CC410" s="222"/>
      <c r="CG410" s="222"/>
      <c r="CK410" s="222"/>
      <c r="CQ410" s="222"/>
      <c r="CU410" s="222"/>
      <c r="CY410" s="222"/>
    </row>
    <row r="411">
      <c r="A411" s="227"/>
      <c r="E411" s="222"/>
      <c r="I411" s="222"/>
      <c r="M411" s="222"/>
      <c r="Q411" s="222"/>
      <c r="U411" s="222"/>
      <c r="Y411" s="222"/>
      <c r="AC411" s="222"/>
      <c r="AG411" s="222"/>
      <c r="AK411" s="222"/>
      <c r="AO411" s="222"/>
      <c r="AS411" s="222"/>
      <c r="AW411" s="222"/>
      <c r="BA411" s="222"/>
      <c r="BE411" s="222"/>
      <c r="BK411" s="222"/>
      <c r="BO411" s="222"/>
      <c r="BU411" s="222"/>
      <c r="BY411" s="222"/>
      <c r="CC411" s="222"/>
      <c r="CG411" s="222"/>
      <c r="CK411" s="222"/>
      <c r="CQ411" s="222"/>
      <c r="CU411" s="222"/>
      <c r="CY411" s="222"/>
    </row>
    <row r="412">
      <c r="A412" s="227"/>
      <c r="E412" s="222"/>
      <c r="I412" s="222"/>
      <c r="M412" s="222"/>
      <c r="Q412" s="222"/>
      <c r="U412" s="222"/>
      <c r="Y412" s="222"/>
      <c r="AC412" s="222"/>
      <c r="AG412" s="222"/>
      <c r="AK412" s="222"/>
      <c r="AO412" s="222"/>
      <c r="AS412" s="222"/>
      <c r="AW412" s="222"/>
      <c r="BA412" s="222"/>
      <c r="BE412" s="222"/>
      <c r="BK412" s="222"/>
      <c r="BO412" s="222"/>
      <c r="BU412" s="222"/>
      <c r="BY412" s="222"/>
      <c r="CC412" s="222"/>
      <c r="CG412" s="222"/>
      <c r="CK412" s="222"/>
      <c r="CQ412" s="222"/>
      <c r="CU412" s="222"/>
      <c r="CY412" s="222"/>
    </row>
    <row r="413">
      <c r="A413" s="227"/>
      <c r="E413" s="222"/>
      <c r="I413" s="222"/>
      <c r="M413" s="222"/>
      <c r="Q413" s="222"/>
      <c r="U413" s="222"/>
      <c r="Y413" s="222"/>
      <c r="AC413" s="222"/>
      <c r="AG413" s="222"/>
      <c r="AK413" s="222"/>
      <c r="AO413" s="222"/>
      <c r="AS413" s="222"/>
      <c r="AW413" s="222"/>
      <c r="BA413" s="222"/>
      <c r="BE413" s="222"/>
      <c r="BK413" s="222"/>
      <c r="BO413" s="222"/>
      <c r="BU413" s="222"/>
      <c r="BY413" s="222"/>
      <c r="CC413" s="222"/>
      <c r="CG413" s="222"/>
      <c r="CK413" s="222"/>
      <c r="CQ413" s="222"/>
      <c r="CU413" s="222"/>
      <c r="CY413" s="222"/>
    </row>
    <row r="414">
      <c r="A414" s="227"/>
      <c r="E414" s="222"/>
      <c r="I414" s="222"/>
      <c r="M414" s="222"/>
      <c r="Q414" s="222"/>
      <c r="U414" s="222"/>
      <c r="Y414" s="222"/>
      <c r="AC414" s="222"/>
      <c r="AG414" s="222"/>
      <c r="AK414" s="222"/>
      <c r="AO414" s="222"/>
      <c r="AS414" s="222"/>
      <c r="AW414" s="222"/>
      <c r="BA414" s="222"/>
      <c r="BE414" s="222"/>
      <c r="BK414" s="222"/>
      <c r="BO414" s="222"/>
      <c r="BU414" s="222"/>
      <c r="BY414" s="222"/>
      <c r="CC414" s="222"/>
      <c r="CG414" s="222"/>
      <c r="CK414" s="222"/>
      <c r="CQ414" s="222"/>
      <c r="CU414" s="222"/>
      <c r="CY414" s="222"/>
    </row>
    <row r="415">
      <c r="A415" s="227"/>
      <c r="E415" s="222"/>
      <c r="I415" s="222"/>
      <c r="M415" s="222"/>
      <c r="Q415" s="222"/>
      <c r="U415" s="222"/>
      <c r="Y415" s="222"/>
      <c r="AC415" s="222"/>
      <c r="AG415" s="222"/>
      <c r="AK415" s="222"/>
      <c r="AO415" s="222"/>
      <c r="AS415" s="222"/>
      <c r="AW415" s="222"/>
      <c r="BA415" s="222"/>
      <c r="BE415" s="222"/>
      <c r="BK415" s="222"/>
      <c r="BO415" s="222"/>
      <c r="BU415" s="222"/>
      <c r="BY415" s="222"/>
      <c r="CC415" s="222"/>
      <c r="CG415" s="222"/>
      <c r="CK415" s="222"/>
      <c r="CQ415" s="222"/>
      <c r="CU415" s="222"/>
      <c r="CY415" s="222"/>
    </row>
    <row r="416">
      <c r="A416" s="227"/>
      <c r="E416" s="222"/>
      <c r="I416" s="222"/>
      <c r="M416" s="222"/>
      <c r="Q416" s="222"/>
      <c r="U416" s="222"/>
      <c r="Y416" s="222"/>
      <c r="AC416" s="222"/>
      <c r="AG416" s="222"/>
      <c r="AK416" s="222"/>
      <c r="AO416" s="222"/>
      <c r="AS416" s="222"/>
      <c r="AW416" s="222"/>
      <c r="BA416" s="222"/>
      <c r="BE416" s="222"/>
      <c r="BK416" s="222"/>
      <c r="BO416" s="222"/>
      <c r="BU416" s="222"/>
      <c r="BY416" s="222"/>
      <c r="CC416" s="222"/>
      <c r="CG416" s="222"/>
      <c r="CK416" s="222"/>
      <c r="CQ416" s="222"/>
      <c r="CU416" s="222"/>
      <c r="CY416" s="222"/>
    </row>
    <row r="417">
      <c r="A417" s="227"/>
      <c r="E417" s="222"/>
      <c r="I417" s="222"/>
      <c r="M417" s="222"/>
      <c r="Q417" s="222"/>
      <c r="U417" s="222"/>
      <c r="Y417" s="222"/>
      <c r="AC417" s="222"/>
      <c r="AG417" s="222"/>
      <c r="AK417" s="222"/>
      <c r="AO417" s="222"/>
      <c r="AS417" s="222"/>
      <c r="AW417" s="222"/>
      <c r="BA417" s="222"/>
      <c r="BE417" s="222"/>
      <c r="BK417" s="222"/>
      <c r="BO417" s="222"/>
      <c r="BU417" s="222"/>
      <c r="BY417" s="222"/>
      <c r="CC417" s="222"/>
      <c r="CG417" s="222"/>
      <c r="CK417" s="222"/>
      <c r="CQ417" s="222"/>
      <c r="CU417" s="222"/>
      <c r="CY417" s="222"/>
    </row>
    <row r="418">
      <c r="A418" s="227"/>
      <c r="E418" s="222"/>
      <c r="I418" s="222"/>
      <c r="M418" s="222"/>
      <c r="Q418" s="222"/>
      <c r="U418" s="222"/>
      <c r="Y418" s="222"/>
      <c r="AC418" s="222"/>
      <c r="AG418" s="222"/>
      <c r="AK418" s="222"/>
      <c r="AO418" s="222"/>
      <c r="AS418" s="222"/>
      <c r="AW418" s="222"/>
      <c r="BA418" s="222"/>
      <c r="BE418" s="222"/>
      <c r="BK418" s="222"/>
      <c r="BO418" s="222"/>
      <c r="BU418" s="222"/>
      <c r="BY418" s="222"/>
      <c r="CC418" s="222"/>
      <c r="CG418" s="222"/>
      <c r="CK418" s="222"/>
      <c r="CQ418" s="222"/>
      <c r="CU418" s="222"/>
      <c r="CY418" s="222"/>
    </row>
    <row r="419">
      <c r="A419" s="227"/>
      <c r="E419" s="222"/>
      <c r="I419" s="222"/>
      <c r="M419" s="222"/>
      <c r="Q419" s="222"/>
      <c r="U419" s="222"/>
      <c r="Y419" s="222"/>
      <c r="AC419" s="222"/>
      <c r="AG419" s="222"/>
      <c r="AK419" s="222"/>
      <c r="AO419" s="222"/>
      <c r="AS419" s="222"/>
      <c r="AW419" s="222"/>
      <c r="BA419" s="222"/>
      <c r="BE419" s="222"/>
      <c r="BK419" s="222"/>
      <c r="BO419" s="222"/>
      <c r="BU419" s="222"/>
      <c r="BY419" s="222"/>
      <c r="CC419" s="222"/>
      <c r="CG419" s="222"/>
      <c r="CK419" s="222"/>
      <c r="CQ419" s="222"/>
      <c r="CU419" s="222"/>
      <c r="CY419" s="222"/>
    </row>
    <row r="420">
      <c r="A420" s="227"/>
      <c r="E420" s="222"/>
      <c r="I420" s="222"/>
      <c r="M420" s="222"/>
      <c r="Q420" s="222"/>
      <c r="U420" s="222"/>
      <c r="Y420" s="222"/>
      <c r="AC420" s="222"/>
      <c r="AG420" s="222"/>
      <c r="AK420" s="222"/>
      <c r="AO420" s="222"/>
      <c r="AS420" s="222"/>
      <c r="AW420" s="222"/>
      <c r="BA420" s="222"/>
      <c r="BE420" s="222"/>
      <c r="BK420" s="222"/>
      <c r="BO420" s="222"/>
      <c r="BU420" s="222"/>
      <c r="BY420" s="222"/>
      <c r="CC420" s="222"/>
      <c r="CG420" s="222"/>
      <c r="CK420" s="222"/>
      <c r="CQ420" s="222"/>
      <c r="CU420" s="222"/>
      <c r="CY420" s="222"/>
    </row>
    <row r="421">
      <c r="A421" s="227"/>
      <c r="E421" s="222"/>
      <c r="I421" s="222"/>
      <c r="M421" s="222"/>
      <c r="Q421" s="222"/>
      <c r="U421" s="222"/>
      <c r="Y421" s="222"/>
      <c r="AC421" s="222"/>
      <c r="AG421" s="222"/>
      <c r="AK421" s="222"/>
      <c r="AO421" s="222"/>
      <c r="AS421" s="222"/>
      <c r="AW421" s="222"/>
      <c r="BA421" s="222"/>
      <c r="BE421" s="222"/>
      <c r="BK421" s="222"/>
      <c r="BO421" s="222"/>
      <c r="BU421" s="222"/>
      <c r="BY421" s="222"/>
      <c r="CC421" s="222"/>
      <c r="CG421" s="222"/>
      <c r="CK421" s="222"/>
      <c r="CQ421" s="222"/>
      <c r="CU421" s="222"/>
      <c r="CY421" s="222"/>
    </row>
    <row r="422">
      <c r="A422" s="227"/>
      <c r="E422" s="222"/>
      <c r="I422" s="222"/>
      <c r="M422" s="222"/>
      <c r="Q422" s="222"/>
      <c r="U422" s="222"/>
      <c r="Y422" s="222"/>
      <c r="AC422" s="222"/>
      <c r="AG422" s="222"/>
      <c r="AK422" s="222"/>
      <c r="AO422" s="222"/>
      <c r="AS422" s="222"/>
      <c r="AW422" s="222"/>
      <c r="BA422" s="222"/>
      <c r="BE422" s="222"/>
      <c r="BK422" s="222"/>
      <c r="BO422" s="222"/>
      <c r="BU422" s="222"/>
      <c r="BY422" s="222"/>
      <c r="CC422" s="222"/>
      <c r="CG422" s="222"/>
      <c r="CK422" s="222"/>
      <c r="CQ422" s="222"/>
      <c r="CU422" s="222"/>
      <c r="CY422" s="222"/>
    </row>
    <row r="423">
      <c r="A423" s="227"/>
      <c r="E423" s="222"/>
      <c r="I423" s="222"/>
      <c r="M423" s="222"/>
      <c r="Q423" s="222"/>
      <c r="U423" s="222"/>
      <c r="Y423" s="222"/>
      <c r="AC423" s="222"/>
      <c r="AG423" s="222"/>
      <c r="AK423" s="222"/>
      <c r="AO423" s="222"/>
      <c r="AS423" s="222"/>
      <c r="AW423" s="222"/>
      <c r="BA423" s="222"/>
      <c r="BE423" s="222"/>
      <c r="BK423" s="222"/>
      <c r="BO423" s="222"/>
      <c r="BU423" s="222"/>
      <c r="BY423" s="222"/>
      <c r="CC423" s="222"/>
      <c r="CG423" s="222"/>
      <c r="CK423" s="222"/>
      <c r="CQ423" s="222"/>
      <c r="CU423" s="222"/>
      <c r="CY423" s="222"/>
    </row>
    <row r="424">
      <c r="A424" s="227"/>
      <c r="E424" s="222"/>
      <c r="I424" s="222"/>
      <c r="M424" s="222"/>
      <c r="Q424" s="222"/>
      <c r="U424" s="222"/>
      <c r="Y424" s="222"/>
      <c r="AC424" s="222"/>
      <c r="AG424" s="222"/>
      <c r="AK424" s="222"/>
      <c r="AO424" s="222"/>
      <c r="AS424" s="222"/>
      <c r="AW424" s="222"/>
      <c r="BA424" s="222"/>
      <c r="BE424" s="222"/>
      <c r="BK424" s="222"/>
      <c r="BO424" s="222"/>
      <c r="BU424" s="222"/>
      <c r="BY424" s="222"/>
      <c r="CC424" s="222"/>
      <c r="CG424" s="222"/>
      <c r="CK424" s="222"/>
      <c r="CQ424" s="222"/>
      <c r="CU424" s="222"/>
      <c r="CY424" s="222"/>
    </row>
    <row r="425">
      <c r="A425" s="227"/>
      <c r="E425" s="222"/>
      <c r="I425" s="222"/>
      <c r="M425" s="222"/>
      <c r="Q425" s="222"/>
      <c r="U425" s="222"/>
      <c r="Y425" s="222"/>
      <c r="AC425" s="222"/>
      <c r="AG425" s="222"/>
      <c r="AK425" s="222"/>
      <c r="AO425" s="222"/>
      <c r="AS425" s="222"/>
      <c r="AW425" s="222"/>
      <c r="BA425" s="222"/>
      <c r="BE425" s="222"/>
      <c r="BK425" s="222"/>
      <c r="BO425" s="222"/>
      <c r="BU425" s="222"/>
      <c r="BY425" s="222"/>
      <c r="CC425" s="222"/>
      <c r="CG425" s="222"/>
      <c r="CK425" s="222"/>
      <c r="CQ425" s="222"/>
      <c r="CU425" s="222"/>
      <c r="CY425" s="222"/>
    </row>
    <row r="426">
      <c r="A426" s="227"/>
      <c r="E426" s="222"/>
      <c r="I426" s="222"/>
      <c r="M426" s="222"/>
      <c r="Q426" s="222"/>
      <c r="U426" s="222"/>
      <c r="Y426" s="222"/>
      <c r="AC426" s="222"/>
      <c r="AG426" s="222"/>
      <c r="AK426" s="222"/>
      <c r="AO426" s="222"/>
      <c r="AS426" s="222"/>
      <c r="AW426" s="222"/>
      <c r="BA426" s="222"/>
      <c r="BE426" s="222"/>
      <c r="BK426" s="222"/>
      <c r="BO426" s="222"/>
      <c r="BU426" s="222"/>
      <c r="BY426" s="222"/>
      <c r="CC426" s="222"/>
      <c r="CG426" s="222"/>
      <c r="CK426" s="222"/>
      <c r="CQ426" s="222"/>
      <c r="CU426" s="222"/>
      <c r="CY426" s="222"/>
    </row>
    <row r="427">
      <c r="A427" s="227"/>
      <c r="E427" s="222"/>
      <c r="I427" s="222"/>
      <c r="M427" s="222"/>
      <c r="Q427" s="222"/>
      <c r="U427" s="222"/>
      <c r="Y427" s="222"/>
      <c r="AC427" s="222"/>
      <c r="AG427" s="222"/>
      <c r="AK427" s="222"/>
      <c r="AO427" s="222"/>
      <c r="AS427" s="222"/>
      <c r="AW427" s="222"/>
      <c r="BA427" s="222"/>
      <c r="BE427" s="222"/>
      <c r="BK427" s="222"/>
      <c r="BO427" s="222"/>
      <c r="BU427" s="222"/>
      <c r="BY427" s="222"/>
      <c r="CC427" s="222"/>
      <c r="CG427" s="222"/>
      <c r="CK427" s="222"/>
      <c r="CQ427" s="222"/>
      <c r="CU427" s="222"/>
      <c r="CY427" s="222"/>
    </row>
    <row r="428">
      <c r="A428" s="227"/>
      <c r="E428" s="222"/>
      <c r="I428" s="222"/>
      <c r="M428" s="222"/>
      <c r="Q428" s="222"/>
      <c r="U428" s="222"/>
      <c r="Y428" s="222"/>
      <c r="AC428" s="222"/>
      <c r="AG428" s="222"/>
      <c r="AK428" s="222"/>
      <c r="AO428" s="222"/>
      <c r="AS428" s="222"/>
      <c r="AW428" s="222"/>
      <c r="BA428" s="222"/>
      <c r="BE428" s="222"/>
      <c r="BK428" s="222"/>
      <c r="BO428" s="222"/>
      <c r="BU428" s="222"/>
      <c r="BY428" s="222"/>
      <c r="CC428" s="222"/>
      <c r="CG428" s="222"/>
      <c r="CK428" s="222"/>
      <c r="CQ428" s="222"/>
      <c r="CU428" s="222"/>
      <c r="CY428" s="222"/>
    </row>
    <row r="429">
      <c r="A429" s="227"/>
      <c r="E429" s="222"/>
      <c r="I429" s="222"/>
      <c r="M429" s="222"/>
      <c r="Q429" s="222"/>
      <c r="U429" s="222"/>
      <c r="Y429" s="222"/>
      <c r="AC429" s="222"/>
      <c r="AG429" s="222"/>
      <c r="AK429" s="222"/>
      <c r="AO429" s="222"/>
      <c r="AS429" s="222"/>
      <c r="AW429" s="222"/>
      <c r="BA429" s="222"/>
      <c r="BE429" s="222"/>
      <c r="BK429" s="222"/>
      <c r="BO429" s="222"/>
      <c r="BU429" s="222"/>
      <c r="BY429" s="222"/>
      <c r="CC429" s="222"/>
      <c r="CG429" s="222"/>
      <c r="CK429" s="222"/>
      <c r="CQ429" s="222"/>
      <c r="CU429" s="222"/>
      <c r="CY429" s="222"/>
    </row>
    <row r="430">
      <c r="A430" s="227"/>
      <c r="E430" s="222"/>
      <c r="I430" s="222"/>
      <c r="M430" s="222"/>
      <c r="Q430" s="222"/>
      <c r="U430" s="222"/>
      <c r="Y430" s="222"/>
      <c r="AC430" s="222"/>
      <c r="AG430" s="222"/>
      <c r="AK430" s="222"/>
      <c r="AO430" s="222"/>
      <c r="AS430" s="222"/>
      <c r="AW430" s="222"/>
      <c r="BA430" s="222"/>
      <c r="BE430" s="222"/>
      <c r="BK430" s="222"/>
      <c r="BO430" s="222"/>
      <c r="BU430" s="222"/>
      <c r="BY430" s="222"/>
      <c r="CC430" s="222"/>
      <c r="CG430" s="222"/>
      <c r="CK430" s="222"/>
      <c r="CQ430" s="222"/>
      <c r="CU430" s="222"/>
      <c r="CY430" s="222"/>
    </row>
    <row r="431">
      <c r="A431" s="227"/>
      <c r="E431" s="222"/>
      <c r="I431" s="222"/>
      <c r="M431" s="222"/>
      <c r="Q431" s="222"/>
      <c r="U431" s="222"/>
      <c r="Y431" s="222"/>
      <c r="AC431" s="222"/>
      <c r="AG431" s="222"/>
      <c r="AK431" s="222"/>
      <c r="AO431" s="222"/>
      <c r="AS431" s="222"/>
      <c r="AW431" s="222"/>
      <c r="BA431" s="222"/>
      <c r="BE431" s="222"/>
      <c r="BK431" s="222"/>
      <c r="BO431" s="222"/>
      <c r="BU431" s="222"/>
      <c r="BY431" s="222"/>
      <c r="CC431" s="222"/>
      <c r="CG431" s="222"/>
      <c r="CK431" s="222"/>
      <c r="CQ431" s="222"/>
      <c r="CU431" s="222"/>
      <c r="CY431" s="222"/>
    </row>
    <row r="432">
      <c r="A432" s="227"/>
      <c r="E432" s="222"/>
      <c r="I432" s="222"/>
      <c r="M432" s="222"/>
      <c r="Q432" s="222"/>
      <c r="U432" s="222"/>
      <c r="Y432" s="222"/>
      <c r="AC432" s="222"/>
      <c r="AG432" s="222"/>
      <c r="AK432" s="222"/>
      <c r="AO432" s="222"/>
      <c r="AS432" s="222"/>
      <c r="AW432" s="222"/>
      <c r="BA432" s="222"/>
      <c r="BE432" s="222"/>
      <c r="BK432" s="222"/>
      <c r="BO432" s="222"/>
      <c r="BU432" s="222"/>
      <c r="BY432" s="222"/>
      <c r="CC432" s="222"/>
      <c r="CG432" s="222"/>
      <c r="CK432" s="222"/>
      <c r="CQ432" s="222"/>
      <c r="CU432" s="222"/>
      <c r="CY432" s="222"/>
    </row>
    <row r="433">
      <c r="A433" s="227"/>
      <c r="E433" s="222"/>
      <c r="I433" s="222"/>
      <c r="M433" s="222"/>
      <c r="Q433" s="222"/>
      <c r="U433" s="222"/>
      <c r="Y433" s="222"/>
      <c r="AC433" s="222"/>
      <c r="AG433" s="222"/>
      <c r="AK433" s="222"/>
      <c r="AO433" s="222"/>
      <c r="AS433" s="222"/>
      <c r="AW433" s="222"/>
      <c r="BA433" s="222"/>
      <c r="BE433" s="222"/>
      <c r="BK433" s="222"/>
      <c r="BO433" s="222"/>
      <c r="BU433" s="222"/>
      <c r="BY433" s="222"/>
      <c r="CC433" s="222"/>
      <c r="CG433" s="222"/>
      <c r="CK433" s="222"/>
      <c r="CQ433" s="222"/>
      <c r="CU433" s="222"/>
      <c r="CY433" s="222"/>
    </row>
    <row r="434">
      <c r="A434" s="227"/>
      <c r="E434" s="222"/>
      <c r="I434" s="222"/>
      <c r="M434" s="222"/>
      <c r="Q434" s="222"/>
      <c r="U434" s="222"/>
      <c r="Y434" s="222"/>
      <c r="AC434" s="222"/>
      <c r="AG434" s="222"/>
      <c r="AK434" s="222"/>
      <c r="AO434" s="222"/>
      <c r="AS434" s="222"/>
      <c r="AW434" s="222"/>
      <c r="BA434" s="222"/>
      <c r="BE434" s="222"/>
      <c r="BK434" s="222"/>
      <c r="BO434" s="222"/>
      <c r="BU434" s="222"/>
      <c r="BY434" s="222"/>
      <c r="CC434" s="222"/>
      <c r="CG434" s="222"/>
      <c r="CK434" s="222"/>
      <c r="CQ434" s="222"/>
      <c r="CU434" s="222"/>
      <c r="CY434" s="222"/>
    </row>
    <row r="435">
      <c r="A435" s="227"/>
      <c r="E435" s="222"/>
      <c r="I435" s="222"/>
      <c r="M435" s="222"/>
      <c r="Q435" s="222"/>
      <c r="U435" s="222"/>
      <c r="Y435" s="222"/>
      <c r="AC435" s="222"/>
      <c r="AG435" s="222"/>
      <c r="AK435" s="222"/>
      <c r="AO435" s="222"/>
      <c r="AS435" s="222"/>
      <c r="AW435" s="222"/>
      <c r="BA435" s="222"/>
      <c r="BE435" s="222"/>
      <c r="BK435" s="222"/>
      <c r="BO435" s="222"/>
      <c r="BU435" s="222"/>
      <c r="BY435" s="222"/>
      <c r="CC435" s="222"/>
      <c r="CG435" s="222"/>
      <c r="CK435" s="222"/>
      <c r="CQ435" s="222"/>
      <c r="CU435" s="222"/>
      <c r="CY435" s="222"/>
    </row>
    <row r="436">
      <c r="A436" s="227"/>
      <c r="E436" s="222"/>
      <c r="I436" s="222"/>
      <c r="M436" s="222"/>
      <c r="Q436" s="222"/>
      <c r="U436" s="222"/>
      <c r="Y436" s="222"/>
      <c r="AC436" s="222"/>
      <c r="AG436" s="222"/>
      <c r="AK436" s="222"/>
      <c r="AO436" s="222"/>
      <c r="AS436" s="222"/>
      <c r="AW436" s="222"/>
      <c r="BA436" s="222"/>
      <c r="BE436" s="222"/>
      <c r="BK436" s="222"/>
      <c r="BO436" s="222"/>
      <c r="BU436" s="222"/>
      <c r="BY436" s="222"/>
      <c r="CC436" s="222"/>
      <c r="CG436" s="222"/>
      <c r="CK436" s="222"/>
      <c r="CQ436" s="222"/>
      <c r="CU436" s="222"/>
      <c r="CY436" s="222"/>
    </row>
    <row r="437">
      <c r="A437" s="227"/>
      <c r="E437" s="222"/>
      <c r="I437" s="222"/>
      <c r="M437" s="222"/>
      <c r="Q437" s="222"/>
      <c r="U437" s="222"/>
      <c r="Y437" s="222"/>
      <c r="AC437" s="222"/>
      <c r="AG437" s="222"/>
      <c r="AK437" s="222"/>
      <c r="AO437" s="222"/>
      <c r="AS437" s="222"/>
      <c r="AW437" s="222"/>
      <c r="BA437" s="222"/>
      <c r="BE437" s="222"/>
      <c r="BK437" s="222"/>
      <c r="BO437" s="222"/>
      <c r="BU437" s="222"/>
      <c r="BY437" s="222"/>
      <c r="CC437" s="222"/>
      <c r="CG437" s="222"/>
      <c r="CK437" s="222"/>
      <c r="CQ437" s="222"/>
      <c r="CU437" s="222"/>
      <c r="CY437" s="222"/>
    </row>
    <row r="438">
      <c r="A438" s="227"/>
      <c r="E438" s="222"/>
      <c r="I438" s="222"/>
      <c r="M438" s="222"/>
      <c r="Q438" s="222"/>
      <c r="U438" s="222"/>
      <c r="Y438" s="222"/>
      <c r="AC438" s="222"/>
      <c r="AG438" s="222"/>
      <c r="AK438" s="222"/>
      <c r="AO438" s="222"/>
      <c r="AS438" s="222"/>
      <c r="AW438" s="222"/>
      <c r="BA438" s="222"/>
      <c r="BE438" s="222"/>
      <c r="BK438" s="222"/>
      <c r="BO438" s="222"/>
      <c r="BU438" s="222"/>
      <c r="BY438" s="222"/>
      <c r="CC438" s="222"/>
      <c r="CG438" s="222"/>
      <c r="CK438" s="222"/>
      <c r="CQ438" s="222"/>
      <c r="CU438" s="222"/>
      <c r="CY438" s="222"/>
    </row>
    <row r="439">
      <c r="A439" s="227"/>
      <c r="E439" s="222"/>
      <c r="I439" s="222"/>
      <c r="M439" s="222"/>
      <c r="Q439" s="222"/>
      <c r="U439" s="222"/>
      <c r="Y439" s="222"/>
      <c r="AC439" s="222"/>
      <c r="AG439" s="222"/>
      <c r="AK439" s="222"/>
      <c r="AO439" s="222"/>
      <c r="AS439" s="222"/>
      <c r="AW439" s="222"/>
      <c r="BA439" s="222"/>
      <c r="BE439" s="222"/>
      <c r="BK439" s="222"/>
      <c r="BO439" s="222"/>
      <c r="BU439" s="222"/>
      <c r="BY439" s="222"/>
      <c r="CC439" s="222"/>
      <c r="CG439" s="222"/>
      <c r="CK439" s="222"/>
      <c r="CQ439" s="222"/>
      <c r="CU439" s="222"/>
      <c r="CY439" s="222"/>
    </row>
    <row r="440">
      <c r="A440" s="227"/>
      <c r="E440" s="222"/>
      <c r="I440" s="222"/>
      <c r="M440" s="222"/>
      <c r="Q440" s="222"/>
      <c r="U440" s="222"/>
      <c r="Y440" s="222"/>
      <c r="AC440" s="222"/>
      <c r="AG440" s="222"/>
      <c r="AK440" s="222"/>
      <c r="AO440" s="222"/>
      <c r="AS440" s="222"/>
      <c r="AW440" s="222"/>
      <c r="BA440" s="222"/>
      <c r="BE440" s="222"/>
      <c r="BK440" s="222"/>
      <c r="BO440" s="222"/>
      <c r="BU440" s="222"/>
      <c r="BY440" s="222"/>
      <c r="CC440" s="222"/>
      <c r="CG440" s="222"/>
      <c r="CK440" s="222"/>
      <c r="CQ440" s="222"/>
      <c r="CU440" s="222"/>
      <c r="CY440" s="222"/>
    </row>
    <row r="441">
      <c r="A441" s="227"/>
      <c r="E441" s="222"/>
      <c r="I441" s="222"/>
      <c r="M441" s="222"/>
      <c r="Q441" s="222"/>
      <c r="U441" s="222"/>
      <c r="Y441" s="222"/>
      <c r="AC441" s="222"/>
      <c r="AG441" s="222"/>
      <c r="AK441" s="222"/>
      <c r="AO441" s="222"/>
      <c r="AS441" s="222"/>
      <c r="AW441" s="222"/>
      <c r="BA441" s="222"/>
      <c r="BE441" s="222"/>
      <c r="BK441" s="222"/>
      <c r="BO441" s="222"/>
      <c r="BU441" s="222"/>
      <c r="BY441" s="222"/>
      <c r="CC441" s="222"/>
      <c r="CG441" s="222"/>
      <c r="CK441" s="222"/>
      <c r="CQ441" s="222"/>
      <c r="CU441" s="222"/>
      <c r="CY441" s="222"/>
    </row>
    <row r="442">
      <c r="A442" s="227"/>
      <c r="E442" s="222"/>
      <c r="I442" s="222"/>
      <c r="M442" s="222"/>
      <c r="Q442" s="222"/>
      <c r="U442" s="222"/>
      <c r="Y442" s="222"/>
      <c r="AC442" s="222"/>
      <c r="AG442" s="222"/>
      <c r="AK442" s="222"/>
      <c r="AO442" s="222"/>
      <c r="AS442" s="222"/>
      <c r="AW442" s="222"/>
      <c r="BA442" s="222"/>
      <c r="BE442" s="222"/>
      <c r="BK442" s="222"/>
      <c r="BO442" s="222"/>
      <c r="BU442" s="222"/>
      <c r="BY442" s="222"/>
      <c r="CC442" s="222"/>
      <c r="CG442" s="222"/>
      <c r="CK442" s="222"/>
      <c r="CQ442" s="222"/>
      <c r="CU442" s="222"/>
      <c r="CY442" s="222"/>
    </row>
    <row r="443">
      <c r="A443" s="227"/>
      <c r="E443" s="222"/>
      <c r="I443" s="222"/>
      <c r="M443" s="222"/>
      <c r="Q443" s="222"/>
      <c r="U443" s="222"/>
      <c r="Y443" s="222"/>
      <c r="AC443" s="222"/>
      <c r="AG443" s="222"/>
      <c r="AK443" s="222"/>
      <c r="AO443" s="222"/>
      <c r="AS443" s="222"/>
      <c r="AW443" s="222"/>
      <c r="BA443" s="222"/>
      <c r="BE443" s="222"/>
      <c r="BK443" s="222"/>
      <c r="BO443" s="222"/>
      <c r="BU443" s="222"/>
      <c r="BY443" s="222"/>
      <c r="CC443" s="222"/>
      <c r="CG443" s="222"/>
      <c r="CK443" s="222"/>
      <c r="CQ443" s="222"/>
      <c r="CU443" s="222"/>
      <c r="CY443" s="222"/>
    </row>
    <row r="444">
      <c r="A444" s="227"/>
      <c r="E444" s="222"/>
      <c r="I444" s="222"/>
      <c r="M444" s="222"/>
      <c r="Q444" s="222"/>
      <c r="U444" s="222"/>
      <c r="Y444" s="222"/>
      <c r="AC444" s="222"/>
      <c r="AG444" s="222"/>
      <c r="AK444" s="222"/>
      <c r="AO444" s="222"/>
      <c r="AS444" s="222"/>
      <c r="AW444" s="222"/>
      <c r="BA444" s="222"/>
      <c r="BE444" s="222"/>
      <c r="BK444" s="222"/>
      <c r="BO444" s="222"/>
      <c r="BU444" s="222"/>
      <c r="BY444" s="222"/>
      <c r="CC444" s="222"/>
      <c r="CG444" s="222"/>
      <c r="CK444" s="222"/>
      <c r="CQ444" s="222"/>
      <c r="CU444" s="222"/>
      <c r="CY444" s="222"/>
    </row>
    <row r="445">
      <c r="A445" s="227"/>
      <c r="E445" s="222"/>
      <c r="I445" s="222"/>
      <c r="M445" s="222"/>
      <c r="Q445" s="222"/>
      <c r="U445" s="222"/>
      <c r="Y445" s="222"/>
      <c r="AC445" s="222"/>
      <c r="AG445" s="222"/>
      <c r="AK445" s="222"/>
      <c r="AO445" s="222"/>
      <c r="AS445" s="222"/>
      <c r="AW445" s="222"/>
      <c r="BA445" s="222"/>
      <c r="BE445" s="222"/>
      <c r="BK445" s="222"/>
      <c r="BO445" s="222"/>
      <c r="BU445" s="222"/>
      <c r="BY445" s="222"/>
      <c r="CC445" s="222"/>
      <c r="CG445" s="222"/>
      <c r="CK445" s="222"/>
      <c r="CQ445" s="222"/>
      <c r="CU445" s="222"/>
      <c r="CY445" s="222"/>
    </row>
    <row r="446">
      <c r="A446" s="227"/>
      <c r="E446" s="222"/>
      <c r="I446" s="222"/>
      <c r="M446" s="222"/>
      <c r="Q446" s="222"/>
      <c r="U446" s="222"/>
      <c r="Y446" s="222"/>
      <c r="AC446" s="222"/>
      <c r="AG446" s="222"/>
      <c r="AK446" s="222"/>
      <c r="AO446" s="222"/>
      <c r="AS446" s="222"/>
      <c r="AW446" s="222"/>
      <c r="BA446" s="222"/>
      <c r="BE446" s="222"/>
      <c r="BK446" s="222"/>
      <c r="BO446" s="222"/>
      <c r="BU446" s="222"/>
      <c r="BY446" s="222"/>
      <c r="CC446" s="222"/>
      <c r="CG446" s="222"/>
      <c r="CK446" s="222"/>
      <c r="CQ446" s="222"/>
      <c r="CU446" s="222"/>
      <c r="CY446" s="222"/>
    </row>
    <row r="447">
      <c r="A447" s="227"/>
      <c r="E447" s="222"/>
      <c r="I447" s="222"/>
      <c r="M447" s="222"/>
      <c r="Q447" s="222"/>
      <c r="U447" s="222"/>
      <c r="Y447" s="222"/>
      <c r="AC447" s="222"/>
      <c r="AG447" s="222"/>
      <c r="AK447" s="222"/>
      <c r="AO447" s="222"/>
      <c r="AS447" s="222"/>
      <c r="AW447" s="222"/>
      <c r="BA447" s="222"/>
      <c r="BE447" s="222"/>
      <c r="BK447" s="222"/>
      <c r="BO447" s="222"/>
      <c r="BU447" s="222"/>
      <c r="BY447" s="222"/>
      <c r="CC447" s="222"/>
      <c r="CG447" s="222"/>
      <c r="CK447" s="222"/>
      <c r="CQ447" s="222"/>
      <c r="CU447" s="222"/>
      <c r="CY447" s="222"/>
    </row>
    <row r="448">
      <c r="A448" s="227"/>
      <c r="E448" s="222"/>
      <c r="I448" s="222"/>
      <c r="M448" s="222"/>
      <c r="Q448" s="222"/>
      <c r="U448" s="222"/>
      <c r="Y448" s="222"/>
      <c r="AC448" s="222"/>
      <c r="AG448" s="222"/>
      <c r="AK448" s="222"/>
      <c r="AO448" s="222"/>
      <c r="AS448" s="222"/>
      <c r="AW448" s="222"/>
      <c r="BA448" s="222"/>
      <c r="BE448" s="222"/>
      <c r="BK448" s="222"/>
      <c r="BO448" s="222"/>
      <c r="BU448" s="222"/>
      <c r="BY448" s="222"/>
      <c r="CC448" s="222"/>
      <c r="CG448" s="222"/>
      <c r="CK448" s="222"/>
      <c r="CQ448" s="222"/>
      <c r="CU448" s="222"/>
      <c r="CY448" s="222"/>
    </row>
    <row r="449">
      <c r="A449" s="227"/>
      <c r="E449" s="222"/>
      <c r="I449" s="222"/>
      <c r="M449" s="222"/>
      <c r="Q449" s="222"/>
      <c r="U449" s="222"/>
      <c r="Y449" s="222"/>
      <c r="AC449" s="222"/>
      <c r="AG449" s="222"/>
      <c r="AK449" s="222"/>
      <c r="AO449" s="222"/>
      <c r="AS449" s="222"/>
      <c r="AW449" s="222"/>
      <c r="BA449" s="222"/>
      <c r="BE449" s="222"/>
      <c r="BK449" s="222"/>
      <c r="BO449" s="222"/>
      <c r="BU449" s="222"/>
      <c r="BY449" s="222"/>
      <c r="CC449" s="222"/>
      <c r="CG449" s="222"/>
      <c r="CK449" s="222"/>
      <c r="CQ449" s="222"/>
      <c r="CU449" s="222"/>
      <c r="CY449" s="222"/>
    </row>
    <row r="450">
      <c r="A450" s="227"/>
      <c r="E450" s="222"/>
      <c r="I450" s="222"/>
      <c r="M450" s="222"/>
      <c r="Q450" s="222"/>
      <c r="U450" s="222"/>
      <c r="Y450" s="222"/>
      <c r="AC450" s="222"/>
      <c r="AG450" s="222"/>
      <c r="AK450" s="222"/>
      <c r="AO450" s="222"/>
      <c r="AS450" s="222"/>
      <c r="AW450" s="222"/>
      <c r="BA450" s="222"/>
      <c r="BE450" s="222"/>
      <c r="BK450" s="222"/>
      <c r="BO450" s="222"/>
      <c r="BU450" s="222"/>
      <c r="BY450" s="222"/>
      <c r="CC450" s="222"/>
      <c r="CG450" s="222"/>
      <c r="CK450" s="222"/>
      <c r="CQ450" s="222"/>
      <c r="CU450" s="222"/>
      <c r="CY450" s="222"/>
    </row>
    <row r="451">
      <c r="A451" s="227"/>
      <c r="E451" s="222"/>
      <c r="I451" s="222"/>
      <c r="M451" s="222"/>
      <c r="Q451" s="222"/>
      <c r="U451" s="222"/>
      <c r="Y451" s="222"/>
      <c r="AC451" s="222"/>
      <c r="AG451" s="222"/>
      <c r="AK451" s="222"/>
      <c r="AO451" s="222"/>
      <c r="AS451" s="222"/>
      <c r="AW451" s="222"/>
      <c r="BA451" s="222"/>
      <c r="BE451" s="222"/>
      <c r="BK451" s="222"/>
      <c r="BO451" s="222"/>
      <c r="BU451" s="222"/>
      <c r="BY451" s="222"/>
      <c r="CC451" s="222"/>
      <c r="CG451" s="222"/>
      <c r="CK451" s="222"/>
      <c r="CQ451" s="222"/>
      <c r="CU451" s="222"/>
      <c r="CY451" s="222"/>
    </row>
    <row r="452">
      <c r="A452" s="227"/>
      <c r="E452" s="222"/>
      <c r="I452" s="222"/>
      <c r="M452" s="222"/>
      <c r="Q452" s="222"/>
      <c r="U452" s="222"/>
      <c r="Y452" s="222"/>
      <c r="AC452" s="222"/>
      <c r="AG452" s="222"/>
      <c r="AK452" s="222"/>
      <c r="AO452" s="222"/>
      <c r="AS452" s="222"/>
      <c r="AW452" s="222"/>
      <c r="BA452" s="222"/>
      <c r="BE452" s="222"/>
      <c r="BK452" s="222"/>
      <c r="BO452" s="222"/>
      <c r="BU452" s="222"/>
      <c r="BY452" s="222"/>
      <c r="CC452" s="222"/>
      <c r="CG452" s="222"/>
      <c r="CK452" s="222"/>
      <c r="CQ452" s="222"/>
      <c r="CU452" s="222"/>
      <c r="CY452" s="222"/>
    </row>
    <row r="453">
      <c r="A453" s="227"/>
      <c r="E453" s="222"/>
      <c r="I453" s="222"/>
      <c r="M453" s="222"/>
      <c r="Q453" s="222"/>
      <c r="U453" s="222"/>
      <c r="Y453" s="222"/>
      <c r="AC453" s="222"/>
      <c r="AG453" s="222"/>
      <c r="AK453" s="222"/>
      <c r="AO453" s="222"/>
      <c r="AS453" s="222"/>
      <c r="AW453" s="222"/>
      <c r="BA453" s="222"/>
      <c r="BE453" s="222"/>
      <c r="BK453" s="222"/>
      <c r="BO453" s="222"/>
      <c r="BU453" s="222"/>
      <c r="BY453" s="222"/>
      <c r="CC453" s="222"/>
      <c r="CG453" s="222"/>
      <c r="CK453" s="222"/>
      <c r="CQ453" s="222"/>
      <c r="CU453" s="222"/>
      <c r="CY453" s="222"/>
    </row>
    <row r="454">
      <c r="A454" s="227"/>
      <c r="E454" s="222"/>
      <c r="I454" s="222"/>
      <c r="M454" s="222"/>
      <c r="Q454" s="222"/>
      <c r="U454" s="222"/>
      <c r="Y454" s="222"/>
      <c r="AC454" s="222"/>
      <c r="AG454" s="222"/>
      <c r="AK454" s="222"/>
      <c r="AO454" s="222"/>
      <c r="AS454" s="222"/>
      <c r="AW454" s="222"/>
      <c r="BA454" s="222"/>
      <c r="BE454" s="222"/>
      <c r="BK454" s="222"/>
      <c r="BO454" s="222"/>
      <c r="BU454" s="222"/>
      <c r="BY454" s="222"/>
      <c r="CC454" s="222"/>
      <c r="CG454" s="222"/>
      <c r="CK454" s="222"/>
      <c r="CQ454" s="222"/>
      <c r="CU454" s="222"/>
      <c r="CY454" s="222"/>
    </row>
    <row r="455">
      <c r="A455" s="227"/>
      <c r="E455" s="222"/>
      <c r="I455" s="222"/>
      <c r="M455" s="222"/>
      <c r="Q455" s="222"/>
      <c r="U455" s="222"/>
      <c r="Y455" s="222"/>
      <c r="AC455" s="222"/>
      <c r="AG455" s="222"/>
      <c r="AK455" s="222"/>
      <c r="AO455" s="222"/>
      <c r="AS455" s="222"/>
      <c r="AW455" s="222"/>
      <c r="BA455" s="222"/>
      <c r="BE455" s="222"/>
      <c r="BK455" s="222"/>
      <c r="BO455" s="222"/>
      <c r="BU455" s="222"/>
      <c r="BY455" s="222"/>
      <c r="CC455" s="222"/>
      <c r="CG455" s="222"/>
      <c r="CK455" s="222"/>
      <c r="CQ455" s="222"/>
      <c r="CU455" s="222"/>
      <c r="CY455" s="222"/>
    </row>
    <row r="456">
      <c r="A456" s="227"/>
      <c r="E456" s="222"/>
      <c r="I456" s="222"/>
      <c r="M456" s="222"/>
      <c r="Q456" s="222"/>
      <c r="U456" s="222"/>
      <c r="Y456" s="222"/>
      <c r="AC456" s="222"/>
      <c r="AG456" s="222"/>
      <c r="AK456" s="222"/>
      <c r="AO456" s="222"/>
      <c r="AS456" s="222"/>
      <c r="AW456" s="222"/>
      <c r="BA456" s="222"/>
      <c r="BE456" s="222"/>
      <c r="BK456" s="222"/>
      <c r="BO456" s="222"/>
      <c r="BU456" s="222"/>
      <c r="BY456" s="222"/>
      <c r="CC456" s="222"/>
      <c r="CG456" s="222"/>
      <c r="CK456" s="222"/>
      <c r="CQ456" s="222"/>
      <c r="CU456" s="222"/>
      <c r="CY456" s="222"/>
    </row>
    <row r="457">
      <c r="A457" s="227"/>
      <c r="E457" s="222"/>
      <c r="I457" s="222"/>
      <c r="M457" s="222"/>
      <c r="Q457" s="222"/>
      <c r="U457" s="222"/>
      <c r="Y457" s="222"/>
      <c r="AC457" s="222"/>
      <c r="AG457" s="222"/>
      <c r="AK457" s="222"/>
      <c r="AO457" s="222"/>
      <c r="AS457" s="222"/>
      <c r="AW457" s="222"/>
      <c r="BA457" s="222"/>
      <c r="BE457" s="222"/>
      <c r="BK457" s="222"/>
      <c r="BO457" s="222"/>
      <c r="BU457" s="222"/>
      <c r="BY457" s="222"/>
      <c r="CC457" s="222"/>
      <c r="CG457" s="222"/>
      <c r="CK457" s="222"/>
      <c r="CQ457" s="222"/>
      <c r="CU457" s="222"/>
      <c r="CY457" s="222"/>
    </row>
    <row r="458">
      <c r="A458" s="227"/>
      <c r="E458" s="222"/>
      <c r="I458" s="222"/>
      <c r="M458" s="222"/>
      <c r="Q458" s="222"/>
      <c r="U458" s="222"/>
      <c r="Y458" s="222"/>
      <c r="AC458" s="222"/>
      <c r="AG458" s="222"/>
      <c r="AK458" s="222"/>
      <c r="AO458" s="222"/>
      <c r="AS458" s="222"/>
      <c r="AW458" s="222"/>
      <c r="BA458" s="222"/>
      <c r="BE458" s="222"/>
      <c r="BK458" s="222"/>
      <c r="BO458" s="222"/>
      <c r="BU458" s="222"/>
      <c r="BY458" s="222"/>
      <c r="CC458" s="222"/>
      <c r="CG458" s="222"/>
      <c r="CK458" s="222"/>
      <c r="CQ458" s="222"/>
      <c r="CU458" s="222"/>
      <c r="CY458" s="222"/>
    </row>
    <row r="459">
      <c r="A459" s="227"/>
      <c r="E459" s="222"/>
      <c r="I459" s="222"/>
      <c r="M459" s="222"/>
      <c r="Q459" s="222"/>
      <c r="U459" s="222"/>
      <c r="Y459" s="222"/>
      <c r="AC459" s="222"/>
      <c r="AG459" s="222"/>
      <c r="AK459" s="222"/>
      <c r="AO459" s="222"/>
      <c r="AS459" s="222"/>
      <c r="AW459" s="222"/>
      <c r="BA459" s="222"/>
      <c r="BE459" s="222"/>
      <c r="BK459" s="222"/>
      <c r="BO459" s="222"/>
      <c r="BU459" s="222"/>
      <c r="BY459" s="222"/>
      <c r="CC459" s="222"/>
      <c r="CG459" s="222"/>
      <c r="CK459" s="222"/>
      <c r="CQ459" s="222"/>
      <c r="CU459" s="222"/>
      <c r="CY459" s="222"/>
    </row>
    <row r="460">
      <c r="A460" s="227"/>
      <c r="E460" s="222"/>
      <c r="I460" s="222"/>
      <c r="M460" s="222"/>
      <c r="Q460" s="222"/>
      <c r="U460" s="222"/>
      <c r="Y460" s="222"/>
      <c r="AC460" s="222"/>
      <c r="AG460" s="222"/>
      <c r="AK460" s="222"/>
      <c r="AO460" s="222"/>
      <c r="AS460" s="222"/>
      <c r="AW460" s="222"/>
      <c r="BA460" s="222"/>
      <c r="BE460" s="222"/>
      <c r="BK460" s="222"/>
      <c r="BO460" s="222"/>
      <c r="BU460" s="222"/>
      <c r="BY460" s="222"/>
      <c r="CC460" s="222"/>
      <c r="CG460" s="222"/>
      <c r="CK460" s="222"/>
      <c r="CQ460" s="222"/>
      <c r="CU460" s="222"/>
      <c r="CY460" s="222"/>
    </row>
    <row r="461">
      <c r="A461" s="227"/>
      <c r="E461" s="222"/>
      <c r="I461" s="222"/>
      <c r="M461" s="222"/>
      <c r="Q461" s="222"/>
      <c r="U461" s="222"/>
      <c r="Y461" s="222"/>
      <c r="AC461" s="222"/>
      <c r="AG461" s="222"/>
      <c r="AK461" s="222"/>
      <c r="AO461" s="222"/>
      <c r="AS461" s="222"/>
      <c r="AW461" s="222"/>
      <c r="BA461" s="222"/>
      <c r="BE461" s="222"/>
      <c r="BK461" s="222"/>
      <c r="BO461" s="222"/>
      <c r="BU461" s="222"/>
      <c r="BY461" s="222"/>
      <c r="CC461" s="222"/>
      <c r="CG461" s="222"/>
      <c r="CK461" s="222"/>
      <c r="CQ461" s="222"/>
      <c r="CU461" s="222"/>
      <c r="CY461" s="222"/>
    </row>
    <row r="462">
      <c r="A462" s="227"/>
      <c r="E462" s="222"/>
      <c r="I462" s="222"/>
      <c r="M462" s="222"/>
      <c r="Q462" s="222"/>
      <c r="U462" s="222"/>
      <c r="Y462" s="222"/>
      <c r="AC462" s="222"/>
      <c r="AG462" s="222"/>
      <c r="AK462" s="222"/>
      <c r="AO462" s="222"/>
      <c r="AS462" s="222"/>
      <c r="AW462" s="222"/>
      <c r="BA462" s="222"/>
      <c r="BE462" s="222"/>
      <c r="BK462" s="222"/>
      <c r="BO462" s="222"/>
      <c r="BU462" s="222"/>
      <c r="BY462" s="222"/>
      <c r="CC462" s="222"/>
      <c r="CG462" s="222"/>
      <c r="CK462" s="222"/>
      <c r="CQ462" s="222"/>
      <c r="CU462" s="222"/>
      <c r="CY462" s="222"/>
    </row>
    <row r="463">
      <c r="A463" s="227"/>
      <c r="E463" s="222"/>
      <c r="I463" s="222"/>
      <c r="M463" s="222"/>
      <c r="Q463" s="222"/>
      <c r="U463" s="222"/>
      <c r="Y463" s="222"/>
      <c r="AC463" s="222"/>
      <c r="AG463" s="222"/>
      <c r="AK463" s="222"/>
      <c r="AO463" s="222"/>
      <c r="AS463" s="222"/>
      <c r="AW463" s="222"/>
      <c r="BA463" s="222"/>
      <c r="BE463" s="222"/>
      <c r="BK463" s="222"/>
      <c r="BO463" s="222"/>
      <c r="BU463" s="222"/>
      <c r="BY463" s="222"/>
      <c r="CC463" s="222"/>
      <c r="CG463" s="222"/>
      <c r="CK463" s="222"/>
      <c r="CQ463" s="222"/>
      <c r="CU463" s="222"/>
      <c r="CY463" s="222"/>
    </row>
    <row r="464">
      <c r="A464" s="227"/>
      <c r="E464" s="222"/>
      <c r="I464" s="222"/>
      <c r="M464" s="222"/>
      <c r="Q464" s="222"/>
      <c r="U464" s="222"/>
      <c r="Y464" s="222"/>
      <c r="AC464" s="222"/>
      <c r="AG464" s="222"/>
      <c r="AK464" s="222"/>
      <c r="AO464" s="222"/>
      <c r="AS464" s="222"/>
      <c r="AW464" s="222"/>
      <c r="BA464" s="222"/>
      <c r="BE464" s="222"/>
      <c r="BK464" s="222"/>
      <c r="BO464" s="222"/>
      <c r="BU464" s="222"/>
      <c r="BY464" s="222"/>
      <c r="CC464" s="222"/>
      <c r="CG464" s="222"/>
      <c r="CK464" s="222"/>
      <c r="CQ464" s="222"/>
      <c r="CU464" s="222"/>
      <c r="CY464" s="222"/>
    </row>
    <row r="465">
      <c r="A465" s="227"/>
      <c r="E465" s="222"/>
      <c r="I465" s="222"/>
      <c r="M465" s="222"/>
      <c r="Q465" s="222"/>
      <c r="U465" s="222"/>
      <c r="Y465" s="222"/>
      <c r="AC465" s="222"/>
      <c r="AG465" s="222"/>
      <c r="AK465" s="222"/>
      <c r="AO465" s="222"/>
      <c r="AS465" s="222"/>
      <c r="AW465" s="222"/>
      <c r="BA465" s="222"/>
      <c r="BE465" s="222"/>
      <c r="BK465" s="222"/>
      <c r="BO465" s="222"/>
      <c r="BU465" s="222"/>
      <c r="BY465" s="222"/>
      <c r="CC465" s="222"/>
      <c r="CG465" s="222"/>
      <c r="CK465" s="222"/>
      <c r="CQ465" s="222"/>
      <c r="CU465" s="222"/>
      <c r="CY465" s="222"/>
    </row>
    <row r="466">
      <c r="A466" s="227"/>
      <c r="E466" s="222"/>
      <c r="I466" s="222"/>
      <c r="M466" s="222"/>
      <c r="Q466" s="222"/>
      <c r="U466" s="222"/>
      <c r="Y466" s="222"/>
      <c r="AC466" s="222"/>
      <c r="AG466" s="222"/>
      <c r="AK466" s="222"/>
      <c r="AO466" s="222"/>
      <c r="AS466" s="222"/>
      <c r="AW466" s="222"/>
      <c r="BA466" s="222"/>
      <c r="BE466" s="222"/>
      <c r="BK466" s="222"/>
      <c r="BO466" s="222"/>
      <c r="BU466" s="222"/>
      <c r="BY466" s="222"/>
      <c r="CC466" s="222"/>
      <c r="CG466" s="222"/>
      <c r="CK466" s="222"/>
      <c r="CQ466" s="222"/>
      <c r="CU466" s="222"/>
      <c r="CY466" s="222"/>
    </row>
    <row r="467">
      <c r="A467" s="227"/>
      <c r="E467" s="222"/>
      <c r="I467" s="222"/>
      <c r="M467" s="222"/>
      <c r="Q467" s="222"/>
      <c r="U467" s="222"/>
      <c r="Y467" s="222"/>
      <c r="AC467" s="222"/>
      <c r="AG467" s="222"/>
      <c r="AK467" s="222"/>
      <c r="AO467" s="222"/>
      <c r="AS467" s="222"/>
      <c r="AW467" s="222"/>
      <c r="BA467" s="222"/>
      <c r="BE467" s="222"/>
      <c r="BK467" s="222"/>
      <c r="BO467" s="222"/>
      <c r="BU467" s="222"/>
      <c r="BY467" s="222"/>
      <c r="CC467" s="222"/>
      <c r="CG467" s="222"/>
      <c r="CK467" s="222"/>
      <c r="CQ467" s="222"/>
      <c r="CU467" s="222"/>
      <c r="CY467" s="222"/>
    </row>
    <row r="468">
      <c r="A468" s="227"/>
      <c r="E468" s="222"/>
      <c r="I468" s="222"/>
      <c r="M468" s="222"/>
      <c r="Q468" s="222"/>
      <c r="U468" s="222"/>
      <c r="Y468" s="222"/>
      <c r="AC468" s="222"/>
      <c r="AG468" s="222"/>
      <c r="AK468" s="222"/>
      <c r="AO468" s="222"/>
      <c r="AS468" s="222"/>
      <c r="AW468" s="222"/>
      <c r="BA468" s="222"/>
      <c r="BE468" s="222"/>
      <c r="BK468" s="222"/>
      <c r="BO468" s="222"/>
      <c r="BU468" s="222"/>
      <c r="BY468" s="222"/>
      <c r="CC468" s="222"/>
      <c r="CG468" s="222"/>
      <c r="CK468" s="222"/>
      <c r="CQ468" s="222"/>
      <c r="CU468" s="222"/>
      <c r="CY468" s="222"/>
    </row>
    <row r="469">
      <c r="A469" s="227"/>
      <c r="E469" s="222"/>
      <c r="I469" s="222"/>
      <c r="M469" s="222"/>
      <c r="Q469" s="222"/>
      <c r="U469" s="222"/>
      <c r="Y469" s="222"/>
      <c r="AC469" s="222"/>
      <c r="AG469" s="222"/>
      <c r="AK469" s="222"/>
      <c r="AO469" s="222"/>
      <c r="AS469" s="222"/>
      <c r="AW469" s="222"/>
      <c r="BA469" s="222"/>
      <c r="BE469" s="222"/>
      <c r="BK469" s="222"/>
      <c r="BO469" s="222"/>
      <c r="BU469" s="222"/>
      <c r="BY469" s="222"/>
      <c r="CC469" s="222"/>
      <c r="CG469" s="222"/>
      <c r="CK469" s="222"/>
      <c r="CQ469" s="222"/>
      <c r="CU469" s="222"/>
      <c r="CY469" s="222"/>
    </row>
    <row r="470">
      <c r="A470" s="227"/>
      <c r="E470" s="222"/>
      <c r="I470" s="222"/>
      <c r="M470" s="222"/>
      <c r="Q470" s="222"/>
      <c r="U470" s="222"/>
      <c r="Y470" s="222"/>
      <c r="AC470" s="222"/>
      <c r="AG470" s="222"/>
      <c r="AK470" s="222"/>
      <c r="AO470" s="222"/>
      <c r="AS470" s="222"/>
      <c r="AW470" s="222"/>
      <c r="BA470" s="222"/>
      <c r="BE470" s="222"/>
      <c r="BK470" s="222"/>
      <c r="BO470" s="222"/>
      <c r="BU470" s="222"/>
      <c r="BY470" s="222"/>
      <c r="CC470" s="222"/>
      <c r="CG470" s="222"/>
      <c r="CK470" s="222"/>
      <c r="CQ470" s="222"/>
      <c r="CU470" s="222"/>
      <c r="CY470" s="222"/>
    </row>
    <row r="471">
      <c r="A471" s="227"/>
      <c r="E471" s="222"/>
      <c r="I471" s="222"/>
      <c r="M471" s="222"/>
      <c r="Q471" s="222"/>
      <c r="U471" s="222"/>
      <c r="Y471" s="222"/>
      <c r="AC471" s="222"/>
      <c r="AG471" s="222"/>
      <c r="AK471" s="222"/>
      <c r="AO471" s="222"/>
      <c r="AS471" s="222"/>
      <c r="AW471" s="222"/>
      <c r="BA471" s="222"/>
      <c r="BE471" s="222"/>
      <c r="BK471" s="222"/>
      <c r="BO471" s="222"/>
      <c r="BU471" s="222"/>
      <c r="BY471" s="222"/>
      <c r="CC471" s="222"/>
      <c r="CG471" s="222"/>
      <c r="CK471" s="222"/>
      <c r="CQ471" s="222"/>
      <c r="CU471" s="222"/>
      <c r="CY471" s="222"/>
    </row>
    <row r="472">
      <c r="A472" s="227"/>
      <c r="E472" s="222"/>
      <c r="I472" s="222"/>
      <c r="M472" s="222"/>
      <c r="Q472" s="222"/>
      <c r="U472" s="222"/>
      <c r="Y472" s="222"/>
      <c r="AC472" s="222"/>
      <c r="AG472" s="222"/>
      <c r="AK472" s="222"/>
      <c r="AO472" s="222"/>
      <c r="AS472" s="222"/>
      <c r="AW472" s="222"/>
      <c r="BA472" s="222"/>
      <c r="BE472" s="222"/>
      <c r="BK472" s="222"/>
      <c r="BO472" s="222"/>
      <c r="BU472" s="222"/>
      <c r="BY472" s="222"/>
      <c r="CC472" s="222"/>
      <c r="CG472" s="222"/>
      <c r="CK472" s="222"/>
      <c r="CQ472" s="222"/>
      <c r="CU472" s="222"/>
      <c r="CY472" s="222"/>
    </row>
    <row r="473">
      <c r="A473" s="227"/>
      <c r="E473" s="222"/>
      <c r="I473" s="222"/>
      <c r="M473" s="222"/>
      <c r="Q473" s="222"/>
      <c r="U473" s="222"/>
      <c r="Y473" s="222"/>
      <c r="AC473" s="222"/>
      <c r="AG473" s="222"/>
      <c r="AK473" s="222"/>
      <c r="AO473" s="222"/>
      <c r="AS473" s="222"/>
      <c r="AW473" s="222"/>
      <c r="BA473" s="222"/>
      <c r="BE473" s="222"/>
      <c r="BK473" s="222"/>
      <c r="BO473" s="222"/>
      <c r="BU473" s="222"/>
      <c r="BY473" s="222"/>
      <c r="CC473" s="222"/>
      <c r="CG473" s="222"/>
      <c r="CK473" s="222"/>
      <c r="CQ473" s="222"/>
      <c r="CU473" s="222"/>
      <c r="CY473" s="222"/>
    </row>
    <row r="474">
      <c r="A474" s="227"/>
      <c r="E474" s="222"/>
      <c r="I474" s="222"/>
      <c r="M474" s="222"/>
      <c r="Q474" s="222"/>
      <c r="U474" s="222"/>
      <c r="Y474" s="222"/>
      <c r="AC474" s="222"/>
      <c r="AG474" s="222"/>
      <c r="AK474" s="222"/>
      <c r="AO474" s="222"/>
      <c r="AS474" s="222"/>
      <c r="AW474" s="222"/>
      <c r="BA474" s="222"/>
      <c r="BE474" s="222"/>
      <c r="BK474" s="222"/>
      <c r="BO474" s="222"/>
      <c r="BU474" s="222"/>
      <c r="BY474" s="222"/>
      <c r="CC474" s="222"/>
      <c r="CG474" s="222"/>
      <c r="CK474" s="222"/>
      <c r="CQ474" s="222"/>
      <c r="CU474" s="222"/>
      <c r="CY474" s="222"/>
    </row>
    <row r="475">
      <c r="A475" s="227"/>
      <c r="E475" s="222"/>
      <c r="I475" s="222"/>
      <c r="M475" s="222"/>
      <c r="Q475" s="222"/>
      <c r="U475" s="222"/>
      <c r="Y475" s="222"/>
      <c r="AC475" s="222"/>
      <c r="AG475" s="222"/>
      <c r="AK475" s="222"/>
      <c r="AO475" s="222"/>
      <c r="AS475" s="222"/>
      <c r="AW475" s="222"/>
      <c r="BA475" s="222"/>
      <c r="BE475" s="222"/>
      <c r="BK475" s="222"/>
      <c r="BO475" s="222"/>
      <c r="BU475" s="222"/>
      <c r="BY475" s="222"/>
      <c r="CC475" s="222"/>
      <c r="CG475" s="222"/>
      <c r="CK475" s="222"/>
      <c r="CQ475" s="222"/>
      <c r="CU475" s="222"/>
      <c r="CY475" s="222"/>
    </row>
    <row r="476">
      <c r="A476" s="227"/>
      <c r="E476" s="222"/>
      <c r="I476" s="222"/>
      <c r="M476" s="222"/>
      <c r="Q476" s="222"/>
      <c r="U476" s="222"/>
      <c r="Y476" s="222"/>
      <c r="AC476" s="222"/>
      <c r="AG476" s="222"/>
      <c r="AK476" s="222"/>
      <c r="AO476" s="222"/>
      <c r="AS476" s="222"/>
      <c r="AW476" s="222"/>
      <c r="BA476" s="222"/>
      <c r="BE476" s="222"/>
      <c r="BK476" s="222"/>
      <c r="BO476" s="222"/>
      <c r="BU476" s="222"/>
      <c r="BY476" s="222"/>
      <c r="CC476" s="222"/>
      <c r="CG476" s="222"/>
      <c r="CK476" s="222"/>
      <c r="CQ476" s="222"/>
      <c r="CU476" s="222"/>
      <c r="CY476" s="222"/>
    </row>
    <row r="477">
      <c r="A477" s="227"/>
      <c r="E477" s="222"/>
      <c r="I477" s="222"/>
      <c r="M477" s="222"/>
      <c r="Q477" s="222"/>
      <c r="U477" s="222"/>
      <c r="Y477" s="222"/>
      <c r="AC477" s="222"/>
      <c r="AG477" s="222"/>
      <c r="AK477" s="222"/>
      <c r="AO477" s="222"/>
      <c r="AS477" s="222"/>
      <c r="AW477" s="222"/>
      <c r="BA477" s="222"/>
      <c r="BE477" s="222"/>
      <c r="BK477" s="222"/>
      <c r="BO477" s="222"/>
      <c r="BU477" s="222"/>
      <c r="BY477" s="222"/>
      <c r="CC477" s="222"/>
      <c r="CG477" s="222"/>
      <c r="CK477" s="222"/>
      <c r="CQ477" s="222"/>
      <c r="CU477" s="222"/>
      <c r="CY477" s="222"/>
    </row>
    <row r="478">
      <c r="A478" s="227"/>
      <c r="E478" s="222"/>
      <c r="I478" s="222"/>
      <c r="M478" s="222"/>
      <c r="Q478" s="222"/>
      <c r="U478" s="222"/>
      <c r="Y478" s="222"/>
      <c r="AC478" s="222"/>
      <c r="AG478" s="222"/>
      <c r="AK478" s="222"/>
      <c r="AO478" s="222"/>
      <c r="AS478" s="222"/>
      <c r="AW478" s="222"/>
      <c r="BA478" s="222"/>
      <c r="BE478" s="222"/>
      <c r="BK478" s="222"/>
      <c r="BO478" s="222"/>
      <c r="BU478" s="222"/>
      <c r="BY478" s="222"/>
      <c r="CC478" s="222"/>
      <c r="CG478" s="222"/>
      <c r="CK478" s="222"/>
      <c r="CQ478" s="222"/>
      <c r="CU478" s="222"/>
      <c r="CY478" s="222"/>
    </row>
    <row r="479">
      <c r="A479" s="227"/>
      <c r="E479" s="222"/>
      <c r="I479" s="222"/>
      <c r="M479" s="222"/>
      <c r="Q479" s="222"/>
      <c r="U479" s="222"/>
      <c r="Y479" s="222"/>
      <c r="AC479" s="222"/>
      <c r="AG479" s="222"/>
      <c r="AK479" s="222"/>
      <c r="AO479" s="222"/>
      <c r="AS479" s="222"/>
      <c r="AW479" s="222"/>
      <c r="BA479" s="222"/>
      <c r="BE479" s="222"/>
      <c r="BK479" s="222"/>
      <c r="BO479" s="222"/>
      <c r="BU479" s="222"/>
      <c r="BY479" s="222"/>
      <c r="CC479" s="222"/>
      <c r="CG479" s="222"/>
      <c r="CK479" s="222"/>
      <c r="CQ479" s="222"/>
      <c r="CU479" s="222"/>
      <c r="CY479" s="222"/>
    </row>
    <row r="480">
      <c r="A480" s="227"/>
      <c r="E480" s="222"/>
      <c r="I480" s="222"/>
      <c r="M480" s="222"/>
      <c r="Q480" s="222"/>
      <c r="U480" s="222"/>
      <c r="Y480" s="222"/>
      <c r="AC480" s="222"/>
      <c r="AG480" s="222"/>
      <c r="AK480" s="222"/>
      <c r="AO480" s="222"/>
      <c r="AS480" s="222"/>
      <c r="AW480" s="222"/>
      <c r="BA480" s="222"/>
      <c r="BE480" s="222"/>
      <c r="BK480" s="222"/>
      <c r="BO480" s="222"/>
      <c r="BU480" s="222"/>
      <c r="BY480" s="222"/>
      <c r="CC480" s="222"/>
      <c r="CG480" s="222"/>
      <c r="CK480" s="222"/>
      <c r="CQ480" s="222"/>
      <c r="CU480" s="222"/>
      <c r="CY480" s="222"/>
    </row>
    <row r="481">
      <c r="A481" s="227"/>
      <c r="E481" s="222"/>
      <c r="I481" s="222"/>
      <c r="M481" s="222"/>
      <c r="Q481" s="222"/>
      <c r="U481" s="222"/>
      <c r="Y481" s="222"/>
      <c r="AC481" s="222"/>
      <c r="AG481" s="222"/>
      <c r="AK481" s="222"/>
      <c r="AO481" s="222"/>
      <c r="AS481" s="222"/>
      <c r="AW481" s="222"/>
      <c r="BA481" s="222"/>
      <c r="BE481" s="222"/>
      <c r="BK481" s="222"/>
      <c r="BO481" s="222"/>
      <c r="BU481" s="222"/>
      <c r="BY481" s="222"/>
      <c r="CC481" s="222"/>
      <c r="CG481" s="222"/>
      <c r="CK481" s="222"/>
      <c r="CQ481" s="222"/>
      <c r="CU481" s="222"/>
      <c r="CY481" s="222"/>
    </row>
    <row r="482">
      <c r="A482" s="227"/>
      <c r="E482" s="222"/>
      <c r="I482" s="222"/>
      <c r="M482" s="222"/>
      <c r="Q482" s="222"/>
      <c r="U482" s="222"/>
      <c r="Y482" s="222"/>
      <c r="AC482" s="222"/>
      <c r="AG482" s="222"/>
      <c r="AK482" s="222"/>
      <c r="AO482" s="222"/>
      <c r="AS482" s="222"/>
      <c r="AW482" s="222"/>
      <c r="BA482" s="222"/>
      <c r="BE482" s="222"/>
      <c r="BK482" s="222"/>
      <c r="BO482" s="222"/>
      <c r="BU482" s="222"/>
      <c r="BY482" s="222"/>
      <c r="CC482" s="222"/>
      <c r="CG482" s="222"/>
      <c r="CK482" s="222"/>
      <c r="CQ482" s="222"/>
      <c r="CU482" s="222"/>
      <c r="CY482" s="222"/>
    </row>
    <row r="483">
      <c r="A483" s="227"/>
      <c r="E483" s="222"/>
      <c r="I483" s="222"/>
      <c r="M483" s="222"/>
      <c r="Q483" s="222"/>
      <c r="U483" s="222"/>
      <c r="Y483" s="222"/>
      <c r="AC483" s="222"/>
      <c r="AG483" s="222"/>
      <c r="AK483" s="222"/>
      <c r="AO483" s="222"/>
      <c r="AS483" s="222"/>
      <c r="AW483" s="222"/>
      <c r="BA483" s="222"/>
      <c r="BE483" s="222"/>
      <c r="BK483" s="222"/>
      <c r="BO483" s="222"/>
      <c r="BU483" s="222"/>
      <c r="BY483" s="222"/>
      <c r="CC483" s="222"/>
      <c r="CG483" s="222"/>
      <c r="CK483" s="222"/>
      <c r="CQ483" s="222"/>
      <c r="CU483" s="222"/>
      <c r="CY483" s="222"/>
    </row>
    <row r="484">
      <c r="A484" s="227"/>
      <c r="E484" s="222"/>
      <c r="I484" s="222"/>
      <c r="M484" s="222"/>
      <c r="Q484" s="222"/>
      <c r="U484" s="222"/>
      <c r="Y484" s="222"/>
      <c r="AC484" s="222"/>
      <c r="AG484" s="222"/>
      <c r="AK484" s="222"/>
      <c r="AO484" s="222"/>
      <c r="AS484" s="222"/>
      <c r="AW484" s="222"/>
      <c r="BA484" s="222"/>
      <c r="BE484" s="222"/>
      <c r="BK484" s="222"/>
      <c r="BO484" s="222"/>
      <c r="BU484" s="222"/>
      <c r="BY484" s="222"/>
      <c r="CC484" s="222"/>
      <c r="CG484" s="222"/>
      <c r="CK484" s="222"/>
      <c r="CQ484" s="222"/>
      <c r="CU484" s="222"/>
      <c r="CY484" s="222"/>
    </row>
    <row r="485">
      <c r="A485" s="227"/>
      <c r="E485" s="222"/>
      <c r="I485" s="222"/>
      <c r="M485" s="222"/>
      <c r="Q485" s="222"/>
      <c r="U485" s="222"/>
      <c r="Y485" s="222"/>
      <c r="AC485" s="222"/>
      <c r="AG485" s="222"/>
      <c r="AK485" s="222"/>
      <c r="AO485" s="222"/>
      <c r="AS485" s="222"/>
      <c r="AW485" s="222"/>
      <c r="BA485" s="222"/>
      <c r="BE485" s="222"/>
      <c r="BK485" s="222"/>
      <c r="BO485" s="222"/>
      <c r="BU485" s="222"/>
      <c r="BY485" s="222"/>
      <c r="CC485" s="222"/>
      <c r="CG485" s="222"/>
      <c r="CK485" s="222"/>
      <c r="CQ485" s="222"/>
      <c r="CU485" s="222"/>
      <c r="CY485" s="222"/>
    </row>
    <row r="486">
      <c r="A486" s="227"/>
      <c r="E486" s="222"/>
      <c r="I486" s="222"/>
      <c r="M486" s="222"/>
      <c r="Q486" s="222"/>
      <c r="U486" s="222"/>
      <c r="Y486" s="222"/>
      <c r="AC486" s="222"/>
      <c r="AG486" s="222"/>
      <c r="AK486" s="222"/>
      <c r="AO486" s="222"/>
      <c r="AS486" s="222"/>
      <c r="AW486" s="222"/>
      <c r="BA486" s="222"/>
      <c r="BE486" s="222"/>
      <c r="BK486" s="222"/>
      <c r="BO486" s="222"/>
      <c r="BU486" s="222"/>
      <c r="BY486" s="222"/>
      <c r="CC486" s="222"/>
      <c r="CG486" s="222"/>
      <c r="CK486" s="222"/>
      <c r="CQ486" s="222"/>
      <c r="CU486" s="222"/>
      <c r="CY486" s="222"/>
    </row>
    <row r="487">
      <c r="A487" s="227"/>
      <c r="E487" s="222"/>
      <c r="I487" s="222"/>
      <c r="M487" s="222"/>
      <c r="Q487" s="222"/>
      <c r="U487" s="222"/>
      <c r="Y487" s="222"/>
      <c r="AC487" s="222"/>
      <c r="AG487" s="222"/>
      <c r="AK487" s="222"/>
      <c r="AO487" s="222"/>
      <c r="AS487" s="222"/>
      <c r="AW487" s="222"/>
      <c r="BA487" s="222"/>
      <c r="BE487" s="222"/>
      <c r="BK487" s="222"/>
      <c r="BO487" s="222"/>
      <c r="BU487" s="222"/>
      <c r="BY487" s="222"/>
      <c r="CC487" s="222"/>
      <c r="CG487" s="222"/>
      <c r="CK487" s="222"/>
      <c r="CQ487" s="222"/>
      <c r="CU487" s="222"/>
      <c r="CY487" s="222"/>
    </row>
    <row r="488">
      <c r="A488" s="227"/>
      <c r="E488" s="222"/>
      <c r="I488" s="222"/>
      <c r="M488" s="222"/>
      <c r="Q488" s="222"/>
      <c r="U488" s="222"/>
      <c r="Y488" s="222"/>
      <c r="AC488" s="222"/>
      <c r="AG488" s="222"/>
      <c r="AK488" s="222"/>
      <c r="AO488" s="222"/>
      <c r="AS488" s="222"/>
      <c r="AW488" s="222"/>
      <c r="BA488" s="222"/>
      <c r="BE488" s="222"/>
      <c r="BK488" s="222"/>
      <c r="BO488" s="222"/>
      <c r="BU488" s="222"/>
      <c r="BY488" s="222"/>
      <c r="CC488" s="222"/>
      <c r="CG488" s="222"/>
      <c r="CK488" s="222"/>
      <c r="CQ488" s="222"/>
      <c r="CU488" s="222"/>
      <c r="CY488" s="222"/>
    </row>
    <row r="489">
      <c r="A489" s="227"/>
      <c r="E489" s="222"/>
      <c r="I489" s="222"/>
      <c r="M489" s="222"/>
      <c r="Q489" s="222"/>
      <c r="U489" s="222"/>
      <c r="Y489" s="222"/>
      <c r="AC489" s="222"/>
      <c r="AG489" s="222"/>
      <c r="AK489" s="222"/>
      <c r="AO489" s="222"/>
      <c r="AS489" s="222"/>
      <c r="AW489" s="222"/>
      <c r="BA489" s="222"/>
      <c r="BE489" s="222"/>
      <c r="BK489" s="222"/>
      <c r="BO489" s="222"/>
      <c r="BU489" s="222"/>
      <c r="BY489" s="222"/>
      <c r="CC489" s="222"/>
      <c r="CG489" s="222"/>
      <c r="CK489" s="222"/>
      <c r="CQ489" s="222"/>
      <c r="CU489" s="222"/>
      <c r="CY489" s="222"/>
    </row>
    <row r="490">
      <c r="A490" s="227"/>
      <c r="E490" s="222"/>
      <c r="I490" s="222"/>
      <c r="M490" s="222"/>
      <c r="Q490" s="222"/>
      <c r="U490" s="222"/>
      <c r="Y490" s="222"/>
      <c r="AC490" s="222"/>
      <c r="AG490" s="222"/>
      <c r="AK490" s="222"/>
      <c r="AO490" s="222"/>
      <c r="AS490" s="222"/>
      <c r="AW490" s="222"/>
      <c r="BA490" s="222"/>
      <c r="BE490" s="222"/>
      <c r="BK490" s="222"/>
      <c r="BO490" s="222"/>
      <c r="BU490" s="222"/>
      <c r="BY490" s="222"/>
      <c r="CC490" s="222"/>
      <c r="CG490" s="222"/>
      <c r="CK490" s="222"/>
      <c r="CQ490" s="222"/>
      <c r="CU490" s="222"/>
      <c r="CY490" s="222"/>
    </row>
    <row r="491">
      <c r="A491" s="227"/>
      <c r="E491" s="222"/>
      <c r="I491" s="222"/>
      <c r="M491" s="222"/>
      <c r="Q491" s="222"/>
      <c r="U491" s="222"/>
      <c r="Y491" s="222"/>
      <c r="AC491" s="222"/>
      <c r="AG491" s="222"/>
      <c r="AK491" s="222"/>
      <c r="AO491" s="222"/>
      <c r="AS491" s="222"/>
      <c r="AW491" s="222"/>
      <c r="BA491" s="222"/>
      <c r="BE491" s="222"/>
      <c r="BK491" s="222"/>
      <c r="BO491" s="222"/>
      <c r="BU491" s="222"/>
      <c r="BY491" s="222"/>
      <c r="CC491" s="222"/>
      <c r="CG491" s="222"/>
      <c r="CK491" s="222"/>
      <c r="CQ491" s="222"/>
      <c r="CU491" s="222"/>
      <c r="CY491" s="222"/>
    </row>
    <row r="492">
      <c r="A492" s="227"/>
      <c r="E492" s="222"/>
      <c r="I492" s="222"/>
      <c r="M492" s="222"/>
      <c r="Q492" s="222"/>
      <c r="U492" s="222"/>
      <c r="Y492" s="222"/>
      <c r="AC492" s="222"/>
      <c r="AG492" s="222"/>
      <c r="AK492" s="222"/>
      <c r="AO492" s="222"/>
      <c r="AS492" s="222"/>
      <c r="AW492" s="222"/>
      <c r="BA492" s="222"/>
      <c r="BE492" s="222"/>
      <c r="BK492" s="222"/>
      <c r="BO492" s="222"/>
      <c r="BU492" s="222"/>
      <c r="BY492" s="222"/>
      <c r="CC492" s="222"/>
      <c r="CG492" s="222"/>
      <c r="CK492" s="222"/>
      <c r="CQ492" s="222"/>
      <c r="CU492" s="222"/>
      <c r="CY492" s="222"/>
    </row>
    <row r="493">
      <c r="A493" s="227"/>
      <c r="E493" s="222"/>
      <c r="I493" s="222"/>
      <c r="M493" s="222"/>
      <c r="Q493" s="222"/>
      <c r="U493" s="222"/>
      <c r="Y493" s="222"/>
      <c r="AC493" s="222"/>
      <c r="AG493" s="222"/>
      <c r="AK493" s="222"/>
      <c r="AO493" s="222"/>
      <c r="AS493" s="222"/>
      <c r="AW493" s="222"/>
      <c r="BA493" s="222"/>
      <c r="BE493" s="222"/>
      <c r="BK493" s="222"/>
      <c r="BO493" s="222"/>
      <c r="BU493" s="222"/>
      <c r="BY493" s="222"/>
      <c r="CC493" s="222"/>
      <c r="CG493" s="222"/>
      <c r="CK493" s="222"/>
      <c r="CQ493" s="222"/>
      <c r="CU493" s="222"/>
      <c r="CY493" s="222"/>
    </row>
    <row r="494">
      <c r="A494" s="227"/>
      <c r="E494" s="222"/>
      <c r="I494" s="222"/>
      <c r="M494" s="222"/>
      <c r="Q494" s="222"/>
      <c r="U494" s="222"/>
      <c r="Y494" s="222"/>
      <c r="AC494" s="222"/>
      <c r="AG494" s="222"/>
      <c r="AK494" s="222"/>
      <c r="AO494" s="222"/>
      <c r="AS494" s="222"/>
      <c r="AW494" s="222"/>
      <c r="BA494" s="222"/>
      <c r="BE494" s="222"/>
      <c r="BK494" s="222"/>
      <c r="BO494" s="222"/>
      <c r="BU494" s="222"/>
      <c r="BY494" s="222"/>
      <c r="CC494" s="222"/>
      <c r="CG494" s="222"/>
      <c r="CK494" s="222"/>
      <c r="CQ494" s="222"/>
      <c r="CU494" s="222"/>
      <c r="CY494" s="222"/>
    </row>
    <row r="495">
      <c r="A495" s="227"/>
      <c r="E495" s="222"/>
      <c r="I495" s="222"/>
      <c r="M495" s="222"/>
      <c r="Q495" s="222"/>
      <c r="U495" s="222"/>
      <c r="Y495" s="222"/>
      <c r="AC495" s="222"/>
      <c r="AG495" s="222"/>
      <c r="AK495" s="222"/>
      <c r="AO495" s="222"/>
      <c r="AS495" s="222"/>
      <c r="AW495" s="222"/>
      <c r="BA495" s="222"/>
      <c r="BE495" s="222"/>
      <c r="BK495" s="222"/>
      <c r="BO495" s="222"/>
      <c r="BU495" s="222"/>
      <c r="BY495" s="222"/>
      <c r="CC495" s="222"/>
      <c r="CG495" s="222"/>
      <c r="CK495" s="222"/>
      <c r="CQ495" s="222"/>
      <c r="CU495" s="222"/>
      <c r="CY495" s="222"/>
    </row>
    <row r="496">
      <c r="A496" s="227"/>
      <c r="E496" s="222"/>
      <c r="I496" s="222"/>
      <c r="M496" s="222"/>
      <c r="Q496" s="222"/>
      <c r="U496" s="222"/>
      <c r="Y496" s="222"/>
      <c r="AC496" s="222"/>
      <c r="AG496" s="222"/>
      <c r="AK496" s="222"/>
      <c r="AO496" s="222"/>
      <c r="AS496" s="222"/>
      <c r="AW496" s="222"/>
      <c r="BA496" s="222"/>
      <c r="BE496" s="222"/>
      <c r="BK496" s="222"/>
      <c r="BO496" s="222"/>
      <c r="BU496" s="222"/>
      <c r="BY496" s="222"/>
      <c r="CC496" s="222"/>
      <c r="CG496" s="222"/>
      <c r="CK496" s="222"/>
      <c r="CQ496" s="222"/>
      <c r="CU496" s="222"/>
      <c r="CY496" s="222"/>
    </row>
    <row r="497">
      <c r="A497" s="227"/>
      <c r="E497" s="222"/>
      <c r="I497" s="222"/>
      <c r="M497" s="222"/>
      <c r="Q497" s="222"/>
      <c r="U497" s="222"/>
      <c r="Y497" s="222"/>
      <c r="AC497" s="222"/>
      <c r="AG497" s="222"/>
      <c r="AK497" s="222"/>
      <c r="AO497" s="222"/>
      <c r="AS497" s="222"/>
      <c r="AW497" s="222"/>
      <c r="BA497" s="222"/>
      <c r="BE497" s="222"/>
      <c r="BK497" s="222"/>
      <c r="BO497" s="222"/>
      <c r="BU497" s="222"/>
      <c r="BY497" s="222"/>
      <c r="CC497" s="222"/>
      <c r="CG497" s="222"/>
      <c r="CK497" s="222"/>
      <c r="CQ497" s="222"/>
      <c r="CU497" s="222"/>
      <c r="CY497" s="222"/>
    </row>
    <row r="498">
      <c r="A498" s="227"/>
      <c r="E498" s="222"/>
      <c r="I498" s="222"/>
      <c r="M498" s="222"/>
      <c r="Q498" s="222"/>
      <c r="U498" s="222"/>
      <c r="Y498" s="222"/>
      <c r="AC498" s="222"/>
      <c r="AG498" s="222"/>
      <c r="AK498" s="222"/>
      <c r="AO498" s="222"/>
      <c r="AS498" s="222"/>
      <c r="AW498" s="222"/>
      <c r="BA498" s="222"/>
      <c r="BE498" s="222"/>
      <c r="BK498" s="222"/>
      <c r="BO498" s="222"/>
      <c r="BU498" s="222"/>
      <c r="BY498" s="222"/>
      <c r="CC498" s="222"/>
      <c r="CG498" s="222"/>
      <c r="CK498" s="222"/>
      <c r="CQ498" s="222"/>
      <c r="CU498" s="222"/>
      <c r="CY498" s="222"/>
    </row>
    <row r="499">
      <c r="A499" s="227"/>
      <c r="E499" s="222"/>
      <c r="I499" s="222"/>
      <c r="M499" s="222"/>
      <c r="Q499" s="222"/>
      <c r="U499" s="222"/>
      <c r="Y499" s="222"/>
      <c r="AC499" s="222"/>
      <c r="AG499" s="222"/>
      <c r="AK499" s="222"/>
      <c r="AO499" s="222"/>
      <c r="AS499" s="222"/>
      <c r="AW499" s="222"/>
      <c r="BA499" s="222"/>
      <c r="BE499" s="222"/>
      <c r="BK499" s="222"/>
      <c r="BO499" s="222"/>
      <c r="BU499" s="222"/>
      <c r="BY499" s="222"/>
      <c r="CC499" s="222"/>
      <c r="CG499" s="222"/>
      <c r="CK499" s="222"/>
      <c r="CQ499" s="222"/>
      <c r="CU499" s="222"/>
      <c r="CY499" s="222"/>
    </row>
    <row r="500">
      <c r="A500" s="227"/>
      <c r="E500" s="222"/>
      <c r="I500" s="222"/>
      <c r="M500" s="222"/>
      <c r="Q500" s="222"/>
      <c r="U500" s="222"/>
      <c r="Y500" s="222"/>
      <c r="AC500" s="222"/>
      <c r="AG500" s="222"/>
      <c r="AK500" s="222"/>
      <c r="AO500" s="222"/>
      <c r="AS500" s="222"/>
      <c r="AW500" s="222"/>
      <c r="BA500" s="222"/>
      <c r="BE500" s="222"/>
      <c r="BK500" s="222"/>
      <c r="BO500" s="222"/>
      <c r="BU500" s="222"/>
      <c r="BY500" s="222"/>
      <c r="CC500" s="222"/>
      <c r="CG500" s="222"/>
      <c r="CK500" s="222"/>
      <c r="CQ500" s="222"/>
      <c r="CU500" s="222"/>
      <c r="CY500" s="222"/>
    </row>
    <row r="501">
      <c r="A501" s="227"/>
      <c r="E501" s="222"/>
      <c r="I501" s="222"/>
      <c r="M501" s="222"/>
      <c r="Q501" s="222"/>
      <c r="U501" s="222"/>
      <c r="Y501" s="222"/>
      <c r="AC501" s="222"/>
      <c r="AG501" s="222"/>
      <c r="AK501" s="222"/>
      <c r="AO501" s="222"/>
      <c r="AS501" s="222"/>
      <c r="AW501" s="222"/>
      <c r="BA501" s="222"/>
      <c r="BE501" s="222"/>
      <c r="BK501" s="222"/>
      <c r="BO501" s="222"/>
      <c r="BU501" s="222"/>
      <c r="BY501" s="222"/>
      <c r="CC501" s="222"/>
      <c r="CG501" s="222"/>
      <c r="CK501" s="222"/>
      <c r="CQ501" s="222"/>
      <c r="CU501" s="222"/>
      <c r="CY501" s="222"/>
    </row>
    <row r="502">
      <c r="A502" s="227"/>
      <c r="E502" s="222"/>
      <c r="I502" s="222"/>
      <c r="M502" s="222"/>
      <c r="Q502" s="222"/>
      <c r="U502" s="222"/>
      <c r="Y502" s="222"/>
      <c r="AC502" s="222"/>
      <c r="AG502" s="222"/>
      <c r="AK502" s="222"/>
      <c r="AO502" s="222"/>
      <c r="AS502" s="222"/>
      <c r="AW502" s="222"/>
      <c r="BA502" s="222"/>
      <c r="BE502" s="222"/>
      <c r="BK502" s="222"/>
      <c r="BO502" s="222"/>
      <c r="BU502" s="222"/>
      <c r="BY502" s="222"/>
      <c r="CC502" s="222"/>
      <c r="CG502" s="222"/>
      <c r="CK502" s="222"/>
      <c r="CQ502" s="222"/>
      <c r="CU502" s="222"/>
      <c r="CY502" s="222"/>
    </row>
    <row r="503">
      <c r="A503" s="227"/>
      <c r="E503" s="222"/>
      <c r="I503" s="222"/>
      <c r="M503" s="222"/>
      <c r="Q503" s="222"/>
      <c r="U503" s="222"/>
      <c r="Y503" s="222"/>
      <c r="AC503" s="222"/>
      <c r="AG503" s="222"/>
      <c r="AK503" s="222"/>
      <c r="AO503" s="222"/>
      <c r="AS503" s="222"/>
      <c r="AW503" s="222"/>
      <c r="BA503" s="222"/>
      <c r="BE503" s="222"/>
      <c r="BK503" s="222"/>
      <c r="BO503" s="222"/>
      <c r="BU503" s="222"/>
      <c r="BY503" s="222"/>
      <c r="CC503" s="222"/>
      <c r="CG503" s="222"/>
      <c r="CK503" s="222"/>
      <c r="CQ503" s="222"/>
      <c r="CU503" s="222"/>
      <c r="CY503" s="222"/>
    </row>
    <row r="504">
      <c r="A504" s="227"/>
      <c r="E504" s="222"/>
      <c r="I504" s="222"/>
      <c r="M504" s="222"/>
      <c r="Q504" s="222"/>
      <c r="U504" s="222"/>
      <c r="Y504" s="222"/>
      <c r="AC504" s="222"/>
      <c r="AG504" s="222"/>
      <c r="AK504" s="222"/>
      <c r="AO504" s="222"/>
      <c r="AS504" s="222"/>
      <c r="AW504" s="222"/>
      <c r="BA504" s="222"/>
      <c r="BE504" s="222"/>
      <c r="BK504" s="222"/>
      <c r="BO504" s="222"/>
      <c r="BU504" s="222"/>
      <c r="BY504" s="222"/>
      <c r="CC504" s="222"/>
      <c r="CG504" s="222"/>
      <c r="CK504" s="222"/>
      <c r="CQ504" s="222"/>
      <c r="CU504" s="222"/>
      <c r="CY504" s="222"/>
    </row>
    <row r="505">
      <c r="A505" s="227"/>
      <c r="E505" s="222"/>
      <c r="I505" s="222"/>
      <c r="M505" s="222"/>
      <c r="Q505" s="222"/>
      <c r="U505" s="222"/>
      <c r="Y505" s="222"/>
      <c r="AC505" s="222"/>
      <c r="AG505" s="222"/>
      <c r="AK505" s="222"/>
      <c r="AO505" s="222"/>
      <c r="AS505" s="222"/>
      <c r="AW505" s="222"/>
      <c r="BA505" s="222"/>
      <c r="BE505" s="222"/>
      <c r="BK505" s="222"/>
      <c r="BO505" s="222"/>
      <c r="BU505" s="222"/>
      <c r="BY505" s="222"/>
      <c r="CC505" s="222"/>
      <c r="CG505" s="222"/>
      <c r="CK505" s="222"/>
      <c r="CQ505" s="222"/>
      <c r="CU505" s="222"/>
      <c r="CY505" s="222"/>
    </row>
    <row r="506">
      <c r="A506" s="227"/>
      <c r="E506" s="222"/>
      <c r="I506" s="222"/>
      <c r="M506" s="222"/>
      <c r="Q506" s="222"/>
      <c r="U506" s="222"/>
      <c r="Y506" s="222"/>
      <c r="AC506" s="222"/>
      <c r="AG506" s="222"/>
      <c r="AK506" s="222"/>
      <c r="AO506" s="222"/>
      <c r="AS506" s="222"/>
      <c r="AW506" s="222"/>
      <c r="BA506" s="222"/>
      <c r="BE506" s="222"/>
      <c r="BK506" s="222"/>
      <c r="BO506" s="222"/>
      <c r="BU506" s="222"/>
      <c r="BY506" s="222"/>
      <c r="CC506" s="222"/>
      <c r="CG506" s="222"/>
      <c r="CK506" s="222"/>
      <c r="CQ506" s="222"/>
      <c r="CU506" s="222"/>
      <c r="CY506" s="222"/>
    </row>
    <row r="507">
      <c r="A507" s="227"/>
      <c r="E507" s="222"/>
      <c r="I507" s="222"/>
      <c r="M507" s="222"/>
      <c r="Q507" s="222"/>
      <c r="U507" s="222"/>
      <c r="Y507" s="222"/>
      <c r="AC507" s="222"/>
      <c r="AG507" s="222"/>
      <c r="AK507" s="222"/>
      <c r="AO507" s="222"/>
      <c r="AS507" s="222"/>
      <c r="AW507" s="222"/>
      <c r="BA507" s="222"/>
      <c r="BE507" s="222"/>
      <c r="BK507" s="222"/>
      <c r="BO507" s="222"/>
      <c r="BU507" s="222"/>
      <c r="BY507" s="222"/>
      <c r="CC507" s="222"/>
      <c r="CG507" s="222"/>
      <c r="CK507" s="222"/>
      <c r="CQ507" s="222"/>
      <c r="CU507" s="222"/>
      <c r="CY507" s="222"/>
    </row>
    <row r="508">
      <c r="A508" s="227"/>
      <c r="E508" s="222"/>
      <c r="I508" s="222"/>
      <c r="M508" s="222"/>
      <c r="Q508" s="222"/>
      <c r="U508" s="222"/>
      <c r="Y508" s="222"/>
      <c r="AC508" s="222"/>
      <c r="AG508" s="222"/>
      <c r="AK508" s="222"/>
      <c r="AO508" s="222"/>
      <c r="AS508" s="222"/>
      <c r="AW508" s="222"/>
      <c r="BA508" s="222"/>
      <c r="BE508" s="222"/>
      <c r="BK508" s="222"/>
      <c r="BO508" s="222"/>
      <c r="BU508" s="222"/>
      <c r="BY508" s="222"/>
      <c r="CC508" s="222"/>
      <c r="CG508" s="222"/>
      <c r="CK508" s="222"/>
      <c r="CQ508" s="222"/>
      <c r="CU508" s="222"/>
      <c r="CY508" s="222"/>
    </row>
    <row r="509">
      <c r="A509" s="227"/>
      <c r="E509" s="222"/>
      <c r="I509" s="222"/>
      <c r="M509" s="222"/>
      <c r="Q509" s="222"/>
      <c r="U509" s="222"/>
      <c r="Y509" s="222"/>
      <c r="AC509" s="222"/>
      <c r="AG509" s="222"/>
      <c r="AK509" s="222"/>
      <c r="AO509" s="222"/>
      <c r="AS509" s="222"/>
      <c r="AW509" s="222"/>
      <c r="BA509" s="222"/>
      <c r="BE509" s="222"/>
      <c r="BK509" s="222"/>
      <c r="BO509" s="222"/>
      <c r="BU509" s="222"/>
      <c r="BY509" s="222"/>
      <c r="CC509" s="222"/>
      <c r="CG509" s="222"/>
      <c r="CK509" s="222"/>
      <c r="CQ509" s="222"/>
      <c r="CU509" s="222"/>
      <c r="CY509" s="222"/>
    </row>
    <row r="510">
      <c r="A510" s="227"/>
      <c r="E510" s="222"/>
      <c r="I510" s="222"/>
      <c r="M510" s="222"/>
      <c r="Q510" s="222"/>
      <c r="U510" s="222"/>
      <c r="Y510" s="222"/>
      <c r="AC510" s="222"/>
      <c r="AG510" s="222"/>
      <c r="AK510" s="222"/>
      <c r="AO510" s="222"/>
      <c r="AS510" s="222"/>
      <c r="AW510" s="222"/>
      <c r="BA510" s="222"/>
      <c r="BE510" s="222"/>
      <c r="BK510" s="222"/>
      <c r="BO510" s="222"/>
      <c r="BU510" s="222"/>
      <c r="BY510" s="222"/>
      <c r="CC510" s="222"/>
      <c r="CG510" s="222"/>
      <c r="CK510" s="222"/>
      <c r="CQ510" s="222"/>
      <c r="CU510" s="222"/>
      <c r="CY510" s="222"/>
    </row>
    <row r="511">
      <c r="A511" s="227"/>
      <c r="E511" s="222"/>
      <c r="I511" s="222"/>
      <c r="M511" s="222"/>
      <c r="Q511" s="222"/>
      <c r="U511" s="222"/>
      <c r="Y511" s="222"/>
      <c r="AC511" s="222"/>
      <c r="AG511" s="222"/>
      <c r="AK511" s="222"/>
      <c r="AO511" s="222"/>
      <c r="AS511" s="222"/>
      <c r="AW511" s="222"/>
      <c r="BA511" s="222"/>
      <c r="BE511" s="222"/>
      <c r="BK511" s="222"/>
      <c r="BO511" s="222"/>
      <c r="BU511" s="222"/>
      <c r="BY511" s="222"/>
      <c r="CC511" s="222"/>
      <c r="CG511" s="222"/>
      <c r="CK511" s="222"/>
      <c r="CQ511" s="222"/>
      <c r="CU511" s="222"/>
      <c r="CY511" s="222"/>
    </row>
    <row r="512">
      <c r="A512" s="227"/>
      <c r="E512" s="222"/>
      <c r="I512" s="222"/>
      <c r="M512" s="222"/>
      <c r="Q512" s="222"/>
      <c r="U512" s="222"/>
      <c r="Y512" s="222"/>
      <c r="AC512" s="222"/>
      <c r="AG512" s="222"/>
      <c r="AK512" s="222"/>
      <c r="AO512" s="222"/>
      <c r="AS512" s="222"/>
      <c r="AW512" s="222"/>
      <c r="BA512" s="222"/>
      <c r="BE512" s="222"/>
      <c r="BK512" s="222"/>
      <c r="BO512" s="222"/>
      <c r="BU512" s="222"/>
      <c r="BY512" s="222"/>
      <c r="CC512" s="222"/>
      <c r="CG512" s="222"/>
      <c r="CK512" s="222"/>
      <c r="CQ512" s="222"/>
      <c r="CU512" s="222"/>
      <c r="CY512" s="222"/>
    </row>
    <row r="513">
      <c r="A513" s="227"/>
      <c r="E513" s="222"/>
      <c r="I513" s="222"/>
      <c r="M513" s="222"/>
      <c r="Q513" s="222"/>
      <c r="U513" s="222"/>
      <c r="Y513" s="222"/>
      <c r="AC513" s="222"/>
      <c r="AG513" s="222"/>
      <c r="AK513" s="222"/>
      <c r="AO513" s="222"/>
      <c r="AS513" s="222"/>
      <c r="AW513" s="222"/>
      <c r="BA513" s="222"/>
      <c r="BE513" s="222"/>
      <c r="BK513" s="222"/>
      <c r="BO513" s="222"/>
      <c r="BU513" s="222"/>
      <c r="BY513" s="222"/>
      <c r="CC513" s="222"/>
      <c r="CG513" s="222"/>
      <c r="CK513" s="222"/>
      <c r="CQ513" s="222"/>
      <c r="CU513" s="222"/>
      <c r="CY513" s="222"/>
    </row>
    <row r="514">
      <c r="A514" s="227"/>
      <c r="E514" s="222"/>
      <c r="I514" s="222"/>
      <c r="M514" s="222"/>
      <c r="Q514" s="222"/>
      <c r="U514" s="222"/>
      <c r="Y514" s="222"/>
      <c r="AC514" s="222"/>
      <c r="AG514" s="222"/>
      <c r="AK514" s="222"/>
      <c r="AO514" s="222"/>
      <c r="AS514" s="222"/>
      <c r="AW514" s="222"/>
      <c r="BA514" s="222"/>
      <c r="BE514" s="222"/>
      <c r="BK514" s="222"/>
      <c r="BO514" s="222"/>
      <c r="BU514" s="222"/>
      <c r="BY514" s="222"/>
      <c r="CC514" s="222"/>
      <c r="CG514" s="222"/>
      <c r="CK514" s="222"/>
      <c r="CQ514" s="222"/>
      <c r="CU514" s="222"/>
      <c r="CY514" s="222"/>
    </row>
    <row r="515">
      <c r="A515" s="227"/>
      <c r="E515" s="222"/>
      <c r="I515" s="222"/>
      <c r="M515" s="222"/>
      <c r="Q515" s="222"/>
      <c r="U515" s="222"/>
      <c r="Y515" s="222"/>
      <c r="AC515" s="222"/>
      <c r="AG515" s="222"/>
      <c r="AK515" s="222"/>
      <c r="AO515" s="222"/>
      <c r="AS515" s="222"/>
      <c r="AW515" s="222"/>
      <c r="BA515" s="222"/>
      <c r="BE515" s="222"/>
      <c r="BK515" s="222"/>
      <c r="BO515" s="222"/>
      <c r="BU515" s="222"/>
      <c r="BY515" s="222"/>
      <c r="CC515" s="222"/>
      <c r="CG515" s="222"/>
      <c r="CK515" s="222"/>
      <c r="CQ515" s="222"/>
      <c r="CU515" s="222"/>
      <c r="CY515" s="222"/>
    </row>
    <row r="516">
      <c r="A516" s="227"/>
      <c r="E516" s="222"/>
      <c r="I516" s="222"/>
      <c r="M516" s="222"/>
      <c r="Q516" s="222"/>
      <c r="U516" s="222"/>
      <c r="Y516" s="222"/>
      <c r="AC516" s="222"/>
      <c r="AG516" s="222"/>
      <c r="AK516" s="222"/>
      <c r="AO516" s="222"/>
      <c r="AS516" s="222"/>
      <c r="AW516" s="222"/>
      <c r="BA516" s="222"/>
      <c r="BE516" s="222"/>
      <c r="BK516" s="222"/>
      <c r="BO516" s="222"/>
      <c r="BU516" s="222"/>
      <c r="BY516" s="222"/>
      <c r="CC516" s="222"/>
      <c r="CG516" s="222"/>
      <c r="CK516" s="222"/>
      <c r="CQ516" s="222"/>
      <c r="CU516" s="222"/>
      <c r="CY516" s="222"/>
    </row>
    <row r="517">
      <c r="A517" s="227"/>
      <c r="E517" s="222"/>
      <c r="I517" s="222"/>
      <c r="M517" s="222"/>
      <c r="Q517" s="222"/>
      <c r="U517" s="222"/>
      <c r="Y517" s="222"/>
      <c r="AC517" s="222"/>
      <c r="AG517" s="222"/>
      <c r="AK517" s="222"/>
      <c r="AO517" s="222"/>
      <c r="AS517" s="222"/>
      <c r="AW517" s="222"/>
      <c r="BA517" s="222"/>
      <c r="BE517" s="222"/>
      <c r="BK517" s="222"/>
      <c r="BO517" s="222"/>
      <c r="BU517" s="222"/>
      <c r="BY517" s="222"/>
      <c r="CC517" s="222"/>
      <c r="CG517" s="222"/>
      <c r="CK517" s="222"/>
      <c r="CQ517" s="222"/>
      <c r="CU517" s="222"/>
      <c r="CY517" s="222"/>
    </row>
    <row r="518">
      <c r="A518" s="227"/>
      <c r="E518" s="222"/>
      <c r="I518" s="222"/>
      <c r="M518" s="222"/>
      <c r="Q518" s="222"/>
      <c r="U518" s="222"/>
      <c r="Y518" s="222"/>
      <c r="AC518" s="222"/>
      <c r="AG518" s="222"/>
      <c r="AK518" s="222"/>
      <c r="AO518" s="222"/>
      <c r="AS518" s="222"/>
      <c r="AW518" s="222"/>
      <c r="BA518" s="222"/>
      <c r="BE518" s="222"/>
      <c r="BK518" s="222"/>
      <c r="BO518" s="222"/>
      <c r="BU518" s="222"/>
      <c r="BY518" s="222"/>
      <c r="CC518" s="222"/>
      <c r="CG518" s="222"/>
      <c r="CK518" s="222"/>
      <c r="CQ518" s="222"/>
      <c r="CU518" s="222"/>
      <c r="CY518" s="222"/>
    </row>
    <row r="519">
      <c r="A519" s="227"/>
      <c r="E519" s="222"/>
      <c r="I519" s="222"/>
      <c r="M519" s="222"/>
      <c r="Q519" s="222"/>
      <c r="U519" s="222"/>
      <c r="Y519" s="222"/>
      <c r="AC519" s="222"/>
      <c r="AG519" s="222"/>
      <c r="AK519" s="222"/>
      <c r="AO519" s="222"/>
      <c r="AS519" s="222"/>
      <c r="AW519" s="222"/>
      <c r="BA519" s="222"/>
      <c r="BE519" s="222"/>
      <c r="BK519" s="222"/>
      <c r="BO519" s="222"/>
      <c r="BU519" s="222"/>
      <c r="BY519" s="222"/>
      <c r="CC519" s="222"/>
      <c r="CG519" s="222"/>
      <c r="CK519" s="222"/>
      <c r="CQ519" s="222"/>
      <c r="CU519" s="222"/>
      <c r="CY519" s="222"/>
    </row>
    <row r="520">
      <c r="A520" s="227"/>
      <c r="E520" s="222"/>
      <c r="I520" s="222"/>
      <c r="M520" s="222"/>
      <c r="Q520" s="222"/>
      <c r="U520" s="222"/>
      <c r="Y520" s="222"/>
      <c r="AC520" s="222"/>
      <c r="AG520" s="222"/>
      <c r="AK520" s="222"/>
      <c r="AO520" s="222"/>
      <c r="AS520" s="222"/>
      <c r="AW520" s="222"/>
      <c r="BA520" s="222"/>
      <c r="BE520" s="222"/>
      <c r="BK520" s="222"/>
      <c r="BO520" s="222"/>
      <c r="BU520" s="222"/>
      <c r="BY520" s="222"/>
      <c r="CC520" s="222"/>
      <c r="CG520" s="222"/>
      <c r="CK520" s="222"/>
      <c r="CQ520" s="222"/>
      <c r="CU520" s="222"/>
      <c r="CY520" s="222"/>
    </row>
    <row r="521">
      <c r="A521" s="227"/>
      <c r="E521" s="222"/>
      <c r="I521" s="222"/>
      <c r="M521" s="222"/>
      <c r="Q521" s="222"/>
      <c r="U521" s="222"/>
      <c r="Y521" s="222"/>
      <c r="AC521" s="222"/>
      <c r="AG521" s="222"/>
      <c r="AK521" s="222"/>
      <c r="AO521" s="222"/>
      <c r="AS521" s="222"/>
      <c r="AW521" s="222"/>
      <c r="BA521" s="222"/>
      <c r="BE521" s="222"/>
      <c r="BK521" s="222"/>
      <c r="BO521" s="222"/>
      <c r="BU521" s="222"/>
      <c r="BY521" s="222"/>
      <c r="CC521" s="222"/>
      <c r="CG521" s="222"/>
      <c r="CK521" s="222"/>
      <c r="CQ521" s="222"/>
      <c r="CU521" s="222"/>
      <c r="CY521" s="222"/>
    </row>
    <row r="522">
      <c r="A522" s="227"/>
      <c r="E522" s="222"/>
      <c r="I522" s="222"/>
      <c r="M522" s="222"/>
      <c r="Q522" s="222"/>
      <c r="U522" s="222"/>
      <c r="Y522" s="222"/>
      <c r="AC522" s="222"/>
      <c r="AG522" s="222"/>
      <c r="AK522" s="222"/>
      <c r="AO522" s="222"/>
      <c r="AS522" s="222"/>
      <c r="AW522" s="222"/>
      <c r="BA522" s="222"/>
      <c r="BE522" s="222"/>
      <c r="BK522" s="222"/>
      <c r="BO522" s="222"/>
      <c r="BU522" s="222"/>
      <c r="BY522" s="222"/>
      <c r="CC522" s="222"/>
      <c r="CG522" s="222"/>
      <c r="CK522" s="222"/>
      <c r="CQ522" s="222"/>
      <c r="CU522" s="222"/>
      <c r="CY522" s="222"/>
    </row>
    <row r="523">
      <c r="A523" s="227"/>
      <c r="E523" s="222"/>
      <c r="I523" s="222"/>
      <c r="M523" s="222"/>
      <c r="Q523" s="222"/>
      <c r="U523" s="222"/>
      <c r="Y523" s="222"/>
      <c r="AC523" s="222"/>
      <c r="AG523" s="222"/>
      <c r="AK523" s="222"/>
      <c r="AO523" s="222"/>
      <c r="AS523" s="222"/>
      <c r="AW523" s="222"/>
      <c r="BA523" s="222"/>
      <c r="BE523" s="222"/>
      <c r="BK523" s="222"/>
      <c r="BO523" s="222"/>
      <c r="BU523" s="222"/>
      <c r="BY523" s="222"/>
      <c r="CC523" s="222"/>
      <c r="CG523" s="222"/>
      <c r="CK523" s="222"/>
      <c r="CQ523" s="222"/>
      <c r="CU523" s="222"/>
      <c r="CY523" s="222"/>
    </row>
    <row r="524">
      <c r="A524" s="227"/>
      <c r="E524" s="222"/>
      <c r="I524" s="222"/>
      <c r="M524" s="222"/>
      <c r="Q524" s="222"/>
      <c r="U524" s="222"/>
      <c r="Y524" s="222"/>
      <c r="AC524" s="222"/>
      <c r="AG524" s="222"/>
      <c r="AK524" s="222"/>
      <c r="AO524" s="222"/>
      <c r="AS524" s="222"/>
      <c r="AW524" s="222"/>
      <c r="BA524" s="222"/>
      <c r="BE524" s="222"/>
      <c r="BK524" s="222"/>
      <c r="BO524" s="222"/>
      <c r="BU524" s="222"/>
      <c r="BY524" s="222"/>
      <c r="CC524" s="222"/>
      <c r="CG524" s="222"/>
      <c r="CK524" s="222"/>
      <c r="CQ524" s="222"/>
      <c r="CU524" s="222"/>
      <c r="CY524" s="222"/>
    </row>
    <row r="525">
      <c r="A525" s="227"/>
      <c r="E525" s="222"/>
      <c r="I525" s="222"/>
      <c r="M525" s="222"/>
      <c r="Q525" s="222"/>
      <c r="U525" s="222"/>
      <c r="Y525" s="222"/>
      <c r="AC525" s="222"/>
      <c r="AG525" s="222"/>
      <c r="AK525" s="222"/>
      <c r="AO525" s="222"/>
      <c r="AS525" s="222"/>
      <c r="AW525" s="222"/>
      <c r="BA525" s="222"/>
      <c r="BE525" s="222"/>
      <c r="BK525" s="222"/>
      <c r="BO525" s="222"/>
      <c r="BU525" s="222"/>
      <c r="BY525" s="222"/>
      <c r="CC525" s="222"/>
      <c r="CG525" s="222"/>
      <c r="CK525" s="222"/>
      <c r="CQ525" s="222"/>
      <c r="CU525" s="222"/>
      <c r="CY525" s="222"/>
    </row>
    <row r="526">
      <c r="A526" s="227"/>
      <c r="E526" s="222"/>
      <c r="I526" s="222"/>
      <c r="M526" s="222"/>
      <c r="Q526" s="222"/>
      <c r="U526" s="222"/>
      <c r="Y526" s="222"/>
      <c r="AC526" s="222"/>
      <c r="AG526" s="222"/>
      <c r="AK526" s="222"/>
      <c r="AO526" s="222"/>
      <c r="AS526" s="222"/>
      <c r="AW526" s="222"/>
      <c r="BA526" s="222"/>
      <c r="BE526" s="222"/>
      <c r="BK526" s="222"/>
      <c r="BO526" s="222"/>
      <c r="BU526" s="222"/>
      <c r="BY526" s="222"/>
      <c r="CC526" s="222"/>
      <c r="CG526" s="222"/>
      <c r="CK526" s="222"/>
      <c r="CQ526" s="222"/>
      <c r="CU526" s="222"/>
      <c r="CY526" s="222"/>
    </row>
    <row r="527">
      <c r="A527" s="227"/>
      <c r="E527" s="222"/>
      <c r="I527" s="222"/>
      <c r="M527" s="222"/>
      <c r="Q527" s="222"/>
      <c r="U527" s="222"/>
      <c r="Y527" s="222"/>
      <c r="AC527" s="222"/>
      <c r="AG527" s="222"/>
      <c r="AK527" s="222"/>
      <c r="AO527" s="222"/>
      <c r="AS527" s="222"/>
      <c r="AW527" s="222"/>
      <c r="BA527" s="222"/>
      <c r="BE527" s="222"/>
      <c r="BK527" s="222"/>
      <c r="BO527" s="222"/>
      <c r="BU527" s="222"/>
      <c r="BY527" s="222"/>
      <c r="CC527" s="222"/>
      <c r="CG527" s="222"/>
      <c r="CK527" s="222"/>
      <c r="CQ527" s="222"/>
      <c r="CU527" s="222"/>
      <c r="CY527" s="222"/>
    </row>
    <row r="528">
      <c r="A528" s="227"/>
      <c r="E528" s="222"/>
      <c r="I528" s="222"/>
      <c r="M528" s="222"/>
      <c r="Q528" s="222"/>
      <c r="U528" s="222"/>
      <c r="Y528" s="222"/>
      <c r="AC528" s="222"/>
      <c r="AG528" s="222"/>
      <c r="AK528" s="222"/>
      <c r="AO528" s="222"/>
      <c r="AS528" s="222"/>
      <c r="AW528" s="222"/>
      <c r="BA528" s="222"/>
      <c r="BE528" s="222"/>
      <c r="BK528" s="222"/>
      <c r="BO528" s="222"/>
      <c r="BU528" s="222"/>
      <c r="BY528" s="222"/>
      <c r="CC528" s="222"/>
      <c r="CG528" s="222"/>
      <c r="CK528" s="222"/>
      <c r="CQ528" s="222"/>
      <c r="CU528" s="222"/>
      <c r="CY528" s="222"/>
    </row>
    <row r="529">
      <c r="A529" s="227"/>
      <c r="E529" s="222"/>
      <c r="I529" s="222"/>
      <c r="M529" s="222"/>
      <c r="Q529" s="222"/>
      <c r="U529" s="222"/>
      <c r="Y529" s="222"/>
      <c r="AC529" s="222"/>
      <c r="AG529" s="222"/>
      <c r="AK529" s="222"/>
      <c r="AO529" s="222"/>
      <c r="AS529" s="222"/>
      <c r="AW529" s="222"/>
      <c r="BA529" s="222"/>
      <c r="BE529" s="222"/>
      <c r="BK529" s="222"/>
      <c r="BO529" s="222"/>
      <c r="BU529" s="222"/>
      <c r="BY529" s="222"/>
      <c r="CC529" s="222"/>
      <c r="CG529" s="222"/>
      <c r="CK529" s="222"/>
      <c r="CQ529" s="222"/>
      <c r="CU529" s="222"/>
      <c r="CY529" s="222"/>
    </row>
    <row r="530">
      <c r="A530" s="227"/>
      <c r="E530" s="222"/>
      <c r="I530" s="222"/>
      <c r="M530" s="222"/>
      <c r="Q530" s="222"/>
      <c r="U530" s="222"/>
      <c r="Y530" s="222"/>
      <c r="AC530" s="222"/>
      <c r="AG530" s="222"/>
      <c r="AK530" s="222"/>
      <c r="AO530" s="222"/>
      <c r="AS530" s="222"/>
      <c r="AW530" s="222"/>
      <c r="BA530" s="222"/>
      <c r="BE530" s="222"/>
      <c r="BK530" s="222"/>
      <c r="BO530" s="222"/>
      <c r="BU530" s="222"/>
      <c r="BY530" s="222"/>
      <c r="CC530" s="222"/>
      <c r="CG530" s="222"/>
      <c r="CK530" s="222"/>
      <c r="CQ530" s="222"/>
      <c r="CU530" s="222"/>
      <c r="CY530" s="222"/>
    </row>
    <row r="531">
      <c r="A531" s="227"/>
      <c r="E531" s="222"/>
      <c r="I531" s="222"/>
      <c r="M531" s="222"/>
      <c r="Q531" s="222"/>
      <c r="U531" s="222"/>
      <c r="Y531" s="222"/>
      <c r="AC531" s="222"/>
      <c r="AG531" s="222"/>
      <c r="AK531" s="222"/>
      <c r="AO531" s="222"/>
      <c r="AS531" s="222"/>
      <c r="AW531" s="222"/>
      <c r="BA531" s="222"/>
      <c r="BE531" s="222"/>
      <c r="BK531" s="222"/>
      <c r="BO531" s="222"/>
      <c r="BU531" s="222"/>
      <c r="BY531" s="222"/>
      <c r="CC531" s="222"/>
      <c r="CG531" s="222"/>
      <c r="CK531" s="222"/>
      <c r="CQ531" s="222"/>
      <c r="CU531" s="222"/>
      <c r="CY531" s="222"/>
    </row>
    <row r="532">
      <c r="A532" s="227"/>
      <c r="E532" s="222"/>
      <c r="I532" s="222"/>
      <c r="M532" s="222"/>
      <c r="Q532" s="222"/>
      <c r="U532" s="222"/>
      <c r="Y532" s="222"/>
      <c r="AC532" s="222"/>
      <c r="AG532" s="222"/>
      <c r="AK532" s="222"/>
      <c r="AO532" s="222"/>
      <c r="AS532" s="222"/>
      <c r="AW532" s="222"/>
      <c r="BA532" s="222"/>
      <c r="BE532" s="222"/>
      <c r="BK532" s="222"/>
      <c r="BO532" s="222"/>
      <c r="BU532" s="222"/>
      <c r="BY532" s="222"/>
      <c r="CC532" s="222"/>
      <c r="CG532" s="222"/>
      <c r="CK532" s="222"/>
      <c r="CQ532" s="222"/>
      <c r="CU532" s="222"/>
      <c r="CY532" s="222"/>
    </row>
    <row r="533">
      <c r="A533" s="227"/>
      <c r="E533" s="222"/>
      <c r="I533" s="222"/>
      <c r="M533" s="222"/>
      <c r="Q533" s="222"/>
      <c r="U533" s="222"/>
      <c r="Y533" s="222"/>
      <c r="AC533" s="222"/>
      <c r="AG533" s="222"/>
      <c r="AK533" s="222"/>
      <c r="AO533" s="222"/>
      <c r="AS533" s="222"/>
      <c r="AW533" s="222"/>
      <c r="BA533" s="222"/>
      <c r="BE533" s="222"/>
      <c r="BK533" s="222"/>
      <c r="BO533" s="222"/>
      <c r="BU533" s="222"/>
      <c r="BY533" s="222"/>
      <c r="CC533" s="222"/>
      <c r="CG533" s="222"/>
      <c r="CK533" s="222"/>
      <c r="CQ533" s="222"/>
      <c r="CU533" s="222"/>
      <c r="CY533" s="222"/>
    </row>
    <row r="534">
      <c r="A534" s="227"/>
      <c r="E534" s="222"/>
      <c r="I534" s="222"/>
      <c r="M534" s="222"/>
      <c r="Q534" s="222"/>
      <c r="U534" s="222"/>
      <c r="Y534" s="222"/>
      <c r="AC534" s="222"/>
      <c r="AG534" s="222"/>
      <c r="AK534" s="222"/>
      <c r="AO534" s="222"/>
      <c r="AS534" s="222"/>
      <c r="AW534" s="222"/>
      <c r="BA534" s="222"/>
      <c r="BE534" s="222"/>
      <c r="BK534" s="222"/>
      <c r="BO534" s="222"/>
      <c r="BU534" s="222"/>
      <c r="BY534" s="222"/>
      <c r="CC534" s="222"/>
      <c r="CG534" s="222"/>
      <c r="CK534" s="222"/>
      <c r="CQ534" s="222"/>
      <c r="CU534" s="222"/>
      <c r="CY534" s="222"/>
    </row>
    <row r="535">
      <c r="A535" s="227"/>
      <c r="E535" s="222"/>
      <c r="I535" s="222"/>
      <c r="M535" s="222"/>
      <c r="Q535" s="222"/>
      <c r="U535" s="222"/>
      <c r="Y535" s="222"/>
      <c r="AC535" s="222"/>
      <c r="AG535" s="222"/>
      <c r="AK535" s="222"/>
      <c r="AO535" s="222"/>
      <c r="AS535" s="222"/>
      <c r="AW535" s="222"/>
      <c r="BA535" s="222"/>
      <c r="BE535" s="222"/>
      <c r="BK535" s="222"/>
      <c r="BO535" s="222"/>
      <c r="BU535" s="222"/>
      <c r="BY535" s="222"/>
      <c r="CC535" s="222"/>
      <c r="CG535" s="222"/>
      <c r="CK535" s="222"/>
      <c r="CQ535" s="222"/>
      <c r="CU535" s="222"/>
      <c r="CY535" s="222"/>
    </row>
    <row r="536">
      <c r="A536" s="227"/>
      <c r="E536" s="222"/>
      <c r="I536" s="222"/>
      <c r="M536" s="222"/>
      <c r="Q536" s="222"/>
      <c r="U536" s="222"/>
      <c r="Y536" s="222"/>
      <c r="AC536" s="222"/>
      <c r="AG536" s="222"/>
      <c r="AK536" s="222"/>
      <c r="AO536" s="222"/>
      <c r="AS536" s="222"/>
      <c r="AW536" s="222"/>
      <c r="BA536" s="222"/>
      <c r="BE536" s="222"/>
      <c r="BK536" s="222"/>
      <c r="BO536" s="222"/>
      <c r="BU536" s="222"/>
      <c r="BY536" s="222"/>
      <c r="CC536" s="222"/>
      <c r="CG536" s="222"/>
      <c r="CK536" s="222"/>
      <c r="CQ536" s="222"/>
      <c r="CU536" s="222"/>
      <c r="CY536" s="222"/>
    </row>
    <row r="537">
      <c r="A537" s="227"/>
      <c r="E537" s="222"/>
      <c r="I537" s="222"/>
      <c r="M537" s="222"/>
      <c r="Q537" s="222"/>
      <c r="U537" s="222"/>
      <c r="Y537" s="222"/>
      <c r="AC537" s="222"/>
      <c r="AG537" s="222"/>
      <c r="AK537" s="222"/>
      <c r="AO537" s="222"/>
      <c r="AS537" s="222"/>
      <c r="AW537" s="222"/>
      <c r="BA537" s="222"/>
      <c r="BE537" s="222"/>
      <c r="BK537" s="222"/>
      <c r="BO537" s="222"/>
      <c r="BU537" s="222"/>
      <c r="BY537" s="222"/>
      <c r="CC537" s="222"/>
      <c r="CG537" s="222"/>
      <c r="CK537" s="222"/>
      <c r="CQ537" s="222"/>
      <c r="CU537" s="222"/>
      <c r="CY537" s="222"/>
    </row>
    <row r="538">
      <c r="A538" s="227"/>
      <c r="E538" s="222"/>
      <c r="I538" s="222"/>
      <c r="M538" s="222"/>
      <c r="Q538" s="222"/>
      <c r="U538" s="222"/>
      <c r="Y538" s="222"/>
      <c r="AC538" s="222"/>
      <c r="AG538" s="222"/>
      <c r="AK538" s="222"/>
      <c r="AO538" s="222"/>
      <c r="AS538" s="222"/>
      <c r="AW538" s="222"/>
      <c r="BA538" s="222"/>
      <c r="BE538" s="222"/>
      <c r="BK538" s="222"/>
      <c r="BO538" s="222"/>
      <c r="BU538" s="222"/>
      <c r="BY538" s="222"/>
      <c r="CC538" s="222"/>
      <c r="CG538" s="222"/>
      <c r="CK538" s="222"/>
      <c r="CQ538" s="222"/>
      <c r="CU538" s="222"/>
      <c r="CY538" s="222"/>
    </row>
    <row r="539">
      <c r="A539" s="227"/>
      <c r="E539" s="222"/>
      <c r="I539" s="222"/>
      <c r="M539" s="222"/>
      <c r="Q539" s="222"/>
      <c r="U539" s="222"/>
      <c r="Y539" s="222"/>
      <c r="AC539" s="222"/>
      <c r="AG539" s="222"/>
      <c r="AK539" s="222"/>
      <c r="AO539" s="222"/>
      <c r="AS539" s="222"/>
      <c r="AW539" s="222"/>
      <c r="BA539" s="222"/>
      <c r="BE539" s="222"/>
      <c r="BK539" s="222"/>
      <c r="BO539" s="222"/>
      <c r="BU539" s="222"/>
      <c r="BY539" s="222"/>
      <c r="CC539" s="222"/>
      <c r="CG539" s="222"/>
      <c r="CK539" s="222"/>
      <c r="CQ539" s="222"/>
      <c r="CU539" s="222"/>
      <c r="CY539" s="222"/>
    </row>
    <row r="540">
      <c r="A540" s="227"/>
      <c r="E540" s="222"/>
      <c r="I540" s="222"/>
      <c r="M540" s="222"/>
      <c r="Q540" s="222"/>
      <c r="U540" s="222"/>
      <c r="Y540" s="222"/>
      <c r="AC540" s="222"/>
      <c r="AG540" s="222"/>
      <c r="AK540" s="222"/>
      <c r="AO540" s="222"/>
      <c r="AS540" s="222"/>
      <c r="AW540" s="222"/>
      <c r="BA540" s="222"/>
      <c r="BE540" s="222"/>
      <c r="BK540" s="222"/>
      <c r="BO540" s="222"/>
      <c r="BU540" s="222"/>
      <c r="BY540" s="222"/>
      <c r="CC540" s="222"/>
      <c r="CG540" s="222"/>
      <c r="CK540" s="222"/>
      <c r="CQ540" s="222"/>
      <c r="CU540" s="222"/>
      <c r="CY540" s="222"/>
    </row>
    <row r="541">
      <c r="A541" s="227"/>
      <c r="E541" s="222"/>
      <c r="I541" s="222"/>
      <c r="M541" s="222"/>
      <c r="Q541" s="222"/>
      <c r="U541" s="222"/>
      <c r="Y541" s="222"/>
      <c r="AC541" s="222"/>
      <c r="AG541" s="222"/>
      <c r="AK541" s="222"/>
      <c r="AO541" s="222"/>
      <c r="AS541" s="222"/>
      <c r="AW541" s="222"/>
      <c r="BA541" s="222"/>
      <c r="BE541" s="222"/>
      <c r="BK541" s="222"/>
      <c r="BO541" s="222"/>
      <c r="BU541" s="222"/>
      <c r="BY541" s="222"/>
      <c r="CC541" s="222"/>
      <c r="CG541" s="222"/>
      <c r="CK541" s="222"/>
      <c r="CQ541" s="222"/>
      <c r="CU541" s="222"/>
      <c r="CY541" s="222"/>
    </row>
    <row r="542">
      <c r="A542" s="227"/>
      <c r="E542" s="222"/>
      <c r="I542" s="222"/>
      <c r="M542" s="222"/>
      <c r="Q542" s="222"/>
      <c r="U542" s="222"/>
      <c r="Y542" s="222"/>
      <c r="AC542" s="222"/>
      <c r="AG542" s="222"/>
      <c r="AK542" s="222"/>
      <c r="AO542" s="222"/>
      <c r="AS542" s="222"/>
      <c r="AW542" s="222"/>
      <c r="BA542" s="222"/>
      <c r="BE542" s="222"/>
      <c r="BK542" s="222"/>
      <c r="BO542" s="222"/>
      <c r="BU542" s="222"/>
      <c r="BY542" s="222"/>
      <c r="CC542" s="222"/>
      <c r="CG542" s="222"/>
      <c r="CK542" s="222"/>
      <c r="CQ542" s="222"/>
      <c r="CU542" s="222"/>
      <c r="CY542" s="222"/>
    </row>
    <row r="543">
      <c r="A543" s="227"/>
      <c r="E543" s="222"/>
      <c r="I543" s="222"/>
      <c r="M543" s="222"/>
      <c r="Q543" s="222"/>
      <c r="U543" s="222"/>
      <c r="Y543" s="222"/>
      <c r="AC543" s="222"/>
      <c r="AG543" s="222"/>
      <c r="AK543" s="222"/>
      <c r="AO543" s="222"/>
      <c r="AS543" s="222"/>
      <c r="AW543" s="222"/>
      <c r="BA543" s="222"/>
      <c r="BE543" s="222"/>
      <c r="BK543" s="222"/>
      <c r="BO543" s="222"/>
      <c r="BU543" s="222"/>
      <c r="BY543" s="222"/>
      <c r="CC543" s="222"/>
      <c r="CG543" s="222"/>
      <c r="CK543" s="222"/>
      <c r="CQ543" s="222"/>
      <c r="CU543" s="222"/>
      <c r="CY543" s="222"/>
    </row>
    <row r="544">
      <c r="A544" s="227"/>
      <c r="E544" s="222"/>
      <c r="I544" s="222"/>
      <c r="M544" s="222"/>
      <c r="Q544" s="222"/>
      <c r="U544" s="222"/>
      <c r="Y544" s="222"/>
      <c r="AC544" s="222"/>
      <c r="AG544" s="222"/>
      <c r="AK544" s="222"/>
      <c r="AO544" s="222"/>
      <c r="AS544" s="222"/>
      <c r="AW544" s="222"/>
      <c r="BA544" s="222"/>
      <c r="BE544" s="222"/>
      <c r="BK544" s="222"/>
      <c r="BO544" s="222"/>
      <c r="BU544" s="222"/>
      <c r="BY544" s="222"/>
      <c r="CC544" s="222"/>
      <c r="CG544" s="222"/>
      <c r="CK544" s="222"/>
      <c r="CQ544" s="222"/>
      <c r="CU544" s="222"/>
      <c r="CY544" s="222"/>
    </row>
    <row r="545">
      <c r="A545" s="227"/>
      <c r="E545" s="222"/>
      <c r="I545" s="222"/>
      <c r="M545" s="222"/>
      <c r="Q545" s="222"/>
      <c r="U545" s="222"/>
      <c r="Y545" s="222"/>
      <c r="AC545" s="222"/>
      <c r="AG545" s="222"/>
      <c r="AK545" s="222"/>
      <c r="AO545" s="222"/>
      <c r="AS545" s="222"/>
      <c r="AW545" s="222"/>
      <c r="BA545" s="222"/>
      <c r="BE545" s="222"/>
      <c r="BK545" s="222"/>
      <c r="BO545" s="222"/>
      <c r="BU545" s="222"/>
      <c r="BY545" s="222"/>
      <c r="CC545" s="222"/>
      <c r="CG545" s="222"/>
      <c r="CK545" s="222"/>
      <c r="CQ545" s="222"/>
      <c r="CU545" s="222"/>
      <c r="CY545" s="222"/>
    </row>
    <row r="546">
      <c r="A546" s="227"/>
      <c r="E546" s="222"/>
      <c r="I546" s="222"/>
      <c r="M546" s="222"/>
      <c r="Q546" s="222"/>
      <c r="U546" s="222"/>
      <c r="Y546" s="222"/>
      <c r="AC546" s="222"/>
      <c r="AG546" s="222"/>
      <c r="AK546" s="222"/>
      <c r="AO546" s="222"/>
      <c r="AS546" s="222"/>
      <c r="AW546" s="222"/>
      <c r="BA546" s="222"/>
      <c r="BE546" s="222"/>
      <c r="BK546" s="222"/>
      <c r="BO546" s="222"/>
      <c r="BU546" s="222"/>
      <c r="BY546" s="222"/>
      <c r="CC546" s="222"/>
      <c r="CG546" s="222"/>
      <c r="CK546" s="222"/>
      <c r="CQ546" s="222"/>
      <c r="CU546" s="222"/>
      <c r="CY546" s="222"/>
    </row>
    <row r="547">
      <c r="A547" s="227"/>
      <c r="E547" s="222"/>
      <c r="I547" s="222"/>
      <c r="M547" s="222"/>
      <c r="Q547" s="222"/>
      <c r="U547" s="222"/>
      <c r="Y547" s="222"/>
      <c r="AC547" s="222"/>
      <c r="AG547" s="222"/>
      <c r="AK547" s="222"/>
      <c r="AO547" s="222"/>
      <c r="AS547" s="222"/>
      <c r="AW547" s="222"/>
      <c r="BA547" s="222"/>
      <c r="BE547" s="222"/>
      <c r="BK547" s="222"/>
      <c r="BO547" s="222"/>
      <c r="BU547" s="222"/>
      <c r="BY547" s="222"/>
      <c r="CC547" s="222"/>
      <c r="CG547" s="222"/>
      <c r="CK547" s="222"/>
      <c r="CQ547" s="222"/>
      <c r="CU547" s="222"/>
      <c r="CY547" s="222"/>
    </row>
    <row r="548">
      <c r="A548" s="227"/>
      <c r="E548" s="222"/>
      <c r="I548" s="222"/>
      <c r="M548" s="222"/>
      <c r="Q548" s="222"/>
      <c r="U548" s="222"/>
      <c r="Y548" s="222"/>
      <c r="AC548" s="222"/>
      <c r="AG548" s="222"/>
      <c r="AK548" s="222"/>
      <c r="AO548" s="222"/>
      <c r="AS548" s="222"/>
      <c r="AW548" s="222"/>
      <c r="BA548" s="222"/>
      <c r="BE548" s="222"/>
      <c r="BK548" s="222"/>
      <c r="BO548" s="222"/>
      <c r="BU548" s="222"/>
      <c r="BY548" s="222"/>
      <c r="CC548" s="222"/>
      <c r="CG548" s="222"/>
      <c r="CK548" s="222"/>
      <c r="CQ548" s="222"/>
      <c r="CU548" s="222"/>
      <c r="CY548" s="222"/>
    </row>
    <row r="549">
      <c r="A549" s="227"/>
      <c r="E549" s="222"/>
      <c r="I549" s="222"/>
      <c r="M549" s="222"/>
      <c r="Q549" s="222"/>
      <c r="U549" s="222"/>
      <c r="Y549" s="222"/>
      <c r="AC549" s="222"/>
      <c r="AG549" s="222"/>
      <c r="AK549" s="222"/>
      <c r="AO549" s="222"/>
      <c r="AS549" s="222"/>
      <c r="AW549" s="222"/>
      <c r="BA549" s="222"/>
      <c r="BE549" s="222"/>
      <c r="BK549" s="222"/>
      <c r="BO549" s="222"/>
      <c r="BU549" s="222"/>
      <c r="BY549" s="222"/>
      <c r="CC549" s="222"/>
      <c r="CG549" s="222"/>
      <c r="CK549" s="222"/>
      <c r="CQ549" s="222"/>
      <c r="CU549" s="222"/>
      <c r="CY549" s="222"/>
    </row>
    <row r="550">
      <c r="A550" s="227"/>
      <c r="E550" s="222"/>
      <c r="I550" s="222"/>
      <c r="M550" s="222"/>
      <c r="Q550" s="222"/>
      <c r="U550" s="222"/>
      <c r="Y550" s="222"/>
      <c r="AC550" s="222"/>
      <c r="AG550" s="222"/>
      <c r="AK550" s="222"/>
      <c r="AO550" s="222"/>
      <c r="AS550" s="222"/>
      <c r="AW550" s="222"/>
      <c r="BA550" s="222"/>
      <c r="BE550" s="222"/>
      <c r="BK550" s="222"/>
      <c r="BO550" s="222"/>
      <c r="BU550" s="222"/>
      <c r="BY550" s="222"/>
      <c r="CC550" s="222"/>
      <c r="CG550" s="222"/>
      <c r="CK550" s="222"/>
      <c r="CQ550" s="222"/>
      <c r="CU550" s="222"/>
      <c r="CY550" s="222"/>
    </row>
    <row r="551">
      <c r="A551" s="227"/>
      <c r="E551" s="222"/>
      <c r="I551" s="222"/>
      <c r="M551" s="222"/>
      <c r="Q551" s="222"/>
      <c r="U551" s="222"/>
      <c r="Y551" s="222"/>
      <c r="AC551" s="222"/>
      <c r="AG551" s="222"/>
      <c r="AK551" s="222"/>
      <c r="AO551" s="222"/>
      <c r="AS551" s="222"/>
      <c r="AW551" s="222"/>
      <c r="BA551" s="222"/>
      <c r="BE551" s="222"/>
      <c r="BK551" s="222"/>
      <c r="BO551" s="222"/>
      <c r="BU551" s="222"/>
      <c r="BY551" s="222"/>
      <c r="CC551" s="222"/>
      <c r="CG551" s="222"/>
      <c r="CK551" s="222"/>
      <c r="CQ551" s="222"/>
      <c r="CU551" s="222"/>
      <c r="CY551" s="222"/>
    </row>
    <row r="552">
      <c r="A552" s="227"/>
      <c r="E552" s="222"/>
      <c r="I552" s="222"/>
      <c r="M552" s="222"/>
      <c r="Q552" s="222"/>
      <c r="U552" s="222"/>
      <c r="Y552" s="222"/>
      <c r="AC552" s="222"/>
      <c r="AG552" s="222"/>
      <c r="AK552" s="222"/>
      <c r="AO552" s="222"/>
      <c r="AS552" s="222"/>
      <c r="AW552" s="222"/>
      <c r="BA552" s="222"/>
      <c r="BE552" s="222"/>
      <c r="BK552" s="222"/>
      <c r="BO552" s="222"/>
      <c r="BU552" s="222"/>
      <c r="BY552" s="222"/>
      <c r="CC552" s="222"/>
      <c r="CG552" s="222"/>
      <c r="CK552" s="222"/>
      <c r="CQ552" s="222"/>
      <c r="CU552" s="222"/>
      <c r="CY552" s="222"/>
    </row>
    <row r="553">
      <c r="A553" s="227"/>
      <c r="E553" s="222"/>
      <c r="I553" s="222"/>
      <c r="M553" s="222"/>
      <c r="Q553" s="222"/>
      <c r="U553" s="222"/>
      <c r="Y553" s="222"/>
      <c r="AC553" s="222"/>
      <c r="AG553" s="222"/>
      <c r="AK553" s="222"/>
      <c r="AO553" s="222"/>
      <c r="AS553" s="222"/>
      <c r="AW553" s="222"/>
      <c r="BA553" s="222"/>
      <c r="BE553" s="222"/>
      <c r="BK553" s="222"/>
      <c r="BO553" s="222"/>
      <c r="BU553" s="222"/>
      <c r="BY553" s="222"/>
      <c r="CC553" s="222"/>
      <c r="CG553" s="222"/>
      <c r="CK553" s="222"/>
      <c r="CQ553" s="222"/>
      <c r="CU553" s="222"/>
      <c r="CY553" s="222"/>
    </row>
    <row r="554">
      <c r="A554" s="227"/>
      <c r="E554" s="222"/>
      <c r="I554" s="222"/>
      <c r="M554" s="222"/>
      <c r="Q554" s="222"/>
      <c r="U554" s="222"/>
      <c r="Y554" s="222"/>
      <c r="AC554" s="222"/>
      <c r="AG554" s="222"/>
      <c r="AK554" s="222"/>
      <c r="AO554" s="222"/>
      <c r="AS554" s="222"/>
      <c r="AW554" s="222"/>
      <c r="BA554" s="222"/>
      <c r="BE554" s="222"/>
      <c r="BK554" s="222"/>
      <c r="BO554" s="222"/>
      <c r="BU554" s="222"/>
      <c r="BY554" s="222"/>
      <c r="CC554" s="222"/>
      <c r="CG554" s="222"/>
      <c r="CK554" s="222"/>
      <c r="CQ554" s="222"/>
      <c r="CU554" s="222"/>
      <c r="CY554" s="222"/>
    </row>
    <row r="555">
      <c r="A555" s="227"/>
      <c r="E555" s="222"/>
      <c r="I555" s="222"/>
      <c r="M555" s="222"/>
      <c r="Q555" s="222"/>
      <c r="U555" s="222"/>
      <c r="Y555" s="222"/>
      <c r="AC555" s="222"/>
      <c r="AG555" s="222"/>
      <c r="AK555" s="222"/>
      <c r="AO555" s="222"/>
      <c r="AS555" s="222"/>
      <c r="AW555" s="222"/>
      <c r="BA555" s="222"/>
      <c r="BE555" s="222"/>
      <c r="BK555" s="222"/>
      <c r="BO555" s="222"/>
      <c r="BU555" s="222"/>
      <c r="BY555" s="222"/>
      <c r="CC555" s="222"/>
      <c r="CG555" s="222"/>
      <c r="CK555" s="222"/>
      <c r="CQ555" s="222"/>
      <c r="CU555" s="222"/>
      <c r="CY555" s="222"/>
    </row>
    <row r="556">
      <c r="A556" s="227"/>
      <c r="E556" s="222"/>
      <c r="I556" s="222"/>
      <c r="M556" s="222"/>
      <c r="Q556" s="222"/>
      <c r="U556" s="222"/>
      <c r="Y556" s="222"/>
      <c r="AC556" s="222"/>
      <c r="AG556" s="222"/>
      <c r="AK556" s="222"/>
      <c r="AO556" s="222"/>
      <c r="AS556" s="222"/>
      <c r="AW556" s="222"/>
      <c r="BA556" s="222"/>
      <c r="BE556" s="222"/>
      <c r="BK556" s="222"/>
      <c r="BO556" s="222"/>
      <c r="BU556" s="222"/>
      <c r="BY556" s="222"/>
      <c r="CC556" s="222"/>
      <c r="CG556" s="222"/>
      <c r="CK556" s="222"/>
      <c r="CQ556" s="222"/>
      <c r="CU556" s="222"/>
      <c r="CY556" s="222"/>
    </row>
    <row r="557">
      <c r="A557" s="227"/>
      <c r="E557" s="222"/>
      <c r="I557" s="222"/>
      <c r="M557" s="222"/>
      <c r="Q557" s="222"/>
      <c r="U557" s="222"/>
      <c r="Y557" s="222"/>
      <c r="AC557" s="222"/>
      <c r="AG557" s="222"/>
      <c r="AK557" s="222"/>
      <c r="AO557" s="222"/>
      <c r="AS557" s="222"/>
      <c r="AW557" s="222"/>
      <c r="BA557" s="222"/>
      <c r="BE557" s="222"/>
      <c r="BK557" s="222"/>
      <c r="BO557" s="222"/>
      <c r="BU557" s="222"/>
      <c r="BY557" s="222"/>
      <c r="CC557" s="222"/>
      <c r="CG557" s="222"/>
      <c r="CK557" s="222"/>
      <c r="CQ557" s="222"/>
      <c r="CU557" s="222"/>
      <c r="CY557" s="222"/>
    </row>
    <row r="558">
      <c r="A558" s="227"/>
      <c r="E558" s="222"/>
      <c r="I558" s="222"/>
      <c r="M558" s="222"/>
      <c r="Q558" s="222"/>
      <c r="U558" s="222"/>
      <c r="Y558" s="222"/>
      <c r="AC558" s="222"/>
      <c r="AG558" s="222"/>
      <c r="AK558" s="222"/>
      <c r="AO558" s="222"/>
      <c r="AS558" s="222"/>
      <c r="AW558" s="222"/>
      <c r="BA558" s="222"/>
      <c r="BE558" s="222"/>
      <c r="BK558" s="222"/>
      <c r="BO558" s="222"/>
      <c r="BU558" s="222"/>
      <c r="BY558" s="222"/>
      <c r="CC558" s="222"/>
      <c r="CG558" s="222"/>
      <c r="CK558" s="222"/>
      <c r="CQ558" s="222"/>
      <c r="CU558" s="222"/>
      <c r="CY558" s="222"/>
    </row>
    <row r="559">
      <c r="A559" s="227"/>
      <c r="E559" s="222"/>
      <c r="I559" s="222"/>
      <c r="M559" s="222"/>
      <c r="Q559" s="222"/>
      <c r="U559" s="222"/>
      <c r="Y559" s="222"/>
      <c r="AC559" s="222"/>
      <c r="AG559" s="222"/>
      <c r="AK559" s="222"/>
      <c r="AO559" s="222"/>
      <c r="AS559" s="222"/>
      <c r="AW559" s="222"/>
      <c r="BA559" s="222"/>
      <c r="BE559" s="222"/>
      <c r="BK559" s="222"/>
      <c r="BO559" s="222"/>
      <c r="BU559" s="222"/>
      <c r="BY559" s="222"/>
      <c r="CC559" s="222"/>
      <c r="CG559" s="222"/>
      <c r="CK559" s="222"/>
      <c r="CQ559" s="222"/>
      <c r="CU559" s="222"/>
      <c r="CY559" s="222"/>
    </row>
    <row r="560">
      <c r="A560" s="227"/>
      <c r="E560" s="222"/>
      <c r="I560" s="222"/>
      <c r="M560" s="222"/>
      <c r="Q560" s="222"/>
      <c r="U560" s="222"/>
      <c r="Y560" s="222"/>
      <c r="AC560" s="222"/>
      <c r="AG560" s="222"/>
      <c r="AK560" s="222"/>
      <c r="AO560" s="222"/>
      <c r="AS560" s="222"/>
      <c r="AW560" s="222"/>
      <c r="BA560" s="222"/>
      <c r="BE560" s="222"/>
      <c r="BK560" s="222"/>
      <c r="BO560" s="222"/>
      <c r="BU560" s="222"/>
      <c r="BY560" s="222"/>
      <c r="CC560" s="222"/>
      <c r="CG560" s="222"/>
      <c r="CK560" s="222"/>
      <c r="CQ560" s="222"/>
      <c r="CU560" s="222"/>
      <c r="CY560" s="222"/>
    </row>
    <row r="561">
      <c r="A561" s="227"/>
      <c r="E561" s="222"/>
      <c r="I561" s="222"/>
      <c r="M561" s="222"/>
      <c r="Q561" s="222"/>
      <c r="U561" s="222"/>
      <c r="Y561" s="222"/>
      <c r="AC561" s="222"/>
      <c r="AG561" s="222"/>
      <c r="AK561" s="222"/>
      <c r="AO561" s="222"/>
      <c r="AS561" s="222"/>
      <c r="AW561" s="222"/>
      <c r="BA561" s="222"/>
      <c r="BE561" s="222"/>
      <c r="BK561" s="222"/>
      <c r="BO561" s="222"/>
      <c r="BU561" s="222"/>
      <c r="BY561" s="222"/>
      <c r="CC561" s="222"/>
      <c r="CG561" s="222"/>
      <c r="CK561" s="222"/>
      <c r="CQ561" s="222"/>
      <c r="CU561" s="222"/>
      <c r="CY561" s="222"/>
    </row>
    <row r="562">
      <c r="A562" s="227"/>
      <c r="E562" s="222"/>
      <c r="I562" s="222"/>
      <c r="M562" s="222"/>
      <c r="Q562" s="222"/>
      <c r="U562" s="222"/>
      <c r="Y562" s="222"/>
      <c r="AC562" s="222"/>
      <c r="AG562" s="222"/>
      <c r="AK562" s="222"/>
      <c r="AO562" s="222"/>
      <c r="AS562" s="222"/>
      <c r="AW562" s="222"/>
      <c r="BA562" s="222"/>
      <c r="BE562" s="222"/>
      <c r="BK562" s="222"/>
      <c r="BO562" s="222"/>
      <c r="BU562" s="222"/>
      <c r="BY562" s="222"/>
      <c r="CC562" s="222"/>
      <c r="CG562" s="222"/>
      <c r="CK562" s="222"/>
      <c r="CQ562" s="222"/>
      <c r="CU562" s="222"/>
      <c r="CY562" s="222"/>
    </row>
    <row r="563">
      <c r="A563" s="227"/>
      <c r="E563" s="222"/>
      <c r="I563" s="222"/>
      <c r="M563" s="222"/>
      <c r="Q563" s="222"/>
      <c r="U563" s="222"/>
      <c r="Y563" s="222"/>
      <c r="AC563" s="222"/>
      <c r="AG563" s="222"/>
      <c r="AK563" s="222"/>
      <c r="AO563" s="222"/>
      <c r="AS563" s="222"/>
      <c r="AW563" s="222"/>
      <c r="BA563" s="222"/>
      <c r="BE563" s="222"/>
      <c r="BK563" s="222"/>
      <c r="BO563" s="222"/>
      <c r="BU563" s="222"/>
      <c r="BY563" s="222"/>
      <c r="CC563" s="222"/>
      <c r="CG563" s="222"/>
      <c r="CK563" s="222"/>
      <c r="CQ563" s="222"/>
      <c r="CU563" s="222"/>
      <c r="CY563" s="222"/>
    </row>
    <row r="564">
      <c r="A564" s="227"/>
      <c r="E564" s="222"/>
      <c r="I564" s="222"/>
      <c r="M564" s="222"/>
      <c r="Q564" s="222"/>
      <c r="U564" s="222"/>
      <c r="Y564" s="222"/>
      <c r="AC564" s="222"/>
      <c r="AG564" s="222"/>
      <c r="AK564" s="222"/>
      <c r="AO564" s="222"/>
      <c r="AS564" s="222"/>
      <c r="AW564" s="222"/>
      <c r="BA564" s="222"/>
      <c r="BE564" s="222"/>
      <c r="BK564" s="222"/>
      <c r="BO564" s="222"/>
      <c r="BU564" s="222"/>
      <c r="BY564" s="222"/>
      <c r="CC564" s="222"/>
      <c r="CG564" s="222"/>
      <c r="CK564" s="222"/>
      <c r="CQ564" s="222"/>
      <c r="CU564" s="222"/>
      <c r="CY564" s="222"/>
    </row>
    <row r="565">
      <c r="A565" s="227"/>
      <c r="E565" s="222"/>
      <c r="I565" s="222"/>
      <c r="M565" s="222"/>
      <c r="Q565" s="222"/>
      <c r="U565" s="222"/>
      <c r="Y565" s="222"/>
      <c r="AC565" s="222"/>
      <c r="AG565" s="222"/>
      <c r="AK565" s="222"/>
      <c r="AO565" s="222"/>
      <c r="AS565" s="222"/>
      <c r="AW565" s="222"/>
      <c r="BA565" s="222"/>
      <c r="BE565" s="222"/>
      <c r="BK565" s="222"/>
      <c r="BO565" s="222"/>
      <c r="BU565" s="222"/>
      <c r="BY565" s="222"/>
      <c r="CC565" s="222"/>
      <c r="CG565" s="222"/>
      <c r="CK565" s="222"/>
      <c r="CQ565" s="222"/>
      <c r="CU565" s="222"/>
      <c r="CY565" s="222"/>
    </row>
    <row r="566">
      <c r="A566" s="227"/>
      <c r="E566" s="222"/>
      <c r="I566" s="222"/>
      <c r="M566" s="222"/>
      <c r="Q566" s="222"/>
      <c r="U566" s="222"/>
      <c r="Y566" s="222"/>
      <c r="AC566" s="222"/>
      <c r="AG566" s="222"/>
      <c r="AK566" s="222"/>
      <c r="AO566" s="222"/>
      <c r="AS566" s="222"/>
      <c r="AW566" s="222"/>
      <c r="BA566" s="222"/>
      <c r="BE566" s="222"/>
      <c r="BK566" s="222"/>
      <c r="BO566" s="222"/>
      <c r="BU566" s="222"/>
      <c r="BY566" s="222"/>
      <c r="CC566" s="222"/>
      <c r="CG566" s="222"/>
      <c r="CK566" s="222"/>
      <c r="CQ566" s="222"/>
      <c r="CU566" s="222"/>
      <c r="CY566" s="222"/>
    </row>
    <row r="567">
      <c r="A567" s="227"/>
      <c r="E567" s="222"/>
      <c r="I567" s="222"/>
      <c r="M567" s="222"/>
      <c r="Q567" s="222"/>
      <c r="U567" s="222"/>
      <c r="Y567" s="222"/>
      <c r="AC567" s="222"/>
      <c r="AG567" s="222"/>
      <c r="AK567" s="222"/>
      <c r="AO567" s="222"/>
      <c r="AS567" s="222"/>
      <c r="AW567" s="222"/>
      <c r="BA567" s="222"/>
      <c r="BE567" s="222"/>
      <c r="BK567" s="222"/>
      <c r="BO567" s="222"/>
      <c r="BU567" s="222"/>
      <c r="BY567" s="222"/>
      <c r="CC567" s="222"/>
      <c r="CG567" s="222"/>
      <c r="CK567" s="222"/>
      <c r="CQ567" s="222"/>
      <c r="CU567" s="222"/>
      <c r="CY567" s="222"/>
    </row>
    <row r="568">
      <c r="A568" s="227"/>
      <c r="E568" s="222"/>
      <c r="I568" s="222"/>
      <c r="M568" s="222"/>
      <c r="Q568" s="222"/>
      <c r="U568" s="222"/>
      <c r="Y568" s="222"/>
      <c r="AC568" s="222"/>
      <c r="AG568" s="222"/>
      <c r="AK568" s="222"/>
      <c r="AO568" s="222"/>
      <c r="AS568" s="222"/>
      <c r="AW568" s="222"/>
      <c r="BA568" s="222"/>
      <c r="BE568" s="222"/>
      <c r="BK568" s="222"/>
      <c r="BO568" s="222"/>
      <c r="BU568" s="222"/>
      <c r="BY568" s="222"/>
      <c r="CC568" s="222"/>
      <c r="CG568" s="222"/>
      <c r="CK568" s="222"/>
      <c r="CQ568" s="222"/>
      <c r="CU568" s="222"/>
      <c r="CY568" s="222"/>
    </row>
    <row r="569">
      <c r="A569" s="227"/>
      <c r="E569" s="222"/>
      <c r="I569" s="222"/>
      <c r="M569" s="222"/>
      <c r="Q569" s="222"/>
      <c r="U569" s="222"/>
      <c r="Y569" s="222"/>
      <c r="AC569" s="222"/>
      <c r="AG569" s="222"/>
      <c r="AK569" s="222"/>
      <c r="AO569" s="222"/>
      <c r="AS569" s="222"/>
      <c r="AW569" s="222"/>
      <c r="BA569" s="222"/>
      <c r="BE569" s="222"/>
      <c r="BK569" s="222"/>
      <c r="BO569" s="222"/>
      <c r="BU569" s="222"/>
      <c r="BY569" s="222"/>
      <c r="CC569" s="222"/>
      <c r="CG569" s="222"/>
      <c r="CK569" s="222"/>
      <c r="CQ569" s="222"/>
      <c r="CU569" s="222"/>
      <c r="CY569" s="222"/>
    </row>
    <row r="570">
      <c r="A570" s="227"/>
      <c r="E570" s="222"/>
      <c r="I570" s="222"/>
      <c r="M570" s="222"/>
      <c r="Q570" s="222"/>
      <c r="U570" s="222"/>
      <c r="Y570" s="222"/>
      <c r="AC570" s="222"/>
      <c r="AG570" s="222"/>
      <c r="AK570" s="222"/>
      <c r="AO570" s="222"/>
      <c r="AS570" s="222"/>
      <c r="AW570" s="222"/>
      <c r="BA570" s="222"/>
      <c r="BE570" s="222"/>
      <c r="BK570" s="222"/>
      <c r="BO570" s="222"/>
      <c r="BU570" s="222"/>
      <c r="BY570" s="222"/>
      <c r="CC570" s="222"/>
      <c r="CG570" s="222"/>
      <c r="CK570" s="222"/>
      <c r="CQ570" s="222"/>
      <c r="CU570" s="222"/>
      <c r="CY570" s="222"/>
    </row>
    <row r="571">
      <c r="A571" s="227"/>
      <c r="E571" s="222"/>
      <c r="I571" s="222"/>
      <c r="M571" s="222"/>
      <c r="Q571" s="222"/>
      <c r="U571" s="222"/>
      <c r="Y571" s="222"/>
      <c r="AC571" s="222"/>
      <c r="AG571" s="222"/>
      <c r="AK571" s="222"/>
      <c r="AO571" s="222"/>
      <c r="AS571" s="222"/>
      <c r="AW571" s="222"/>
      <c r="BA571" s="222"/>
      <c r="BE571" s="222"/>
      <c r="BK571" s="222"/>
      <c r="BO571" s="222"/>
      <c r="BU571" s="222"/>
      <c r="BY571" s="222"/>
      <c r="CC571" s="222"/>
      <c r="CG571" s="222"/>
      <c r="CK571" s="222"/>
      <c r="CQ571" s="222"/>
      <c r="CU571" s="222"/>
      <c r="CY571" s="222"/>
    </row>
    <row r="572">
      <c r="A572" s="227"/>
      <c r="E572" s="222"/>
      <c r="I572" s="222"/>
      <c r="M572" s="222"/>
      <c r="Q572" s="222"/>
      <c r="U572" s="222"/>
      <c r="Y572" s="222"/>
      <c r="AC572" s="222"/>
      <c r="AG572" s="222"/>
      <c r="AK572" s="222"/>
      <c r="AO572" s="222"/>
      <c r="AS572" s="222"/>
      <c r="AW572" s="222"/>
      <c r="BA572" s="222"/>
      <c r="BE572" s="222"/>
      <c r="BK572" s="222"/>
      <c r="BO572" s="222"/>
      <c r="BU572" s="222"/>
      <c r="BY572" s="222"/>
      <c r="CC572" s="222"/>
      <c r="CG572" s="222"/>
      <c r="CK572" s="222"/>
      <c r="CQ572" s="222"/>
      <c r="CU572" s="222"/>
      <c r="CY572" s="222"/>
    </row>
    <row r="573">
      <c r="A573" s="227"/>
      <c r="E573" s="222"/>
      <c r="I573" s="222"/>
      <c r="M573" s="222"/>
      <c r="Q573" s="222"/>
      <c r="U573" s="222"/>
      <c r="Y573" s="222"/>
      <c r="AC573" s="222"/>
      <c r="AG573" s="222"/>
      <c r="AK573" s="222"/>
      <c r="AO573" s="222"/>
      <c r="AS573" s="222"/>
      <c r="AW573" s="222"/>
      <c r="BA573" s="222"/>
      <c r="BE573" s="222"/>
      <c r="BK573" s="222"/>
      <c r="BO573" s="222"/>
      <c r="BU573" s="222"/>
      <c r="BY573" s="222"/>
      <c r="CC573" s="222"/>
      <c r="CG573" s="222"/>
      <c r="CK573" s="222"/>
      <c r="CQ573" s="222"/>
      <c r="CU573" s="222"/>
      <c r="CY573" s="222"/>
    </row>
    <row r="574">
      <c r="A574" s="227"/>
      <c r="E574" s="222"/>
      <c r="I574" s="222"/>
      <c r="M574" s="222"/>
      <c r="Q574" s="222"/>
      <c r="U574" s="222"/>
      <c r="Y574" s="222"/>
      <c r="AC574" s="222"/>
      <c r="AG574" s="222"/>
      <c r="AK574" s="222"/>
      <c r="AO574" s="222"/>
      <c r="AS574" s="222"/>
      <c r="AW574" s="222"/>
      <c r="BA574" s="222"/>
      <c r="BE574" s="222"/>
      <c r="BK574" s="222"/>
      <c r="BO574" s="222"/>
      <c r="BU574" s="222"/>
      <c r="BY574" s="222"/>
      <c r="CC574" s="222"/>
      <c r="CG574" s="222"/>
      <c r="CK574" s="222"/>
      <c r="CQ574" s="222"/>
      <c r="CU574" s="222"/>
      <c r="CY574" s="222"/>
    </row>
    <row r="575">
      <c r="A575" s="227"/>
      <c r="E575" s="222"/>
      <c r="I575" s="222"/>
      <c r="M575" s="222"/>
      <c r="Q575" s="222"/>
      <c r="U575" s="222"/>
      <c r="Y575" s="222"/>
      <c r="AC575" s="222"/>
      <c r="AG575" s="222"/>
      <c r="AK575" s="222"/>
      <c r="AO575" s="222"/>
      <c r="AS575" s="222"/>
      <c r="AW575" s="222"/>
      <c r="BA575" s="222"/>
      <c r="BE575" s="222"/>
      <c r="BK575" s="222"/>
      <c r="BO575" s="222"/>
      <c r="BU575" s="222"/>
      <c r="BY575" s="222"/>
      <c r="CC575" s="222"/>
      <c r="CG575" s="222"/>
      <c r="CK575" s="222"/>
      <c r="CQ575" s="222"/>
      <c r="CU575" s="222"/>
      <c r="CY575" s="222"/>
    </row>
    <row r="576">
      <c r="A576" s="227"/>
      <c r="E576" s="222"/>
      <c r="I576" s="222"/>
      <c r="M576" s="222"/>
      <c r="Q576" s="222"/>
      <c r="U576" s="222"/>
      <c r="Y576" s="222"/>
      <c r="AC576" s="222"/>
      <c r="AG576" s="222"/>
      <c r="AK576" s="222"/>
      <c r="AO576" s="222"/>
      <c r="AS576" s="222"/>
      <c r="AW576" s="222"/>
      <c r="BA576" s="222"/>
      <c r="BE576" s="222"/>
      <c r="BK576" s="222"/>
      <c r="BO576" s="222"/>
      <c r="BU576" s="222"/>
      <c r="BY576" s="222"/>
      <c r="CC576" s="222"/>
      <c r="CG576" s="222"/>
      <c r="CK576" s="222"/>
      <c r="CQ576" s="222"/>
      <c r="CU576" s="222"/>
      <c r="CY576" s="222"/>
    </row>
    <row r="577">
      <c r="A577" s="227"/>
      <c r="E577" s="222"/>
      <c r="I577" s="222"/>
      <c r="M577" s="222"/>
      <c r="Q577" s="222"/>
      <c r="U577" s="222"/>
      <c r="Y577" s="222"/>
      <c r="AC577" s="222"/>
      <c r="AG577" s="222"/>
      <c r="AK577" s="222"/>
      <c r="AO577" s="222"/>
      <c r="AS577" s="222"/>
      <c r="AW577" s="222"/>
      <c r="BA577" s="222"/>
      <c r="BE577" s="222"/>
      <c r="BK577" s="222"/>
      <c r="BO577" s="222"/>
      <c r="BU577" s="222"/>
      <c r="BY577" s="222"/>
      <c r="CC577" s="222"/>
      <c r="CG577" s="222"/>
      <c r="CK577" s="222"/>
      <c r="CQ577" s="222"/>
      <c r="CU577" s="222"/>
      <c r="CY577" s="222"/>
    </row>
    <row r="578">
      <c r="A578" s="227"/>
      <c r="E578" s="222"/>
      <c r="I578" s="222"/>
      <c r="M578" s="222"/>
      <c r="Q578" s="222"/>
      <c r="U578" s="222"/>
      <c r="Y578" s="222"/>
      <c r="AC578" s="222"/>
      <c r="AG578" s="222"/>
      <c r="AK578" s="222"/>
      <c r="AO578" s="222"/>
      <c r="AS578" s="222"/>
      <c r="AW578" s="222"/>
      <c r="BA578" s="222"/>
      <c r="BE578" s="222"/>
      <c r="BK578" s="222"/>
      <c r="BO578" s="222"/>
      <c r="BU578" s="222"/>
      <c r="BY578" s="222"/>
      <c r="CC578" s="222"/>
      <c r="CG578" s="222"/>
      <c r="CK578" s="222"/>
      <c r="CQ578" s="222"/>
      <c r="CU578" s="222"/>
      <c r="CY578" s="222"/>
    </row>
    <row r="579">
      <c r="A579" s="227"/>
      <c r="E579" s="222"/>
      <c r="I579" s="222"/>
      <c r="M579" s="222"/>
      <c r="Q579" s="222"/>
      <c r="U579" s="222"/>
      <c r="Y579" s="222"/>
      <c r="AC579" s="222"/>
      <c r="AG579" s="222"/>
      <c r="AK579" s="222"/>
      <c r="AO579" s="222"/>
      <c r="AS579" s="222"/>
      <c r="AW579" s="222"/>
      <c r="BA579" s="222"/>
      <c r="BE579" s="222"/>
      <c r="BK579" s="222"/>
      <c r="BO579" s="222"/>
      <c r="BU579" s="222"/>
      <c r="BY579" s="222"/>
      <c r="CC579" s="222"/>
      <c r="CG579" s="222"/>
      <c r="CK579" s="222"/>
      <c r="CQ579" s="222"/>
      <c r="CU579" s="222"/>
      <c r="CY579" s="222"/>
    </row>
    <row r="580">
      <c r="A580" s="227"/>
      <c r="E580" s="222"/>
      <c r="I580" s="222"/>
      <c r="M580" s="222"/>
      <c r="Q580" s="222"/>
      <c r="U580" s="222"/>
      <c r="Y580" s="222"/>
      <c r="AC580" s="222"/>
      <c r="AG580" s="222"/>
      <c r="AK580" s="222"/>
      <c r="AO580" s="222"/>
      <c r="AS580" s="222"/>
      <c r="AW580" s="222"/>
      <c r="BA580" s="222"/>
      <c r="BE580" s="222"/>
      <c r="BK580" s="222"/>
      <c r="BO580" s="222"/>
      <c r="BU580" s="222"/>
      <c r="BY580" s="222"/>
      <c r="CC580" s="222"/>
      <c r="CG580" s="222"/>
      <c r="CK580" s="222"/>
      <c r="CQ580" s="222"/>
      <c r="CU580" s="222"/>
      <c r="CY580" s="222"/>
    </row>
    <row r="581">
      <c r="A581" s="227"/>
      <c r="E581" s="222"/>
      <c r="I581" s="222"/>
      <c r="M581" s="222"/>
      <c r="Q581" s="222"/>
      <c r="U581" s="222"/>
      <c r="Y581" s="222"/>
      <c r="AC581" s="222"/>
      <c r="AG581" s="222"/>
      <c r="AK581" s="222"/>
      <c r="AO581" s="222"/>
      <c r="AS581" s="222"/>
      <c r="AW581" s="222"/>
      <c r="BA581" s="222"/>
      <c r="BE581" s="222"/>
      <c r="BK581" s="222"/>
      <c r="BO581" s="222"/>
      <c r="BU581" s="222"/>
      <c r="BY581" s="222"/>
      <c r="CC581" s="222"/>
      <c r="CG581" s="222"/>
      <c r="CK581" s="222"/>
      <c r="CQ581" s="222"/>
      <c r="CU581" s="222"/>
      <c r="CY581" s="222"/>
    </row>
    <row r="582">
      <c r="A582" s="227"/>
      <c r="E582" s="222"/>
      <c r="I582" s="222"/>
      <c r="M582" s="222"/>
      <c r="Q582" s="222"/>
      <c r="U582" s="222"/>
      <c r="Y582" s="222"/>
      <c r="AC582" s="222"/>
      <c r="AG582" s="222"/>
      <c r="AK582" s="222"/>
      <c r="AO582" s="222"/>
      <c r="AS582" s="222"/>
      <c r="AW582" s="222"/>
      <c r="BA582" s="222"/>
      <c r="BE582" s="222"/>
      <c r="BK582" s="222"/>
      <c r="BO582" s="222"/>
      <c r="BU582" s="222"/>
      <c r="BY582" s="222"/>
      <c r="CC582" s="222"/>
      <c r="CG582" s="222"/>
      <c r="CK582" s="222"/>
      <c r="CQ582" s="222"/>
      <c r="CU582" s="222"/>
      <c r="CY582" s="222"/>
    </row>
    <row r="583">
      <c r="A583" s="227"/>
      <c r="E583" s="222"/>
      <c r="I583" s="222"/>
      <c r="M583" s="222"/>
      <c r="Q583" s="222"/>
      <c r="U583" s="222"/>
      <c r="Y583" s="222"/>
      <c r="AC583" s="222"/>
      <c r="AG583" s="222"/>
      <c r="AK583" s="222"/>
      <c r="AO583" s="222"/>
      <c r="AS583" s="222"/>
      <c r="AW583" s="222"/>
      <c r="BA583" s="222"/>
      <c r="BE583" s="222"/>
      <c r="BK583" s="222"/>
      <c r="BO583" s="222"/>
      <c r="BU583" s="222"/>
      <c r="BY583" s="222"/>
      <c r="CC583" s="222"/>
      <c r="CG583" s="222"/>
      <c r="CK583" s="222"/>
      <c r="CQ583" s="222"/>
      <c r="CU583" s="222"/>
      <c r="CY583" s="222"/>
    </row>
    <row r="584">
      <c r="A584" s="227"/>
      <c r="E584" s="222"/>
      <c r="I584" s="222"/>
      <c r="M584" s="222"/>
      <c r="Q584" s="222"/>
      <c r="U584" s="222"/>
      <c r="Y584" s="222"/>
      <c r="AC584" s="222"/>
      <c r="AG584" s="222"/>
      <c r="AK584" s="222"/>
      <c r="AO584" s="222"/>
      <c r="AS584" s="222"/>
      <c r="AW584" s="222"/>
      <c r="BA584" s="222"/>
      <c r="BE584" s="222"/>
      <c r="BK584" s="222"/>
      <c r="BO584" s="222"/>
      <c r="BU584" s="222"/>
      <c r="BY584" s="222"/>
      <c r="CC584" s="222"/>
      <c r="CG584" s="222"/>
      <c r="CK584" s="222"/>
      <c r="CQ584" s="222"/>
      <c r="CU584" s="222"/>
      <c r="CY584" s="222"/>
    </row>
    <row r="585">
      <c r="A585" s="227"/>
      <c r="E585" s="222"/>
      <c r="I585" s="222"/>
      <c r="M585" s="222"/>
      <c r="Q585" s="222"/>
      <c r="U585" s="222"/>
      <c r="Y585" s="222"/>
      <c r="AC585" s="222"/>
      <c r="AG585" s="222"/>
      <c r="AK585" s="222"/>
      <c r="AO585" s="222"/>
      <c r="AS585" s="222"/>
      <c r="AW585" s="222"/>
      <c r="BA585" s="222"/>
      <c r="BE585" s="222"/>
      <c r="BK585" s="222"/>
      <c r="BO585" s="222"/>
      <c r="BU585" s="222"/>
      <c r="BY585" s="222"/>
      <c r="CC585" s="222"/>
      <c r="CG585" s="222"/>
      <c r="CK585" s="222"/>
      <c r="CQ585" s="222"/>
      <c r="CU585" s="222"/>
      <c r="CY585" s="222"/>
    </row>
    <row r="586">
      <c r="A586" s="227"/>
      <c r="E586" s="222"/>
      <c r="I586" s="222"/>
      <c r="M586" s="222"/>
      <c r="Q586" s="222"/>
      <c r="U586" s="222"/>
      <c r="Y586" s="222"/>
      <c r="AC586" s="222"/>
      <c r="AG586" s="222"/>
      <c r="AK586" s="222"/>
      <c r="AO586" s="222"/>
      <c r="AS586" s="222"/>
      <c r="AW586" s="222"/>
      <c r="BA586" s="222"/>
      <c r="BE586" s="222"/>
      <c r="BK586" s="222"/>
      <c r="BO586" s="222"/>
      <c r="BU586" s="222"/>
      <c r="BY586" s="222"/>
      <c r="CC586" s="222"/>
      <c r="CG586" s="222"/>
      <c r="CK586" s="222"/>
      <c r="CQ586" s="222"/>
      <c r="CU586" s="222"/>
      <c r="CY586" s="222"/>
    </row>
    <row r="587">
      <c r="A587" s="227"/>
      <c r="E587" s="222"/>
      <c r="I587" s="222"/>
      <c r="M587" s="222"/>
      <c r="Q587" s="222"/>
      <c r="U587" s="222"/>
      <c r="Y587" s="222"/>
      <c r="AC587" s="222"/>
      <c r="AG587" s="222"/>
      <c r="AK587" s="222"/>
      <c r="AO587" s="222"/>
      <c r="AS587" s="222"/>
      <c r="AW587" s="222"/>
      <c r="BA587" s="222"/>
      <c r="BE587" s="222"/>
      <c r="BK587" s="222"/>
      <c r="BO587" s="222"/>
      <c r="BU587" s="222"/>
      <c r="BY587" s="222"/>
      <c r="CC587" s="222"/>
      <c r="CG587" s="222"/>
      <c r="CK587" s="222"/>
      <c r="CQ587" s="222"/>
      <c r="CU587" s="222"/>
      <c r="CY587" s="222"/>
    </row>
    <row r="588">
      <c r="A588" s="227"/>
      <c r="E588" s="222"/>
      <c r="I588" s="222"/>
      <c r="M588" s="222"/>
      <c r="Q588" s="222"/>
      <c r="U588" s="222"/>
      <c r="Y588" s="222"/>
      <c r="AC588" s="222"/>
      <c r="AG588" s="222"/>
      <c r="AK588" s="222"/>
      <c r="AO588" s="222"/>
      <c r="AS588" s="222"/>
      <c r="AW588" s="222"/>
      <c r="BA588" s="222"/>
      <c r="BE588" s="222"/>
      <c r="BK588" s="222"/>
      <c r="BO588" s="222"/>
      <c r="BU588" s="222"/>
      <c r="BY588" s="222"/>
      <c r="CC588" s="222"/>
      <c r="CG588" s="222"/>
      <c r="CK588" s="222"/>
      <c r="CQ588" s="222"/>
      <c r="CU588" s="222"/>
      <c r="CY588" s="222"/>
    </row>
    <row r="589">
      <c r="A589" s="227"/>
      <c r="E589" s="222"/>
      <c r="I589" s="222"/>
      <c r="M589" s="222"/>
      <c r="Q589" s="222"/>
      <c r="U589" s="222"/>
      <c r="Y589" s="222"/>
      <c r="AC589" s="222"/>
      <c r="AG589" s="222"/>
      <c r="AK589" s="222"/>
      <c r="AO589" s="222"/>
      <c r="AS589" s="222"/>
      <c r="AW589" s="222"/>
      <c r="BA589" s="222"/>
      <c r="BE589" s="222"/>
      <c r="BK589" s="222"/>
      <c r="BO589" s="222"/>
      <c r="BU589" s="222"/>
      <c r="BY589" s="222"/>
      <c r="CC589" s="222"/>
      <c r="CG589" s="222"/>
      <c r="CK589" s="222"/>
      <c r="CQ589" s="222"/>
      <c r="CU589" s="222"/>
      <c r="CY589" s="222"/>
    </row>
    <row r="590">
      <c r="A590" s="227"/>
      <c r="E590" s="222"/>
      <c r="I590" s="222"/>
      <c r="M590" s="222"/>
      <c r="Q590" s="222"/>
      <c r="U590" s="222"/>
      <c r="Y590" s="222"/>
      <c r="AC590" s="222"/>
      <c r="AG590" s="222"/>
      <c r="AK590" s="222"/>
      <c r="AO590" s="222"/>
      <c r="AS590" s="222"/>
      <c r="AW590" s="222"/>
      <c r="BA590" s="222"/>
      <c r="BE590" s="222"/>
      <c r="BK590" s="222"/>
      <c r="BO590" s="222"/>
      <c r="BU590" s="222"/>
      <c r="BY590" s="222"/>
      <c r="CC590" s="222"/>
      <c r="CG590" s="222"/>
      <c r="CK590" s="222"/>
      <c r="CQ590" s="222"/>
      <c r="CU590" s="222"/>
      <c r="CY590" s="222"/>
    </row>
    <row r="591">
      <c r="A591" s="227"/>
      <c r="E591" s="222"/>
      <c r="I591" s="222"/>
      <c r="M591" s="222"/>
      <c r="Q591" s="222"/>
      <c r="U591" s="222"/>
      <c r="Y591" s="222"/>
      <c r="AC591" s="222"/>
      <c r="AG591" s="222"/>
      <c r="AK591" s="222"/>
      <c r="AO591" s="222"/>
      <c r="AS591" s="222"/>
      <c r="AW591" s="222"/>
      <c r="BA591" s="222"/>
      <c r="BE591" s="222"/>
      <c r="BK591" s="222"/>
      <c r="BO591" s="222"/>
      <c r="BU591" s="222"/>
      <c r="BY591" s="222"/>
      <c r="CC591" s="222"/>
      <c r="CG591" s="222"/>
      <c r="CK591" s="222"/>
      <c r="CQ591" s="222"/>
      <c r="CU591" s="222"/>
      <c r="CY591" s="222"/>
    </row>
    <row r="592">
      <c r="A592" s="227"/>
      <c r="E592" s="222"/>
      <c r="I592" s="222"/>
      <c r="M592" s="222"/>
      <c r="Q592" s="222"/>
      <c r="U592" s="222"/>
      <c r="Y592" s="222"/>
      <c r="AC592" s="222"/>
      <c r="AG592" s="222"/>
      <c r="AK592" s="222"/>
      <c r="AO592" s="222"/>
      <c r="AS592" s="222"/>
      <c r="AW592" s="222"/>
      <c r="BA592" s="222"/>
      <c r="BE592" s="222"/>
      <c r="BK592" s="222"/>
      <c r="BO592" s="222"/>
      <c r="BU592" s="222"/>
      <c r="BY592" s="222"/>
      <c r="CC592" s="222"/>
      <c r="CG592" s="222"/>
      <c r="CK592" s="222"/>
      <c r="CQ592" s="222"/>
      <c r="CU592" s="222"/>
      <c r="CY592" s="222"/>
    </row>
    <row r="593">
      <c r="A593" s="227"/>
      <c r="E593" s="222"/>
      <c r="I593" s="222"/>
      <c r="M593" s="222"/>
      <c r="Q593" s="222"/>
      <c r="U593" s="222"/>
      <c r="Y593" s="222"/>
      <c r="AC593" s="222"/>
      <c r="AG593" s="222"/>
      <c r="AK593" s="222"/>
      <c r="AO593" s="222"/>
      <c r="AS593" s="222"/>
      <c r="AW593" s="222"/>
      <c r="BA593" s="222"/>
      <c r="BE593" s="222"/>
      <c r="BK593" s="222"/>
      <c r="BO593" s="222"/>
      <c r="BU593" s="222"/>
      <c r="BY593" s="222"/>
      <c r="CC593" s="222"/>
      <c r="CG593" s="222"/>
      <c r="CK593" s="222"/>
      <c r="CQ593" s="222"/>
      <c r="CU593" s="222"/>
      <c r="CY593" s="222"/>
    </row>
    <row r="594">
      <c r="A594" s="227"/>
      <c r="E594" s="222"/>
      <c r="I594" s="222"/>
      <c r="M594" s="222"/>
      <c r="Q594" s="222"/>
      <c r="U594" s="222"/>
      <c r="Y594" s="222"/>
      <c r="AC594" s="222"/>
      <c r="AG594" s="222"/>
      <c r="AK594" s="222"/>
      <c r="AO594" s="222"/>
      <c r="AS594" s="222"/>
      <c r="AW594" s="222"/>
      <c r="BA594" s="222"/>
      <c r="BE594" s="222"/>
      <c r="BK594" s="222"/>
      <c r="BO594" s="222"/>
      <c r="BU594" s="222"/>
      <c r="BY594" s="222"/>
      <c r="CC594" s="222"/>
      <c r="CG594" s="222"/>
      <c r="CK594" s="222"/>
      <c r="CQ594" s="222"/>
      <c r="CU594" s="222"/>
      <c r="CY594" s="222"/>
    </row>
    <row r="595">
      <c r="A595" s="227"/>
      <c r="E595" s="222"/>
      <c r="I595" s="222"/>
      <c r="M595" s="222"/>
      <c r="Q595" s="222"/>
      <c r="U595" s="222"/>
      <c r="Y595" s="222"/>
      <c r="AC595" s="222"/>
      <c r="AG595" s="222"/>
      <c r="AK595" s="222"/>
      <c r="AO595" s="222"/>
      <c r="AS595" s="222"/>
      <c r="AW595" s="222"/>
      <c r="BA595" s="222"/>
      <c r="BE595" s="222"/>
      <c r="BK595" s="222"/>
      <c r="BO595" s="222"/>
      <c r="BU595" s="222"/>
      <c r="BY595" s="222"/>
      <c r="CC595" s="222"/>
      <c r="CG595" s="222"/>
      <c r="CK595" s="222"/>
      <c r="CQ595" s="222"/>
      <c r="CU595" s="222"/>
      <c r="CY595" s="222"/>
    </row>
    <row r="596">
      <c r="A596" s="227"/>
      <c r="E596" s="222"/>
      <c r="I596" s="222"/>
      <c r="M596" s="222"/>
      <c r="Q596" s="222"/>
      <c r="U596" s="222"/>
      <c r="Y596" s="222"/>
      <c r="AC596" s="222"/>
      <c r="AG596" s="222"/>
      <c r="AK596" s="222"/>
      <c r="AO596" s="222"/>
      <c r="AS596" s="222"/>
      <c r="AW596" s="222"/>
      <c r="BA596" s="222"/>
      <c r="BE596" s="222"/>
      <c r="BK596" s="222"/>
      <c r="BO596" s="222"/>
      <c r="BU596" s="222"/>
      <c r="BY596" s="222"/>
      <c r="CC596" s="222"/>
      <c r="CG596" s="222"/>
      <c r="CK596" s="222"/>
      <c r="CQ596" s="222"/>
      <c r="CU596" s="222"/>
      <c r="CY596" s="222"/>
    </row>
    <row r="597">
      <c r="A597" s="227"/>
      <c r="E597" s="222"/>
      <c r="I597" s="222"/>
      <c r="M597" s="222"/>
      <c r="Q597" s="222"/>
      <c r="U597" s="222"/>
      <c r="Y597" s="222"/>
      <c r="AC597" s="222"/>
      <c r="AG597" s="222"/>
      <c r="AK597" s="222"/>
      <c r="AO597" s="222"/>
      <c r="AS597" s="222"/>
      <c r="AW597" s="222"/>
      <c r="BA597" s="222"/>
      <c r="BE597" s="222"/>
      <c r="BK597" s="222"/>
      <c r="BO597" s="222"/>
      <c r="BU597" s="222"/>
      <c r="BY597" s="222"/>
      <c r="CC597" s="222"/>
      <c r="CG597" s="222"/>
      <c r="CK597" s="222"/>
      <c r="CQ597" s="222"/>
      <c r="CU597" s="222"/>
      <c r="CY597" s="222"/>
    </row>
    <row r="598">
      <c r="A598" s="227"/>
      <c r="E598" s="222"/>
      <c r="I598" s="222"/>
      <c r="M598" s="222"/>
      <c r="Q598" s="222"/>
      <c r="U598" s="222"/>
      <c r="Y598" s="222"/>
      <c r="AC598" s="222"/>
      <c r="AG598" s="222"/>
      <c r="AK598" s="222"/>
      <c r="AO598" s="222"/>
      <c r="AS598" s="222"/>
      <c r="AW598" s="222"/>
      <c r="BA598" s="222"/>
      <c r="BE598" s="222"/>
      <c r="BK598" s="222"/>
      <c r="BO598" s="222"/>
      <c r="BU598" s="222"/>
      <c r="BY598" s="222"/>
      <c r="CC598" s="222"/>
      <c r="CG598" s="222"/>
      <c r="CK598" s="222"/>
      <c r="CQ598" s="222"/>
      <c r="CU598" s="222"/>
      <c r="CY598" s="222"/>
    </row>
    <row r="599">
      <c r="A599" s="227"/>
      <c r="E599" s="222"/>
      <c r="I599" s="222"/>
      <c r="M599" s="222"/>
      <c r="Q599" s="222"/>
      <c r="U599" s="222"/>
      <c r="Y599" s="222"/>
      <c r="AC599" s="222"/>
      <c r="AG599" s="222"/>
      <c r="AK599" s="222"/>
      <c r="AO599" s="222"/>
      <c r="AS599" s="222"/>
      <c r="AW599" s="222"/>
      <c r="BA599" s="222"/>
      <c r="BE599" s="222"/>
      <c r="BK599" s="222"/>
      <c r="BO599" s="222"/>
      <c r="BU599" s="222"/>
      <c r="BY599" s="222"/>
      <c r="CC599" s="222"/>
      <c r="CG599" s="222"/>
      <c r="CK599" s="222"/>
      <c r="CQ599" s="222"/>
      <c r="CU599" s="222"/>
      <c r="CY599" s="222"/>
    </row>
    <row r="600">
      <c r="A600" s="227"/>
      <c r="E600" s="222"/>
      <c r="I600" s="222"/>
      <c r="M600" s="222"/>
      <c r="Q600" s="222"/>
      <c r="U600" s="222"/>
      <c r="Y600" s="222"/>
      <c r="AC600" s="222"/>
      <c r="AG600" s="222"/>
      <c r="AK600" s="222"/>
      <c r="AO600" s="222"/>
      <c r="AS600" s="222"/>
      <c r="AW600" s="222"/>
      <c r="BA600" s="222"/>
      <c r="BE600" s="222"/>
      <c r="BK600" s="222"/>
      <c r="BO600" s="222"/>
      <c r="BU600" s="222"/>
      <c r="BY600" s="222"/>
      <c r="CC600" s="222"/>
      <c r="CG600" s="222"/>
      <c r="CK600" s="222"/>
      <c r="CQ600" s="222"/>
      <c r="CU600" s="222"/>
      <c r="CY600" s="222"/>
    </row>
    <row r="601">
      <c r="A601" s="227"/>
      <c r="E601" s="222"/>
      <c r="I601" s="222"/>
      <c r="M601" s="222"/>
      <c r="Q601" s="222"/>
      <c r="U601" s="222"/>
      <c r="Y601" s="222"/>
      <c r="AC601" s="222"/>
      <c r="AG601" s="222"/>
      <c r="AK601" s="222"/>
      <c r="AO601" s="222"/>
      <c r="AS601" s="222"/>
      <c r="AW601" s="222"/>
      <c r="BA601" s="222"/>
      <c r="BE601" s="222"/>
      <c r="BK601" s="222"/>
      <c r="BO601" s="222"/>
      <c r="BU601" s="222"/>
      <c r="BY601" s="222"/>
      <c r="CC601" s="222"/>
      <c r="CG601" s="222"/>
      <c r="CK601" s="222"/>
      <c r="CQ601" s="222"/>
      <c r="CU601" s="222"/>
      <c r="CY601" s="222"/>
    </row>
    <row r="602">
      <c r="A602" s="227"/>
      <c r="E602" s="222"/>
      <c r="I602" s="222"/>
      <c r="M602" s="222"/>
      <c r="Q602" s="222"/>
      <c r="U602" s="222"/>
      <c r="Y602" s="222"/>
      <c r="AC602" s="222"/>
      <c r="AG602" s="222"/>
      <c r="AK602" s="222"/>
      <c r="AO602" s="222"/>
      <c r="AS602" s="222"/>
      <c r="AW602" s="222"/>
      <c r="BA602" s="222"/>
      <c r="BE602" s="222"/>
      <c r="BK602" s="222"/>
      <c r="BO602" s="222"/>
      <c r="BU602" s="222"/>
      <c r="BY602" s="222"/>
      <c r="CC602" s="222"/>
      <c r="CG602" s="222"/>
      <c r="CK602" s="222"/>
      <c r="CQ602" s="222"/>
      <c r="CU602" s="222"/>
      <c r="CY602" s="222"/>
    </row>
    <row r="603">
      <c r="A603" s="227"/>
      <c r="E603" s="222"/>
      <c r="I603" s="222"/>
      <c r="M603" s="222"/>
      <c r="Q603" s="222"/>
      <c r="U603" s="222"/>
      <c r="Y603" s="222"/>
      <c r="AC603" s="222"/>
      <c r="AG603" s="222"/>
      <c r="AK603" s="222"/>
      <c r="AO603" s="222"/>
      <c r="AS603" s="222"/>
      <c r="AW603" s="222"/>
      <c r="BA603" s="222"/>
      <c r="BE603" s="222"/>
      <c r="BK603" s="222"/>
      <c r="BO603" s="222"/>
      <c r="BU603" s="222"/>
      <c r="BY603" s="222"/>
      <c r="CC603" s="222"/>
      <c r="CG603" s="222"/>
      <c r="CK603" s="222"/>
      <c r="CQ603" s="222"/>
      <c r="CU603" s="222"/>
      <c r="CY603" s="222"/>
    </row>
    <row r="604">
      <c r="A604" s="227"/>
      <c r="E604" s="222"/>
      <c r="I604" s="222"/>
      <c r="M604" s="222"/>
      <c r="Q604" s="222"/>
      <c r="U604" s="222"/>
      <c r="Y604" s="222"/>
      <c r="AC604" s="222"/>
      <c r="AG604" s="222"/>
      <c r="AK604" s="222"/>
      <c r="AO604" s="222"/>
      <c r="AS604" s="222"/>
      <c r="AW604" s="222"/>
      <c r="BA604" s="222"/>
      <c r="BE604" s="222"/>
      <c r="BK604" s="222"/>
      <c r="BO604" s="222"/>
      <c r="BU604" s="222"/>
      <c r="BY604" s="222"/>
      <c r="CC604" s="222"/>
      <c r="CG604" s="222"/>
      <c r="CK604" s="222"/>
      <c r="CQ604" s="222"/>
      <c r="CU604" s="222"/>
      <c r="CY604" s="222"/>
    </row>
    <row r="605">
      <c r="A605" s="227"/>
      <c r="E605" s="222"/>
      <c r="I605" s="222"/>
      <c r="M605" s="222"/>
      <c r="Q605" s="222"/>
      <c r="U605" s="222"/>
      <c r="Y605" s="222"/>
      <c r="AC605" s="222"/>
      <c r="AG605" s="222"/>
      <c r="AK605" s="222"/>
      <c r="AO605" s="222"/>
      <c r="AS605" s="222"/>
      <c r="AW605" s="222"/>
      <c r="BA605" s="222"/>
      <c r="BE605" s="222"/>
      <c r="BK605" s="222"/>
      <c r="BO605" s="222"/>
      <c r="BU605" s="222"/>
      <c r="BY605" s="222"/>
      <c r="CC605" s="222"/>
      <c r="CG605" s="222"/>
      <c r="CK605" s="222"/>
      <c r="CQ605" s="222"/>
      <c r="CU605" s="222"/>
      <c r="CY605" s="222"/>
    </row>
    <row r="606">
      <c r="A606" s="227"/>
      <c r="E606" s="222"/>
      <c r="I606" s="222"/>
      <c r="M606" s="222"/>
      <c r="Q606" s="222"/>
      <c r="U606" s="222"/>
      <c r="Y606" s="222"/>
      <c r="AC606" s="222"/>
      <c r="AG606" s="222"/>
      <c r="AK606" s="222"/>
      <c r="AO606" s="222"/>
      <c r="AS606" s="222"/>
      <c r="AW606" s="222"/>
      <c r="BA606" s="222"/>
      <c r="BE606" s="222"/>
      <c r="BK606" s="222"/>
      <c r="BO606" s="222"/>
      <c r="BU606" s="222"/>
      <c r="BY606" s="222"/>
      <c r="CC606" s="222"/>
      <c r="CG606" s="222"/>
      <c r="CK606" s="222"/>
      <c r="CQ606" s="222"/>
      <c r="CU606" s="222"/>
      <c r="CY606" s="222"/>
    </row>
    <row r="607">
      <c r="A607" s="227"/>
      <c r="E607" s="222"/>
      <c r="I607" s="222"/>
      <c r="M607" s="222"/>
      <c r="Q607" s="222"/>
      <c r="U607" s="222"/>
      <c r="Y607" s="222"/>
      <c r="AC607" s="222"/>
      <c r="AG607" s="222"/>
      <c r="AK607" s="222"/>
      <c r="AO607" s="222"/>
      <c r="AS607" s="222"/>
      <c r="AW607" s="222"/>
      <c r="BA607" s="222"/>
      <c r="BE607" s="222"/>
      <c r="BK607" s="222"/>
      <c r="BO607" s="222"/>
      <c r="BU607" s="222"/>
      <c r="BY607" s="222"/>
      <c r="CC607" s="222"/>
      <c r="CG607" s="222"/>
      <c r="CK607" s="222"/>
      <c r="CQ607" s="222"/>
      <c r="CU607" s="222"/>
      <c r="CY607" s="222"/>
    </row>
    <row r="608">
      <c r="A608" s="227"/>
      <c r="E608" s="222"/>
      <c r="I608" s="222"/>
      <c r="M608" s="222"/>
      <c r="Q608" s="222"/>
      <c r="U608" s="222"/>
      <c r="Y608" s="222"/>
      <c r="AC608" s="222"/>
      <c r="AG608" s="222"/>
      <c r="AK608" s="222"/>
      <c r="AO608" s="222"/>
      <c r="AS608" s="222"/>
      <c r="AW608" s="222"/>
      <c r="BA608" s="222"/>
      <c r="BE608" s="222"/>
      <c r="BK608" s="222"/>
      <c r="BO608" s="222"/>
      <c r="BU608" s="222"/>
      <c r="BY608" s="222"/>
      <c r="CC608" s="222"/>
      <c r="CG608" s="222"/>
      <c r="CK608" s="222"/>
      <c r="CQ608" s="222"/>
      <c r="CU608" s="222"/>
      <c r="CY608" s="222"/>
    </row>
    <row r="609">
      <c r="A609" s="227"/>
      <c r="E609" s="222"/>
      <c r="I609" s="222"/>
      <c r="M609" s="222"/>
      <c r="Q609" s="222"/>
      <c r="U609" s="222"/>
      <c r="Y609" s="222"/>
      <c r="AC609" s="222"/>
      <c r="AG609" s="222"/>
      <c r="AK609" s="222"/>
      <c r="AO609" s="222"/>
      <c r="AS609" s="222"/>
      <c r="AW609" s="222"/>
      <c r="BA609" s="222"/>
      <c r="BE609" s="222"/>
      <c r="BK609" s="222"/>
      <c r="BO609" s="222"/>
      <c r="BU609" s="222"/>
      <c r="BY609" s="222"/>
      <c r="CC609" s="222"/>
      <c r="CG609" s="222"/>
      <c r="CK609" s="222"/>
      <c r="CQ609" s="222"/>
      <c r="CU609" s="222"/>
      <c r="CY609" s="222"/>
    </row>
    <row r="610">
      <c r="A610" s="227"/>
      <c r="E610" s="222"/>
      <c r="I610" s="222"/>
      <c r="M610" s="222"/>
      <c r="Q610" s="222"/>
      <c r="U610" s="222"/>
      <c r="Y610" s="222"/>
      <c r="AC610" s="222"/>
      <c r="AG610" s="222"/>
      <c r="AK610" s="222"/>
      <c r="AO610" s="222"/>
      <c r="AS610" s="222"/>
      <c r="AW610" s="222"/>
      <c r="BA610" s="222"/>
      <c r="BE610" s="222"/>
      <c r="BK610" s="222"/>
      <c r="BO610" s="222"/>
      <c r="BU610" s="222"/>
      <c r="BY610" s="222"/>
      <c r="CC610" s="222"/>
      <c r="CG610" s="222"/>
      <c r="CK610" s="222"/>
      <c r="CQ610" s="222"/>
      <c r="CU610" s="222"/>
      <c r="CY610" s="222"/>
    </row>
    <row r="611">
      <c r="A611" s="227"/>
      <c r="E611" s="222"/>
      <c r="I611" s="222"/>
      <c r="M611" s="222"/>
      <c r="Q611" s="222"/>
      <c r="U611" s="222"/>
      <c r="Y611" s="222"/>
      <c r="AC611" s="222"/>
      <c r="AG611" s="222"/>
      <c r="AK611" s="222"/>
      <c r="AO611" s="222"/>
      <c r="AS611" s="222"/>
      <c r="AW611" s="222"/>
      <c r="BA611" s="222"/>
      <c r="BE611" s="222"/>
      <c r="BK611" s="222"/>
      <c r="BO611" s="222"/>
      <c r="BU611" s="222"/>
      <c r="BY611" s="222"/>
      <c r="CC611" s="222"/>
      <c r="CG611" s="222"/>
      <c r="CK611" s="222"/>
      <c r="CQ611" s="222"/>
      <c r="CU611" s="222"/>
      <c r="CY611" s="222"/>
    </row>
    <row r="612">
      <c r="A612" s="227"/>
      <c r="E612" s="222"/>
      <c r="I612" s="222"/>
      <c r="M612" s="222"/>
      <c r="Q612" s="222"/>
      <c r="U612" s="222"/>
      <c r="Y612" s="222"/>
      <c r="AC612" s="222"/>
      <c r="AG612" s="222"/>
      <c r="AK612" s="222"/>
      <c r="AO612" s="222"/>
      <c r="AS612" s="222"/>
      <c r="AW612" s="222"/>
      <c r="BA612" s="222"/>
      <c r="BE612" s="222"/>
      <c r="BK612" s="222"/>
      <c r="BO612" s="222"/>
      <c r="BU612" s="222"/>
      <c r="BY612" s="222"/>
      <c r="CC612" s="222"/>
      <c r="CG612" s="222"/>
      <c r="CK612" s="222"/>
      <c r="CQ612" s="222"/>
      <c r="CU612" s="222"/>
      <c r="CY612" s="222"/>
    </row>
    <row r="613">
      <c r="A613" s="227"/>
      <c r="E613" s="222"/>
      <c r="I613" s="222"/>
      <c r="M613" s="222"/>
      <c r="Q613" s="222"/>
      <c r="U613" s="222"/>
      <c r="Y613" s="222"/>
      <c r="AC613" s="222"/>
      <c r="AG613" s="222"/>
      <c r="AK613" s="222"/>
      <c r="AO613" s="222"/>
      <c r="AS613" s="222"/>
      <c r="AW613" s="222"/>
      <c r="BA613" s="222"/>
      <c r="BE613" s="222"/>
      <c r="BK613" s="222"/>
      <c r="BO613" s="222"/>
      <c r="BU613" s="222"/>
      <c r="BY613" s="222"/>
      <c r="CC613" s="222"/>
      <c r="CG613" s="222"/>
      <c r="CK613" s="222"/>
      <c r="CQ613" s="222"/>
      <c r="CU613" s="222"/>
      <c r="CY613" s="222"/>
    </row>
    <row r="614">
      <c r="A614" s="227"/>
      <c r="E614" s="222"/>
      <c r="I614" s="222"/>
      <c r="M614" s="222"/>
      <c r="Q614" s="222"/>
      <c r="U614" s="222"/>
      <c r="Y614" s="222"/>
      <c r="AC614" s="222"/>
      <c r="AG614" s="222"/>
      <c r="AK614" s="222"/>
      <c r="AO614" s="222"/>
      <c r="AS614" s="222"/>
      <c r="AW614" s="222"/>
      <c r="BA614" s="222"/>
      <c r="BE614" s="222"/>
      <c r="BK614" s="222"/>
      <c r="BO614" s="222"/>
      <c r="BU614" s="222"/>
      <c r="BY614" s="222"/>
      <c r="CC614" s="222"/>
      <c r="CG614" s="222"/>
      <c r="CK614" s="222"/>
      <c r="CQ614" s="222"/>
      <c r="CU614" s="222"/>
      <c r="CY614" s="222"/>
    </row>
    <row r="615">
      <c r="A615" s="227"/>
      <c r="E615" s="222"/>
      <c r="I615" s="222"/>
      <c r="M615" s="222"/>
      <c r="Q615" s="222"/>
      <c r="U615" s="222"/>
      <c r="Y615" s="222"/>
      <c r="AC615" s="222"/>
      <c r="AG615" s="222"/>
      <c r="AK615" s="222"/>
      <c r="AO615" s="222"/>
      <c r="AS615" s="222"/>
      <c r="AW615" s="222"/>
      <c r="BA615" s="222"/>
      <c r="BE615" s="222"/>
      <c r="BK615" s="222"/>
      <c r="BO615" s="222"/>
      <c r="BU615" s="222"/>
      <c r="BY615" s="222"/>
      <c r="CC615" s="222"/>
      <c r="CG615" s="222"/>
      <c r="CK615" s="222"/>
      <c r="CQ615" s="222"/>
      <c r="CU615" s="222"/>
      <c r="CY615" s="222"/>
    </row>
    <row r="616">
      <c r="A616" s="227"/>
      <c r="E616" s="222"/>
      <c r="I616" s="222"/>
      <c r="M616" s="222"/>
      <c r="Q616" s="222"/>
      <c r="U616" s="222"/>
      <c r="Y616" s="222"/>
      <c r="AC616" s="222"/>
      <c r="AG616" s="222"/>
      <c r="AK616" s="222"/>
      <c r="AO616" s="222"/>
      <c r="AS616" s="222"/>
      <c r="AW616" s="222"/>
      <c r="BA616" s="222"/>
      <c r="BE616" s="222"/>
      <c r="BK616" s="222"/>
      <c r="BO616" s="222"/>
      <c r="BU616" s="222"/>
      <c r="BY616" s="222"/>
      <c r="CC616" s="222"/>
      <c r="CG616" s="222"/>
      <c r="CK616" s="222"/>
      <c r="CQ616" s="222"/>
      <c r="CU616" s="222"/>
      <c r="CY616" s="222"/>
    </row>
    <row r="617">
      <c r="A617" s="227"/>
      <c r="E617" s="222"/>
      <c r="I617" s="222"/>
      <c r="M617" s="222"/>
      <c r="Q617" s="222"/>
      <c r="U617" s="222"/>
      <c r="Y617" s="222"/>
      <c r="AC617" s="222"/>
      <c r="AG617" s="222"/>
      <c r="AK617" s="222"/>
      <c r="AO617" s="222"/>
      <c r="AS617" s="222"/>
      <c r="AW617" s="222"/>
      <c r="BA617" s="222"/>
      <c r="BE617" s="222"/>
      <c r="BK617" s="222"/>
      <c r="BO617" s="222"/>
      <c r="BU617" s="222"/>
      <c r="BY617" s="222"/>
      <c r="CC617" s="222"/>
      <c r="CG617" s="222"/>
      <c r="CK617" s="222"/>
      <c r="CQ617" s="222"/>
      <c r="CU617" s="222"/>
      <c r="CY617" s="222"/>
    </row>
    <row r="618">
      <c r="A618" s="227"/>
      <c r="E618" s="222"/>
      <c r="I618" s="222"/>
      <c r="M618" s="222"/>
      <c r="Q618" s="222"/>
      <c r="U618" s="222"/>
      <c r="Y618" s="222"/>
      <c r="AC618" s="222"/>
      <c r="AG618" s="222"/>
      <c r="AK618" s="222"/>
      <c r="AO618" s="222"/>
      <c r="AS618" s="222"/>
      <c r="AW618" s="222"/>
      <c r="BA618" s="222"/>
      <c r="BE618" s="222"/>
      <c r="BK618" s="222"/>
      <c r="BO618" s="222"/>
      <c r="BU618" s="222"/>
      <c r="BY618" s="222"/>
      <c r="CC618" s="222"/>
      <c r="CG618" s="222"/>
      <c r="CK618" s="222"/>
      <c r="CQ618" s="222"/>
      <c r="CU618" s="222"/>
      <c r="CY618" s="222"/>
    </row>
    <row r="619">
      <c r="A619" s="227"/>
      <c r="E619" s="222"/>
      <c r="I619" s="222"/>
      <c r="M619" s="222"/>
      <c r="Q619" s="222"/>
      <c r="U619" s="222"/>
      <c r="Y619" s="222"/>
      <c r="AC619" s="222"/>
      <c r="AG619" s="222"/>
      <c r="AK619" s="222"/>
      <c r="AO619" s="222"/>
      <c r="AS619" s="222"/>
      <c r="AW619" s="222"/>
      <c r="BA619" s="222"/>
      <c r="BE619" s="222"/>
      <c r="BK619" s="222"/>
      <c r="BO619" s="222"/>
      <c r="BU619" s="222"/>
      <c r="BY619" s="222"/>
      <c r="CC619" s="222"/>
      <c r="CG619" s="222"/>
      <c r="CK619" s="222"/>
      <c r="CQ619" s="222"/>
      <c r="CU619" s="222"/>
      <c r="CY619" s="222"/>
    </row>
    <row r="620">
      <c r="A620" s="227"/>
      <c r="E620" s="222"/>
      <c r="I620" s="222"/>
      <c r="M620" s="222"/>
      <c r="Q620" s="222"/>
      <c r="U620" s="222"/>
      <c r="Y620" s="222"/>
      <c r="AC620" s="222"/>
      <c r="AG620" s="222"/>
      <c r="AK620" s="222"/>
      <c r="AO620" s="222"/>
      <c r="AS620" s="222"/>
      <c r="AW620" s="222"/>
      <c r="BA620" s="222"/>
      <c r="BE620" s="222"/>
      <c r="BK620" s="222"/>
      <c r="BO620" s="222"/>
      <c r="BU620" s="222"/>
      <c r="BY620" s="222"/>
      <c r="CC620" s="222"/>
      <c r="CG620" s="222"/>
      <c r="CK620" s="222"/>
      <c r="CQ620" s="222"/>
      <c r="CU620" s="222"/>
      <c r="CY620" s="222"/>
    </row>
    <row r="621">
      <c r="A621" s="227"/>
      <c r="E621" s="222"/>
      <c r="I621" s="222"/>
      <c r="M621" s="222"/>
      <c r="Q621" s="222"/>
      <c r="U621" s="222"/>
      <c r="Y621" s="222"/>
      <c r="AC621" s="222"/>
      <c r="AG621" s="222"/>
      <c r="AK621" s="222"/>
      <c r="AO621" s="222"/>
      <c r="AS621" s="222"/>
      <c r="AW621" s="222"/>
      <c r="BA621" s="222"/>
      <c r="BE621" s="222"/>
      <c r="BK621" s="222"/>
      <c r="BO621" s="222"/>
      <c r="BU621" s="222"/>
      <c r="BY621" s="222"/>
      <c r="CC621" s="222"/>
      <c r="CG621" s="222"/>
      <c r="CK621" s="222"/>
      <c r="CQ621" s="222"/>
      <c r="CU621" s="222"/>
      <c r="CY621" s="222"/>
    </row>
    <row r="622">
      <c r="A622" s="227"/>
      <c r="E622" s="222"/>
      <c r="I622" s="222"/>
      <c r="M622" s="222"/>
      <c r="Q622" s="222"/>
      <c r="U622" s="222"/>
      <c r="Y622" s="222"/>
      <c r="AC622" s="222"/>
      <c r="AG622" s="222"/>
      <c r="AK622" s="222"/>
      <c r="AO622" s="222"/>
      <c r="AS622" s="222"/>
      <c r="AW622" s="222"/>
      <c r="BA622" s="222"/>
      <c r="BE622" s="222"/>
      <c r="BK622" s="222"/>
      <c r="BO622" s="222"/>
      <c r="BU622" s="222"/>
      <c r="BY622" s="222"/>
      <c r="CC622" s="222"/>
      <c r="CG622" s="222"/>
      <c r="CK622" s="222"/>
      <c r="CQ622" s="222"/>
      <c r="CU622" s="222"/>
      <c r="CY622" s="222"/>
    </row>
    <row r="623">
      <c r="A623" s="227"/>
      <c r="E623" s="222"/>
      <c r="I623" s="222"/>
      <c r="M623" s="222"/>
      <c r="Q623" s="222"/>
      <c r="U623" s="222"/>
      <c r="Y623" s="222"/>
      <c r="AC623" s="222"/>
      <c r="AG623" s="222"/>
      <c r="AK623" s="222"/>
      <c r="AO623" s="222"/>
      <c r="AS623" s="222"/>
      <c r="AW623" s="222"/>
      <c r="BA623" s="222"/>
      <c r="BE623" s="222"/>
      <c r="BK623" s="222"/>
      <c r="BO623" s="222"/>
      <c r="BU623" s="222"/>
      <c r="BY623" s="222"/>
      <c r="CC623" s="222"/>
      <c r="CG623" s="222"/>
      <c r="CK623" s="222"/>
      <c r="CQ623" s="222"/>
      <c r="CU623" s="222"/>
      <c r="CY623" s="222"/>
    </row>
    <row r="624">
      <c r="A624" s="227"/>
      <c r="E624" s="222"/>
      <c r="I624" s="222"/>
      <c r="M624" s="222"/>
      <c r="Q624" s="222"/>
      <c r="U624" s="222"/>
      <c r="Y624" s="222"/>
      <c r="AC624" s="222"/>
      <c r="AG624" s="222"/>
      <c r="AK624" s="222"/>
      <c r="AO624" s="222"/>
      <c r="AS624" s="222"/>
      <c r="AW624" s="222"/>
      <c r="BA624" s="222"/>
      <c r="BE624" s="222"/>
      <c r="BK624" s="222"/>
      <c r="BO624" s="222"/>
      <c r="BU624" s="222"/>
      <c r="BY624" s="222"/>
      <c r="CC624" s="222"/>
      <c r="CG624" s="222"/>
      <c r="CK624" s="222"/>
      <c r="CQ624" s="222"/>
      <c r="CU624" s="222"/>
      <c r="CY624" s="222"/>
    </row>
    <row r="625">
      <c r="A625" s="227"/>
      <c r="E625" s="222"/>
      <c r="I625" s="222"/>
      <c r="M625" s="222"/>
      <c r="Q625" s="222"/>
      <c r="U625" s="222"/>
      <c r="Y625" s="222"/>
      <c r="AC625" s="222"/>
      <c r="AG625" s="222"/>
      <c r="AK625" s="222"/>
      <c r="AO625" s="222"/>
      <c r="AS625" s="222"/>
      <c r="AW625" s="222"/>
      <c r="BA625" s="222"/>
      <c r="BE625" s="222"/>
      <c r="BK625" s="222"/>
      <c r="BO625" s="222"/>
      <c r="BU625" s="222"/>
      <c r="BY625" s="222"/>
      <c r="CC625" s="222"/>
      <c r="CG625" s="222"/>
      <c r="CK625" s="222"/>
      <c r="CQ625" s="222"/>
      <c r="CU625" s="222"/>
      <c r="CY625" s="222"/>
    </row>
    <row r="626">
      <c r="A626" s="227"/>
      <c r="E626" s="222"/>
      <c r="I626" s="222"/>
      <c r="M626" s="222"/>
      <c r="Q626" s="222"/>
      <c r="U626" s="222"/>
      <c r="Y626" s="222"/>
      <c r="AC626" s="222"/>
      <c r="AG626" s="222"/>
      <c r="AK626" s="222"/>
      <c r="AO626" s="222"/>
      <c r="AS626" s="222"/>
      <c r="AW626" s="222"/>
      <c r="BA626" s="222"/>
      <c r="BE626" s="222"/>
      <c r="BK626" s="222"/>
      <c r="BO626" s="222"/>
      <c r="BU626" s="222"/>
      <c r="BY626" s="222"/>
      <c r="CC626" s="222"/>
      <c r="CG626" s="222"/>
      <c r="CK626" s="222"/>
      <c r="CQ626" s="222"/>
      <c r="CU626" s="222"/>
      <c r="CY626" s="222"/>
    </row>
    <row r="627">
      <c r="A627" s="227"/>
      <c r="E627" s="222"/>
      <c r="I627" s="222"/>
      <c r="M627" s="222"/>
      <c r="Q627" s="222"/>
      <c r="U627" s="222"/>
      <c r="Y627" s="222"/>
      <c r="AC627" s="222"/>
      <c r="AG627" s="222"/>
      <c r="AK627" s="222"/>
      <c r="AO627" s="222"/>
      <c r="AS627" s="222"/>
      <c r="AW627" s="222"/>
      <c r="BA627" s="222"/>
      <c r="BE627" s="222"/>
      <c r="BK627" s="222"/>
      <c r="BO627" s="222"/>
      <c r="BU627" s="222"/>
      <c r="BY627" s="222"/>
      <c r="CC627" s="222"/>
      <c r="CG627" s="222"/>
      <c r="CK627" s="222"/>
      <c r="CQ627" s="222"/>
      <c r="CU627" s="222"/>
      <c r="CY627" s="222"/>
    </row>
    <row r="628">
      <c r="A628" s="227"/>
      <c r="E628" s="222"/>
      <c r="I628" s="222"/>
      <c r="M628" s="222"/>
      <c r="Q628" s="222"/>
      <c r="U628" s="222"/>
      <c r="Y628" s="222"/>
      <c r="AC628" s="222"/>
      <c r="AG628" s="222"/>
      <c r="AK628" s="222"/>
      <c r="AO628" s="222"/>
      <c r="AS628" s="222"/>
      <c r="AW628" s="222"/>
      <c r="BA628" s="222"/>
      <c r="BE628" s="222"/>
      <c r="BK628" s="222"/>
      <c r="BO628" s="222"/>
      <c r="BU628" s="222"/>
      <c r="BY628" s="222"/>
      <c r="CC628" s="222"/>
      <c r="CG628" s="222"/>
      <c r="CK628" s="222"/>
      <c r="CQ628" s="222"/>
      <c r="CU628" s="222"/>
      <c r="CY628" s="222"/>
    </row>
    <row r="629">
      <c r="A629" s="227"/>
      <c r="E629" s="222"/>
      <c r="I629" s="222"/>
      <c r="M629" s="222"/>
      <c r="Q629" s="222"/>
      <c r="U629" s="222"/>
      <c r="Y629" s="222"/>
      <c r="AC629" s="222"/>
      <c r="AG629" s="222"/>
      <c r="AK629" s="222"/>
      <c r="AO629" s="222"/>
      <c r="AS629" s="222"/>
      <c r="AW629" s="222"/>
      <c r="BA629" s="222"/>
      <c r="BE629" s="222"/>
      <c r="BK629" s="222"/>
      <c r="BO629" s="222"/>
      <c r="BU629" s="222"/>
      <c r="BY629" s="222"/>
      <c r="CC629" s="222"/>
      <c r="CG629" s="222"/>
      <c r="CK629" s="222"/>
      <c r="CQ629" s="222"/>
      <c r="CU629" s="222"/>
      <c r="CY629" s="222"/>
    </row>
    <row r="630">
      <c r="A630" s="227"/>
      <c r="E630" s="222"/>
      <c r="I630" s="222"/>
      <c r="M630" s="222"/>
      <c r="Q630" s="222"/>
      <c r="U630" s="222"/>
      <c r="Y630" s="222"/>
      <c r="AC630" s="222"/>
      <c r="AG630" s="222"/>
      <c r="AK630" s="222"/>
      <c r="AO630" s="222"/>
      <c r="AS630" s="222"/>
      <c r="AW630" s="222"/>
      <c r="BA630" s="222"/>
      <c r="BE630" s="222"/>
      <c r="BK630" s="222"/>
      <c r="BO630" s="222"/>
      <c r="BU630" s="222"/>
      <c r="BY630" s="222"/>
      <c r="CC630" s="222"/>
      <c r="CG630" s="222"/>
      <c r="CK630" s="222"/>
      <c r="CQ630" s="222"/>
      <c r="CU630" s="222"/>
      <c r="CY630" s="222"/>
    </row>
    <row r="631">
      <c r="A631" s="227"/>
      <c r="E631" s="222"/>
      <c r="I631" s="222"/>
      <c r="M631" s="222"/>
      <c r="Q631" s="222"/>
      <c r="U631" s="222"/>
      <c r="Y631" s="222"/>
      <c r="AC631" s="222"/>
      <c r="AG631" s="222"/>
      <c r="AK631" s="222"/>
      <c r="AO631" s="222"/>
      <c r="AS631" s="222"/>
      <c r="AW631" s="222"/>
      <c r="BA631" s="222"/>
      <c r="BE631" s="222"/>
      <c r="BK631" s="222"/>
      <c r="BO631" s="222"/>
      <c r="BU631" s="222"/>
      <c r="BY631" s="222"/>
      <c r="CC631" s="222"/>
      <c r="CG631" s="222"/>
      <c r="CK631" s="222"/>
      <c r="CQ631" s="222"/>
      <c r="CU631" s="222"/>
      <c r="CY631" s="222"/>
    </row>
    <row r="632">
      <c r="A632" s="227"/>
      <c r="E632" s="222"/>
      <c r="I632" s="222"/>
      <c r="M632" s="222"/>
      <c r="Q632" s="222"/>
      <c r="U632" s="222"/>
      <c r="Y632" s="222"/>
      <c r="AC632" s="222"/>
      <c r="AG632" s="222"/>
      <c r="AK632" s="222"/>
      <c r="AO632" s="222"/>
      <c r="AS632" s="222"/>
      <c r="AW632" s="222"/>
      <c r="BA632" s="222"/>
      <c r="BE632" s="222"/>
      <c r="BK632" s="222"/>
      <c r="BO632" s="222"/>
      <c r="BU632" s="222"/>
      <c r="BY632" s="222"/>
      <c r="CC632" s="222"/>
      <c r="CG632" s="222"/>
      <c r="CK632" s="222"/>
      <c r="CQ632" s="222"/>
      <c r="CU632" s="222"/>
      <c r="CY632" s="222"/>
    </row>
    <row r="633">
      <c r="A633" s="227"/>
      <c r="E633" s="222"/>
      <c r="I633" s="222"/>
      <c r="M633" s="222"/>
      <c r="Q633" s="222"/>
      <c r="U633" s="222"/>
      <c r="Y633" s="222"/>
      <c r="AC633" s="222"/>
      <c r="AG633" s="222"/>
      <c r="AK633" s="222"/>
      <c r="AO633" s="222"/>
      <c r="AS633" s="222"/>
      <c r="AW633" s="222"/>
      <c r="BA633" s="222"/>
      <c r="BE633" s="222"/>
      <c r="BK633" s="222"/>
      <c r="BO633" s="222"/>
      <c r="BU633" s="222"/>
      <c r="BY633" s="222"/>
      <c r="CC633" s="222"/>
      <c r="CG633" s="222"/>
      <c r="CK633" s="222"/>
      <c r="CQ633" s="222"/>
      <c r="CU633" s="222"/>
      <c r="CY633" s="222"/>
    </row>
    <row r="634">
      <c r="A634" s="227"/>
      <c r="E634" s="222"/>
      <c r="I634" s="222"/>
      <c r="M634" s="222"/>
      <c r="Q634" s="222"/>
      <c r="U634" s="222"/>
      <c r="Y634" s="222"/>
      <c r="AC634" s="222"/>
      <c r="AG634" s="222"/>
      <c r="AK634" s="222"/>
      <c r="AO634" s="222"/>
      <c r="AS634" s="222"/>
      <c r="AW634" s="222"/>
      <c r="BA634" s="222"/>
      <c r="BE634" s="222"/>
      <c r="BK634" s="222"/>
      <c r="BO634" s="222"/>
      <c r="BU634" s="222"/>
      <c r="BY634" s="222"/>
      <c r="CC634" s="222"/>
      <c r="CG634" s="222"/>
      <c r="CK634" s="222"/>
      <c r="CQ634" s="222"/>
      <c r="CU634" s="222"/>
      <c r="CY634" s="222"/>
    </row>
    <row r="635">
      <c r="A635" s="227"/>
      <c r="E635" s="222"/>
      <c r="I635" s="222"/>
      <c r="M635" s="222"/>
      <c r="Q635" s="222"/>
      <c r="U635" s="222"/>
      <c r="Y635" s="222"/>
      <c r="AC635" s="222"/>
      <c r="AG635" s="222"/>
      <c r="AK635" s="222"/>
      <c r="AO635" s="222"/>
      <c r="AS635" s="222"/>
      <c r="AW635" s="222"/>
      <c r="BA635" s="222"/>
      <c r="BE635" s="222"/>
      <c r="BK635" s="222"/>
      <c r="BO635" s="222"/>
      <c r="BU635" s="222"/>
      <c r="BY635" s="222"/>
      <c r="CC635" s="222"/>
      <c r="CG635" s="222"/>
      <c r="CK635" s="222"/>
      <c r="CQ635" s="222"/>
      <c r="CU635" s="222"/>
      <c r="CY635" s="222"/>
    </row>
    <row r="636">
      <c r="A636" s="227"/>
      <c r="E636" s="222"/>
      <c r="I636" s="222"/>
      <c r="M636" s="222"/>
      <c r="Q636" s="222"/>
      <c r="U636" s="222"/>
      <c r="Y636" s="222"/>
      <c r="AC636" s="222"/>
      <c r="AG636" s="222"/>
      <c r="AK636" s="222"/>
      <c r="AO636" s="222"/>
      <c r="AS636" s="222"/>
      <c r="AW636" s="222"/>
      <c r="BA636" s="222"/>
      <c r="BE636" s="222"/>
      <c r="BK636" s="222"/>
      <c r="BO636" s="222"/>
      <c r="BU636" s="222"/>
      <c r="BY636" s="222"/>
      <c r="CC636" s="222"/>
      <c r="CG636" s="222"/>
      <c r="CK636" s="222"/>
      <c r="CQ636" s="222"/>
      <c r="CU636" s="222"/>
      <c r="CY636" s="222"/>
    </row>
    <row r="637">
      <c r="A637" s="227"/>
      <c r="E637" s="222"/>
      <c r="I637" s="222"/>
      <c r="M637" s="222"/>
      <c r="Q637" s="222"/>
      <c r="U637" s="222"/>
      <c r="Y637" s="222"/>
      <c r="AC637" s="222"/>
      <c r="AG637" s="222"/>
      <c r="AK637" s="222"/>
      <c r="AO637" s="222"/>
      <c r="AS637" s="222"/>
      <c r="AW637" s="222"/>
      <c r="BA637" s="222"/>
      <c r="BE637" s="222"/>
      <c r="BK637" s="222"/>
      <c r="BO637" s="222"/>
      <c r="BU637" s="222"/>
      <c r="BY637" s="222"/>
      <c r="CC637" s="222"/>
      <c r="CG637" s="222"/>
      <c r="CK637" s="222"/>
      <c r="CQ637" s="222"/>
      <c r="CU637" s="222"/>
      <c r="CY637" s="222"/>
    </row>
    <row r="638">
      <c r="A638" s="227"/>
      <c r="E638" s="222"/>
      <c r="I638" s="222"/>
      <c r="M638" s="222"/>
      <c r="Q638" s="222"/>
      <c r="U638" s="222"/>
      <c r="Y638" s="222"/>
      <c r="AC638" s="222"/>
      <c r="AG638" s="222"/>
      <c r="AK638" s="222"/>
      <c r="AO638" s="222"/>
      <c r="AS638" s="222"/>
      <c r="AW638" s="222"/>
      <c r="BA638" s="222"/>
      <c r="BE638" s="222"/>
      <c r="BK638" s="222"/>
      <c r="BO638" s="222"/>
      <c r="BU638" s="222"/>
      <c r="BY638" s="222"/>
      <c r="CC638" s="222"/>
      <c r="CG638" s="222"/>
      <c r="CK638" s="222"/>
      <c r="CQ638" s="222"/>
      <c r="CU638" s="222"/>
      <c r="CY638" s="222"/>
    </row>
    <row r="639">
      <c r="A639" s="227"/>
      <c r="E639" s="222"/>
      <c r="I639" s="222"/>
      <c r="M639" s="222"/>
      <c r="Q639" s="222"/>
      <c r="U639" s="222"/>
      <c r="Y639" s="222"/>
      <c r="AC639" s="222"/>
      <c r="AG639" s="222"/>
      <c r="AK639" s="222"/>
      <c r="AO639" s="222"/>
      <c r="AS639" s="222"/>
      <c r="AW639" s="222"/>
      <c r="BA639" s="222"/>
      <c r="BE639" s="222"/>
      <c r="BK639" s="222"/>
      <c r="BO639" s="222"/>
      <c r="BU639" s="222"/>
      <c r="BY639" s="222"/>
      <c r="CC639" s="222"/>
      <c r="CG639" s="222"/>
      <c r="CK639" s="222"/>
      <c r="CQ639" s="222"/>
      <c r="CU639" s="222"/>
      <c r="CY639" s="222"/>
    </row>
    <row r="640">
      <c r="A640" s="227"/>
      <c r="E640" s="222"/>
      <c r="I640" s="222"/>
      <c r="M640" s="222"/>
      <c r="Q640" s="222"/>
      <c r="U640" s="222"/>
      <c r="Y640" s="222"/>
      <c r="AC640" s="222"/>
      <c r="AG640" s="222"/>
      <c r="AK640" s="222"/>
      <c r="AO640" s="222"/>
      <c r="AS640" s="222"/>
      <c r="AW640" s="222"/>
      <c r="BA640" s="222"/>
      <c r="BE640" s="222"/>
      <c r="BK640" s="222"/>
      <c r="BO640" s="222"/>
      <c r="BU640" s="222"/>
      <c r="BY640" s="222"/>
      <c r="CC640" s="222"/>
      <c r="CG640" s="222"/>
      <c r="CK640" s="222"/>
      <c r="CQ640" s="222"/>
      <c r="CU640" s="222"/>
      <c r="CY640" s="222"/>
    </row>
    <row r="641">
      <c r="A641" s="227"/>
      <c r="E641" s="222"/>
      <c r="I641" s="222"/>
      <c r="M641" s="222"/>
      <c r="Q641" s="222"/>
      <c r="U641" s="222"/>
      <c r="Y641" s="222"/>
      <c r="AC641" s="222"/>
      <c r="AG641" s="222"/>
      <c r="AK641" s="222"/>
      <c r="AO641" s="222"/>
      <c r="AS641" s="222"/>
      <c r="AW641" s="222"/>
      <c r="BA641" s="222"/>
      <c r="BE641" s="222"/>
      <c r="BK641" s="222"/>
      <c r="BO641" s="222"/>
      <c r="BU641" s="222"/>
      <c r="BY641" s="222"/>
      <c r="CC641" s="222"/>
      <c r="CG641" s="222"/>
      <c r="CK641" s="222"/>
      <c r="CQ641" s="222"/>
      <c r="CU641" s="222"/>
      <c r="CY641" s="222"/>
    </row>
    <row r="642">
      <c r="A642" s="227"/>
      <c r="E642" s="222"/>
      <c r="I642" s="222"/>
      <c r="M642" s="222"/>
      <c r="Q642" s="222"/>
      <c r="U642" s="222"/>
      <c r="Y642" s="222"/>
      <c r="AC642" s="222"/>
      <c r="AG642" s="222"/>
      <c r="AK642" s="222"/>
      <c r="AO642" s="222"/>
      <c r="AS642" s="222"/>
      <c r="AW642" s="222"/>
      <c r="BA642" s="222"/>
      <c r="BE642" s="222"/>
      <c r="BK642" s="222"/>
      <c r="BO642" s="222"/>
      <c r="BU642" s="222"/>
      <c r="BY642" s="222"/>
      <c r="CC642" s="222"/>
      <c r="CG642" s="222"/>
      <c r="CK642" s="222"/>
      <c r="CQ642" s="222"/>
      <c r="CU642" s="222"/>
      <c r="CY642" s="222"/>
    </row>
    <row r="643">
      <c r="A643" s="227"/>
      <c r="E643" s="222"/>
      <c r="I643" s="222"/>
      <c r="M643" s="222"/>
      <c r="Q643" s="222"/>
      <c r="U643" s="222"/>
      <c r="Y643" s="222"/>
      <c r="AC643" s="222"/>
      <c r="AG643" s="222"/>
      <c r="AK643" s="222"/>
      <c r="AO643" s="222"/>
      <c r="AS643" s="222"/>
      <c r="AW643" s="222"/>
      <c r="BA643" s="222"/>
      <c r="BE643" s="222"/>
      <c r="BK643" s="222"/>
      <c r="BO643" s="222"/>
      <c r="BU643" s="222"/>
      <c r="BY643" s="222"/>
      <c r="CC643" s="222"/>
      <c r="CG643" s="222"/>
      <c r="CK643" s="222"/>
      <c r="CQ643" s="222"/>
      <c r="CU643" s="222"/>
      <c r="CY643" s="222"/>
    </row>
    <row r="644">
      <c r="A644" s="227"/>
      <c r="E644" s="222"/>
      <c r="I644" s="222"/>
      <c r="M644" s="222"/>
      <c r="Q644" s="222"/>
      <c r="U644" s="222"/>
      <c r="Y644" s="222"/>
      <c r="AC644" s="222"/>
      <c r="AG644" s="222"/>
      <c r="AK644" s="222"/>
      <c r="AO644" s="222"/>
      <c r="AS644" s="222"/>
      <c r="AW644" s="222"/>
      <c r="BA644" s="222"/>
      <c r="BE644" s="222"/>
      <c r="BK644" s="222"/>
      <c r="BO644" s="222"/>
      <c r="BU644" s="222"/>
      <c r="BY644" s="222"/>
      <c r="CC644" s="222"/>
      <c r="CG644" s="222"/>
      <c r="CK644" s="222"/>
      <c r="CQ644" s="222"/>
      <c r="CU644" s="222"/>
      <c r="CY644" s="222"/>
    </row>
    <row r="645">
      <c r="A645" s="227"/>
      <c r="E645" s="222"/>
      <c r="I645" s="222"/>
      <c r="M645" s="222"/>
      <c r="Q645" s="222"/>
      <c r="U645" s="222"/>
      <c r="Y645" s="222"/>
      <c r="AC645" s="222"/>
      <c r="AG645" s="222"/>
      <c r="AK645" s="222"/>
      <c r="AO645" s="222"/>
      <c r="AS645" s="222"/>
      <c r="AW645" s="222"/>
      <c r="BA645" s="222"/>
      <c r="BE645" s="222"/>
      <c r="BK645" s="222"/>
      <c r="BO645" s="222"/>
      <c r="BU645" s="222"/>
      <c r="BY645" s="222"/>
      <c r="CC645" s="222"/>
      <c r="CG645" s="222"/>
      <c r="CK645" s="222"/>
      <c r="CQ645" s="222"/>
      <c r="CU645" s="222"/>
      <c r="CY645" s="222"/>
    </row>
    <row r="646">
      <c r="A646" s="227"/>
      <c r="E646" s="222"/>
      <c r="I646" s="222"/>
      <c r="M646" s="222"/>
      <c r="Q646" s="222"/>
      <c r="U646" s="222"/>
      <c r="Y646" s="222"/>
      <c r="AC646" s="222"/>
      <c r="AG646" s="222"/>
      <c r="AK646" s="222"/>
      <c r="AO646" s="222"/>
      <c r="AS646" s="222"/>
      <c r="AW646" s="222"/>
      <c r="BA646" s="222"/>
      <c r="BE646" s="222"/>
      <c r="BK646" s="222"/>
      <c r="BO646" s="222"/>
      <c r="BU646" s="222"/>
      <c r="BY646" s="222"/>
      <c r="CC646" s="222"/>
      <c r="CG646" s="222"/>
      <c r="CK646" s="222"/>
      <c r="CQ646" s="222"/>
      <c r="CU646" s="222"/>
      <c r="CY646" s="222"/>
    </row>
    <row r="647">
      <c r="A647" s="227"/>
      <c r="E647" s="222"/>
      <c r="I647" s="222"/>
      <c r="M647" s="222"/>
      <c r="Q647" s="222"/>
      <c r="U647" s="222"/>
      <c r="Y647" s="222"/>
      <c r="AC647" s="222"/>
      <c r="AG647" s="222"/>
      <c r="AK647" s="222"/>
      <c r="AO647" s="222"/>
      <c r="AS647" s="222"/>
      <c r="AW647" s="222"/>
      <c r="BA647" s="222"/>
      <c r="BE647" s="222"/>
      <c r="BK647" s="222"/>
      <c r="BO647" s="222"/>
      <c r="BU647" s="222"/>
      <c r="BY647" s="222"/>
      <c r="CC647" s="222"/>
      <c r="CG647" s="222"/>
      <c r="CK647" s="222"/>
      <c r="CQ647" s="222"/>
      <c r="CU647" s="222"/>
      <c r="CY647" s="222"/>
    </row>
    <row r="648">
      <c r="A648" s="227"/>
      <c r="E648" s="222"/>
      <c r="I648" s="222"/>
      <c r="M648" s="222"/>
      <c r="Q648" s="222"/>
      <c r="U648" s="222"/>
      <c r="Y648" s="222"/>
      <c r="AC648" s="222"/>
      <c r="AG648" s="222"/>
      <c r="AK648" s="222"/>
      <c r="AO648" s="222"/>
      <c r="AS648" s="222"/>
      <c r="AW648" s="222"/>
      <c r="BA648" s="222"/>
      <c r="BE648" s="222"/>
      <c r="BK648" s="222"/>
      <c r="BO648" s="222"/>
      <c r="BU648" s="222"/>
      <c r="BY648" s="222"/>
      <c r="CC648" s="222"/>
      <c r="CG648" s="222"/>
      <c r="CK648" s="222"/>
      <c r="CQ648" s="222"/>
      <c r="CU648" s="222"/>
      <c r="CY648" s="222"/>
    </row>
    <row r="649">
      <c r="A649" s="227"/>
      <c r="E649" s="222"/>
      <c r="I649" s="222"/>
      <c r="M649" s="222"/>
      <c r="Q649" s="222"/>
      <c r="U649" s="222"/>
      <c r="Y649" s="222"/>
      <c r="AC649" s="222"/>
      <c r="AG649" s="222"/>
      <c r="AK649" s="222"/>
      <c r="AO649" s="222"/>
      <c r="AS649" s="222"/>
      <c r="AW649" s="222"/>
      <c r="BA649" s="222"/>
      <c r="BE649" s="222"/>
      <c r="BK649" s="222"/>
      <c r="BO649" s="222"/>
      <c r="BU649" s="222"/>
      <c r="BY649" s="222"/>
      <c r="CC649" s="222"/>
      <c r="CG649" s="222"/>
      <c r="CK649" s="222"/>
      <c r="CQ649" s="222"/>
      <c r="CU649" s="222"/>
      <c r="CY649" s="222"/>
    </row>
    <row r="650">
      <c r="A650" s="227"/>
      <c r="E650" s="222"/>
      <c r="I650" s="222"/>
      <c r="M650" s="222"/>
      <c r="Q650" s="222"/>
      <c r="U650" s="222"/>
      <c r="Y650" s="222"/>
      <c r="AC650" s="222"/>
      <c r="AG650" s="222"/>
      <c r="AK650" s="222"/>
      <c r="AO650" s="222"/>
      <c r="AS650" s="222"/>
      <c r="AW650" s="222"/>
      <c r="BA650" s="222"/>
      <c r="BE650" s="222"/>
      <c r="BK650" s="222"/>
      <c r="BO650" s="222"/>
      <c r="BU650" s="222"/>
      <c r="BY650" s="222"/>
      <c r="CC650" s="222"/>
      <c r="CG650" s="222"/>
      <c r="CK650" s="222"/>
      <c r="CQ650" s="222"/>
      <c r="CU650" s="222"/>
      <c r="CY650" s="222"/>
    </row>
    <row r="651">
      <c r="A651" s="227"/>
      <c r="E651" s="222"/>
      <c r="I651" s="222"/>
      <c r="M651" s="222"/>
      <c r="Q651" s="222"/>
      <c r="U651" s="222"/>
      <c r="Y651" s="222"/>
      <c r="AC651" s="222"/>
      <c r="AG651" s="222"/>
      <c r="AK651" s="222"/>
      <c r="AO651" s="222"/>
      <c r="AS651" s="222"/>
      <c r="AW651" s="222"/>
      <c r="BA651" s="222"/>
      <c r="BE651" s="222"/>
      <c r="BK651" s="222"/>
      <c r="BO651" s="222"/>
      <c r="BU651" s="222"/>
      <c r="BY651" s="222"/>
      <c r="CC651" s="222"/>
      <c r="CG651" s="222"/>
      <c r="CK651" s="222"/>
      <c r="CQ651" s="222"/>
      <c r="CU651" s="222"/>
      <c r="CY651" s="222"/>
    </row>
    <row r="652">
      <c r="A652" s="227"/>
      <c r="E652" s="222"/>
      <c r="I652" s="222"/>
      <c r="M652" s="222"/>
      <c r="Q652" s="222"/>
      <c r="U652" s="222"/>
      <c r="Y652" s="222"/>
      <c r="AC652" s="222"/>
      <c r="AG652" s="222"/>
      <c r="AK652" s="222"/>
      <c r="AO652" s="222"/>
      <c r="AS652" s="222"/>
      <c r="AW652" s="222"/>
      <c r="BA652" s="222"/>
      <c r="BE652" s="222"/>
      <c r="BK652" s="222"/>
      <c r="BO652" s="222"/>
      <c r="BU652" s="222"/>
      <c r="BY652" s="222"/>
      <c r="CC652" s="222"/>
      <c r="CG652" s="222"/>
      <c r="CK652" s="222"/>
      <c r="CQ652" s="222"/>
      <c r="CU652" s="222"/>
      <c r="CY652" s="222"/>
    </row>
    <row r="653">
      <c r="A653" s="227"/>
      <c r="E653" s="222"/>
      <c r="I653" s="222"/>
      <c r="M653" s="222"/>
      <c r="Q653" s="222"/>
      <c r="U653" s="222"/>
      <c r="Y653" s="222"/>
      <c r="AC653" s="222"/>
      <c r="AG653" s="222"/>
      <c r="AK653" s="222"/>
      <c r="AO653" s="222"/>
      <c r="AS653" s="222"/>
      <c r="AW653" s="222"/>
      <c r="BA653" s="222"/>
      <c r="BE653" s="222"/>
      <c r="BK653" s="222"/>
      <c r="BO653" s="222"/>
      <c r="BU653" s="222"/>
      <c r="BY653" s="222"/>
      <c r="CC653" s="222"/>
      <c r="CG653" s="222"/>
      <c r="CK653" s="222"/>
      <c r="CQ653" s="222"/>
      <c r="CU653" s="222"/>
      <c r="CY653" s="222"/>
    </row>
    <row r="654">
      <c r="A654" s="227"/>
      <c r="E654" s="222"/>
      <c r="I654" s="222"/>
      <c r="M654" s="222"/>
      <c r="Q654" s="222"/>
      <c r="U654" s="222"/>
      <c r="Y654" s="222"/>
      <c r="AC654" s="222"/>
      <c r="AG654" s="222"/>
      <c r="AK654" s="222"/>
      <c r="AO654" s="222"/>
      <c r="AS654" s="222"/>
      <c r="AW654" s="222"/>
      <c r="BA654" s="222"/>
      <c r="BE654" s="222"/>
      <c r="BK654" s="222"/>
      <c r="BO654" s="222"/>
      <c r="BU654" s="222"/>
      <c r="BY654" s="222"/>
      <c r="CC654" s="222"/>
      <c r="CG654" s="222"/>
      <c r="CK654" s="222"/>
      <c r="CQ654" s="222"/>
      <c r="CU654" s="222"/>
      <c r="CY654" s="222"/>
    </row>
    <row r="655">
      <c r="A655" s="227"/>
      <c r="E655" s="222"/>
      <c r="I655" s="222"/>
      <c r="M655" s="222"/>
      <c r="Q655" s="222"/>
      <c r="U655" s="222"/>
      <c r="Y655" s="222"/>
      <c r="AC655" s="222"/>
      <c r="AG655" s="222"/>
      <c r="AK655" s="222"/>
      <c r="AO655" s="222"/>
      <c r="AS655" s="222"/>
      <c r="AW655" s="222"/>
      <c r="BA655" s="222"/>
      <c r="BE655" s="222"/>
      <c r="BK655" s="222"/>
      <c r="BO655" s="222"/>
      <c r="BU655" s="222"/>
      <c r="BY655" s="222"/>
      <c r="CC655" s="222"/>
      <c r="CG655" s="222"/>
      <c r="CK655" s="222"/>
      <c r="CQ655" s="222"/>
      <c r="CU655" s="222"/>
      <c r="CY655" s="222"/>
    </row>
    <row r="656">
      <c r="A656" s="227"/>
      <c r="E656" s="222"/>
      <c r="I656" s="222"/>
      <c r="M656" s="222"/>
      <c r="Q656" s="222"/>
      <c r="U656" s="222"/>
      <c r="Y656" s="222"/>
      <c r="AC656" s="222"/>
      <c r="AG656" s="222"/>
      <c r="AK656" s="222"/>
      <c r="AO656" s="222"/>
      <c r="AS656" s="222"/>
      <c r="AW656" s="222"/>
      <c r="BA656" s="222"/>
      <c r="BE656" s="222"/>
      <c r="BK656" s="222"/>
      <c r="BO656" s="222"/>
      <c r="BU656" s="222"/>
      <c r="BY656" s="222"/>
      <c r="CC656" s="222"/>
      <c r="CG656" s="222"/>
      <c r="CK656" s="222"/>
      <c r="CQ656" s="222"/>
      <c r="CU656" s="222"/>
      <c r="CY656" s="222"/>
    </row>
    <row r="657">
      <c r="A657" s="227"/>
      <c r="E657" s="222"/>
      <c r="I657" s="222"/>
      <c r="M657" s="222"/>
      <c r="Q657" s="222"/>
      <c r="U657" s="222"/>
      <c r="Y657" s="222"/>
      <c r="AC657" s="222"/>
      <c r="AG657" s="222"/>
      <c r="AK657" s="222"/>
      <c r="AO657" s="222"/>
      <c r="AS657" s="222"/>
      <c r="AW657" s="222"/>
      <c r="BA657" s="222"/>
      <c r="BE657" s="222"/>
      <c r="BK657" s="222"/>
      <c r="BO657" s="222"/>
      <c r="BU657" s="222"/>
      <c r="BY657" s="222"/>
      <c r="CC657" s="222"/>
      <c r="CG657" s="222"/>
      <c r="CK657" s="222"/>
      <c r="CQ657" s="222"/>
      <c r="CU657" s="222"/>
      <c r="CY657" s="222"/>
    </row>
    <row r="658">
      <c r="A658" s="227"/>
      <c r="E658" s="222"/>
      <c r="I658" s="222"/>
      <c r="M658" s="222"/>
      <c r="Q658" s="222"/>
      <c r="U658" s="222"/>
      <c r="Y658" s="222"/>
      <c r="AC658" s="222"/>
      <c r="AG658" s="222"/>
      <c r="AK658" s="222"/>
      <c r="AO658" s="222"/>
      <c r="AS658" s="222"/>
      <c r="AW658" s="222"/>
      <c r="BA658" s="222"/>
      <c r="BE658" s="222"/>
      <c r="BK658" s="222"/>
      <c r="BO658" s="222"/>
      <c r="BU658" s="222"/>
      <c r="BY658" s="222"/>
      <c r="CC658" s="222"/>
      <c r="CG658" s="222"/>
      <c r="CK658" s="222"/>
      <c r="CQ658" s="222"/>
      <c r="CU658" s="222"/>
      <c r="CY658" s="222"/>
    </row>
    <row r="659">
      <c r="A659" s="227"/>
      <c r="E659" s="222"/>
      <c r="I659" s="222"/>
      <c r="M659" s="222"/>
      <c r="Q659" s="222"/>
      <c r="U659" s="222"/>
      <c r="Y659" s="222"/>
      <c r="AC659" s="222"/>
      <c r="AG659" s="222"/>
      <c r="AK659" s="222"/>
      <c r="AO659" s="222"/>
      <c r="AS659" s="222"/>
      <c r="AW659" s="222"/>
      <c r="BA659" s="222"/>
      <c r="BE659" s="222"/>
      <c r="BK659" s="222"/>
      <c r="BO659" s="222"/>
      <c r="BU659" s="222"/>
      <c r="BY659" s="222"/>
      <c r="CC659" s="222"/>
      <c r="CG659" s="222"/>
      <c r="CK659" s="222"/>
      <c r="CQ659" s="222"/>
      <c r="CU659" s="222"/>
      <c r="CY659" s="222"/>
    </row>
    <row r="660">
      <c r="A660" s="227"/>
      <c r="E660" s="222"/>
      <c r="I660" s="222"/>
      <c r="M660" s="222"/>
      <c r="Q660" s="222"/>
      <c r="U660" s="222"/>
      <c r="Y660" s="222"/>
      <c r="AC660" s="222"/>
      <c r="AG660" s="222"/>
      <c r="AK660" s="222"/>
      <c r="AO660" s="222"/>
      <c r="AS660" s="222"/>
      <c r="AW660" s="222"/>
      <c r="BA660" s="222"/>
      <c r="BE660" s="222"/>
      <c r="BK660" s="222"/>
      <c r="BO660" s="222"/>
      <c r="BU660" s="222"/>
      <c r="BY660" s="222"/>
      <c r="CC660" s="222"/>
      <c r="CG660" s="222"/>
      <c r="CK660" s="222"/>
      <c r="CQ660" s="222"/>
      <c r="CU660" s="222"/>
      <c r="CY660" s="222"/>
    </row>
    <row r="661">
      <c r="A661" s="227"/>
      <c r="E661" s="222"/>
      <c r="I661" s="222"/>
      <c r="M661" s="222"/>
      <c r="Q661" s="222"/>
      <c r="U661" s="222"/>
      <c r="Y661" s="222"/>
      <c r="AC661" s="222"/>
      <c r="AG661" s="222"/>
      <c r="AK661" s="222"/>
      <c r="AO661" s="222"/>
      <c r="AS661" s="222"/>
      <c r="AW661" s="222"/>
      <c r="BA661" s="222"/>
      <c r="BE661" s="222"/>
      <c r="BK661" s="222"/>
      <c r="BO661" s="222"/>
      <c r="BU661" s="222"/>
      <c r="BY661" s="222"/>
      <c r="CC661" s="222"/>
      <c r="CG661" s="222"/>
      <c r="CK661" s="222"/>
      <c r="CQ661" s="222"/>
      <c r="CU661" s="222"/>
      <c r="CY661" s="222"/>
    </row>
    <row r="662">
      <c r="A662" s="227"/>
      <c r="E662" s="222"/>
      <c r="I662" s="222"/>
      <c r="M662" s="222"/>
      <c r="Q662" s="222"/>
      <c r="U662" s="222"/>
      <c r="Y662" s="222"/>
      <c r="AC662" s="222"/>
      <c r="AG662" s="222"/>
      <c r="AK662" s="222"/>
      <c r="AO662" s="222"/>
      <c r="AS662" s="222"/>
      <c r="AW662" s="222"/>
      <c r="BA662" s="222"/>
      <c r="BE662" s="222"/>
      <c r="BK662" s="222"/>
      <c r="BO662" s="222"/>
      <c r="BU662" s="222"/>
      <c r="BY662" s="222"/>
      <c r="CC662" s="222"/>
      <c r="CG662" s="222"/>
      <c r="CK662" s="222"/>
      <c r="CQ662" s="222"/>
      <c r="CU662" s="222"/>
      <c r="CY662" s="222"/>
    </row>
    <row r="663">
      <c r="A663" s="227"/>
      <c r="E663" s="222"/>
      <c r="I663" s="222"/>
      <c r="M663" s="222"/>
      <c r="Q663" s="222"/>
      <c r="U663" s="222"/>
      <c r="Y663" s="222"/>
      <c r="AC663" s="222"/>
      <c r="AG663" s="222"/>
      <c r="AK663" s="222"/>
      <c r="AO663" s="222"/>
      <c r="AS663" s="222"/>
      <c r="AW663" s="222"/>
      <c r="BA663" s="222"/>
      <c r="BE663" s="222"/>
      <c r="BK663" s="222"/>
      <c r="BO663" s="222"/>
      <c r="BU663" s="222"/>
      <c r="BY663" s="222"/>
      <c r="CC663" s="222"/>
      <c r="CG663" s="222"/>
      <c r="CK663" s="222"/>
      <c r="CQ663" s="222"/>
      <c r="CU663" s="222"/>
      <c r="CY663" s="222"/>
    </row>
    <row r="664">
      <c r="A664" s="227"/>
      <c r="E664" s="222"/>
      <c r="I664" s="222"/>
      <c r="M664" s="222"/>
      <c r="Q664" s="222"/>
      <c r="U664" s="222"/>
      <c r="Y664" s="222"/>
      <c r="AC664" s="222"/>
      <c r="AG664" s="222"/>
      <c r="AK664" s="222"/>
      <c r="AO664" s="222"/>
      <c r="AS664" s="222"/>
      <c r="AW664" s="222"/>
      <c r="BA664" s="222"/>
      <c r="BE664" s="222"/>
      <c r="BK664" s="222"/>
      <c r="BO664" s="222"/>
      <c r="BU664" s="222"/>
      <c r="BY664" s="222"/>
      <c r="CC664" s="222"/>
      <c r="CG664" s="222"/>
      <c r="CK664" s="222"/>
      <c r="CQ664" s="222"/>
      <c r="CU664" s="222"/>
      <c r="CY664" s="222"/>
    </row>
    <row r="665">
      <c r="A665" s="227"/>
      <c r="E665" s="222"/>
      <c r="I665" s="222"/>
      <c r="M665" s="222"/>
      <c r="Q665" s="222"/>
      <c r="U665" s="222"/>
      <c r="Y665" s="222"/>
      <c r="AC665" s="222"/>
      <c r="AG665" s="222"/>
      <c r="AK665" s="222"/>
      <c r="AO665" s="222"/>
      <c r="AS665" s="222"/>
      <c r="AW665" s="222"/>
      <c r="BA665" s="222"/>
      <c r="BE665" s="222"/>
      <c r="BK665" s="222"/>
      <c r="BO665" s="222"/>
      <c r="BU665" s="222"/>
      <c r="BY665" s="222"/>
      <c r="CC665" s="222"/>
      <c r="CG665" s="222"/>
      <c r="CK665" s="222"/>
      <c r="CQ665" s="222"/>
      <c r="CU665" s="222"/>
      <c r="CY665" s="222"/>
    </row>
    <row r="666">
      <c r="A666" s="227"/>
      <c r="E666" s="222"/>
      <c r="I666" s="222"/>
      <c r="M666" s="222"/>
      <c r="Q666" s="222"/>
      <c r="U666" s="222"/>
      <c r="Y666" s="222"/>
      <c r="AC666" s="222"/>
      <c r="AG666" s="222"/>
      <c r="AK666" s="222"/>
      <c r="AO666" s="222"/>
      <c r="AS666" s="222"/>
      <c r="AW666" s="222"/>
      <c r="BA666" s="222"/>
      <c r="BE666" s="222"/>
      <c r="BK666" s="222"/>
      <c r="BO666" s="222"/>
      <c r="BU666" s="222"/>
      <c r="BY666" s="222"/>
      <c r="CC666" s="222"/>
      <c r="CG666" s="222"/>
      <c r="CK666" s="222"/>
      <c r="CQ666" s="222"/>
      <c r="CU666" s="222"/>
      <c r="CY666" s="222"/>
    </row>
    <row r="667">
      <c r="A667" s="227"/>
      <c r="E667" s="222"/>
      <c r="I667" s="222"/>
      <c r="M667" s="222"/>
      <c r="Q667" s="222"/>
      <c r="U667" s="222"/>
      <c r="Y667" s="222"/>
      <c r="AC667" s="222"/>
      <c r="AG667" s="222"/>
      <c r="AK667" s="222"/>
      <c r="AO667" s="222"/>
      <c r="AS667" s="222"/>
      <c r="AW667" s="222"/>
      <c r="BA667" s="222"/>
      <c r="BE667" s="222"/>
      <c r="BK667" s="222"/>
      <c r="BO667" s="222"/>
      <c r="BU667" s="222"/>
      <c r="BY667" s="222"/>
      <c r="CC667" s="222"/>
      <c r="CG667" s="222"/>
      <c r="CK667" s="222"/>
      <c r="CQ667" s="222"/>
      <c r="CU667" s="222"/>
      <c r="CY667" s="222"/>
    </row>
    <row r="668">
      <c r="A668" s="227"/>
      <c r="E668" s="222"/>
      <c r="I668" s="222"/>
      <c r="M668" s="222"/>
      <c r="Q668" s="222"/>
      <c r="U668" s="222"/>
      <c r="Y668" s="222"/>
      <c r="AC668" s="222"/>
      <c r="AG668" s="222"/>
      <c r="AK668" s="222"/>
      <c r="AO668" s="222"/>
      <c r="AS668" s="222"/>
      <c r="AW668" s="222"/>
      <c r="BA668" s="222"/>
      <c r="BE668" s="222"/>
      <c r="BK668" s="222"/>
      <c r="BO668" s="222"/>
      <c r="BU668" s="222"/>
      <c r="BY668" s="222"/>
      <c r="CC668" s="222"/>
      <c r="CG668" s="222"/>
      <c r="CK668" s="222"/>
      <c r="CQ668" s="222"/>
      <c r="CU668" s="222"/>
      <c r="CY668" s="222"/>
    </row>
    <row r="669">
      <c r="A669" s="227"/>
      <c r="E669" s="222"/>
      <c r="I669" s="222"/>
      <c r="M669" s="222"/>
      <c r="Q669" s="222"/>
      <c r="U669" s="222"/>
      <c r="Y669" s="222"/>
      <c r="AC669" s="222"/>
      <c r="AG669" s="222"/>
      <c r="AK669" s="222"/>
      <c r="AO669" s="222"/>
      <c r="AS669" s="222"/>
      <c r="AW669" s="222"/>
      <c r="BA669" s="222"/>
      <c r="BE669" s="222"/>
      <c r="BK669" s="222"/>
      <c r="BO669" s="222"/>
      <c r="BU669" s="222"/>
      <c r="BY669" s="222"/>
      <c r="CC669" s="222"/>
      <c r="CG669" s="222"/>
      <c r="CK669" s="222"/>
      <c r="CQ669" s="222"/>
      <c r="CU669" s="222"/>
      <c r="CY669" s="222"/>
    </row>
    <row r="670">
      <c r="A670" s="227"/>
      <c r="E670" s="222"/>
      <c r="I670" s="222"/>
      <c r="M670" s="222"/>
      <c r="Q670" s="222"/>
      <c r="U670" s="222"/>
      <c r="Y670" s="222"/>
      <c r="AC670" s="222"/>
      <c r="AG670" s="222"/>
      <c r="AK670" s="222"/>
      <c r="AO670" s="222"/>
      <c r="AS670" s="222"/>
      <c r="AW670" s="222"/>
      <c r="BA670" s="222"/>
      <c r="BE670" s="222"/>
      <c r="BK670" s="222"/>
      <c r="BO670" s="222"/>
      <c r="BU670" s="222"/>
      <c r="BY670" s="222"/>
      <c r="CC670" s="222"/>
      <c r="CG670" s="222"/>
      <c r="CK670" s="222"/>
      <c r="CQ670" s="222"/>
      <c r="CU670" s="222"/>
      <c r="CY670" s="222"/>
    </row>
    <row r="671">
      <c r="A671" s="227"/>
      <c r="E671" s="222"/>
      <c r="I671" s="222"/>
      <c r="M671" s="222"/>
      <c r="Q671" s="222"/>
      <c r="U671" s="222"/>
      <c r="Y671" s="222"/>
      <c r="AC671" s="222"/>
      <c r="AG671" s="222"/>
      <c r="AK671" s="222"/>
      <c r="AO671" s="222"/>
      <c r="AS671" s="222"/>
      <c r="AW671" s="222"/>
      <c r="BA671" s="222"/>
      <c r="BE671" s="222"/>
      <c r="BK671" s="222"/>
      <c r="BO671" s="222"/>
      <c r="BU671" s="222"/>
      <c r="BY671" s="222"/>
      <c r="CC671" s="222"/>
      <c r="CG671" s="222"/>
      <c r="CK671" s="222"/>
      <c r="CQ671" s="222"/>
      <c r="CU671" s="222"/>
      <c r="CY671" s="222"/>
    </row>
    <row r="672">
      <c r="A672" s="227"/>
      <c r="E672" s="222"/>
      <c r="I672" s="222"/>
      <c r="M672" s="222"/>
      <c r="Q672" s="222"/>
      <c r="U672" s="222"/>
      <c r="Y672" s="222"/>
      <c r="AC672" s="222"/>
      <c r="AG672" s="222"/>
      <c r="AK672" s="222"/>
      <c r="AO672" s="222"/>
      <c r="AS672" s="222"/>
      <c r="AW672" s="222"/>
      <c r="BA672" s="222"/>
      <c r="BE672" s="222"/>
      <c r="BK672" s="222"/>
      <c r="BO672" s="222"/>
      <c r="BU672" s="222"/>
      <c r="BY672" s="222"/>
      <c r="CC672" s="222"/>
      <c r="CG672" s="222"/>
      <c r="CK672" s="222"/>
      <c r="CQ672" s="222"/>
      <c r="CU672" s="222"/>
      <c r="CY672" s="222"/>
    </row>
    <row r="673">
      <c r="A673" s="227"/>
      <c r="E673" s="222"/>
      <c r="I673" s="222"/>
      <c r="M673" s="222"/>
      <c r="Q673" s="222"/>
      <c r="U673" s="222"/>
      <c r="Y673" s="222"/>
      <c r="AC673" s="222"/>
      <c r="AG673" s="222"/>
      <c r="AK673" s="222"/>
      <c r="AO673" s="222"/>
      <c r="AS673" s="222"/>
      <c r="AW673" s="222"/>
      <c r="BA673" s="222"/>
      <c r="BE673" s="222"/>
      <c r="BK673" s="222"/>
      <c r="BO673" s="222"/>
      <c r="BU673" s="222"/>
      <c r="BY673" s="222"/>
      <c r="CC673" s="222"/>
      <c r="CG673" s="222"/>
      <c r="CK673" s="222"/>
      <c r="CQ673" s="222"/>
      <c r="CU673" s="222"/>
      <c r="CY673" s="222"/>
    </row>
    <row r="674">
      <c r="A674" s="227"/>
      <c r="E674" s="222"/>
      <c r="I674" s="222"/>
      <c r="M674" s="222"/>
      <c r="Q674" s="222"/>
      <c r="U674" s="222"/>
      <c r="Y674" s="222"/>
      <c r="AC674" s="222"/>
      <c r="AG674" s="222"/>
      <c r="AK674" s="222"/>
      <c r="AO674" s="222"/>
      <c r="AS674" s="222"/>
      <c r="AW674" s="222"/>
      <c r="BA674" s="222"/>
      <c r="BE674" s="222"/>
      <c r="BK674" s="222"/>
      <c r="BO674" s="222"/>
      <c r="BU674" s="222"/>
      <c r="BY674" s="222"/>
      <c r="CC674" s="222"/>
      <c r="CG674" s="222"/>
      <c r="CK674" s="222"/>
      <c r="CQ674" s="222"/>
      <c r="CU674" s="222"/>
      <c r="CY674" s="222"/>
    </row>
    <row r="675">
      <c r="A675" s="227"/>
      <c r="E675" s="222"/>
      <c r="I675" s="222"/>
      <c r="M675" s="222"/>
      <c r="Q675" s="222"/>
      <c r="U675" s="222"/>
      <c r="Y675" s="222"/>
      <c r="AC675" s="222"/>
      <c r="AG675" s="222"/>
      <c r="AK675" s="222"/>
      <c r="AO675" s="222"/>
      <c r="AS675" s="222"/>
      <c r="AW675" s="222"/>
      <c r="BA675" s="222"/>
      <c r="BE675" s="222"/>
      <c r="BK675" s="222"/>
      <c r="BO675" s="222"/>
      <c r="BU675" s="222"/>
      <c r="BY675" s="222"/>
      <c r="CC675" s="222"/>
      <c r="CG675" s="222"/>
      <c r="CK675" s="222"/>
      <c r="CQ675" s="222"/>
      <c r="CU675" s="222"/>
      <c r="CY675" s="222"/>
    </row>
    <row r="676">
      <c r="A676" s="227"/>
      <c r="E676" s="222"/>
      <c r="I676" s="222"/>
      <c r="M676" s="222"/>
      <c r="Q676" s="222"/>
      <c r="U676" s="222"/>
      <c r="Y676" s="222"/>
      <c r="AC676" s="222"/>
      <c r="AG676" s="222"/>
      <c r="AK676" s="222"/>
      <c r="AO676" s="222"/>
      <c r="AS676" s="222"/>
      <c r="AW676" s="222"/>
      <c r="BA676" s="222"/>
      <c r="BE676" s="222"/>
      <c r="BK676" s="222"/>
      <c r="BO676" s="222"/>
      <c r="BU676" s="222"/>
      <c r="BY676" s="222"/>
      <c r="CC676" s="222"/>
      <c r="CG676" s="222"/>
      <c r="CK676" s="222"/>
      <c r="CQ676" s="222"/>
      <c r="CU676" s="222"/>
      <c r="CY676" s="222"/>
    </row>
    <row r="677">
      <c r="A677" s="227"/>
      <c r="E677" s="222"/>
      <c r="I677" s="222"/>
      <c r="M677" s="222"/>
      <c r="Q677" s="222"/>
      <c r="U677" s="222"/>
      <c r="Y677" s="222"/>
      <c r="AC677" s="222"/>
      <c r="AG677" s="222"/>
      <c r="AK677" s="222"/>
      <c r="AO677" s="222"/>
      <c r="AS677" s="222"/>
      <c r="AW677" s="222"/>
      <c r="BA677" s="222"/>
      <c r="BE677" s="222"/>
      <c r="BK677" s="222"/>
      <c r="BO677" s="222"/>
      <c r="BU677" s="222"/>
      <c r="BY677" s="222"/>
      <c r="CC677" s="222"/>
      <c r="CG677" s="222"/>
      <c r="CK677" s="222"/>
      <c r="CQ677" s="222"/>
      <c r="CU677" s="222"/>
      <c r="CY677" s="222"/>
    </row>
    <row r="678">
      <c r="A678" s="227"/>
      <c r="E678" s="222"/>
      <c r="I678" s="222"/>
      <c r="M678" s="222"/>
      <c r="Q678" s="222"/>
      <c r="U678" s="222"/>
      <c r="Y678" s="222"/>
      <c r="AC678" s="222"/>
      <c r="AG678" s="222"/>
      <c r="AK678" s="222"/>
      <c r="AO678" s="222"/>
      <c r="AS678" s="222"/>
      <c r="AW678" s="222"/>
      <c r="BA678" s="222"/>
      <c r="BE678" s="222"/>
      <c r="BK678" s="222"/>
      <c r="BO678" s="222"/>
      <c r="BU678" s="222"/>
      <c r="BY678" s="222"/>
      <c r="CC678" s="222"/>
      <c r="CG678" s="222"/>
      <c r="CK678" s="222"/>
      <c r="CQ678" s="222"/>
      <c r="CU678" s="222"/>
      <c r="CY678" s="222"/>
    </row>
    <row r="679">
      <c r="A679" s="227"/>
      <c r="E679" s="222"/>
      <c r="I679" s="222"/>
      <c r="M679" s="222"/>
      <c r="Q679" s="222"/>
      <c r="U679" s="222"/>
      <c r="Y679" s="222"/>
      <c r="AC679" s="222"/>
      <c r="AG679" s="222"/>
      <c r="AK679" s="222"/>
      <c r="AO679" s="222"/>
      <c r="AS679" s="222"/>
      <c r="AW679" s="222"/>
      <c r="BA679" s="222"/>
      <c r="BE679" s="222"/>
      <c r="BK679" s="222"/>
      <c r="BO679" s="222"/>
      <c r="BU679" s="222"/>
      <c r="BY679" s="222"/>
      <c r="CC679" s="222"/>
      <c r="CG679" s="222"/>
      <c r="CK679" s="222"/>
      <c r="CQ679" s="222"/>
      <c r="CU679" s="222"/>
      <c r="CY679" s="222"/>
    </row>
    <row r="680">
      <c r="A680" s="227"/>
      <c r="E680" s="222"/>
      <c r="I680" s="222"/>
      <c r="M680" s="222"/>
      <c r="Q680" s="222"/>
      <c r="U680" s="222"/>
      <c r="Y680" s="222"/>
      <c r="AC680" s="222"/>
      <c r="AG680" s="222"/>
      <c r="AK680" s="222"/>
      <c r="AO680" s="222"/>
      <c r="AS680" s="222"/>
      <c r="AW680" s="222"/>
      <c r="BA680" s="222"/>
      <c r="BE680" s="222"/>
      <c r="BK680" s="222"/>
      <c r="BO680" s="222"/>
      <c r="BU680" s="222"/>
      <c r="BY680" s="222"/>
      <c r="CC680" s="222"/>
      <c r="CG680" s="222"/>
      <c r="CK680" s="222"/>
      <c r="CQ680" s="222"/>
      <c r="CU680" s="222"/>
      <c r="CY680" s="222"/>
    </row>
    <row r="681">
      <c r="A681" s="227"/>
      <c r="E681" s="222"/>
      <c r="I681" s="222"/>
      <c r="M681" s="222"/>
      <c r="Q681" s="222"/>
      <c r="U681" s="222"/>
      <c r="Y681" s="222"/>
      <c r="AC681" s="222"/>
      <c r="AG681" s="222"/>
      <c r="AK681" s="222"/>
      <c r="AO681" s="222"/>
      <c r="AS681" s="222"/>
      <c r="AW681" s="222"/>
      <c r="BA681" s="222"/>
      <c r="BE681" s="222"/>
      <c r="BK681" s="222"/>
      <c r="BO681" s="222"/>
      <c r="BU681" s="222"/>
      <c r="BY681" s="222"/>
      <c r="CC681" s="222"/>
      <c r="CG681" s="222"/>
      <c r="CK681" s="222"/>
      <c r="CQ681" s="222"/>
      <c r="CU681" s="222"/>
      <c r="CY681" s="222"/>
    </row>
    <row r="682">
      <c r="A682" s="227"/>
      <c r="E682" s="222"/>
      <c r="I682" s="222"/>
      <c r="M682" s="222"/>
      <c r="Q682" s="222"/>
      <c r="U682" s="222"/>
      <c r="Y682" s="222"/>
      <c r="AC682" s="222"/>
      <c r="AG682" s="222"/>
      <c r="AK682" s="222"/>
      <c r="AO682" s="222"/>
      <c r="AS682" s="222"/>
      <c r="AW682" s="222"/>
      <c r="BA682" s="222"/>
      <c r="BE682" s="222"/>
      <c r="BK682" s="222"/>
      <c r="BO682" s="222"/>
      <c r="BU682" s="222"/>
      <c r="BY682" s="222"/>
      <c r="CC682" s="222"/>
      <c r="CG682" s="222"/>
      <c r="CK682" s="222"/>
      <c r="CQ682" s="222"/>
      <c r="CU682" s="222"/>
      <c r="CY682" s="222"/>
    </row>
    <row r="683">
      <c r="A683" s="227"/>
      <c r="E683" s="222"/>
      <c r="I683" s="222"/>
      <c r="M683" s="222"/>
      <c r="Q683" s="222"/>
      <c r="U683" s="222"/>
      <c r="Y683" s="222"/>
      <c r="AC683" s="222"/>
      <c r="AG683" s="222"/>
      <c r="AK683" s="222"/>
      <c r="AO683" s="222"/>
      <c r="AS683" s="222"/>
      <c r="AW683" s="222"/>
      <c r="BA683" s="222"/>
      <c r="BE683" s="222"/>
      <c r="BK683" s="222"/>
      <c r="BO683" s="222"/>
      <c r="BU683" s="222"/>
      <c r="BY683" s="222"/>
      <c r="CC683" s="222"/>
      <c r="CG683" s="222"/>
      <c r="CK683" s="222"/>
      <c r="CQ683" s="222"/>
      <c r="CU683" s="222"/>
      <c r="CY683" s="222"/>
    </row>
    <row r="684">
      <c r="A684" s="227"/>
      <c r="E684" s="222"/>
      <c r="I684" s="222"/>
      <c r="M684" s="222"/>
      <c r="Q684" s="222"/>
      <c r="U684" s="222"/>
      <c r="Y684" s="222"/>
      <c r="AC684" s="222"/>
      <c r="AG684" s="222"/>
      <c r="AK684" s="222"/>
      <c r="AO684" s="222"/>
      <c r="AS684" s="222"/>
      <c r="AW684" s="222"/>
      <c r="BA684" s="222"/>
      <c r="BE684" s="222"/>
      <c r="BK684" s="222"/>
      <c r="BO684" s="222"/>
      <c r="BU684" s="222"/>
      <c r="BY684" s="222"/>
      <c r="CC684" s="222"/>
      <c r="CG684" s="222"/>
      <c r="CK684" s="222"/>
      <c r="CQ684" s="222"/>
      <c r="CU684" s="222"/>
      <c r="CY684" s="222"/>
    </row>
    <row r="685">
      <c r="A685" s="227"/>
      <c r="E685" s="222"/>
      <c r="I685" s="222"/>
      <c r="M685" s="222"/>
      <c r="Q685" s="222"/>
      <c r="U685" s="222"/>
      <c r="Y685" s="222"/>
      <c r="AC685" s="222"/>
      <c r="AG685" s="222"/>
      <c r="AK685" s="222"/>
      <c r="AO685" s="222"/>
      <c r="AS685" s="222"/>
      <c r="AW685" s="222"/>
      <c r="BA685" s="222"/>
      <c r="BE685" s="222"/>
      <c r="BK685" s="222"/>
      <c r="BO685" s="222"/>
      <c r="BU685" s="222"/>
      <c r="BY685" s="222"/>
      <c r="CC685" s="222"/>
      <c r="CG685" s="222"/>
      <c r="CK685" s="222"/>
      <c r="CQ685" s="222"/>
      <c r="CU685" s="222"/>
      <c r="CY685" s="222"/>
    </row>
    <row r="686">
      <c r="A686" s="227"/>
      <c r="E686" s="222"/>
      <c r="I686" s="222"/>
      <c r="M686" s="222"/>
      <c r="Q686" s="222"/>
      <c r="U686" s="222"/>
      <c r="Y686" s="222"/>
      <c r="AC686" s="222"/>
      <c r="AG686" s="222"/>
      <c r="AK686" s="222"/>
      <c r="AO686" s="222"/>
      <c r="AS686" s="222"/>
      <c r="AW686" s="222"/>
      <c r="BA686" s="222"/>
      <c r="BE686" s="222"/>
      <c r="BK686" s="222"/>
      <c r="BO686" s="222"/>
      <c r="BU686" s="222"/>
      <c r="BY686" s="222"/>
      <c r="CC686" s="222"/>
      <c r="CG686" s="222"/>
      <c r="CK686" s="222"/>
      <c r="CQ686" s="222"/>
      <c r="CU686" s="222"/>
      <c r="CY686" s="222"/>
    </row>
    <row r="687">
      <c r="A687" s="227"/>
      <c r="E687" s="222"/>
      <c r="I687" s="222"/>
      <c r="M687" s="222"/>
      <c r="Q687" s="222"/>
      <c r="U687" s="222"/>
      <c r="Y687" s="222"/>
      <c r="AC687" s="222"/>
      <c r="AG687" s="222"/>
      <c r="AK687" s="222"/>
      <c r="AO687" s="222"/>
      <c r="AS687" s="222"/>
      <c r="AW687" s="222"/>
      <c r="BA687" s="222"/>
      <c r="BE687" s="222"/>
      <c r="BK687" s="222"/>
      <c r="BO687" s="222"/>
      <c r="BU687" s="222"/>
      <c r="BY687" s="222"/>
      <c r="CC687" s="222"/>
      <c r="CG687" s="222"/>
      <c r="CK687" s="222"/>
      <c r="CQ687" s="222"/>
      <c r="CU687" s="222"/>
      <c r="CY687" s="222"/>
    </row>
    <row r="688">
      <c r="A688" s="227"/>
      <c r="E688" s="222"/>
      <c r="I688" s="222"/>
      <c r="M688" s="222"/>
      <c r="Q688" s="222"/>
      <c r="U688" s="222"/>
      <c r="Y688" s="222"/>
      <c r="AC688" s="222"/>
      <c r="AG688" s="222"/>
      <c r="AK688" s="222"/>
      <c r="AO688" s="222"/>
      <c r="AS688" s="222"/>
      <c r="AW688" s="222"/>
      <c r="BA688" s="222"/>
      <c r="BE688" s="222"/>
      <c r="BK688" s="222"/>
      <c r="BO688" s="222"/>
      <c r="BU688" s="222"/>
      <c r="BY688" s="222"/>
      <c r="CC688" s="222"/>
      <c r="CG688" s="222"/>
      <c r="CK688" s="222"/>
      <c r="CQ688" s="222"/>
      <c r="CU688" s="222"/>
      <c r="CY688" s="222"/>
    </row>
    <row r="689">
      <c r="A689" s="227"/>
      <c r="E689" s="222"/>
      <c r="I689" s="222"/>
      <c r="M689" s="222"/>
      <c r="Q689" s="222"/>
      <c r="U689" s="222"/>
      <c r="Y689" s="222"/>
      <c r="AC689" s="222"/>
      <c r="AG689" s="222"/>
      <c r="AK689" s="222"/>
      <c r="AO689" s="222"/>
      <c r="AS689" s="222"/>
      <c r="AW689" s="222"/>
      <c r="BA689" s="222"/>
      <c r="BE689" s="222"/>
      <c r="BK689" s="222"/>
      <c r="BO689" s="222"/>
      <c r="BU689" s="222"/>
      <c r="BY689" s="222"/>
      <c r="CC689" s="222"/>
      <c r="CG689" s="222"/>
      <c r="CK689" s="222"/>
      <c r="CQ689" s="222"/>
      <c r="CU689" s="222"/>
      <c r="CY689" s="222"/>
    </row>
    <row r="690">
      <c r="A690" s="227"/>
      <c r="E690" s="222"/>
      <c r="I690" s="222"/>
      <c r="M690" s="222"/>
      <c r="Q690" s="222"/>
      <c r="U690" s="222"/>
      <c r="Y690" s="222"/>
      <c r="AC690" s="222"/>
      <c r="AG690" s="222"/>
      <c r="AK690" s="222"/>
      <c r="AO690" s="222"/>
      <c r="AS690" s="222"/>
      <c r="AW690" s="222"/>
      <c r="BA690" s="222"/>
      <c r="BE690" s="222"/>
      <c r="BK690" s="222"/>
      <c r="BO690" s="222"/>
      <c r="BU690" s="222"/>
      <c r="BY690" s="222"/>
      <c r="CC690" s="222"/>
      <c r="CG690" s="222"/>
      <c r="CK690" s="222"/>
      <c r="CQ690" s="222"/>
      <c r="CU690" s="222"/>
      <c r="CY690" s="222"/>
    </row>
    <row r="691">
      <c r="A691" s="227"/>
      <c r="E691" s="222"/>
      <c r="I691" s="222"/>
      <c r="M691" s="222"/>
      <c r="Q691" s="222"/>
      <c r="U691" s="222"/>
      <c r="Y691" s="222"/>
      <c r="AC691" s="222"/>
      <c r="AG691" s="222"/>
      <c r="AK691" s="222"/>
      <c r="AO691" s="222"/>
      <c r="AS691" s="222"/>
      <c r="AW691" s="222"/>
      <c r="BA691" s="222"/>
      <c r="BE691" s="222"/>
      <c r="BK691" s="222"/>
      <c r="BO691" s="222"/>
      <c r="BU691" s="222"/>
      <c r="BY691" s="222"/>
      <c r="CC691" s="222"/>
      <c r="CG691" s="222"/>
      <c r="CK691" s="222"/>
      <c r="CQ691" s="222"/>
      <c r="CU691" s="222"/>
      <c r="CY691" s="222"/>
    </row>
    <row r="692">
      <c r="A692" s="227"/>
      <c r="E692" s="222"/>
      <c r="I692" s="222"/>
      <c r="M692" s="222"/>
      <c r="Q692" s="222"/>
      <c r="U692" s="222"/>
      <c r="Y692" s="222"/>
      <c r="AC692" s="222"/>
      <c r="AG692" s="222"/>
      <c r="AK692" s="222"/>
      <c r="AO692" s="222"/>
      <c r="AS692" s="222"/>
      <c r="AW692" s="222"/>
      <c r="BA692" s="222"/>
      <c r="BE692" s="222"/>
      <c r="BK692" s="222"/>
      <c r="BO692" s="222"/>
      <c r="BU692" s="222"/>
      <c r="BY692" s="222"/>
      <c r="CC692" s="222"/>
      <c r="CG692" s="222"/>
      <c r="CK692" s="222"/>
      <c r="CQ692" s="222"/>
      <c r="CU692" s="222"/>
      <c r="CY692" s="222"/>
    </row>
    <row r="693">
      <c r="A693" s="227"/>
      <c r="E693" s="222"/>
      <c r="I693" s="222"/>
      <c r="M693" s="222"/>
      <c r="Q693" s="222"/>
      <c r="U693" s="222"/>
      <c r="Y693" s="222"/>
      <c r="AC693" s="222"/>
      <c r="AG693" s="222"/>
      <c r="AK693" s="222"/>
      <c r="AO693" s="222"/>
      <c r="AS693" s="222"/>
      <c r="AW693" s="222"/>
      <c r="BA693" s="222"/>
      <c r="BE693" s="222"/>
      <c r="BK693" s="222"/>
      <c r="BO693" s="222"/>
      <c r="BU693" s="222"/>
      <c r="BY693" s="222"/>
      <c r="CC693" s="222"/>
      <c r="CG693" s="222"/>
      <c r="CK693" s="222"/>
      <c r="CQ693" s="222"/>
      <c r="CU693" s="222"/>
      <c r="CY693" s="222"/>
    </row>
    <row r="694">
      <c r="A694" s="227"/>
      <c r="E694" s="222"/>
      <c r="I694" s="222"/>
      <c r="M694" s="222"/>
      <c r="Q694" s="222"/>
      <c r="U694" s="222"/>
      <c r="Y694" s="222"/>
      <c r="AC694" s="222"/>
      <c r="AG694" s="222"/>
      <c r="AK694" s="222"/>
      <c r="AO694" s="222"/>
      <c r="AS694" s="222"/>
      <c r="AW694" s="222"/>
      <c r="BA694" s="222"/>
      <c r="BE694" s="222"/>
      <c r="BK694" s="222"/>
      <c r="BO694" s="222"/>
      <c r="BU694" s="222"/>
      <c r="BY694" s="222"/>
      <c r="CC694" s="222"/>
      <c r="CG694" s="222"/>
      <c r="CK694" s="222"/>
      <c r="CQ694" s="222"/>
      <c r="CU694" s="222"/>
      <c r="CY694" s="222"/>
    </row>
    <row r="695">
      <c r="A695" s="227"/>
      <c r="E695" s="222"/>
      <c r="I695" s="222"/>
      <c r="M695" s="222"/>
      <c r="Q695" s="222"/>
      <c r="U695" s="222"/>
      <c r="Y695" s="222"/>
      <c r="AC695" s="222"/>
      <c r="AG695" s="222"/>
      <c r="AK695" s="222"/>
      <c r="AO695" s="222"/>
      <c r="AS695" s="222"/>
      <c r="AW695" s="222"/>
      <c r="BA695" s="222"/>
      <c r="BE695" s="222"/>
      <c r="BK695" s="222"/>
      <c r="BO695" s="222"/>
      <c r="BU695" s="222"/>
      <c r="BY695" s="222"/>
      <c r="CC695" s="222"/>
      <c r="CG695" s="222"/>
      <c r="CK695" s="222"/>
      <c r="CQ695" s="222"/>
      <c r="CU695" s="222"/>
      <c r="CY695" s="222"/>
    </row>
    <row r="696">
      <c r="A696" s="227"/>
      <c r="E696" s="222"/>
      <c r="I696" s="222"/>
      <c r="M696" s="222"/>
      <c r="Q696" s="222"/>
      <c r="U696" s="222"/>
      <c r="Y696" s="222"/>
      <c r="AC696" s="222"/>
      <c r="AG696" s="222"/>
      <c r="AK696" s="222"/>
      <c r="AO696" s="222"/>
      <c r="AS696" s="222"/>
      <c r="AW696" s="222"/>
      <c r="BA696" s="222"/>
      <c r="BE696" s="222"/>
      <c r="BK696" s="222"/>
      <c r="BO696" s="222"/>
      <c r="BU696" s="222"/>
      <c r="BY696" s="222"/>
      <c r="CC696" s="222"/>
      <c r="CG696" s="222"/>
      <c r="CK696" s="222"/>
      <c r="CQ696" s="222"/>
      <c r="CU696" s="222"/>
      <c r="CY696" s="222"/>
    </row>
    <row r="697">
      <c r="A697" s="227"/>
      <c r="E697" s="222"/>
      <c r="I697" s="222"/>
      <c r="M697" s="222"/>
      <c r="Q697" s="222"/>
      <c r="U697" s="222"/>
      <c r="Y697" s="222"/>
      <c r="AC697" s="222"/>
      <c r="AG697" s="222"/>
      <c r="AK697" s="222"/>
      <c r="AO697" s="222"/>
      <c r="AS697" s="222"/>
      <c r="AW697" s="222"/>
      <c r="BA697" s="222"/>
      <c r="BE697" s="222"/>
      <c r="BK697" s="222"/>
      <c r="BO697" s="222"/>
      <c r="BU697" s="222"/>
      <c r="BY697" s="222"/>
      <c r="CC697" s="222"/>
      <c r="CG697" s="222"/>
      <c r="CK697" s="222"/>
      <c r="CQ697" s="222"/>
      <c r="CU697" s="222"/>
      <c r="CY697" s="222"/>
    </row>
    <row r="698">
      <c r="A698" s="227"/>
      <c r="E698" s="222"/>
      <c r="I698" s="222"/>
      <c r="M698" s="222"/>
      <c r="Q698" s="222"/>
      <c r="U698" s="222"/>
      <c r="Y698" s="222"/>
      <c r="AC698" s="222"/>
      <c r="AG698" s="222"/>
      <c r="AK698" s="222"/>
      <c r="AO698" s="222"/>
      <c r="AS698" s="222"/>
      <c r="AW698" s="222"/>
      <c r="BA698" s="222"/>
      <c r="BE698" s="222"/>
      <c r="BK698" s="222"/>
      <c r="BO698" s="222"/>
      <c r="BU698" s="222"/>
      <c r="BY698" s="222"/>
      <c r="CC698" s="222"/>
      <c r="CG698" s="222"/>
      <c r="CK698" s="222"/>
      <c r="CQ698" s="222"/>
      <c r="CU698" s="222"/>
      <c r="CY698" s="222"/>
    </row>
    <row r="699">
      <c r="A699" s="227"/>
      <c r="E699" s="222"/>
      <c r="I699" s="222"/>
      <c r="M699" s="222"/>
      <c r="Q699" s="222"/>
      <c r="U699" s="222"/>
      <c r="Y699" s="222"/>
      <c r="AC699" s="222"/>
      <c r="AG699" s="222"/>
      <c r="AK699" s="222"/>
      <c r="AO699" s="222"/>
      <c r="AS699" s="222"/>
      <c r="AW699" s="222"/>
      <c r="BA699" s="222"/>
      <c r="BE699" s="222"/>
      <c r="BK699" s="222"/>
      <c r="BO699" s="222"/>
      <c r="BU699" s="222"/>
      <c r="BY699" s="222"/>
      <c r="CC699" s="222"/>
      <c r="CG699" s="222"/>
      <c r="CK699" s="222"/>
      <c r="CQ699" s="222"/>
      <c r="CU699" s="222"/>
      <c r="CY699" s="222"/>
    </row>
    <row r="700">
      <c r="A700" s="227"/>
      <c r="E700" s="222"/>
      <c r="I700" s="222"/>
      <c r="M700" s="222"/>
      <c r="Q700" s="222"/>
      <c r="U700" s="222"/>
      <c r="Y700" s="222"/>
      <c r="AC700" s="222"/>
      <c r="AG700" s="222"/>
      <c r="AK700" s="222"/>
      <c r="AO700" s="222"/>
      <c r="AS700" s="222"/>
      <c r="AW700" s="222"/>
      <c r="BA700" s="222"/>
      <c r="BE700" s="222"/>
      <c r="BK700" s="222"/>
      <c r="BO700" s="222"/>
      <c r="BU700" s="222"/>
      <c r="BY700" s="222"/>
      <c r="CC700" s="222"/>
      <c r="CG700" s="222"/>
      <c r="CK700" s="222"/>
      <c r="CQ700" s="222"/>
      <c r="CU700" s="222"/>
      <c r="CY700" s="222"/>
    </row>
    <row r="701">
      <c r="A701" s="227"/>
      <c r="E701" s="222"/>
      <c r="I701" s="222"/>
      <c r="M701" s="222"/>
      <c r="Q701" s="222"/>
      <c r="U701" s="222"/>
      <c r="Y701" s="222"/>
      <c r="AC701" s="222"/>
      <c r="AG701" s="222"/>
      <c r="AK701" s="222"/>
      <c r="AO701" s="222"/>
      <c r="AS701" s="222"/>
      <c r="AW701" s="222"/>
      <c r="BA701" s="222"/>
      <c r="BE701" s="222"/>
      <c r="BK701" s="222"/>
      <c r="BO701" s="222"/>
      <c r="BU701" s="222"/>
      <c r="BY701" s="222"/>
      <c r="CC701" s="222"/>
      <c r="CG701" s="222"/>
      <c r="CK701" s="222"/>
      <c r="CQ701" s="222"/>
      <c r="CU701" s="222"/>
      <c r="CY701" s="222"/>
    </row>
    <row r="702">
      <c r="A702" s="227"/>
      <c r="E702" s="222"/>
      <c r="I702" s="222"/>
      <c r="M702" s="222"/>
      <c r="Q702" s="222"/>
      <c r="U702" s="222"/>
      <c r="Y702" s="222"/>
      <c r="AC702" s="222"/>
      <c r="AG702" s="222"/>
      <c r="AK702" s="222"/>
      <c r="AO702" s="222"/>
      <c r="AS702" s="222"/>
      <c r="AW702" s="222"/>
      <c r="BA702" s="222"/>
      <c r="BE702" s="222"/>
      <c r="BK702" s="222"/>
      <c r="BO702" s="222"/>
      <c r="BU702" s="222"/>
      <c r="BY702" s="222"/>
      <c r="CC702" s="222"/>
      <c r="CG702" s="222"/>
      <c r="CK702" s="222"/>
      <c r="CQ702" s="222"/>
      <c r="CU702" s="222"/>
      <c r="CY702" s="222"/>
    </row>
    <row r="703">
      <c r="A703" s="227"/>
      <c r="E703" s="222"/>
      <c r="I703" s="222"/>
      <c r="M703" s="222"/>
      <c r="Q703" s="222"/>
      <c r="U703" s="222"/>
      <c r="Y703" s="222"/>
      <c r="AC703" s="222"/>
      <c r="AG703" s="222"/>
      <c r="AK703" s="222"/>
      <c r="AO703" s="222"/>
      <c r="AS703" s="222"/>
      <c r="AW703" s="222"/>
      <c r="BA703" s="222"/>
      <c r="BE703" s="222"/>
      <c r="BK703" s="222"/>
      <c r="BO703" s="222"/>
      <c r="BU703" s="222"/>
      <c r="BY703" s="222"/>
      <c r="CC703" s="222"/>
      <c r="CG703" s="222"/>
      <c r="CK703" s="222"/>
      <c r="CQ703" s="222"/>
      <c r="CU703" s="222"/>
      <c r="CY703" s="222"/>
    </row>
    <row r="704">
      <c r="A704" s="227"/>
      <c r="E704" s="222"/>
      <c r="I704" s="222"/>
      <c r="M704" s="222"/>
      <c r="Q704" s="222"/>
      <c r="U704" s="222"/>
      <c r="Y704" s="222"/>
      <c r="AC704" s="222"/>
      <c r="AG704" s="222"/>
      <c r="AK704" s="222"/>
      <c r="AO704" s="222"/>
      <c r="AS704" s="222"/>
      <c r="AW704" s="222"/>
      <c r="BA704" s="222"/>
      <c r="BE704" s="222"/>
      <c r="BK704" s="222"/>
      <c r="BO704" s="222"/>
      <c r="BU704" s="222"/>
      <c r="BY704" s="222"/>
      <c r="CC704" s="222"/>
      <c r="CG704" s="222"/>
      <c r="CK704" s="222"/>
      <c r="CQ704" s="222"/>
      <c r="CU704" s="222"/>
      <c r="CY704" s="222"/>
    </row>
    <row r="705">
      <c r="A705" s="227"/>
      <c r="E705" s="222"/>
      <c r="I705" s="222"/>
      <c r="M705" s="222"/>
      <c r="Q705" s="222"/>
      <c r="U705" s="222"/>
      <c r="Y705" s="222"/>
      <c r="AC705" s="222"/>
      <c r="AG705" s="222"/>
      <c r="AK705" s="222"/>
      <c r="AO705" s="222"/>
      <c r="AS705" s="222"/>
      <c r="AW705" s="222"/>
      <c r="BA705" s="222"/>
      <c r="BE705" s="222"/>
      <c r="BK705" s="222"/>
      <c r="BO705" s="222"/>
      <c r="BU705" s="222"/>
      <c r="BY705" s="222"/>
      <c r="CC705" s="222"/>
      <c r="CG705" s="222"/>
      <c r="CK705" s="222"/>
      <c r="CQ705" s="222"/>
      <c r="CU705" s="222"/>
      <c r="CY705" s="222"/>
    </row>
    <row r="706">
      <c r="A706" s="227"/>
      <c r="E706" s="222"/>
      <c r="I706" s="222"/>
      <c r="M706" s="222"/>
      <c r="Q706" s="222"/>
      <c r="U706" s="222"/>
      <c r="Y706" s="222"/>
      <c r="AC706" s="222"/>
      <c r="AG706" s="222"/>
      <c r="AK706" s="222"/>
      <c r="AO706" s="222"/>
      <c r="AS706" s="222"/>
      <c r="AW706" s="222"/>
      <c r="BA706" s="222"/>
      <c r="BE706" s="222"/>
      <c r="BK706" s="222"/>
      <c r="BO706" s="222"/>
      <c r="BU706" s="222"/>
      <c r="BY706" s="222"/>
      <c r="CC706" s="222"/>
      <c r="CG706" s="222"/>
      <c r="CK706" s="222"/>
      <c r="CQ706" s="222"/>
      <c r="CU706" s="222"/>
      <c r="CY706" s="222"/>
    </row>
    <row r="707">
      <c r="A707" s="227"/>
      <c r="E707" s="222"/>
      <c r="I707" s="222"/>
      <c r="M707" s="222"/>
      <c r="Q707" s="222"/>
      <c r="U707" s="222"/>
      <c r="Y707" s="222"/>
      <c r="AC707" s="222"/>
      <c r="AG707" s="222"/>
      <c r="AK707" s="222"/>
      <c r="AO707" s="222"/>
      <c r="AS707" s="222"/>
      <c r="AW707" s="222"/>
      <c r="BA707" s="222"/>
      <c r="BE707" s="222"/>
      <c r="BK707" s="222"/>
      <c r="BO707" s="222"/>
      <c r="BU707" s="222"/>
      <c r="BY707" s="222"/>
      <c r="CC707" s="222"/>
      <c r="CG707" s="222"/>
      <c r="CK707" s="222"/>
      <c r="CQ707" s="222"/>
      <c r="CU707" s="222"/>
      <c r="CY707" s="222"/>
    </row>
    <row r="708">
      <c r="A708" s="227"/>
      <c r="E708" s="222"/>
      <c r="I708" s="222"/>
      <c r="M708" s="222"/>
      <c r="Q708" s="222"/>
      <c r="U708" s="222"/>
      <c r="Y708" s="222"/>
      <c r="AC708" s="222"/>
      <c r="AG708" s="222"/>
      <c r="AK708" s="222"/>
      <c r="AO708" s="222"/>
      <c r="AS708" s="222"/>
      <c r="AW708" s="222"/>
      <c r="BA708" s="222"/>
      <c r="BE708" s="222"/>
      <c r="BK708" s="222"/>
      <c r="BO708" s="222"/>
      <c r="BU708" s="222"/>
      <c r="BY708" s="222"/>
      <c r="CC708" s="222"/>
      <c r="CG708" s="222"/>
      <c r="CK708" s="222"/>
      <c r="CQ708" s="222"/>
      <c r="CU708" s="222"/>
      <c r="CY708" s="222"/>
    </row>
    <row r="709">
      <c r="A709" s="227"/>
      <c r="E709" s="222"/>
      <c r="I709" s="222"/>
      <c r="M709" s="222"/>
      <c r="Q709" s="222"/>
      <c r="U709" s="222"/>
      <c r="Y709" s="222"/>
      <c r="AC709" s="222"/>
      <c r="AG709" s="222"/>
      <c r="AK709" s="222"/>
      <c r="AO709" s="222"/>
      <c r="AS709" s="222"/>
      <c r="AW709" s="222"/>
      <c r="BA709" s="222"/>
      <c r="BE709" s="222"/>
      <c r="BK709" s="222"/>
      <c r="BO709" s="222"/>
      <c r="BU709" s="222"/>
      <c r="BY709" s="222"/>
      <c r="CC709" s="222"/>
      <c r="CG709" s="222"/>
      <c r="CK709" s="222"/>
      <c r="CQ709" s="222"/>
      <c r="CU709" s="222"/>
      <c r="CY709" s="222"/>
    </row>
    <row r="710">
      <c r="A710" s="227"/>
      <c r="E710" s="222"/>
      <c r="I710" s="222"/>
      <c r="M710" s="222"/>
      <c r="Q710" s="222"/>
      <c r="U710" s="222"/>
      <c r="Y710" s="222"/>
      <c r="AC710" s="222"/>
      <c r="AG710" s="222"/>
      <c r="AK710" s="222"/>
      <c r="AO710" s="222"/>
      <c r="AS710" s="222"/>
      <c r="AW710" s="222"/>
      <c r="BA710" s="222"/>
      <c r="BE710" s="222"/>
      <c r="BK710" s="222"/>
      <c r="BO710" s="222"/>
      <c r="BU710" s="222"/>
      <c r="BY710" s="222"/>
      <c r="CC710" s="222"/>
      <c r="CG710" s="222"/>
      <c r="CK710" s="222"/>
      <c r="CQ710" s="222"/>
      <c r="CU710" s="222"/>
      <c r="CY710" s="222"/>
    </row>
    <row r="711">
      <c r="A711" s="227"/>
      <c r="E711" s="222"/>
      <c r="I711" s="222"/>
      <c r="M711" s="222"/>
      <c r="Q711" s="222"/>
      <c r="U711" s="222"/>
      <c r="Y711" s="222"/>
      <c r="AC711" s="222"/>
      <c r="AG711" s="222"/>
      <c r="AK711" s="222"/>
      <c r="AO711" s="222"/>
      <c r="AS711" s="222"/>
      <c r="AW711" s="222"/>
      <c r="BA711" s="222"/>
      <c r="BE711" s="222"/>
      <c r="BK711" s="222"/>
      <c r="BO711" s="222"/>
      <c r="BU711" s="222"/>
      <c r="BY711" s="222"/>
      <c r="CC711" s="222"/>
      <c r="CG711" s="222"/>
      <c r="CK711" s="222"/>
      <c r="CQ711" s="222"/>
      <c r="CU711" s="222"/>
      <c r="CY711" s="222"/>
    </row>
    <row r="712">
      <c r="A712" s="227"/>
      <c r="E712" s="222"/>
      <c r="I712" s="222"/>
      <c r="M712" s="222"/>
      <c r="Q712" s="222"/>
      <c r="U712" s="222"/>
      <c r="Y712" s="222"/>
      <c r="AC712" s="222"/>
      <c r="AG712" s="222"/>
      <c r="AK712" s="222"/>
      <c r="AO712" s="222"/>
      <c r="AS712" s="222"/>
      <c r="AW712" s="222"/>
      <c r="BA712" s="222"/>
      <c r="BE712" s="222"/>
      <c r="BK712" s="222"/>
      <c r="BO712" s="222"/>
      <c r="BU712" s="222"/>
      <c r="BY712" s="222"/>
      <c r="CC712" s="222"/>
      <c r="CG712" s="222"/>
      <c r="CK712" s="222"/>
      <c r="CQ712" s="222"/>
      <c r="CU712" s="222"/>
      <c r="CY712" s="222"/>
    </row>
    <row r="713">
      <c r="A713" s="227"/>
      <c r="E713" s="222"/>
      <c r="I713" s="222"/>
      <c r="M713" s="222"/>
      <c r="Q713" s="222"/>
      <c r="U713" s="222"/>
      <c r="Y713" s="222"/>
      <c r="AC713" s="222"/>
      <c r="AG713" s="222"/>
      <c r="AK713" s="222"/>
      <c r="AO713" s="222"/>
      <c r="AS713" s="222"/>
      <c r="AW713" s="222"/>
      <c r="BA713" s="222"/>
      <c r="BE713" s="222"/>
      <c r="BK713" s="222"/>
      <c r="BO713" s="222"/>
      <c r="BU713" s="222"/>
      <c r="BY713" s="222"/>
      <c r="CC713" s="222"/>
      <c r="CG713" s="222"/>
      <c r="CK713" s="222"/>
      <c r="CQ713" s="222"/>
      <c r="CU713" s="222"/>
      <c r="CY713" s="222"/>
    </row>
    <row r="714">
      <c r="A714" s="227"/>
      <c r="E714" s="222"/>
      <c r="I714" s="222"/>
      <c r="M714" s="222"/>
      <c r="Q714" s="222"/>
      <c r="U714" s="222"/>
      <c r="Y714" s="222"/>
      <c r="AC714" s="222"/>
      <c r="AG714" s="222"/>
      <c r="AK714" s="222"/>
      <c r="AO714" s="222"/>
      <c r="AS714" s="222"/>
      <c r="AW714" s="222"/>
      <c r="BA714" s="222"/>
      <c r="BE714" s="222"/>
      <c r="BK714" s="222"/>
      <c r="BO714" s="222"/>
      <c r="BU714" s="222"/>
      <c r="BY714" s="222"/>
      <c r="CC714" s="222"/>
      <c r="CG714" s="222"/>
      <c r="CK714" s="222"/>
      <c r="CQ714" s="222"/>
      <c r="CU714" s="222"/>
      <c r="CY714" s="222"/>
    </row>
    <row r="715">
      <c r="A715" s="227"/>
      <c r="E715" s="222"/>
      <c r="I715" s="222"/>
      <c r="M715" s="222"/>
      <c r="Q715" s="222"/>
      <c r="U715" s="222"/>
      <c r="Y715" s="222"/>
      <c r="AC715" s="222"/>
      <c r="AG715" s="222"/>
      <c r="AK715" s="222"/>
      <c r="AO715" s="222"/>
      <c r="AS715" s="222"/>
      <c r="AW715" s="222"/>
      <c r="BA715" s="222"/>
      <c r="BE715" s="222"/>
      <c r="BK715" s="222"/>
      <c r="BO715" s="222"/>
      <c r="BU715" s="222"/>
      <c r="BY715" s="222"/>
      <c r="CC715" s="222"/>
      <c r="CG715" s="222"/>
      <c r="CK715" s="222"/>
      <c r="CQ715" s="222"/>
      <c r="CU715" s="222"/>
      <c r="CY715" s="222"/>
    </row>
    <row r="716">
      <c r="A716" s="227"/>
      <c r="E716" s="222"/>
      <c r="I716" s="222"/>
      <c r="M716" s="222"/>
      <c r="Q716" s="222"/>
      <c r="U716" s="222"/>
      <c r="Y716" s="222"/>
      <c r="AC716" s="222"/>
      <c r="AG716" s="222"/>
      <c r="AK716" s="222"/>
      <c r="AO716" s="222"/>
      <c r="AS716" s="222"/>
      <c r="AW716" s="222"/>
      <c r="BA716" s="222"/>
      <c r="BE716" s="222"/>
      <c r="BK716" s="222"/>
      <c r="BO716" s="222"/>
      <c r="BU716" s="222"/>
      <c r="BY716" s="222"/>
      <c r="CC716" s="222"/>
      <c r="CG716" s="222"/>
      <c r="CK716" s="222"/>
      <c r="CQ716" s="222"/>
      <c r="CU716" s="222"/>
      <c r="CY716" s="222"/>
    </row>
    <row r="717">
      <c r="A717" s="227"/>
      <c r="E717" s="222"/>
      <c r="I717" s="222"/>
      <c r="M717" s="222"/>
      <c r="Q717" s="222"/>
      <c r="U717" s="222"/>
      <c r="Y717" s="222"/>
      <c r="AC717" s="222"/>
      <c r="AG717" s="222"/>
      <c r="AK717" s="222"/>
      <c r="AO717" s="222"/>
      <c r="AS717" s="222"/>
      <c r="AW717" s="222"/>
      <c r="BA717" s="222"/>
      <c r="BE717" s="222"/>
      <c r="BK717" s="222"/>
      <c r="BO717" s="222"/>
      <c r="BU717" s="222"/>
      <c r="BY717" s="222"/>
      <c r="CC717" s="222"/>
      <c r="CG717" s="222"/>
      <c r="CK717" s="222"/>
      <c r="CQ717" s="222"/>
      <c r="CU717" s="222"/>
      <c r="CY717" s="222"/>
    </row>
    <row r="718">
      <c r="A718" s="227"/>
      <c r="E718" s="222"/>
      <c r="I718" s="222"/>
      <c r="M718" s="222"/>
      <c r="Q718" s="222"/>
      <c r="U718" s="222"/>
      <c r="Y718" s="222"/>
      <c r="AC718" s="222"/>
      <c r="AG718" s="222"/>
      <c r="AK718" s="222"/>
      <c r="AO718" s="222"/>
      <c r="AS718" s="222"/>
      <c r="AW718" s="222"/>
      <c r="BA718" s="222"/>
      <c r="BE718" s="222"/>
      <c r="BK718" s="222"/>
      <c r="BO718" s="222"/>
      <c r="BU718" s="222"/>
      <c r="BY718" s="222"/>
      <c r="CC718" s="222"/>
      <c r="CG718" s="222"/>
      <c r="CK718" s="222"/>
      <c r="CQ718" s="222"/>
      <c r="CU718" s="222"/>
      <c r="CY718" s="222"/>
    </row>
    <row r="719">
      <c r="A719" s="227"/>
      <c r="E719" s="222"/>
      <c r="I719" s="222"/>
      <c r="M719" s="222"/>
      <c r="Q719" s="222"/>
      <c r="U719" s="222"/>
      <c r="Y719" s="222"/>
      <c r="AC719" s="222"/>
      <c r="AG719" s="222"/>
      <c r="AK719" s="222"/>
      <c r="AO719" s="222"/>
      <c r="AS719" s="222"/>
      <c r="AW719" s="222"/>
      <c r="BA719" s="222"/>
      <c r="BE719" s="222"/>
      <c r="BK719" s="222"/>
      <c r="BO719" s="222"/>
      <c r="BU719" s="222"/>
      <c r="BY719" s="222"/>
      <c r="CC719" s="222"/>
      <c r="CG719" s="222"/>
      <c r="CK719" s="222"/>
      <c r="CQ719" s="222"/>
      <c r="CU719" s="222"/>
      <c r="CY719" s="222"/>
    </row>
    <row r="720">
      <c r="A720" s="227"/>
      <c r="E720" s="222"/>
      <c r="I720" s="222"/>
      <c r="M720" s="222"/>
      <c r="Q720" s="222"/>
      <c r="U720" s="222"/>
      <c r="Y720" s="222"/>
      <c r="AC720" s="222"/>
      <c r="AG720" s="222"/>
      <c r="AK720" s="222"/>
      <c r="AO720" s="222"/>
      <c r="AS720" s="222"/>
      <c r="AW720" s="222"/>
      <c r="BA720" s="222"/>
      <c r="BE720" s="222"/>
      <c r="BK720" s="222"/>
      <c r="BO720" s="222"/>
      <c r="BU720" s="222"/>
      <c r="BY720" s="222"/>
      <c r="CC720" s="222"/>
      <c r="CG720" s="222"/>
      <c r="CK720" s="222"/>
      <c r="CQ720" s="222"/>
      <c r="CU720" s="222"/>
      <c r="CY720" s="222"/>
    </row>
    <row r="721">
      <c r="A721" s="227"/>
      <c r="E721" s="222"/>
      <c r="I721" s="222"/>
      <c r="M721" s="222"/>
      <c r="Q721" s="222"/>
      <c r="U721" s="222"/>
      <c r="Y721" s="222"/>
      <c r="AC721" s="222"/>
      <c r="AG721" s="222"/>
      <c r="AK721" s="222"/>
      <c r="AO721" s="222"/>
      <c r="AS721" s="222"/>
      <c r="AW721" s="222"/>
      <c r="BA721" s="222"/>
      <c r="BE721" s="222"/>
      <c r="BK721" s="222"/>
      <c r="BO721" s="222"/>
      <c r="BU721" s="222"/>
      <c r="BY721" s="222"/>
      <c r="CC721" s="222"/>
      <c r="CG721" s="222"/>
      <c r="CK721" s="222"/>
      <c r="CQ721" s="222"/>
      <c r="CU721" s="222"/>
      <c r="CY721" s="222"/>
    </row>
    <row r="722">
      <c r="A722" s="227"/>
      <c r="E722" s="222"/>
      <c r="I722" s="222"/>
      <c r="M722" s="222"/>
      <c r="Q722" s="222"/>
      <c r="U722" s="222"/>
      <c r="Y722" s="222"/>
      <c r="AC722" s="222"/>
      <c r="AG722" s="222"/>
      <c r="AK722" s="222"/>
      <c r="AO722" s="222"/>
      <c r="AS722" s="222"/>
      <c r="AW722" s="222"/>
      <c r="BA722" s="222"/>
      <c r="BE722" s="222"/>
      <c r="BK722" s="222"/>
      <c r="BO722" s="222"/>
      <c r="BU722" s="222"/>
      <c r="BY722" s="222"/>
      <c r="CC722" s="222"/>
      <c r="CG722" s="222"/>
      <c r="CK722" s="222"/>
      <c r="CQ722" s="222"/>
      <c r="CU722" s="222"/>
      <c r="CY722" s="222"/>
    </row>
    <row r="723">
      <c r="A723" s="227"/>
      <c r="E723" s="222"/>
      <c r="I723" s="222"/>
      <c r="M723" s="222"/>
      <c r="Q723" s="222"/>
      <c r="U723" s="222"/>
      <c r="Y723" s="222"/>
      <c r="AC723" s="222"/>
      <c r="AG723" s="222"/>
      <c r="AK723" s="222"/>
      <c r="AO723" s="222"/>
      <c r="AS723" s="222"/>
      <c r="AW723" s="222"/>
      <c r="BA723" s="222"/>
      <c r="BE723" s="222"/>
      <c r="BK723" s="222"/>
      <c r="BO723" s="222"/>
      <c r="BU723" s="222"/>
      <c r="BY723" s="222"/>
      <c r="CC723" s="222"/>
      <c r="CG723" s="222"/>
      <c r="CK723" s="222"/>
      <c r="CQ723" s="222"/>
      <c r="CU723" s="222"/>
      <c r="CY723" s="222"/>
    </row>
    <row r="724">
      <c r="A724" s="227"/>
      <c r="E724" s="222"/>
      <c r="I724" s="222"/>
      <c r="M724" s="222"/>
      <c r="Q724" s="222"/>
      <c r="U724" s="222"/>
      <c r="Y724" s="222"/>
      <c r="AC724" s="222"/>
      <c r="AG724" s="222"/>
      <c r="AK724" s="222"/>
      <c r="AO724" s="222"/>
      <c r="AS724" s="222"/>
      <c r="AW724" s="222"/>
      <c r="BA724" s="222"/>
      <c r="BE724" s="222"/>
      <c r="BK724" s="222"/>
      <c r="BO724" s="222"/>
      <c r="BU724" s="222"/>
      <c r="BY724" s="222"/>
      <c r="CC724" s="222"/>
      <c r="CG724" s="222"/>
      <c r="CK724" s="222"/>
      <c r="CQ724" s="222"/>
      <c r="CU724" s="222"/>
      <c r="CY724" s="222"/>
    </row>
    <row r="725">
      <c r="A725" s="227"/>
      <c r="E725" s="222"/>
      <c r="I725" s="222"/>
      <c r="M725" s="222"/>
      <c r="Q725" s="222"/>
      <c r="U725" s="222"/>
      <c r="Y725" s="222"/>
      <c r="AC725" s="222"/>
      <c r="AG725" s="222"/>
      <c r="AK725" s="222"/>
      <c r="AO725" s="222"/>
      <c r="AS725" s="222"/>
      <c r="AW725" s="222"/>
      <c r="BA725" s="222"/>
      <c r="BE725" s="222"/>
      <c r="BK725" s="222"/>
      <c r="BO725" s="222"/>
      <c r="BU725" s="222"/>
      <c r="BY725" s="222"/>
      <c r="CC725" s="222"/>
      <c r="CG725" s="222"/>
      <c r="CK725" s="222"/>
      <c r="CQ725" s="222"/>
      <c r="CU725" s="222"/>
      <c r="CY725" s="222"/>
    </row>
    <row r="726">
      <c r="A726" s="227"/>
      <c r="E726" s="222"/>
      <c r="I726" s="222"/>
      <c r="M726" s="222"/>
      <c r="Q726" s="222"/>
      <c r="U726" s="222"/>
      <c r="Y726" s="222"/>
      <c r="AC726" s="222"/>
      <c r="AG726" s="222"/>
      <c r="AK726" s="222"/>
      <c r="AO726" s="222"/>
      <c r="AS726" s="222"/>
      <c r="AW726" s="222"/>
      <c r="BA726" s="222"/>
      <c r="BE726" s="222"/>
      <c r="BK726" s="222"/>
      <c r="BO726" s="222"/>
      <c r="BU726" s="222"/>
      <c r="BY726" s="222"/>
      <c r="CC726" s="222"/>
      <c r="CG726" s="222"/>
      <c r="CK726" s="222"/>
      <c r="CQ726" s="222"/>
      <c r="CU726" s="222"/>
      <c r="CY726" s="222"/>
    </row>
    <row r="727">
      <c r="A727" s="227"/>
      <c r="E727" s="222"/>
      <c r="I727" s="222"/>
      <c r="M727" s="222"/>
      <c r="Q727" s="222"/>
      <c r="U727" s="222"/>
      <c r="Y727" s="222"/>
      <c r="AC727" s="222"/>
      <c r="AG727" s="222"/>
      <c r="AK727" s="222"/>
      <c r="AO727" s="222"/>
      <c r="AS727" s="222"/>
      <c r="AW727" s="222"/>
      <c r="BA727" s="222"/>
      <c r="BE727" s="222"/>
      <c r="BK727" s="222"/>
      <c r="BO727" s="222"/>
      <c r="BU727" s="222"/>
      <c r="BY727" s="222"/>
      <c r="CC727" s="222"/>
      <c r="CG727" s="222"/>
      <c r="CK727" s="222"/>
      <c r="CQ727" s="222"/>
      <c r="CU727" s="222"/>
      <c r="CY727" s="222"/>
    </row>
    <row r="728">
      <c r="A728" s="227"/>
      <c r="E728" s="222"/>
      <c r="I728" s="222"/>
      <c r="M728" s="222"/>
      <c r="Q728" s="222"/>
      <c r="U728" s="222"/>
      <c r="Y728" s="222"/>
      <c r="AC728" s="222"/>
      <c r="AG728" s="222"/>
      <c r="AK728" s="222"/>
      <c r="AO728" s="222"/>
      <c r="AS728" s="222"/>
      <c r="AW728" s="222"/>
      <c r="BA728" s="222"/>
      <c r="BE728" s="222"/>
      <c r="BK728" s="222"/>
      <c r="BO728" s="222"/>
      <c r="BU728" s="222"/>
      <c r="BY728" s="222"/>
      <c r="CC728" s="222"/>
      <c r="CG728" s="222"/>
      <c r="CK728" s="222"/>
      <c r="CQ728" s="222"/>
      <c r="CU728" s="222"/>
      <c r="CY728" s="222"/>
    </row>
    <row r="729">
      <c r="A729" s="227"/>
      <c r="E729" s="222"/>
      <c r="I729" s="222"/>
      <c r="M729" s="222"/>
      <c r="Q729" s="222"/>
      <c r="U729" s="222"/>
      <c r="Y729" s="222"/>
      <c r="AC729" s="222"/>
      <c r="AG729" s="222"/>
      <c r="AK729" s="222"/>
      <c r="AO729" s="222"/>
      <c r="AS729" s="222"/>
      <c r="AW729" s="222"/>
      <c r="BA729" s="222"/>
      <c r="BE729" s="222"/>
      <c r="BK729" s="222"/>
      <c r="BO729" s="222"/>
      <c r="BU729" s="222"/>
      <c r="BY729" s="222"/>
      <c r="CC729" s="222"/>
      <c r="CG729" s="222"/>
      <c r="CK729" s="222"/>
      <c r="CQ729" s="222"/>
      <c r="CU729" s="222"/>
      <c r="CY729" s="222"/>
    </row>
    <row r="730">
      <c r="A730" s="227"/>
      <c r="E730" s="222"/>
      <c r="I730" s="222"/>
      <c r="M730" s="222"/>
      <c r="Q730" s="222"/>
      <c r="U730" s="222"/>
      <c r="Y730" s="222"/>
      <c r="AC730" s="222"/>
      <c r="AG730" s="222"/>
      <c r="AK730" s="222"/>
      <c r="AO730" s="222"/>
      <c r="AS730" s="222"/>
      <c r="AW730" s="222"/>
      <c r="BA730" s="222"/>
      <c r="BE730" s="222"/>
      <c r="BK730" s="222"/>
      <c r="BO730" s="222"/>
      <c r="BU730" s="222"/>
      <c r="BY730" s="222"/>
      <c r="CC730" s="222"/>
      <c r="CG730" s="222"/>
      <c r="CK730" s="222"/>
      <c r="CQ730" s="222"/>
      <c r="CU730" s="222"/>
      <c r="CY730" s="222"/>
    </row>
    <row r="731">
      <c r="A731" s="227"/>
      <c r="E731" s="222"/>
      <c r="I731" s="222"/>
      <c r="M731" s="222"/>
      <c r="Q731" s="222"/>
      <c r="U731" s="222"/>
      <c r="Y731" s="222"/>
      <c r="AC731" s="222"/>
      <c r="AG731" s="222"/>
      <c r="AK731" s="222"/>
      <c r="AO731" s="222"/>
      <c r="AS731" s="222"/>
      <c r="AW731" s="222"/>
      <c r="BA731" s="222"/>
      <c r="BE731" s="222"/>
      <c r="BK731" s="222"/>
      <c r="BO731" s="222"/>
      <c r="BU731" s="222"/>
      <c r="BY731" s="222"/>
      <c r="CC731" s="222"/>
      <c r="CG731" s="222"/>
      <c r="CK731" s="222"/>
      <c r="CQ731" s="222"/>
      <c r="CU731" s="222"/>
      <c r="CY731" s="222"/>
    </row>
    <row r="732">
      <c r="A732" s="227"/>
      <c r="E732" s="222"/>
      <c r="I732" s="222"/>
      <c r="M732" s="222"/>
      <c r="Q732" s="222"/>
      <c r="U732" s="222"/>
      <c r="Y732" s="222"/>
      <c r="AC732" s="222"/>
      <c r="AG732" s="222"/>
      <c r="AK732" s="222"/>
      <c r="AO732" s="222"/>
      <c r="AS732" s="222"/>
      <c r="AW732" s="222"/>
      <c r="BA732" s="222"/>
      <c r="BE732" s="222"/>
      <c r="BK732" s="222"/>
      <c r="BO732" s="222"/>
      <c r="BU732" s="222"/>
      <c r="BY732" s="222"/>
      <c r="CC732" s="222"/>
      <c r="CG732" s="222"/>
      <c r="CK732" s="222"/>
      <c r="CQ732" s="222"/>
      <c r="CU732" s="222"/>
      <c r="CY732" s="222"/>
    </row>
    <row r="733">
      <c r="A733" s="227"/>
      <c r="E733" s="222"/>
      <c r="I733" s="222"/>
      <c r="M733" s="222"/>
      <c r="Q733" s="222"/>
      <c r="U733" s="222"/>
      <c r="Y733" s="222"/>
      <c r="AC733" s="222"/>
      <c r="AG733" s="222"/>
      <c r="AK733" s="222"/>
      <c r="AO733" s="222"/>
      <c r="AS733" s="222"/>
      <c r="AW733" s="222"/>
      <c r="BA733" s="222"/>
      <c r="BE733" s="222"/>
      <c r="BK733" s="222"/>
      <c r="BO733" s="222"/>
      <c r="BU733" s="222"/>
      <c r="BY733" s="222"/>
      <c r="CC733" s="222"/>
      <c r="CG733" s="222"/>
      <c r="CK733" s="222"/>
      <c r="CQ733" s="222"/>
      <c r="CU733" s="222"/>
      <c r="CY733" s="222"/>
    </row>
    <row r="734">
      <c r="A734" s="227"/>
      <c r="E734" s="222"/>
      <c r="I734" s="222"/>
      <c r="M734" s="222"/>
      <c r="Q734" s="222"/>
      <c r="U734" s="222"/>
      <c r="Y734" s="222"/>
      <c r="AC734" s="222"/>
      <c r="AG734" s="222"/>
      <c r="AK734" s="222"/>
      <c r="AO734" s="222"/>
      <c r="AS734" s="222"/>
      <c r="AW734" s="222"/>
      <c r="BA734" s="222"/>
      <c r="BE734" s="222"/>
      <c r="BK734" s="222"/>
      <c r="BO734" s="222"/>
      <c r="BU734" s="222"/>
      <c r="BY734" s="222"/>
      <c r="CC734" s="222"/>
      <c r="CG734" s="222"/>
      <c r="CK734" s="222"/>
      <c r="CQ734" s="222"/>
      <c r="CU734" s="222"/>
      <c r="CY734" s="222"/>
    </row>
    <row r="735">
      <c r="A735" s="227"/>
      <c r="E735" s="222"/>
      <c r="I735" s="222"/>
      <c r="M735" s="222"/>
      <c r="Q735" s="222"/>
      <c r="U735" s="222"/>
      <c r="Y735" s="222"/>
      <c r="AC735" s="222"/>
      <c r="AG735" s="222"/>
      <c r="AK735" s="222"/>
      <c r="AO735" s="222"/>
      <c r="AS735" s="222"/>
      <c r="AW735" s="222"/>
      <c r="BA735" s="222"/>
      <c r="BE735" s="222"/>
      <c r="BK735" s="222"/>
      <c r="BO735" s="222"/>
      <c r="BU735" s="222"/>
      <c r="BY735" s="222"/>
      <c r="CC735" s="222"/>
      <c r="CG735" s="222"/>
      <c r="CK735" s="222"/>
      <c r="CQ735" s="222"/>
      <c r="CU735" s="222"/>
      <c r="CY735" s="222"/>
    </row>
    <row r="736">
      <c r="A736" s="227"/>
      <c r="E736" s="222"/>
      <c r="I736" s="222"/>
      <c r="M736" s="222"/>
      <c r="Q736" s="222"/>
      <c r="U736" s="222"/>
      <c r="Y736" s="222"/>
      <c r="AC736" s="222"/>
      <c r="AG736" s="222"/>
      <c r="AK736" s="222"/>
      <c r="AO736" s="222"/>
      <c r="AS736" s="222"/>
      <c r="AW736" s="222"/>
      <c r="BA736" s="222"/>
      <c r="BE736" s="222"/>
      <c r="BK736" s="222"/>
      <c r="BO736" s="222"/>
      <c r="BU736" s="222"/>
      <c r="BY736" s="222"/>
      <c r="CC736" s="222"/>
      <c r="CG736" s="222"/>
      <c r="CK736" s="222"/>
      <c r="CQ736" s="222"/>
      <c r="CU736" s="222"/>
      <c r="CY736" s="222"/>
    </row>
    <row r="737">
      <c r="A737" s="227"/>
      <c r="E737" s="222"/>
      <c r="I737" s="222"/>
      <c r="M737" s="222"/>
      <c r="Q737" s="222"/>
      <c r="U737" s="222"/>
      <c r="Y737" s="222"/>
      <c r="AC737" s="222"/>
      <c r="AG737" s="222"/>
      <c r="AK737" s="222"/>
      <c r="AO737" s="222"/>
      <c r="AS737" s="222"/>
      <c r="AW737" s="222"/>
      <c r="BA737" s="222"/>
      <c r="BE737" s="222"/>
      <c r="BK737" s="222"/>
      <c r="BO737" s="222"/>
      <c r="BU737" s="222"/>
      <c r="BY737" s="222"/>
      <c r="CC737" s="222"/>
      <c r="CG737" s="222"/>
      <c r="CK737" s="222"/>
      <c r="CQ737" s="222"/>
      <c r="CU737" s="222"/>
      <c r="CY737" s="222"/>
    </row>
    <row r="738">
      <c r="A738" s="227"/>
      <c r="E738" s="222"/>
      <c r="I738" s="222"/>
      <c r="M738" s="222"/>
      <c r="Q738" s="222"/>
      <c r="U738" s="222"/>
      <c r="Y738" s="222"/>
      <c r="AC738" s="222"/>
      <c r="AG738" s="222"/>
      <c r="AK738" s="222"/>
      <c r="AO738" s="222"/>
      <c r="AS738" s="222"/>
      <c r="AW738" s="222"/>
      <c r="BA738" s="222"/>
      <c r="BE738" s="222"/>
      <c r="BK738" s="222"/>
      <c r="BO738" s="222"/>
      <c r="BU738" s="222"/>
      <c r="BY738" s="222"/>
      <c r="CC738" s="222"/>
      <c r="CG738" s="222"/>
      <c r="CK738" s="222"/>
      <c r="CQ738" s="222"/>
      <c r="CU738" s="222"/>
      <c r="CY738" s="222"/>
    </row>
    <row r="739">
      <c r="A739" s="227"/>
      <c r="E739" s="222"/>
      <c r="I739" s="222"/>
      <c r="M739" s="222"/>
      <c r="Q739" s="222"/>
      <c r="U739" s="222"/>
      <c r="Y739" s="222"/>
      <c r="AC739" s="222"/>
      <c r="AG739" s="222"/>
      <c r="AK739" s="222"/>
      <c r="AO739" s="222"/>
      <c r="AS739" s="222"/>
      <c r="AW739" s="222"/>
      <c r="BA739" s="222"/>
      <c r="BE739" s="222"/>
      <c r="BK739" s="222"/>
      <c r="BO739" s="222"/>
      <c r="BU739" s="222"/>
      <c r="BY739" s="222"/>
      <c r="CC739" s="222"/>
      <c r="CG739" s="222"/>
      <c r="CK739" s="222"/>
      <c r="CQ739" s="222"/>
      <c r="CU739" s="222"/>
      <c r="CY739" s="222"/>
    </row>
    <row r="740">
      <c r="A740" s="227"/>
      <c r="E740" s="222"/>
      <c r="I740" s="222"/>
      <c r="M740" s="222"/>
      <c r="Q740" s="222"/>
      <c r="U740" s="222"/>
      <c r="Y740" s="222"/>
      <c r="AC740" s="222"/>
      <c r="AG740" s="222"/>
      <c r="AK740" s="222"/>
      <c r="AO740" s="222"/>
      <c r="AS740" s="222"/>
      <c r="AW740" s="222"/>
      <c r="BA740" s="222"/>
      <c r="BE740" s="222"/>
      <c r="BK740" s="222"/>
      <c r="BO740" s="222"/>
      <c r="BU740" s="222"/>
      <c r="BY740" s="222"/>
      <c r="CC740" s="222"/>
      <c r="CG740" s="222"/>
      <c r="CK740" s="222"/>
      <c r="CQ740" s="222"/>
      <c r="CU740" s="222"/>
      <c r="CY740" s="222"/>
    </row>
    <row r="741">
      <c r="A741" s="227"/>
      <c r="E741" s="222"/>
      <c r="I741" s="222"/>
      <c r="M741" s="222"/>
      <c r="Q741" s="222"/>
      <c r="U741" s="222"/>
      <c r="Y741" s="222"/>
      <c r="AC741" s="222"/>
      <c r="AG741" s="222"/>
      <c r="AK741" s="222"/>
      <c r="AO741" s="222"/>
      <c r="AS741" s="222"/>
      <c r="AW741" s="222"/>
      <c r="BA741" s="222"/>
      <c r="BE741" s="222"/>
      <c r="BK741" s="222"/>
      <c r="BO741" s="222"/>
      <c r="BU741" s="222"/>
      <c r="BY741" s="222"/>
      <c r="CC741" s="222"/>
      <c r="CG741" s="222"/>
      <c r="CK741" s="222"/>
      <c r="CQ741" s="222"/>
      <c r="CU741" s="222"/>
      <c r="CY741" s="222"/>
    </row>
    <row r="742">
      <c r="A742" s="227"/>
      <c r="E742" s="222"/>
      <c r="I742" s="222"/>
      <c r="M742" s="222"/>
      <c r="Q742" s="222"/>
      <c r="U742" s="222"/>
      <c r="Y742" s="222"/>
      <c r="AC742" s="222"/>
      <c r="AG742" s="222"/>
      <c r="AK742" s="222"/>
      <c r="AO742" s="222"/>
      <c r="AS742" s="222"/>
      <c r="AW742" s="222"/>
      <c r="BA742" s="222"/>
      <c r="BE742" s="222"/>
      <c r="BK742" s="222"/>
      <c r="BO742" s="222"/>
      <c r="BU742" s="222"/>
      <c r="BY742" s="222"/>
      <c r="CC742" s="222"/>
      <c r="CG742" s="222"/>
      <c r="CK742" s="222"/>
      <c r="CQ742" s="222"/>
      <c r="CU742" s="222"/>
      <c r="CY742" s="222"/>
    </row>
    <row r="743">
      <c r="A743" s="227"/>
      <c r="E743" s="222"/>
      <c r="I743" s="222"/>
      <c r="M743" s="222"/>
      <c r="Q743" s="222"/>
      <c r="U743" s="222"/>
      <c r="Y743" s="222"/>
      <c r="AC743" s="222"/>
      <c r="AG743" s="222"/>
      <c r="AK743" s="222"/>
      <c r="AO743" s="222"/>
      <c r="AS743" s="222"/>
      <c r="AW743" s="222"/>
      <c r="BA743" s="222"/>
      <c r="BE743" s="222"/>
      <c r="BK743" s="222"/>
      <c r="BO743" s="222"/>
      <c r="BU743" s="222"/>
      <c r="BY743" s="222"/>
      <c r="CC743" s="222"/>
      <c r="CG743" s="222"/>
      <c r="CK743" s="222"/>
      <c r="CQ743" s="222"/>
      <c r="CU743" s="222"/>
      <c r="CY743" s="222"/>
    </row>
    <row r="744">
      <c r="A744" s="227"/>
      <c r="E744" s="222"/>
      <c r="I744" s="222"/>
      <c r="M744" s="222"/>
      <c r="Q744" s="222"/>
      <c r="U744" s="222"/>
      <c r="Y744" s="222"/>
      <c r="AC744" s="222"/>
      <c r="AG744" s="222"/>
      <c r="AK744" s="222"/>
      <c r="AO744" s="222"/>
      <c r="AS744" s="222"/>
      <c r="AW744" s="222"/>
      <c r="BA744" s="222"/>
      <c r="BE744" s="222"/>
      <c r="BK744" s="222"/>
      <c r="BO744" s="222"/>
      <c r="BU744" s="222"/>
      <c r="BY744" s="222"/>
      <c r="CC744" s="222"/>
      <c r="CG744" s="222"/>
      <c r="CK744" s="222"/>
      <c r="CQ744" s="222"/>
      <c r="CU744" s="222"/>
      <c r="CY744" s="222"/>
    </row>
    <row r="745">
      <c r="A745" s="227"/>
      <c r="E745" s="222"/>
      <c r="I745" s="222"/>
      <c r="M745" s="222"/>
      <c r="Q745" s="222"/>
      <c r="U745" s="222"/>
      <c r="Y745" s="222"/>
      <c r="AC745" s="222"/>
      <c r="AG745" s="222"/>
      <c r="AK745" s="222"/>
      <c r="AO745" s="222"/>
      <c r="AS745" s="222"/>
      <c r="AW745" s="222"/>
      <c r="BA745" s="222"/>
      <c r="BE745" s="222"/>
      <c r="BK745" s="222"/>
      <c r="BO745" s="222"/>
      <c r="BU745" s="222"/>
      <c r="BY745" s="222"/>
      <c r="CC745" s="222"/>
      <c r="CG745" s="222"/>
      <c r="CK745" s="222"/>
      <c r="CQ745" s="222"/>
      <c r="CU745" s="222"/>
      <c r="CY745" s="222"/>
    </row>
    <row r="746">
      <c r="A746" s="227"/>
      <c r="E746" s="222"/>
      <c r="I746" s="222"/>
      <c r="M746" s="222"/>
      <c r="Q746" s="222"/>
      <c r="U746" s="222"/>
      <c r="Y746" s="222"/>
      <c r="AC746" s="222"/>
      <c r="AG746" s="222"/>
      <c r="AK746" s="222"/>
      <c r="AO746" s="222"/>
      <c r="AS746" s="222"/>
      <c r="AW746" s="222"/>
      <c r="BA746" s="222"/>
      <c r="BE746" s="222"/>
      <c r="BK746" s="222"/>
      <c r="BO746" s="222"/>
      <c r="BU746" s="222"/>
      <c r="BY746" s="222"/>
      <c r="CC746" s="222"/>
      <c r="CG746" s="222"/>
      <c r="CK746" s="222"/>
      <c r="CQ746" s="222"/>
      <c r="CU746" s="222"/>
      <c r="CY746" s="222"/>
    </row>
    <row r="747">
      <c r="A747" s="227"/>
      <c r="E747" s="222"/>
      <c r="I747" s="222"/>
      <c r="M747" s="222"/>
      <c r="Q747" s="222"/>
      <c r="U747" s="222"/>
      <c r="Y747" s="222"/>
      <c r="AC747" s="222"/>
      <c r="AG747" s="222"/>
      <c r="AK747" s="222"/>
      <c r="AO747" s="222"/>
      <c r="AS747" s="222"/>
      <c r="AW747" s="222"/>
      <c r="BA747" s="222"/>
      <c r="BE747" s="222"/>
      <c r="BK747" s="222"/>
      <c r="BO747" s="222"/>
      <c r="BU747" s="222"/>
      <c r="BY747" s="222"/>
      <c r="CC747" s="222"/>
      <c r="CG747" s="222"/>
      <c r="CK747" s="222"/>
      <c r="CQ747" s="222"/>
      <c r="CU747" s="222"/>
      <c r="CY747" s="222"/>
    </row>
    <row r="748">
      <c r="A748" s="227"/>
      <c r="E748" s="222"/>
      <c r="I748" s="222"/>
      <c r="M748" s="222"/>
      <c r="Q748" s="222"/>
      <c r="U748" s="222"/>
      <c r="Y748" s="222"/>
      <c r="AC748" s="222"/>
      <c r="AG748" s="222"/>
      <c r="AK748" s="222"/>
      <c r="AO748" s="222"/>
      <c r="AS748" s="222"/>
      <c r="AW748" s="222"/>
      <c r="BA748" s="222"/>
      <c r="BE748" s="222"/>
      <c r="BK748" s="222"/>
      <c r="BO748" s="222"/>
      <c r="BU748" s="222"/>
      <c r="BY748" s="222"/>
      <c r="CC748" s="222"/>
      <c r="CG748" s="222"/>
      <c r="CK748" s="222"/>
      <c r="CQ748" s="222"/>
      <c r="CU748" s="222"/>
      <c r="CY748" s="222"/>
    </row>
    <row r="749">
      <c r="A749" s="227"/>
      <c r="E749" s="222"/>
      <c r="I749" s="222"/>
      <c r="M749" s="222"/>
      <c r="Q749" s="222"/>
      <c r="U749" s="222"/>
      <c r="Y749" s="222"/>
      <c r="AC749" s="222"/>
      <c r="AG749" s="222"/>
      <c r="AK749" s="222"/>
      <c r="AO749" s="222"/>
      <c r="AS749" s="222"/>
      <c r="AW749" s="222"/>
      <c r="BA749" s="222"/>
      <c r="BE749" s="222"/>
      <c r="BK749" s="222"/>
      <c r="BO749" s="222"/>
      <c r="BU749" s="222"/>
      <c r="BY749" s="222"/>
      <c r="CC749" s="222"/>
      <c r="CG749" s="222"/>
      <c r="CK749" s="222"/>
      <c r="CQ749" s="222"/>
      <c r="CU749" s="222"/>
      <c r="CY749" s="222"/>
    </row>
    <row r="750">
      <c r="A750" s="227"/>
      <c r="E750" s="222"/>
      <c r="I750" s="222"/>
      <c r="M750" s="222"/>
      <c r="Q750" s="222"/>
      <c r="U750" s="222"/>
      <c r="Y750" s="222"/>
      <c r="AC750" s="222"/>
      <c r="AG750" s="222"/>
      <c r="AK750" s="222"/>
      <c r="AO750" s="222"/>
      <c r="AS750" s="222"/>
      <c r="AW750" s="222"/>
      <c r="BA750" s="222"/>
      <c r="BE750" s="222"/>
      <c r="BK750" s="222"/>
      <c r="BO750" s="222"/>
      <c r="BU750" s="222"/>
      <c r="BY750" s="222"/>
      <c r="CC750" s="222"/>
      <c r="CG750" s="222"/>
      <c r="CK750" s="222"/>
      <c r="CQ750" s="222"/>
      <c r="CU750" s="222"/>
      <c r="CY750" s="222"/>
    </row>
    <row r="751">
      <c r="A751" s="227"/>
      <c r="E751" s="222"/>
      <c r="I751" s="222"/>
      <c r="M751" s="222"/>
      <c r="Q751" s="222"/>
      <c r="U751" s="222"/>
      <c r="Y751" s="222"/>
      <c r="AC751" s="222"/>
      <c r="AG751" s="222"/>
      <c r="AK751" s="222"/>
      <c r="AO751" s="222"/>
      <c r="AS751" s="222"/>
      <c r="AW751" s="222"/>
      <c r="BA751" s="222"/>
      <c r="BE751" s="222"/>
      <c r="BK751" s="222"/>
      <c r="BO751" s="222"/>
      <c r="BU751" s="222"/>
      <c r="BY751" s="222"/>
      <c r="CC751" s="222"/>
      <c r="CG751" s="222"/>
      <c r="CK751" s="222"/>
      <c r="CQ751" s="222"/>
      <c r="CU751" s="222"/>
      <c r="CY751" s="222"/>
    </row>
    <row r="752">
      <c r="A752" s="227"/>
      <c r="E752" s="222"/>
      <c r="I752" s="222"/>
      <c r="M752" s="222"/>
      <c r="Q752" s="222"/>
      <c r="U752" s="222"/>
      <c r="Y752" s="222"/>
      <c r="AC752" s="222"/>
      <c r="AG752" s="222"/>
      <c r="AK752" s="222"/>
      <c r="AO752" s="222"/>
      <c r="AS752" s="222"/>
      <c r="AW752" s="222"/>
      <c r="BA752" s="222"/>
      <c r="BE752" s="222"/>
      <c r="BK752" s="222"/>
      <c r="BO752" s="222"/>
      <c r="BU752" s="222"/>
      <c r="BY752" s="222"/>
      <c r="CC752" s="222"/>
      <c r="CG752" s="222"/>
      <c r="CK752" s="222"/>
      <c r="CQ752" s="222"/>
      <c r="CU752" s="222"/>
      <c r="CY752" s="222"/>
    </row>
    <row r="753">
      <c r="A753" s="227"/>
      <c r="E753" s="222"/>
      <c r="I753" s="222"/>
      <c r="M753" s="222"/>
      <c r="Q753" s="222"/>
      <c r="U753" s="222"/>
      <c r="Y753" s="222"/>
      <c r="AC753" s="222"/>
      <c r="AG753" s="222"/>
      <c r="AK753" s="222"/>
      <c r="AO753" s="222"/>
      <c r="AS753" s="222"/>
      <c r="AW753" s="222"/>
      <c r="BA753" s="222"/>
      <c r="BE753" s="222"/>
      <c r="BK753" s="222"/>
      <c r="BO753" s="222"/>
      <c r="BU753" s="222"/>
      <c r="BY753" s="222"/>
      <c r="CC753" s="222"/>
      <c r="CG753" s="222"/>
      <c r="CK753" s="222"/>
      <c r="CQ753" s="222"/>
      <c r="CU753" s="222"/>
      <c r="CY753" s="222"/>
    </row>
    <row r="754">
      <c r="A754" s="227"/>
      <c r="E754" s="222"/>
      <c r="I754" s="222"/>
      <c r="M754" s="222"/>
      <c r="Q754" s="222"/>
      <c r="U754" s="222"/>
      <c r="Y754" s="222"/>
      <c r="AC754" s="222"/>
      <c r="AG754" s="222"/>
      <c r="AK754" s="222"/>
      <c r="AO754" s="222"/>
      <c r="AS754" s="222"/>
      <c r="AW754" s="222"/>
      <c r="BA754" s="222"/>
      <c r="BE754" s="222"/>
      <c r="BK754" s="222"/>
      <c r="BO754" s="222"/>
      <c r="BU754" s="222"/>
      <c r="BY754" s="222"/>
      <c r="CC754" s="222"/>
      <c r="CG754" s="222"/>
      <c r="CK754" s="222"/>
      <c r="CQ754" s="222"/>
      <c r="CU754" s="222"/>
      <c r="CY754" s="222"/>
    </row>
    <row r="755">
      <c r="A755" s="227"/>
      <c r="E755" s="222"/>
      <c r="I755" s="222"/>
      <c r="M755" s="222"/>
      <c r="Q755" s="222"/>
      <c r="U755" s="222"/>
      <c r="Y755" s="222"/>
      <c r="AC755" s="222"/>
      <c r="AG755" s="222"/>
      <c r="AK755" s="222"/>
      <c r="AO755" s="222"/>
      <c r="AS755" s="222"/>
      <c r="AW755" s="222"/>
      <c r="BA755" s="222"/>
      <c r="BE755" s="222"/>
      <c r="BK755" s="222"/>
      <c r="BO755" s="222"/>
      <c r="BU755" s="222"/>
      <c r="BY755" s="222"/>
      <c r="CC755" s="222"/>
      <c r="CG755" s="222"/>
      <c r="CK755" s="222"/>
      <c r="CQ755" s="222"/>
      <c r="CU755" s="222"/>
      <c r="CY755" s="222"/>
    </row>
    <row r="756">
      <c r="A756" s="227"/>
      <c r="E756" s="222"/>
      <c r="I756" s="222"/>
      <c r="M756" s="222"/>
      <c r="Q756" s="222"/>
      <c r="U756" s="222"/>
      <c r="Y756" s="222"/>
      <c r="AC756" s="222"/>
      <c r="AG756" s="222"/>
      <c r="AK756" s="222"/>
      <c r="AO756" s="222"/>
      <c r="AS756" s="222"/>
      <c r="AW756" s="222"/>
      <c r="BA756" s="222"/>
      <c r="BE756" s="222"/>
      <c r="BK756" s="222"/>
      <c r="BO756" s="222"/>
      <c r="BU756" s="222"/>
      <c r="BY756" s="222"/>
      <c r="CC756" s="222"/>
      <c r="CG756" s="222"/>
      <c r="CK756" s="222"/>
      <c r="CQ756" s="222"/>
      <c r="CU756" s="222"/>
      <c r="CY756" s="222"/>
    </row>
    <row r="757">
      <c r="A757" s="227"/>
      <c r="E757" s="222"/>
      <c r="I757" s="222"/>
      <c r="M757" s="222"/>
      <c r="Q757" s="222"/>
      <c r="U757" s="222"/>
      <c r="Y757" s="222"/>
      <c r="AC757" s="222"/>
      <c r="AG757" s="222"/>
      <c r="AK757" s="222"/>
      <c r="AO757" s="222"/>
      <c r="AS757" s="222"/>
      <c r="AW757" s="222"/>
      <c r="BA757" s="222"/>
      <c r="BE757" s="222"/>
      <c r="BK757" s="222"/>
      <c r="BO757" s="222"/>
      <c r="BU757" s="222"/>
      <c r="BY757" s="222"/>
      <c r="CC757" s="222"/>
      <c r="CG757" s="222"/>
      <c r="CK757" s="222"/>
      <c r="CQ757" s="222"/>
      <c r="CU757" s="222"/>
      <c r="CY757" s="222"/>
    </row>
    <row r="758">
      <c r="A758" s="227"/>
      <c r="E758" s="222"/>
      <c r="I758" s="222"/>
      <c r="M758" s="222"/>
      <c r="Q758" s="222"/>
      <c r="U758" s="222"/>
      <c r="Y758" s="222"/>
      <c r="AC758" s="222"/>
      <c r="AG758" s="222"/>
      <c r="AK758" s="222"/>
      <c r="AO758" s="222"/>
      <c r="AS758" s="222"/>
      <c r="AW758" s="222"/>
      <c r="BA758" s="222"/>
      <c r="BE758" s="222"/>
      <c r="BK758" s="222"/>
      <c r="BO758" s="222"/>
      <c r="BU758" s="222"/>
      <c r="BY758" s="222"/>
      <c r="CC758" s="222"/>
      <c r="CG758" s="222"/>
      <c r="CK758" s="222"/>
      <c r="CQ758" s="222"/>
      <c r="CU758" s="222"/>
      <c r="CY758" s="222"/>
    </row>
    <row r="759">
      <c r="A759" s="227"/>
      <c r="E759" s="222"/>
      <c r="I759" s="222"/>
      <c r="M759" s="222"/>
      <c r="Q759" s="222"/>
      <c r="U759" s="222"/>
      <c r="Y759" s="222"/>
      <c r="AC759" s="222"/>
      <c r="AG759" s="222"/>
      <c r="AK759" s="222"/>
      <c r="AO759" s="222"/>
      <c r="AS759" s="222"/>
      <c r="AW759" s="222"/>
      <c r="BA759" s="222"/>
      <c r="BE759" s="222"/>
      <c r="BK759" s="222"/>
      <c r="BO759" s="222"/>
      <c r="BU759" s="222"/>
      <c r="BY759" s="222"/>
      <c r="CC759" s="222"/>
      <c r="CG759" s="222"/>
      <c r="CK759" s="222"/>
      <c r="CQ759" s="222"/>
      <c r="CU759" s="222"/>
      <c r="CY759" s="222"/>
    </row>
    <row r="760">
      <c r="A760" s="227"/>
      <c r="E760" s="222"/>
      <c r="I760" s="222"/>
      <c r="M760" s="222"/>
      <c r="Q760" s="222"/>
      <c r="U760" s="222"/>
      <c r="Y760" s="222"/>
      <c r="AC760" s="222"/>
      <c r="AG760" s="222"/>
      <c r="AK760" s="222"/>
      <c r="AO760" s="222"/>
      <c r="AS760" s="222"/>
      <c r="AW760" s="222"/>
      <c r="BA760" s="222"/>
      <c r="BE760" s="222"/>
      <c r="BK760" s="222"/>
      <c r="BO760" s="222"/>
      <c r="BU760" s="222"/>
      <c r="BY760" s="222"/>
      <c r="CC760" s="222"/>
      <c r="CG760" s="222"/>
      <c r="CK760" s="222"/>
      <c r="CQ760" s="222"/>
      <c r="CU760" s="222"/>
      <c r="CY760" s="222"/>
    </row>
    <row r="761">
      <c r="A761" s="227"/>
      <c r="E761" s="222"/>
      <c r="I761" s="222"/>
      <c r="M761" s="222"/>
      <c r="Q761" s="222"/>
      <c r="U761" s="222"/>
      <c r="Y761" s="222"/>
      <c r="AC761" s="222"/>
      <c r="AG761" s="222"/>
      <c r="AK761" s="222"/>
      <c r="AO761" s="222"/>
      <c r="AS761" s="222"/>
      <c r="AW761" s="222"/>
      <c r="BA761" s="222"/>
      <c r="BE761" s="222"/>
      <c r="BK761" s="222"/>
      <c r="BO761" s="222"/>
      <c r="BU761" s="222"/>
      <c r="BY761" s="222"/>
      <c r="CC761" s="222"/>
      <c r="CG761" s="222"/>
      <c r="CK761" s="222"/>
      <c r="CQ761" s="222"/>
      <c r="CU761" s="222"/>
      <c r="CY761" s="222"/>
    </row>
    <row r="762">
      <c r="A762" s="227"/>
      <c r="E762" s="222"/>
      <c r="I762" s="222"/>
      <c r="M762" s="222"/>
      <c r="Q762" s="222"/>
      <c r="U762" s="222"/>
      <c r="Y762" s="222"/>
      <c r="AC762" s="222"/>
      <c r="AG762" s="222"/>
      <c r="AK762" s="222"/>
      <c r="AO762" s="222"/>
      <c r="AS762" s="222"/>
      <c r="AW762" s="222"/>
      <c r="BA762" s="222"/>
      <c r="BE762" s="222"/>
      <c r="BK762" s="222"/>
      <c r="BO762" s="222"/>
      <c r="BU762" s="222"/>
      <c r="BY762" s="222"/>
      <c r="CC762" s="222"/>
      <c r="CG762" s="222"/>
      <c r="CK762" s="222"/>
      <c r="CQ762" s="222"/>
      <c r="CU762" s="222"/>
      <c r="CY762" s="222"/>
    </row>
    <row r="763">
      <c r="A763" s="227"/>
      <c r="E763" s="222"/>
      <c r="I763" s="222"/>
      <c r="M763" s="222"/>
      <c r="Q763" s="222"/>
      <c r="U763" s="222"/>
      <c r="Y763" s="222"/>
      <c r="AC763" s="222"/>
      <c r="AG763" s="222"/>
      <c r="AK763" s="222"/>
      <c r="AO763" s="222"/>
      <c r="AS763" s="222"/>
      <c r="AW763" s="222"/>
      <c r="BA763" s="222"/>
      <c r="BE763" s="222"/>
      <c r="BK763" s="222"/>
      <c r="BO763" s="222"/>
      <c r="BU763" s="222"/>
      <c r="BY763" s="222"/>
      <c r="CC763" s="222"/>
      <c r="CG763" s="222"/>
      <c r="CK763" s="222"/>
      <c r="CQ763" s="222"/>
      <c r="CU763" s="222"/>
      <c r="CY763" s="222"/>
    </row>
    <row r="764">
      <c r="A764" s="227"/>
      <c r="E764" s="222"/>
      <c r="I764" s="222"/>
      <c r="M764" s="222"/>
      <c r="Q764" s="222"/>
      <c r="U764" s="222"/>
      <c r="Y764" s="222"/>
      <c r="AC764" s="222"/>
      <c r="AG764" s="222"/>
      <c r="AK764" s="222"/>
      <c r="AO764" s="222"/>
      <c r="AS764" s="222"/>
      <c r="AW764" s="222"/>
      <c r="BA764" s="222"/>
      <c r="BE764" s="222"/>
      <c r="BK764" s="222"/>
      <c r="BO764" s="222"/>
      <c r="BU764" s="222"/>
      <c r="BY764" s="222"/>
      <c r="CC764" s="222"/>
      <c r="CG764" s="222"/>
      <c r="CK764" s="222"/>
      <c r="CQ764" s="222"/>
      <c r="CU764" s="222"/>
      <c r="CY764" s="222"/>
    </row>
    <row r="765">
      <c r="A765" s="227"/>
      <c r="E765" s="222"/>
      <c r="I765" s="222"/>
      <c r="M765" s="222"/>
      <c r="Q765" s="222"/>
      <c r="U765" s="222"/>
      <c r="Y765" s="222"/>
      <c r="AC765" s="222"/>
      <c r="AG765" s="222"/>
      <c r="AK765" s="222"/>
      <c r="AO765" s="222"/>
      <c r="AS765" s="222"/>
      <c r="AW765" s="222"/>
      <c r="BA765" s="222"/>
      <c r="BE765" s="222"/>
      <c r="BK765" s="222"/>
      <c r="BO765" s="222"/>
      <c r="BU765" s="222"/>
      <c r="BY765" s="222"/>
      <c r="CC765" s="222"/>
      <c r="CG765" s="222"/>
      <c r="CK765" s="222"/>
      <c r="CQ765" s="222"/>
      <c r="CU765" s="222"/>
      <c r="CY765" s="222"/>
    </row>
    <row r="766">
      <c r="A766" s="227"/>
      <c r="E766" s="222"/>
      <c r="I766" s="222"/>
      <c r="M766" s="222"/>
      <c r="Q766" s="222"/>
      <c r="U766" s="222"/>
      <c r="Y766" s="222"/>
      <c r="AC766" s="222"/>
      <c r="AG766" s="222"/>
      <c r="AK766" s="222"/>
      <c r="AO766" s="222"/>
      <c r="AS766" s="222"/>
      <c r="AW766" s="222"/>
      <c r="BA766" s="222"/>
      <c r="BE766" s="222"/>
      <c r="BK766" s="222"/>
      <c r="BO766" s="222"/>
      <c r="BU766" s="222"/>
      <c r="BY766" s="222"/>
      <c r="CC766" s="222"/>
      <c r="CG766" s="222"/>
      <c r="CK766" s="222"/>
      <c r="CQ766" s="222"/>
      <c r="CU766" s="222"/>
      <c r="CY766" s="222"/>
    </row>
    <row r="767">
      <c r="A767" s="227"/>
      <c r="E767" s="222"/>
      <c r="I767" s="222"/>
      <c r="M767" s="222"/>
      <c r="Q767" s="222"/>
      <c r="U767" s="222"/>
      <c r="Y767" s="222"/>
      <c r="AC767" s="222"/>
      <c r="AG767" s="222"/>
      <c r="AK767" s="222"/>
      <c r="AO767" s="222"/>
      <c r="AS767" s="222"/>
      <c r="AW767" s="222"/>
      <c r="BA767" s="222"/>
      <c r="BE767" s="222"/>
      <c r="BK767" s="222"/>
      <c r="BO767" s="222"/>
      <c r="BU767" s="222"/>
      <c r="BY767" s="222"/>
      <c r="CC767" s="222"/>
      <c r="CG767" s="222"/>
      <c r="CK767" s="222"/>
      <c r="CQ767" s="222"/>
      <c r="CU767" s="222"/>
      <c r="CY767" s="222"/>
    </row>
    <row r="768">
      <c r="A768" s="227"/>
      <c r="E768" s="222"/>
      <c r="I768" s="222"/>
      <c r="M768" s="222"/>
      <c r="Q768" s="222"/>
      <c r="U768" s="222"/>
      <c r="Y768" s="222"/>
      <c r="AC768" s="222"/>
      <c r="AG768" s="222"/>
      <c r="AK768" s="222"/>
      <c r="AO768" s="222"/>
      <c r="AS768" s="222"/>
      <c r="AW768" s="222"/>
      <c r="BA768" s="222"/>
      <c r="BE768" s="222"/>
      <c r="BK768" s="222"/>
      <c r="BO768" s="222"/>
      <c r="BU768" s="222"/>
      <c r="BY768" s="222"/>
      <c r="CC768" s="222"/>
      <c r="CG768" s="222"/>
      <c r="CK768" s="222"/>
      <c r="CQ768" s="222"/>
      <c r="CU768" s="222"/>
      <c r="CY768" s="222"/>
    </row>
    <row r="769">
      <c r="A769" s="227"/>
      <c r="E769" s="222"/>
      <c r="I769" s="222"/>
      <c r="M769" s="222"/>
      <c r="Q769" s="222"/>
      <c r="U769" s="222"/>
      <c r="Y769" s="222"/>
      <c r="AC769" s="222"/>
      <c r="AG769" s="222"/>
      <c r="AK769" s="222"/>
      <c r="AO769" s="222"/>
      <c r="AS769" s="222"/>
      <c r="AW769" s="222"/>
      <c r="BA769" s="222"/>
      <c r="BE769" s="222"/>
      <c r="BK769" s="222"/>
      <c r="BO769" s="222"/>
      <c r="BU769" s="222"/>
      <c r="BY769" s="222"/>
      <c r="CC769" s="222"/>
      <c r="CG769" s="222"/>
      <c r="CK769" s="222"/>
      <c r="CQ769" s="222"/>
      <c r="CU769" s="222"/>
      <c r="CY769" s="222"/>
    </row>
    <row r="770">
      <c r="A770" s="227"/>
      <c r="E770" s="222"/>
      <c r="I770" s="222"/>
      <c r="M770" s="222"/>
      <c r="Q770" s="222"/>
      <c r="U770" s="222"/>
      <c r="Y770" s="222"/>
      <c r="AC770" s="222"/>
      <c r="AG770" s="222"/>
      <c r="AK770" s="222"/>
      <c r="AO770" s="222"/>
      <c r="AS770" s="222"/>
      <c r="AW770" s="222"/>
      <c r="BA770" s="222"/>
      <c r="BE770" s="222"/>
      <c r="BK770" s="222"/>
      <c r="BO770" s="222"/>
      <c r="BU770" s="222"/>
      <c r="BY770" s="222"/>
      <c r="CC770" s="222"/>
      <c r="CG770" s="222"/>
      <c r="CK770" s="222"/>
      <c r="CQ770" s="222"/>
      <c r="CU770" s="222"/>
      <c r="CY770" s="222"/>
    </row>
    <row r="771">
      <c r="A771" s="227"/>
      <c r="E771" s="222"/>
      <c r="I771" s="222"/>
      <c r="M771" s="222"/>
      <c r="Q771" s="222"/>
      <c r="U771" s="222"/>
      <c r="Y771" s="222"/>
      <c r="AC771" s="222"/>
      <c r="AG771" s="222"/>
      <c r="AK771" s="222"/>
      <c r="AO771" s="222"/>
      <c r="AS771" s="222"/>
      <c r="AW771" s="222"/>
      <c r="BA771" s="222"/>
      <c r="BE771" s="222"/>
      <c r="BK771" s="222"/>
      <c r="BO771" s="222"/>
      <c r="BU771" s="222"/>
      <c r="BY771" s="222"/>
      <c r="CC771" s="222"/>
      <c r="CG771" s="222"/>
      <c r="CK771" s="222"/>
      <c r="CQ771" s="222"/>
      <c r="CU771" s="222"/>
      <c r="CY771" s="222"/>
    </row>
    <row r="772">
      <c r="A772" s="227"/>
      <c r="E772" s="222"/>
      <c r="I772" s="222"/>
      <c r="M772" s="222"/>
      <c r="Q772" s="222"/>
      <c r="U772" s="222"/>
      <c r="Y772" s="222"/>
      <c r="AC772" s="222"/>
      <c r="AG772" s="222"/>
      <c r="AK772" s="222"/>
      <c r="AO772" s="222"/>
      <c r="AS772" s="222"/>
      <c r="AW772" s="222"/>
      <c r="BA772" s="222"/>
      <c r="BE772" s="222"/>
      <c r="BK772" s="222"/>
      <c r="BO772" s="222"/>
      <c r="BU772" s="222"/>
      <c r="BY772" s="222"/>
      <c r="CC772" s="222"/>
      <c r="CG772" s="222"/>
      <c r="CK772" s="222"/>
      <c r="CQ772" s="222"/>
      <c r="CU772" s="222"/>
      <c r="CY772" s="222"/>
    </row>
    <row r="773">
      <c r="A773" s="227"/>
      <c r="E773" s="222"/>
      <c r="I773" s="222"/>
      <c r="M773" s="222"/>
      <c r="Q773" s="222"/>
      <c r="U773" s="222"/>
      <c r="Y773" s="222"/>
      <c r="AC773" s="222"/>
      <c r="AG773" s="222"/>
      <c r="AK773" s="222"/>
      <c r="AO773" s="222"/>
      <c r="AS773" s="222"/>
      <c r="AW773" s="222"/>
      <c r="BA773" s="222"/>
      <c r="BE773" s="222"/>
      <c r="BK773" s="222"/>
      <c r="BO773" s="222"/>
      <c r="BU773" s="222"/>
      <c r="BY773" s="222"/>
      <c r="CC773" s="222"/>
      <c r="CG773" s="222"/>
      <c r="CK773" s="222"/>
      <c r="CQ773" s="222"/>
      <c r="CU773" s="222"/>
      <c r="CY773" s="222"/>
    </row>
    <row r="774">
      <c r="A774" s="227"/>
      <c r="E774" s="222"/>
      <c r="I774" s="222"/>
      <c r="M774" s="222"/>
      <c r="Q774" s="222"/>
      <c r="U774" s="222"/>
      <c r="Y774" s="222"/>
      <c r="AC774" s="222"/>
      <c r="AG774" s="222"/>
      <c r="AK774" s="222"/>
      <c r="AO774" s="222"/>
      <c r="AS774" s="222"/>
      <c r="AW774" s="222"/>
      <c r="BA774" s="222"/>
      <c r="BE774" s="222"/>
      <c r="BK774" s="222"/>
      <c r="BO774" s="222"/>
      <c r="BU774" s="222"/>
      <c r="BY774" s="222"/>
      <c r="CC774" s="222"/>
      <c r="CG774" s="222"/>
      <c r="CK774" s="222"/>
      <c r="CQ774" s="222"/>
      <c r="CU774" s="222"/>
      <c r="CY774" s="222"/>
    </row>
    <row r="775">
      <c r="A775" s="227"/>
      <c r="E775" s="222"/>
      <c r="I775" s="222"/>
      <c r="M775" s="222"/>
      <c r="Q775" s="222"/>
      <c r="U775" s="222"/>
      <c r="Y775" s="222"/>
      <c r="AC775" s="222"/>
      <c r="AG775" s="222"/>
      <c r="AK775" s="222"/>
      <c r="AO775" s="222"/>
      <c r="AS775" s="222"/>
      <c r="AW775" s="222"/>
      <c r="BA775" s="222"/>
      <c r="BE775" s="222"/>
      <c r="BK775" s="222"/>
      <c r="BO775" s="222"/>
      <c r="BU775" s="222"/>
      <c r="BY775" s="222"/>
      <c r="CC775" s="222"/>
      <c r="CG775" s="222"/>
      <c r="CK775" s="222"/>
      <c r="CQ775" s="222"/>
      <c r="CU775" s="222"/>
      <c r="CY775" s="222"/>
    </row>
    <row r="776">
      <c r="A776" s="227"/>
      <c r="E776" s="222"/>
      <c r="I776" s="222"/>
      <c r="M776" s="222"/>
      <c r="Q776" s="222"/>
      <c r="U776" s="222"/>
      <c r="Y776" s="222"/>
      <c r="AC776" s="222"/>
      <c r="AG776" s="222"/>
      <c r="AK776" s="222"/>
      <c r="AO776" s="222"/>
      <c r="AS776" s="222"/>
      <c r="AW776" s="222"/>
      <c r="BA776" s="222"/>
      <c r="BE776" s="222"/>
      <c r="BK776" s="222"/>
      <c r="BO776" s="222"/>
      <c r="BU776" s="222"/>
      <c r="BY776" s="222"/>
      <c r="CC776" s="222"/>
      <c r="CG776" s="222"/>
      <c r="CK776" s="222"/>
      <c r="CQ776" s="222"/>
      <c r="CU776" s="222"/>
      <c r="CY776" s="222"/>
    </row>
    <row r="777">
      <c r="A777" s="227"/>
      <c r="E777" s="222"/>
      <c r="I777" s="222"/>
      <c r="M777" s="222"/>
      <c r="Q777" s="222"/>
      <c r="U777" s="222"/>
      <c r="Y777" s="222"/>
      <c r="AC777" s="222"/>
      <c r="AG777" s="222"/>
      <c r="AK777" s="222"/>
      <c r="AO777" s="222"/>
      <c r="AS777" s="222"/>
      <c r="AW777" s="222"/>
      <c r="BA777" s="222"/>
      <c r="BE777" s="222"/>
      <c r="BK777" s="222"/>
      <c r="BO777" s="222"/>
      <c r="BU777" s="222"/>
      <c r="BY777" s="222"/>
      <c r="CC777" s="222"/>
      <c r="CG777" s="222"/>
      <c r="CK777" s="222"/>
      <c r="CQ777" s="222"/>
      <c r="CU777" s="222"/>
      <c r="CY777" s="222"/>
    </row>
    <row r="778">
      <c r="A778" s="227"/>
      <c r="E778" s="222"/>
      <c r="I778" s="222"/>
      <c r="M778" s="222"/>
      <c r="Q778" s="222"/>
      <c r="U778" s="222"/>
      <c r="Y778" s="222"/>
      <c r="AC778" s="222"/>
      <c r="AG778" s="222"/>
      <c r="AK778" s="222"/>
      <c r="AO778" s="222"/>
      <c r="AS778" s="222"/>
      <c r="AW778" s="222"/>
      <c r="BA778" s="222"/>
      <c r="BE778" s="222"/>
      <c r="BK778" s="222"/>
      <c r="BO778" s="222"/>
      <c r="BU778" s="222"/>
      <c r="BY778" s="222"/>
      <c r="CC778" s="222"/>
      <c r="CG778" s="222"/>
      <c r="CK778" s="222"/>
      <c r="CQ778" s="222"/>
      <c r="CU778" s="222"/>
      <c r="CY778" s="222"/>
    </row>
    <row r="779">
      <c r="A779" s="227"/>
      <c r="E779" s="222"/>
      <c r="I779" s="222"/>
      <c r="M779" s="222"/>
      <c r="Q779" s="222"/>
      <c r="U779" s="222"/>
      <c r="Y779" s="222"/>
      <c r="AC779" s="222"/>
      <c r="AG779" s="222"/>
      <c r="AK779" s="222"/>
      <c r="AO779" s="222"/>
      <c r="AS779" s="222"/>
      <c r="AW779" s="222"/>
      <c r="BA779" s="222"/>
      <c r="BE779" s="222"/>
      <c r="BK779" s="222"/>
      <c r="BO779" s="222"/>
      <c r="BU779" s="222"/>
      <c r="BY779" s="222"/>
      <c r="CC779" s="222"/>
      <c r="CG779" s="222"/>
      <c r="CK779" s="222"/>
      <c r="CQ779" s="222"/>
      <c r="CU779" s="222"/>
      <c r="CY779" s="222"/>
    </row>
    <row r="780">
      <c r="A780" s="227"/>
      <c r="E780" s="222"/>
      <c r="I780" s="222"/>
      <c r="M780" s="222"/>
      <c r="Q780" s="222"/>
      <c r="U780" s="222"/>
      <c r="Y780" s="222"/>
      <c r="AC780" s="222"/>
      <c r="AG780" s="222"/>
      <c r="AK780" s="222"/>
      <c r="AO780" s="222"/>
      <c r="AS780" s="222"/>
      <c r="AW780" s="222"/>
      <c r="BA780" s="222"/>
      <c r="BE780" s="222"/>
      <c r="BK780" s="222"/>
      <c r="BO780" s="222"/>
      <c r="BU780" s="222"/>
      <c r="BY780" s="222"/>
      <c r="CC780" s="222"/>
      <c r="CG780" s="222"/>
      <c r="CK780" s="222"/>
      <c r="CQ780" s="222"/>
      <c r="CU780" s="222"/>
      <c r="CY780" s="222"/>
    </row>
    <row r="781">
      <c r="A781" s="227"/>
      <c r="E781" s="222"/>
      <c r="I781" s="222"/>
      <c r="M781" s="222"/>
      <c r="Q781" s="222"/>
      <c r="U781" s="222"/>
      <c r="Y781" s="222"/>
      <c r="AC781" s="222"/>
      <c r="AG781" s="222"/>
      <c r="AK781" s="222"/>
      <c r="AO781" s="222"/>
      <c r="AS781" s="222"/>
      <c r="AW781" s="222"/>
      <c r="BA781" s="222"/>
      <c r="BE781" s="222"/>
      <c r="BK781" s="222"/>
      <c r="BO781" s="222"/>
      <c r="BU781" s="222"/>
      <c r="BY781" s="222"/>
      <c r="CC781" s="222"/>
      <c r="CG781" s="222"/>
      <c r="CK781" s="222"/>
      <c r="CQ781" s="222"/>
      <c r="CU781" s="222"/>
      <c r="CY781" s="222"/>
    </row>
    <row r="782">
      <c r="A782" s="227"/>
      <c r="E782" s="222"/>
      <c r="I782" s="222"/>
      <c r="M782" s="222"/>
      <c r="Q782" s="222"/>
      <c r="U782" s="222"/>
      <c r="Y782" s="222"/>
      <c r="AC782" s="222"/>
      <c r="AG782" s="222"/>
      <c r="AK782" s="222"/>
      <c r="AO782" s="222"/>
      <c r="AS782" s="222"/>
      <c r="AW782" s="222"/>
      <c r="BA782" s="222"/>
      <c r="BE782" s="222"/>
      <c r="BK782" s="222"/>
      <c r="BO782" s="222"/>
      <c r="BU782" s="222"/>
      <c r="BY782" s="222"/>
      <c r="CC782" s="222"/>
      <c r="CG782" s="222"/>
      <c r="CK782" s="222"/>
      <c r="CQ782" s="222"/>
      <c r="CU782" s="222"/>
      <c r="CY782" s="222"/>
    </row>
    <row r="783">
      <c r="A783" s="227"/>
      <c r="E783" s="222"/>
      <c r="I783" s="222"/>
      <c r="M783" s="222"/>
      <c r="Q783" s="222"/>
      <c r="U783" s="222"/>
      <c r="Y783" s="222"/>
      <c r="AC783" s="222"/>
      <c r="AG783" s="222"/>
      <c r="AK783" s="222"/>
      <c r="AO783" s="222"/>
      <c r="AS783" s="222"/>
      <c r="AW783" s="222"/>
      <c r="BA783" s="222"/>
      <c r="BE783" s="222"/>
      <c r="BK783" s="222"/>
      <c r="BO783" s="222"/>
      <c r="BU783" s="222"/>
      <c r="BY783" s="222"/>
      <c r="CC783" s="222"/>
      <c r="CG783" s="222"/>
      <c r="CK783" s="222"/>
      <c r="CQ783" s="222"/>
      <c r="CU783" s="222"/>
      <c r="CY783" s="222"/>
    </row>
    <row r="784">
      <c r="A784" s="227"/>
      <c r="E784" s="222"/>
      <c r="I784" s="222"/>
      <c r="M784" s="222"/>
      <c r="Q784" s="222"/>
      <c r="U784" s="222"/>
      <c r="Y784" s="222"/>
      <c r="AC784" s="222"/>
      <c r="AG784" s="222"/>
      <c r="AK784" s="222"/>
      <c r="AO784" s="222"/>
      <c r="AS784" s="222"/>
      <c r="AW784" s="222"/>
      <c r="BA784" s="222"/>
      <c r="BE784" s="222"/>
      <c r="BK784" s="222"/>
      <c r="BO784" s="222"/>
      <c r="BU784" s="222"/>
      <c r="BY784" s="222"/>
      <c r="CC784" s="222"/>
      <c r="CG784" s="222"/>
      <c r="CK784" s="222"/>
      <c r="CQ784" s="222"/>
      <c r="CU784" s="222"/>
      <c r="CY784" s="222"/>
    </row>
    <row r="785">
      <c r="A785" s="227"/>
      <c r="E785" s="222"/>
      <c r="I785" s="222"/>
      <c r="M785" s="222"/>
      <c r="Q785" s="222"/>
      <c r="U785" s="222"/>
      <c r="Y785" s="222"/>
      <c r="AC785" s="222"/>
      <c r="AG785" s="222"/>
      <c r="AK785" s="222"/>
      <c r="AO785" s="222"/>
      <c r="AS785" s="222"/>
      <c r="AW785" s="222"/>
      <c r="BA785" s="222"/>
      <c r="BE785" s="222"/>
      <c r="BK785" s="222"/>
      <c r="BO785" s="222"/>
      <c r="BU785" s="222"/>
      <c r="BY785" s="222"/>
      <c r="CC785" s="222"/>
      <c r="CG785" s="222"/>
      <c r="CK785" s="222"/>
      <c r="CQ785" s="222"/>
      <c r="CU785" s="222"/>
      <c r="CY785" s="222"/>
    </row>
    <row r="786">
      <c r="A786" s="227"/>
      <c r="E786" s="222"/>
      <c r="I786" s="222"/>
      <c r="M786" s="222"/>
      <c r="Q786" s="222"/>
      <c r="U786" s="222"/>
      <c r="Y786" s="222"/>
      <c r="AC786" s="222"/>
      <c r="AG786" s="222"/>
      <c r="AK786" s="222"/>
      <c r="AO786" s="222"/>
      <c r="AS786" s="222"/>
      <c r="AW786" s="222"/>
      <c r="BA786" s="222"/>
      <c r="BE786" s="222"/>
      <c r="BK786" s="222"/>
      <c r="BO786" s="222"/>
      <c r="BU786" s="222"/>
      <c r="BY786" s="222"/>
      <c r="CC786" s="222"/>
      <c r="CG786" s="222"/>
      <c r="CK786" s="222"/>
      <c r="CQ786" s="222"/>
      <c r="CU786" s="222"/>
      <c r="CY786" s="222"/>
    </row>
    <row r="787">
      <c r="A787" s="227"/>
      <c r="E787" s="222"/>
      <c r="I787" s="222"/>
      <c r="M787" s="222"/>
      <c r="Q787" s="222"/>
      <c r="U787" s="222"/>
      <c r="Y787" s="222"/>
      <c r="AC787" s="222"/>
      <c r="AG787" s="222"/>
      <c r="AK787" s="222"/>
      <c r="AO787" s="222"/>
      <c r="AS787" s="222"/>
      <c r="AW787" s="222"/>
      <c r="BA787" s="222"/>
      <c r="BE787" s="222"/>
      <c r="BK787" s="222"/>
      <c r="BO787" s="222"/>
      <c r="BU787" s="222"/>
      <c r="BY787" s="222"/>
      <c r="CC787" s="222"/>
      <c r="CG787" s="222"/>
      <c r="CK787" s="222"/>
      <c r="CQ787" s="222"/>
      <c r="CU787" s="222"/>
      <c r="CY787" s="222"/>
    </row>
    <row r="788">
      <c r="A788" s="227"/>
      <c r="E788" s="222"/>
      <c r="I788" s="222"/>
      <c r="M788" s="222"/>
      <c r="Q788" s="222"/>
      <c r="U788" s="222"/>
      <c r="Y788" s="222"/>
      <c r="AC788" s="222"/>
      <c r="AG788" s="222"/>
      <c r="AK788" s="222"/>
      <c r="AO788" s="222"/>
      <c r="AS788" s="222"/>
      <c r="AW788" s="222"/>
      <c r="BA788" s="222"/>
      <c r="BE788" s="222"/>
      <c r="BK788" s="222"/>
      <c r="BO788" s="222"/>
      <c r="BU788" s="222"/>
      <c r="BY788" s="222"/>
      <c r="CC788" s="222"/>
      <c r="CG788" s="222"/>
      <c r="CK788" s="222"/>
      <c r="CQ788" s="222"/>
      <c r="CU788" s="222"/>
      <c r="CY788" s="222"/>
    </row>
    <row r="789">
      <c r="A789" s="227"/>
      <c r="E789" s="222"/>
      <c r="I789" s="222"/>
      <c r="M789" s="222"/>
      <c r="Q789" s="222"/>
      <c r="U789" s="222"/>
      <c r="Y789" s="222"/>
      <c r="AC789" s="222"/>
      <c r="AG789" s="222"/>
      <c r="AK789" s="222"/>
      <c r="AO789" s="222"/>
      <c r="AS789" s="222"/>
      <c r="AW789" s="222"/>
      <c r="BA789" s="222"/>
      <c r="BE789" s="222"/>
      <c r="BK789" s="222"/>
      <c r="BO789" s="222"/>
      <c r="BU789" s="222"/>
      <c r="BY789" s="222"/>
      <c r="CC789" s="222"/>
      <c r="CG789" s="222"/>
      <c r="CK789" s="222"/>
      <c r="CQ789" s="222"/>
      <c r="CU789" s="222"/>
      <c r="CY789" s="222"/>
    </row>
    <row r="790">
      <c r="A790" s="227"/>
      <c r="E790" s="222"/>
      <c r="I790" s="222"/>
      <c r="M790" s="222"/>
      <c r="Q790" s="222"/>
      <c r="U790" s="222"/>
      <c r="Y790" s="222"/>
      <c r="AC790" s="222"/>
      <c r="AG790" s="222"/>
      <c r="AK790" s="222"/>
      <c r="AO790" s="222"/>
      <c r="AS790" s="222"/>
      <c r="AW790" s="222"/>
      <c r="BA790" s="222"/>
      <c r="BE790" s="222"/>
      <c r="BK790" s="222"/>
      <c r="BO790" s="222"/>
      <c r="BU790" s="222"/>
      <c r="BY790" s="222"/>
      <c r="CC790" s="222"/>
      <c r="CG790" s="222"/>
      <c r="CK790" s="222"/>
      <c r="CQ790" s="222"/>
      <c r="CU790" s="222"/>
      <c r="CY790" s="222"/>
    </row>
    <row r="791">
      <c r="A791" s="227"/>
      <c r="E791" s="222"/>
      <c r="I791" s="222"/>
      <c r="M791" s="222"/>
      <c r="Q791" s="222"/>
      <c r="U791" s="222"/>
      <c r="Y791" s="222"/>
      <c r="AC791" s="222"/>
      <c r="AG791" s="222"/>
      <c r="AK791" s="222"/>
      <c r="AO791" s="222"/>
      <c r="AS791" s="222"/>
      <c r="AW791" s="222"/>
      <c r="BA791" s="222"/>
      <c r="BE791" s="222"/>
      <c r="BK791" s="222"/>
      <c r="BO791" s="222"/>
      <c r="BU791" s="222"/>
      <c r="BY791" s="222"/>
      <c r="CC791" s="222"/>
      <c r="CG791" s="222"/>
      <c r="CK791" s="222"/>
      <c r="CQ791" s="222"/>
      <c r="CU791" s="222"/>
      <c r="CY791" s="222"/>
    </row>
    <row r="792">
      <c r="A792" s="227"/>
      <c r="E792" s="222"/>
      <c r="I792" s="222"/>
      <c r="M792" s="222"/>
      <c r="Q792" s="222"/>
      <c r="U792" s="222"/>
      <c r="Y792" s="222"/>
      <c r="AC792" s="222"/>
      <c r="AG792" s="222"/>
      <c r="AK792" s="222"/>
      <c r="AO792" s="222"/>
      <c r="AS792" s="222"/>
      <c r="AW792" s="222"/>
      <c r="BA792" s="222"/>
      <c r="BE792" s="222"/>
      <c r="BK792" s="222"/>
      <c r="BO792" s="222"/>
      <c r="BU792" s="222"/>
      <c r="BY792" s="222"/>
      <c r="CC792" s="222"/>
      <c r="CG792" s="222"/>
      <c r="CK792" s="222"/>
      <c r="CQ792" s="222"/>
      <c r="CU792" s="222"/>
      <c r="CY792" s="222"/>
    </row>
    <row r="793">
      <c r="A793" s="227"/>
      <c r="E793" s="222"/>
      <c r="I793" s="222"/>
      <c r="M793" s="222"/>
      <c r="Q793" s="222"/>
      <c r="U793" s="222"/>
      <c r="Y793" s="222"/>
      <c r="AC793" s="222"/>
      <c r="AG793" s="222"/>
      <c r="AK793" s="222"/>
      <c r="AO793" s="222"/>
      <c r="AS793" s="222"/>
      <c r="AW793" s="222"/>
      <c r="BA793" s="222"/>
      <c r="BE793" s="222"/>
      <c r="BK793" s="222"/>
      <c r="BO793" s="222"/>
      <c r="BU793" s="222"/>
      <c r="BY793" s="222"/>
      <c r="CC793" s="222"/>
      <c r="CG793" s="222"/>
      <c r="CK793" s="222"/>
      <c r="CQ793" s="222"/>
      <c r="CU793" s="222"/>
      <c r="CY793" s="222"/>
    </row>
    <row r="794">
      <c r="A794" s="227"/>
      <c r="E794" s="222"/>
      <c r="I794" s="222"/>
      <c r="M794" s="222"/>
      <c r="Q794" s="222"/>
      <c r="U794" s="222"/>
      <c r="Y794" s="222"/>
      <c r="AC794" s="222"/>
      <c r="AG794" s="222"/>
      <c r="AK794" s="222"/>
      <c r="AO794" s="222"/>
      <c r="AS794" s="222"/>
      <c r="AW794" s="222"/>
      <c r="BA794" s="222"/>
      <c r="BE794" s="222"/>
      <c r="BK794" s="222"/>
      <c r="BO794" s="222"/>
      <c r="BU794" s="222"/>
      <c r="BY794" s="222"/>
      <c r="CC794" s="222"/>
      <c r="CG794" s="222"/>
      <c r="CK794" s="222"/>
      <c r="CQ794" s="222"/>
      <c r="CU794" s="222"/>
      <c r="CY794" s="222"/>
    </row>
    <row r="795">
      <c r="A795" s="227"/>
      <c r="E795" s="222"/>
      <c r="I795" s="222"/>
      <c r="M795" s="222"/>
      <c r="Q795" s="222"/>
      <c r="U795" s="222"/>
      <c r="Y795" s="222"/>
      <c r="AC795" s="222"/>
      <c r="AG795" s="222"/>
      <c r="AK795" s="222"/>
      <c r="AO795" s="222"/>
      <c r="AS795" s="222"/>
      <c r="AW795" s="222"/>
      <c r="BA795" s="222"/>
      <c r="BE795" s="222"/>
      <c r="BK795" s="222"/>
      <c r="BO795" s="222"/>
      <c r="BU795" s="222"/>
      <c r="BY795" s="222"/>
      <c r="CC795" s="222"/>
      <c r="CG795" s="222"/>
      <c r="CK795" s="222"/>
      <c r="CQ795" s="222"/>
      <c r="CU795" s="222"/>
      <c r="CY795" s="222"/>
    </row>
    <row r="796">
      <c r="A796" s="227"/>
      <c r="E796" s="222"/>
      <c r="I796" s="222"/>
      <c r="M796" s="222"/>
      <c r="Q796" s="222"/>
      <c r="U796" s="222"/>
      <c r="Y796" s="222"/>
      <c r="AC796" s="222"/>
      <c r="AG796" s="222"/>
      <c r="AK796" s="222"/>
      <c r="AO796" s="222"/>
      <c r="AS796" s="222"/>
      <c r="AW796" s="222"/>
      <c r="BA796" s="222"/>
      <c r="BE796" s="222"/>
      <c r="BK796" s="222"/>
      <c r="BO796" s="222"/>
      <c r="BU796" s="222"/>
      <c r="BY796" s="222"/>
      <c r="CC796" s="222"/>
      <c r="CG796" s="222"/>
      <c r="CK796" s="222"/>
      <c r="CQ796" s="222"/>
      <c r="CU796" s="222"/>
      <c r="CY796" s="222"/>
    </row>
    <row r="797">
      <c r="A797" s="227"/>
      <c r="E797" s="222"/>
      <c r="I797" s="222"/>
      <c r="M797" s="222"/>
      <c r="Q797" s="222"/>
      <c r="U797" s="222"/>
      <c r="Y797" s="222"/>
      <c r="AC797" s="222"/>
      <c r="AG797" s="222"/>
      <c r="AK797" s="222"/>
      <c r="AO797" s="222"/>
      <c r="AS797" s="222"/>
      <c r="AW797" s="222"/>
      <c r="BA797" s="222"/>
      <c r="BE797" s="222"/>
      <c r="BK797" s="222"/>
      <c r="BO797" s="222"/>
      <c r="BU797" s="222"/>
      <c r="BY797" s="222"/>
      <c r="CC797" s="222"/>
      <c r="CG797" s="222"/>
      <c r="CK797" s="222"/>
      <c r="CQ797" s="222"/>
      <c r="CU797" s="222"/>
      <c r="CY797" s="222"/>
    </row>
    <row r="798">
      <c r="A798" s="227"/>
      <c r="E798" s="222"/>
      <c r="I798" s="222"/>
      <c r="M798" s="222"/>
      <c r="Q798" s="222"/>
      <c r="U798" s="222"/>
      <c r="Y798" s="222"/>
      <c r="AC798" s="222"/>
      <c r="AG798" s="222"/>
      <c r="AK798" s="222"/>
      <c r="AO798" s="222"/>
      <c r="AS798" s="222"/>
      <c r="AW798" s="222"/>
      <c r="BA798" s="222"/>
      <c r="BE798" s="222"/>
      <c r="BK798" s="222"/>
      <c r="BO798" s="222"/>
      <c r="BU798" s="222"/>
      <c r="BY798" s="222"/>
      <c r="CC798" s="222"/>
      <c r="CG798" s="222"/>
      <c r="CK798" s="222"/>
      <c r="CQ798" s="222"/>
      <c r="CU798" s="222"/>
      <c r="CY798" s="222"/>
    </row>
    <row r="799">
      <c r="A799" s="227"/>
      <c r="E799" s="222"/>
      <c r="I799" s="222"/>
      <c r="M799" s="222"/>
      <c r="Q799" s="222"/>
      <c r="U799" s="222"/>
      <c r="Y799" s="222"/>
      <c r="AC799" s="222"/>
      <c r="AG799" s="222"/>
      <c r="AK799" s="222"/>
      <c r="AO799" s="222"/>
      <c r="AS799" s="222"/>
      <c r="AW799" s="222"/>
      <c r="BA799" s="222"/>
      <c r="BE799" s="222"/>
      <c r="BK799" s="222"/>
      <c r="BO799" s="222"/>
      <c r="BU799" s="222"/>
      <c r="BY799" s="222"/>
      <c r="CC799" s="222"/>
      <c r="CG799" s="222"/>
      <c r="CK799" s="222"/>
      <c r="CQ799" s="222"/>
      <c r="CU799" s="222"/>
      <c r="CY799" s="222"/>
    </row>
    <row r="800">
      <c r="A800" s="227"/>
      <c r="E800" s="222"/>
      <c r="I800" s="222"/>
      <c r="M800" s="222"/>
      <c r="Q800" s="222"/>
      <c r="U800" s="222"/>
      <c r="Y800" s="222"/>
      <c r="AC800" s="222"/>
      <c r="AG800" s="222"/>
      <c r="AK800" s="222"/>
      <c r="AO800" s="222"/>
      <c r="AS800" s="222"/>
      <c r="AW800" s="222"/>
      <c r="BA800" s="222"/>
      <c r="BE800" s="222"/>
      <c r="BK800" s="222"/>
      <c r="BO800" s="222"/>
      <c r="BU800" s="222"/>
      <c r="BY800" s="222"/>
      <c r="CC800" s="222"/>
      <c r="CG800" s="222"/>
      <c r="CK800" s="222"/>
      <c r="CQ800" s="222"/>
      <c r="CU800" s="222"/>
      <c r="CY800" s="222"/>
    </row>
    <row r="801">
      <c r="A801" s="227"/>
      <c r="E801" s="222"/>
      <c r="I801" s="222"/>
      <c r="M801" s="222"/>
      <c r="Q801" s="222"/>
      <c r="U801" s="222"/>
      <c r="Y801" s="222"/>
      <c r="AC801" s="222"/>
      <c r="AG801" s="222"/>
      <c r="AK801" s="222"/>
      <c r="AO801" s="222"/>
      <c r="AS801" s="222"/>
      <c r="AW801" s="222"/>
      <c r="BA801" s="222"/>
      <c r="BE801" s="222"/>
      <c r="BK801" s="222"/>
      <c r="BO801" s="222"/>
      <c r="BU801" s="222"/>
      <c r="BY801" s="222"/>
      <c r="CC801" s="222"/>
      <c r="CG801" s="222"/>
      <c r="CK801" s="222"/>
      <c r="CQ801" s="222"/>
      <c r="CU801" s="222"/>
      <c r="CY801" s="222"/>
    </row>
    <row r="802">
      <c r="A802" s="227"/>
      <c r="E802" s="222"/>
      <c r="I802" s="222"/>
      <c r="M802" s="222"/>
      <c r="Q802" s="222"/>
      <c r="U802" s="222"/>
      <c r="Y802" s="222"/>
      <c r="AC802" s="222"/>
      <c r="AG802" s="222"/>
      <c r="AK802" s="222"/>
      <c r="AO802" s="222"/>
      <c r="AS802" s="222"/>
      <c r="AW802" s="222"/>
      <c r="BA802" s="222"/>
      <c r="BE802" s="222"/>
      <c r="BK802" s="222"/>
      <c r="BO802" s="222"/>
      <c r="BU802" s="222"/>
      <c r="BY802" s="222"/>
      <c r="CC802" s="222"/>
      <c r="CG802" s="222"/>
      <c r="CK802" s="222"/>
      <c r="CQ802" s="222"/>
      <c r="CU802" s="222"/>
      <c r="CY802" s="222"/>
    </row>
    <row r="803">
      <c r="A803" s="227"/>
      <c r="E803" s="222"/>
      <c r="I803" s="222"/>
      <c r="M803" s="222"/>
      <c r="Q803" s="222"/>
      <c r="U803" s="222"/>
      <c r="Y803" s="222"/>
      <c r="AC803" s="222"/>
      <c r="AG803" s="222"/>
      <c r="AK803" s="222"/>
      <c r="AO803" s="222"/>
      <c r="AS803" s="222"/>
      <c r="AW803" s="222"/>
      <c r="BA803" s="222"/>
      <c r="BE803" s="222"/>
      <c r="BK803" s="222"/>
      <c r="BO803" s="222"/>
      <c r="BU803" s="222"/>
      <c r="BY803" s="222"/>
      <c r="CC803" s="222"/>
      <c r="CG803" s="222"/>
      <c r="CK803" s="222"/>
      <c r="CQ803" s="222"/>
      <c r="CU803" s="222"/>
      <c r="CY803" s="222"/>
    </row>
    <row r="804">
      <c r="A804" s="227"/>
      <c r="E804" s="222"/>
      <c r="I804" s="222"/>
      <c r="M804" s="222"/>
      <c r="Q804" s="222"/>
      <c r="U804" s="222"/>
      <c r="Y804" s="222"/>
      <c r="AC804" s="222"/>
      <c r="AG804" s="222"/>
      <c r="AK804" s="222"/>
      <c r="AO804" s="222"/>
      <c r="AS804" s="222"/>
      <c r="AW804" s="222"/>
      <c r="BA804" s="222"/>
      <c r="BE804" s="222"/>
      <c r="BK804" s="222"/>
      <c r="BO804" s="222"/>
      <c r="BU804" s="222"/>
      <c r="BY804" s="222"/>
      <c r="CC804" s="222"/>
      <c r="CG804" s="222"/>
      <c r="CK804" s="222"/>
      <c r="CQ804" s="222"/>
      <c r="CU804" s="222"/>
      <c r="CY804" s="222"/>
    </row>
    <row r="805">
      <c r="A805" s="227"/>
      <c r="E805" s="222"/>
      <c r="I805" s="222"/>
      <c r="M805" s="222"/>
      <c r="Q805" s="222"/>
      <c r="U805" s="222"/>
      <c r="Y805" s="222"/>
      <c r="AC805" s="222"/>
      <c r="AG805" s="222"/>
      <c r="AK805" s="222"/>
      <c r="AO805" s="222"/>
      <c r="AS805" s="222"/>
      <c r="AW805" s="222"/>
      <c r="BA805" s="222"/>
      <c r="BE805" s="222"/>
      <c r="BK805" s="222"/>
      <c r="BO805" s="222"/>
      <c r="BU805" s="222"/>
      <c r="BY805" s="222"/>
      <c r="CC805" s="222"/>
      <c r="CG805" s="222"/>
      <c r="CK805" s="222"/>
      <c r="CQ805" s="222"/>
      <c r="CU805" s="222"/>
      <c r="CY805" s="222"/>
    </row>
    <row r="806">
      <c r="A806" s="227"/>
      <c r="E806" s="222"/>
      <c r="I806" s="222"/>
      <c r="M806" s="222"/>
      <c r="Q806" s="222"/>
      <c r="U806" s="222"/>
      <c r="Y806" s="222"/>
      <c r="AC806" s="222"/>
      <c r="AG806" s="222"/>
      <c r="AK806" s="222"/>
      <c r="AO806" s="222"/>
      <c r="AS806" s="222"/>
      <c r="AW806" s="222"/>
      <c r="BA806" s="222"/>
      <c r="BE806" s="222"/>
      <c r="BK806" s="222"/>
      <c r="BO806" s="222"/>
      <c r="BU806" s="222"/>
      <c r="BY806" s="222"/>
      <c r="CC806" s="222"/>
      <c r="CG806" s="222"/>
      <c r="CK806" s="222"/>
      <c r="CQ806" s="222"/>
      <c r="CU806" s="222"/>
      <c r="CY806" s="222"/>
    </row>
    <row r="807">
      <c r="A807" s="227"/>
      <c r="E807" s="222"/>
      <c r="I807" s="222"/>
      <c r="M807" s="222"/>
      <c r="Q807" s="222"/>
      <c r="U807" s="222"/>
      <c r="Y807" s="222"/>
      <c r="AC807" s="222"/>
      <c r="AG807" s="222"/>
      <c r="AK807" s="222"/>
      <c r="AO807" s="222"/>
      <c r="AS807" s="222"/>
      <c r="AW807" s="222"/>
      <c r="BA807" s="222"/>
      <c r="BE807" s="222"/>
      <c r="BK807" s="222"/>
      <c r="BO807" s="222"/>
      <c r="BU807" s="222"/>
      <c r="BY807" s="222"/>
      <c r="CC807" s="222"/>
      <c r="CG807" s="222"/>
      <c r="CK807" s="222"/>
      <c r="CQ807" s="222"/>
      <c r="CU807" s="222"/>
      <c r="CY807" s="222"/>
    </row>
    <row r="808">
      <c r="A808" s="227"/>
      <c r="E808" s="222"/>
      <c r="I808" s="222"/>
      <c r="M808" s="222"/>
      <c r="Q808" s="222"/>
      <c r="U808" s="222"/>
      <c r="Y808" s="222"/>
      <c r="AC808" s="222"/>
      <c r="AG808" s="222"/>
      <c r="AK808" s="222"/>
      <c r="AO808" s="222"/>
      <c r="AS808" s="222"/>
      <c r="AW808" s="222"/>
      <c r="BA808" s="222"/>
      <c r="BE808" s="222"/>
      <c r="BK808" s="222"/>
      <c r="BO808" s="222"/>
      <c r="BU808" s="222"/>
      <c r="BY808" s="222"/>
      <c r="CC808" s="222"/>
      <c r="CG808" s="222"/>
      <c r="CK808" s="222"/>
      <c r="CQ808" s="222"/>
      <c r="CU808" s="222"/>
      <c r="CY808" s="222"/>
    </row>
    <row r="809">
      <c r="A809" s="227"/>
      <c r="E809" s="222"/>
      <c r="I809" s="222"/>
      <c r="M809" s="222"/>
      <c r="Q809" s="222"/>
      <c r="U809" s="222"/>
      <c r="Y809" s="222"/>
      <c r="AC809" s="222"/>
      <c r="AG809" s="222"/>
      <c r="AK809" s="222"/>
      <c r="AO809" s="222"/>
      <c r="AS809" s="222"/>
      <c r="AW809" s="222"/>
      <c r="BA809" s="222"/>
      <c r="BE809" s="222"/>
      <c r="BK809" s="222"/>
      <c r="BO809" s="222"/>
      <c r="BU809" s="222"/>
      <c r="BY809" s="222"/>
      <c r="CC809" s="222"/>
      <c r="CG809" s="222"/>
      <c r="CK809" s="222"/>
      <c r="CQ809" s="222"/>
      <c r="CU809" s="222"/>
      <c r="CY809" s="222"/>
    </row>
    <row r="810">
      <c r="A810" s="227"/>
      <c r="E810" s="222"/>
      <c r="I810" s="222"/>
      <c r="M810" s="222"/>
      <c r="Q810" s="222"/>
      <c r="U810" s="222"/>
      <c r="Y810" s="222"/>
      <c r="AC810" s="222"/>
      <c r="AG810" s="222"/>
      <c r="AK810" s="222"/>
      <c r="AO810" s="222"/>
      <c r="AS810" s="222"/>
      <c r="AW810" s="222"/>
      <c r="BA810" s="222"/>
      <c r="BE810" s="222"/>
      <c r="BK810" s="222"/>
      <c r="BO810" s="222"/>
      <c r="BU810" s="222"/>
      <c r="BY810" s="222"/>
      <c r="CC810" s="222"/>
      <c r="CG810" s="222"/>
      <c r="CK810" s="222"/>
      <c r="CQ810" s="222"/>
      <c r="CU810" s="222"/>
      <c r="CY810" s="222"/>
    </row>
    <row r="811">
      <c r="A811" s="227"/>
      <c r="E811" s="222"/>
      <c r="I811" s="222"/>
      <c r="M811" s="222"/>
      <c r="Q811" s="222"/>
      <c r="U811" s="222"/>
      <c r="Y811" s="222"/>
      <c r="AC811" s="222"/>
      <c r="AG811" s="222"/>
      <c r="AK811" s="222"/>
      <c r="AO811" s="222"/>
      <c r="AS811" s="222"/>
      <c r="AW811" s="222"/>
      <c r="BA811" s="222"/>
      <c r="BE811" s="222"/>
      <c r="BK811" s="222"/>
      <c r="BO811" s="222"/>
      <c r="BU811" s="222"/>
      <c r="BY811" s="222"/>
      <c r="CC811" s="222"/>
      <c r="CG811" s="222"/>
      <c r="CK811" s="222"/>
      <c r="CQ811" s="222"/>
      <c r="CU811" s="222"/>
      <c r="CY811" s="222"/>
    </row>
    <row r="812">
      <c r="A812" s="227"/>
      <c r="E812" s="222"/>
      <c r="I812" s="222"/>
      <c r="M812" s="222"/>
      <c r="Q812" s="222"/>
      <c r="U812" s="222"/>
      <c r="Y812" s="222"/>
      <c r="AC812" s="222"/>
      <c r="AG812" s="222"/>
      <c r="AK812" s="222"/>
      <c r="AO812" s="222"/>
      <c r="AS812" s="222"/>
      <c r="AW812" s="222"/>
      <c r="BA812" s="222"/>
      <c r="BE812" s="222"/>
      <c r="BK812" s="222"/>
      <c r="BO812" s="222"/>
      <c r="BU812" s="222"/>
      <c r="BY812" s="222"/>
      <c r="CC812" s="222"/>
      <c r="CG812" s="222"/>
      <c r="CK812" s="222"/>
      <c r="CQ812" s="222"/>
      <c r="CU812" s="222"/>
      <c r="CY812" s="222"/>
    </row>
    <row r="813">
      <c r="A813" s="227"/>
      <c r="E813" s="222"/>
      <c r="I813" s="222"/>
      <c r="M813" s="222"/>
      <c r="Q813" s="222"/>
      <c r="U813" s="222"/>
      <c r="Y813" s="222"/>
      <c r="AC813" s="222"/>
      <c r="AG813" s="222"/>
      <c r="AK813" s="222"/>
      <c r="AO813" s="222"/>
      <c r="AS813" s="222"/>
      <c r="AW813" s="222"/>
      <c r="BA813" s="222"/>
      <c r="BE813" s="222"/>
      <c r="BK813" s="222"/>
      <c r="BO813" s="222"/>
      <c r="BU813" s="222"/>
      <c r="BY813" s="222"/>
      <c r="CC813" s="222"/>
      <c r="CG813" s="222"/>
      <c r="CK813" s="222"/>
      <c r="CQ813" s="222"/>
      <c r="CU813" s="222"/>
      <c r="CY813" s="222"/>
    </row>
    <row r="814">
      <c r="A814" s="227"/>
      <c r="E814" s="222"/>
      <c r="I814" s="222"/>
      <c r="M814" s="222"/>
      <c r="Q814" s="222"/>
      <c r="U814" s="222"/>
      <c r="Y814" s="222"/>
      <c r="AC814" s="222"/>
      <c r="AG814" s="222"/>
      <c r="AK814" s="222"/>
      <c r="AO814" s="222"/>
      <c r="AS814" s="222"/>
      <c r="AW814" s="222"/>
      <c r="BA814" s="222"/>
      <c r="BE814" s="222"/>
      <c r="BK814" s="222"/>
      <c r="BO814" s="222"/>
      <c r="BU814" s="222"/>
      <c r="BY814" s="222"/>
      <c r="CC814" s="222"/>
      <c r="CG814" s="222"/>
      <c r="CK814" s="222"/>
      <c r="CQ814" s="222"/>
      <c r="CU814" s="222"/>
      <c r="CY814" s="222"/>
    </row>
    <row r="815">
      <c r="A815" s="227"/>
      <c r="E815" s="222"/>
      <c r="I815" s="222"/>
      <c r="M815" s="222"/>
      <c r="Q815" s="222"/>
      <c r="U815" s="222"/>
      <c r="Y815" s="222"/>
      <c r="AC815" s="222"/>
      <c r="AG815" s="222"/>
      <c r="AK815" s="222"/>
      <c r="AO815" s="222"/>
      <c r="AS815" s="222"/>
      <c r="AW815" s="222"/>
      <c r="BA815" s="222"/>
      <c r="BE815" s="222"/>
      <c r="BK815" s="222"/>
      <c r="BO815" s="222"/>
      <c r="BU815" s="222"/>
      <c r="BY815" s="222"/>
      <c r="CC815" s="222"/>
      <c r="CG815" s="222"/>
      <c r="CK815" s="222"/>
      <c r="CQ815" s="222"/>
      <c r="CU815" s="222"/>
      <c r="CY815" s="222"/>
    </row>
    <row r="816">
      <c r="A816" s="227"/>
      <c r="E816" s="222"/>
      <c r="I816" s="222"/>
      <c r="M816" s="222"/>
      <c r="Q816" s="222"/>
      <c r="U816" s="222"/>
      <c r="Y816" s="222"/>
      <c r="AC816" s="222"/>
      <c r="AG816" s="222"/>
      <c r="AK816" s="222"/>
      <c r="AO816" s="222"/>
      <c r="AS816" s="222"/>
      <c r="AW816" s="222"/>
      <c r="BA816" s="222"/>
      <c r="BE816" s="222"/>
      <c r="BK816" s="222"/>
      <c r="BO816" s="222"/>
      <c r="BU816" s="222"/>
      <c r="BY816" s="222"/>
      <c r="CC816" s="222"/>
      <c r="CG816" s="222"/>
      <c r="CK816" s="222"/>
      <c r="CQ816" s="222"/>
      <c r="CU816" s="222"/>
      <c r="CY816" s="222"/>
    </row>
    <row r="817">
      <c r="A817" s="227"/>
      <c r="E817" s="222"/>
      <c r="I817" s="222"/>
      <c r="M817" s="222"/>
      <c r="Q817" s="222"/>
      <c r="U817" s="222"/>
      <c r="Y817" s="222"/>
      <c r="AC817" s="222"/>
      <c r="AG817" s="222"/>
      <c r="AK817" s="222"/>
      <c r="AO817" s="222"/>
      <c r="AS817" s="222"/>
      <c r="AW817" s="222"/>
      <c r="BA817" s="222"/>
      <c r="BE817" s="222"/>
      <c r="BK817" s="222"/>
      <c r="BO817" s="222"/>
      <c r="BU817" s="222"/>
      <c r="BY817" s="222"/>
      <c r="CC817" s="222"/>
      <c r="CG817" s="222"/>
      <c r="CK817" s="222"/>
      <c r="CQ817" s="222"/>
      <c r="CU817" s="222"/>
      <c r="CY817" s="222"/>
    </row>
    <row r="818">
      <c r="A818" s="227"/>
      <c r="E818" s="222"/>
      <c r="I818" s="222"/>
      <c r="M818" s="222"/>
      <c r="Q818" s="222"/>
      <c r="U818" s="222"/>
      <c r="Y818" s="222"/>
      <c r="AC818" s="222"/>
      <c r="AG818" s="222"/>
      <c r="AK818" s="222"/>
      <c r="AO818" s="222"/>
      <c r="AS818" s="222"/>
      <c r="AW818" s="222"/>
      <c r="BA818" s="222"/>
      <c r="BE818" s="222"/>
      <c r="BK818" s="222"/>
      <c r="BO818" s="222"/>
      <c r="BU818" s="222"/>
      <c r="BY818" s="222"/>
      <c r="CC818" s="222"/>
      <c r="CG818" s="222"/>
      <c r="CK818" s="222"/>
      <c r="CQ818" s="222"/>
      <c r="CU818" s="222"/>
      <c r="CY818" s="222"/>
    </row>
    <row r="819">
      <c r="A819" s="227"/>
      <c r="E819" s="222"/>
      <c r="I819" s="222"/>
      <c r="M819" s="222"/>
      <c r="Q819" s="222"/>
      <c r="U819" s="222"/>
      <c r="Y819" s="222"/>
      <c r="AC819" s="222"/>
      <c r="AG819" s="222"/>
      <c r="AK819" s="222"/>
      <c r="AO819" s="222"/>
      <c r="AS819" s="222"/>
      <c r="AW819" s="222"/>
      <c r="BA819" s="222"/>
      <c r="BE819" s="222"/>
      <c r="BK819" s="222"/>
      <c r="BO819" s="222"/>
      <c r="BU819" s="222"/>
      <c r="BY819" s="222"/>
      <c r="CC819" s="222"/>
      <c r="CG819" s="222"/>
      <c r="CK819" s="222"/>
      <c r="CQ819" s="222"/>
      <c r="CU819" s="222"/>
      <c r="CY819" s="222"/>
    </row>
    <row r="820">
      <c r="A820" s="227"/>
      <c r="E820" s="222"/>
      <c r="I820" s="222"/>
      <c r="M820" s="222"/>
      <c r="Q820" s="222"/>
      <c r="U820" s="222"/>
      <c r="Y820" s="222"/>
      <c r="AC820" s="222"/>
      <c r="AG820" s="222"/>
      <c r="AK820" s="222"/>
      <c r="AO820" s="222"/>
      <c r="AS820" s="222"/>
      <c r="AW820" s="222"/>
      <c r="BA820" s="222"/>
      <c r="BE820" s="222"/>
      <c r="BK820" s="222"/>
      <c r="BO820" s="222"/>
      <c r="BU820" s="222"/>
      <c r="BY820" s="222"/>
      <c r="CC820" s="222"/>
      <c r="CG820" s="222"/>
      <c r="CK820" s="222"/>
      <c r="CQ820" s="222"/>
      <c r="CU820" s="222"/>
      <c r="CY820" s="222"/>
    </row>
    <row r="821">
      <c r="A821" s="227"/>
      <c r="E821" s="222"/>
      <c r="I821" s="222"/>
      <c r="M821" s="222"/>
      <c r="Q821" s="222"/>
      <c r="U821" s="222"/>
      <c r="Y821" s="222"/>
      <c r="AC821" s="222"/>
      <c r="AG821" s="222"/>
      <c r="AK821" s="222"/>
      <c r="AO821" s="222"/>
      <c r="AS821" s="222"/>
      <c r="AW821" s="222"/>
      <c r="BA821" s="222"/>
      <c r="BE821" s="222"/>
      <c r="BK821" s="222"/>
      <c r="BO821" s="222"/>
      <c r="BU821" s="222"/>
      <c r="BY821" s="222"/>
      <c r="CC821" s="222"/>
      <c r="CG821" s="222"/>
      <c r="CK821" s="222"/>
      <c r="CQ821" s="222"/>
      <c r="CU821" s="222"/>
      <c r="CY821" s="222"/>
    </row>
    <row r="822">
      <c r="A822" s="227"/>
      <c r="E822" s="222"/>
      <c r="I822" s="222"/>
      <c r="M822" s="222"/>
      <c r="Q822" s="222"/>
      <c r="U822" s="222"/>
      <c r="Y822" s="222"/>
      <c r="AC822" s="222"/>
      <c r="AG822" s="222"/>
      <c r="AK822" s="222"/>
      <c r="AO822" s="222"/>
      <c r="AS822" s="222"/>
      <c r="AW822" s="222"/>
      <c r="BA822" s="222"/>
      <c r="BE822" s="222"/>
      <c r="BK822" s="222"/>
      <c r="BO822" s="222"/>
      <c r="BU822" s="222"/>
      <c r="BY822" s="222"/>
      <c r="CC822" s="222"/>
      <c r="CG822" s="222"/>
      <c r="CK822" s="222"/>
      <c r="CQ822" s="222"/>
      <c r="CU822" s="222"/>
      <c r="CY822" s="222"/>
    </row>
    <row r="823">
      <c r="A823" s="227"/>
      <c r="E823" s="222"/>
      <c r="I823" s="222"/>
      <c r="M823" s="222"/>
      <c r="Q823" s="222"/>
      <c r="U823" s="222"/>
      <c r="Y823" s="222"/>
      <c r="AC823" s="222"/>
      <c r="AG823" s="222"/>
      <c r="AK823" s="222"/>
      <c r="AO823" s="222"/>
      <c r="AS823" s="222"/>
      <c r="AW823" s="222"/>
      <c r="BA823" s="222"/>
      <c r="BE823" s="222"/>
      <c r="BK823" s="222"/>
      <c r="BO823" s="222"/>
      <c r="BU823" s="222"/>
      <c r="BY823" s="222"/>
      <c r="CC823" s="222"/>
      <c r="CG823" s="222"/>
      <c r="CK823" s="222"/>
      <c r="CQ823" s="222"/>
      <c r="CU823" s="222"/>
      <c r="CY823" s="222"/>
    </row>
    <row r="824">
      <c r="A824" s="227"/>
      <c r="E824" s="222"/>
      <c r="I824" s="222"/>
      <c r="M824" s="222"/>
      <c r="Q824" s="222"/>
      <c r="U824" s="222"/>
      <c r="Y824" s="222"/>
      <c r="AC824" s="222"/>
      <c r="AG824" s="222"/>
      <c r="AK824" s="222"/>
      <c r="AO824" s="222"/>
      <c r="AS824" s="222"/>
      <c r="AW824" s="222"/>
      <c r="BA824" s="222"/>
      <c r="BE824" s="222"/>
      <c r="BK824" s="222"/>
      <c r="BO824" s="222"/>
      <c r="BU824" s="222"/>
      <c r="BY824" s="222"/>
      <c r="CC824" s="222"/>
      <c r="CG824" s="222"/>
      <c r="CK824" s="222"/>
      <c r="CQ824" s="222"/>
      <c r="CU824" s="222"/>
      <c r="CY824" s="222"/>
    </row>
    <row r="825">
      <c r="A825" s="227"/>
      <c r="E825" s="222"/>
      <c r="I825" s="222"/>
      <c r="M825" s="222"/>
      <c r="Q825" s="222"/>
      <c r="U825" s="222"/>
      <c r="Y825" s="222"/>
      <c r="AC825" s="222"/>
      <c r="AG825" s="222"/>
      <c r="AK825" s="222"/>
      <c r="AO825" s="222"/>
      <c r="AS825" s="222"/>
      <c r="AW825" s="222"/>
      <c r="BA825" s="222"/>
      <c r="BE825" s="222"/>
      <c r="BK825" s="222"/>
      <c r="BO825" s="222"/>
      <c r="BU825" s="222"/>
      <c r="BY825" s="222"/>
      <c r="CC825" s="222"/>
      <c r="CG825" s="222"/>
      <c r="CK825" s="222"/>
      <c r="CQ825" s="222"/>
      <c r="CU825" s="222"/>
      <c r="CY825" s="222"/>
    </row>
    <row r="826">
      <c r="A826" s="227"/>
      <c r="E826" s="222"/>
      <c r="I826" s="222"/>
      <c r="M826" s="222"/>
      <c r="Q826" s="222"/>
      <c r="U826" s="222"/>
      <c r="Y826" s="222"/>
      <c r="AC826" s="222"/>
      <c r="AG826" s="222"/>
      <c r="AK826" s="222"/>
      <c r="AO826" s="222"/>
      <c r="AS826" s="222"/>
      <c r="AW826" s="222"/>
      <c r="BA826" s="222"/>
      <c r="BE826" s="222"/>
      <c r="BK826" s="222"/>
      <c r="BO826" s="222"/>
      <c r="BU826" s="222"/>
      <c r="BY826" s="222"/>
      <c r="CC826" s="222"/>
      <c r="CG826" s="222"/>
      <c r="CK826" s="222"/>
      <c r="CQ826" s="222"/>
      <c r="CU826" s="222"/>
      <c r="CY826" s="222"/>
    </row>
    <row r="827">
      <c r="A827" s="227"/>
      <c r="E827" s="222"/>
      <c r="I827" s="222"/>
      <c r="M827" s="222"/>
      <c r="Q827" s="222"/>
      <c r="U827" s="222"/>
      <c r="Y827" s="222"/>
      <c r="AC827" s="222"/>
      <c r="AG827" s="222"/>
      <c r="AK827" s="222"/>
      <c r="AO827" s="222"/>
      <c r="AS827" s="222"/>
      <c r="AW827" s="222"/>
      <c r="BA827" s="222"/>
      <c r="BE827" s="222"/>
      <c r="BK827" s="222"/>
      <c r="BO827" s="222"/>
      <c r="BU827" s="222"/>
      <c r="BY827" s="222"/>
      <c r="CC827" s="222"/>
      <c r="CG827" s="222"/>
      <c r="CK827" s="222"/>
      <c r="CQ827" s="222"/>
      <c r="CU827" s="222"/>
      <c r="CY827" s="222"/>
    </row>
    <row r="828">
      <c r="A828" s="227"/>
      <c r="E828" s="222"/>
      <c r="I828" s="222"/>
      <c r="M828" s="222"/>
      <c r="Q828" s="222"/>
      <c r="U828" s="222"/>
      <c r="Y828" s="222"/>
      <c r="AC828" s="222"/>
      <c r="AG828" s="222"/>
      <c r="AK828" s="222"/>
      <c r="AO828" s="222"/>
      <c r="AS828" s="222"/>
      <c r="AW828" s="222"/>
      <c r="BA828" s="222"/>
      <c r="BE828" s="222"/>
      <c r="BK828" s="222"/>
      <c r="BO828" s="222"/>
      <c r="BU828" s="222"/>
      <c r="BY828" s="222"/>
      <c r="CC828" s="222"/>
      <c r="CG828" s="222"/>
      <c r="CK828" s="222"/>
      <c r="CQ828" s="222"/>
      <c r="CU828" s="222"/>
      <c r="CY828" s="222"/>
    </row>
    <row r="829">
      <c r="A829" s="227"/>
      <c r="E829" s="222"/>
      <c r="I829" s="222"/>
      <c r="M829" s="222"/>
      <c r="Q829" s="222"/>
      <c r="U829" s="222"/>
      <c r="Y829" s="222"/>
      <c r="AC829" s="222"/>
      <c r="AG829" s="222"/>
      <c r="AK829" s="222"/>
      <c r="AO829" s="222"/>
      <c r="AS829" s="222"/>
      <c r="AW829" s="222"/>
      <c r="BA829" s="222"/>
      <c r="BE829" s="222"/>
      <c r="BK829" s="222"/>
      <c r="BO829" s="222"/>
      <c r="BU829" s="222"/>
      <c r="BY829" s="222"/>
      <c r="CC829" s="222"/>
      <c r="CG829" s="222"/>
      <c r="CK829" s="222"/>
      <c r="CQ829" s="222"/>
      <c r="CU829" s="222"/>
      <c r="CY829" s="222"/>
    </row>
    <row r="830">
      <c r="A830" s="227"/>
      <c r="E830" s="222"/>
      <c r="I830" s="222"/>
      <c r="M830" s="222"/>
      <c r="Q830" s="222"/>
      <c r="U830" s="222"/>
      <c r="Y830" s="222"/>
      <c r="AC830" s="222"/>
      <c r="AG830" s="222"/>
      <c r="AK830" s="222"/>
      <c r="AO830" s="222"/>
      <c r="AS830" s="222"/>
      <c r="AW830" s="222"/>
      <c r="BA830" s="222"/>
      <c r="BE830" s="222"/>
      <c r="BK830" s="222"/>
      <c r="BO830" s="222"/>
      <c r="BU830" s="222"/>
      <c r="BY830" s="222"/>
      <c r="CC830" s="222"/>
      <c r="CG830" s="222"/>
      <c r="CK830" s="222"/>
      <c r="CQ830" s="222"/>
      <c r="CU830" s="222"/>
      <c r="CY830" s="222"/>
    </row>
    <row r="831">
      <c r="A831" s="227"/>
      <c r="E831" s="222"/>
      <c r="I831" s="222"/>
      <c r="M831" s="222"/>
      <c r="Q831" s="222"/>
      <c r="U831" s="222"/>
      <c r="Y831" s="222"/>
      <c r="AC831" s="222"/>
      <c r="AG831" s="222"/>
      <c r="AK831" s="222"/>
      <c r="AO831" s="222"/>
      <c r="AS831" s="222"/>
      <c r="AW831" s="222"/>
      <c r="BA831" s="222"/>
      <c r="BE831" s="222"/>
      <c r="BK831" s="222"/>
      <c r="BO831" s="222"/>
      <c r="BU831" s="222"/>
      <c r="BY831" s="222"/>
      <c r="CC831" s="222"/>
      <c r="CG831" s="222"/>
      <c r="CK831" s="222"/>
      <c r="CQ831" s="222"/>
      <c r="CU831" s="222"/>
      <c r="CY831" s="222"/>
    </row>
    <row r="832">
      <c r="A832" s="227"/>
      <c r="E832" s="222"/>
      <c r="I832" s="222"/>
      <c r="M832" s="222"/>
      <c r="Q832" s="222"/>
      <c r="U832" s="222"/>
      <c r="Y832" s="222"/>
      <c r="AC832" s="222"/>
      <c r="AG832" s="222"/>
      <c r="AK832" s="222"/>
      <c r="AO832" s="222"/>
      <c r="AS832" s="222"/>
      <c r="AW832" s="222"/>
      <c r="BA832" s="222"/>
      <c r="BE832" s="222"/>
      <c r="BK832" s="222"/>
      <c r="BO832" s="222"/>
      <c r="BU832" s="222"/>
      <c r="BY832" s="222"/>
      <c r="CC832" s="222"/>
      <c r="CG832" s="222"/>
      <c r="CK832" s="222"/>
      <c r="CQ832" s="222"/>
      <c r="CU832" s="222"/>
      <c r="CY832" s="222"/>
    </row>
    <row r="833">
      <c r="A833" s="227"/>
      <c r="E833" s="222"/>
      <c r="I833" s="222"/>
      <c r="M833" s="222"/>
      <c r="Q833" s="222"/>
      <c r="U833" s="222"/>
      <c r="Y833" s="222"/>
      <c r="AC833" s="222"/>
      <c r="AG833" s="222"/>
      <c r="AK833" s="222"/>
      <c r="AO833" s="222"/>
      <c r="AS833" s="222"/>
      <c r="AW833" s="222"/>
      <c r="BA833" s="222"/>
      <c r="BE833" s="222"/>
      <c r="BK833" s="222"/>
      <c r="BO833" s="222"/>
      <c r="BU833" s="222"/>
      <c r="BY833" s="222"/>
      <c r="CC833" s="222"/>
      <c r="CG833" s="222"/>
      <c r="CK833" s="222"/>
      <c r="CQ833" s="222"/>
      <c r="CU833" s="222"/>
      <c r="CY833" s="222"/>
    </row>
    <row r="834">
      <c r="A834" s="227"/>
      <c r="E834" s="222"/>
      <c r="I834" s="222"/>
      <c r="M834" s="222"/>
      <c r="Q834" s="222"/>
      <c r="U834" s="222"/>
      <c r="Y834" s="222"/>
      <c r="AC834" s="222"/>
      <c r="AG834" s="222"/>
      <c r="AK834" s="222"/>
      <c r="AO834" s="222"/>
      <c r="AS834" s="222"/>
      <c r="AW834" s="222"/>
      <c r="BA834" s="222"/>
      <c r="BE834" s="222"/>
      <c r="BK834" s="222"/>
      <c r="BO834" s="222"/>
      <c r="BU834" s="222"/>
      <c r="BY834" s="222"/>
      <c r="CC834" s="222"/>
      <c r="CG834" s="222"/>
      <c r="CK834" s="222"/>
      <c r="CQ834" s="222"/>
      <c r="CU834" s="222"/>
      <c r="CY834" s="222"/>
    </row>
    <row r="835">
      <c r="A835" s="227"/>
      <c r="E835" s="222"/>
      <c r="I835" s="222"/>
      <c r="M835" s="222"/>
      <c r="Q835" s="222"/>
      <c r="U835" s="222"/>
      <c r="Y835" s="222"/>
      <c r="AC835" s="222"/>
      <c r="AG835" s="222"/>
      <c r="AK835" s="222"/>
      <c r="AO835" s="222"/>
      <c r="AS835" s="222"/>
      <c r="AW835" s="222"/>
      <c r="BA835" s="222"/>
      <c r="BE835" s="222"/>
      <c r="BK835" s="222"/>
      <c r="BO835" s="222"/>
      <c r="BU835" s="222"/>
      <c r="BY835" s="222"/>
      <c r="CC835" s="222"/>
      <c r="CG835" s="222"/>
      <c r="CK835" s="222"/>
      <c r="CQ835" s="222"/>
      <c r="CU835" s="222"/>
      <c r="CY835" s="222"/>
    </row>
    <row r="836">
      <c r="A836" s="227"/>
      <c r="E836" s="222"/>
      <c r="I836" s="222"/>
      <c r="M836" s="222"/>
      <c r="Q836" s="222"/>
      <c r="U836" s="222"/>
      <c r="Y836" s="222"/>
      <c r="AC836" s="222"/>
      <c r="AG836" s="222"/>
      <c r="AK836" s="222"/>
      <c r="AO836" s="222"/>
      <c r="AS836" s="222"/>
      <c r="AW836" s="222"/>
      <c r="BA836" s="222"/>
      <c r="BE836" s="222"/>
      <c r="BK836" s="222"/>
      <c r="BO836" s="222"/>
      <c r="BU836" s="222"/>
      <c r="BY836" s="222"/>
      <c r="CC836" s="222"/>
      <c r="CG836" s="222"/>
      <c r="CK836" s="222"/>
      <c r="CQ836" s="222"/>
      <c r="CU836" s="222"/>
      <c r="CY836" s="222"/>
    </row>
    <row r="837">
      <c r="A837" s="227"/>
      <c r="E837" s="222"/>
      <c r="I837" s="222"/>
      <c r="M837" s="222"/>
      <c r="Q837" s="222"/>
      <c r="U837" s="222"/>
      <c r="Y837" s="222"/>
      <c r="AC837" s="222"/>
      <c r="AG837" s="222"/>
      <c r="AK837" s="222"/>
      <c r="AO837" s="222"/>
      <c r="AS837" s="222"/>
      <c r="AW837" s="222"/>
      <c r="BA837" s="222"/>
      <c r="BE837" s="222"/>
      <c r="BK837" s="222"/>
      <c r="BO837" s="222"/>
      <c r="BU837" s="222"/>
      <c r="BY837" s="222"/>
      <c r="CC837" s="222"/>
      <c r="CG837" s="222"/>
      <c r="CK837" s="222"/>
      <c r="CQ837" s="222"/>
      <c r="CU837" s="222"/>
      <c r="CY837" s="222"/>
    </row>
    <row r="838">
      <c r="A838" s="227"/>
      <c r="E838" s="222"/>
      <c r="I838" s="222"/>
      <c r="M838" s="222"/>
      <c r="Q838" s="222"/>
      <c r="U838" s="222"/>
      <c r="Y838" s="222"/>
      <c r="AC838" s="222"/>
      <c r="AG838" s="222"/>
      <c r="AK838" s="222"/>
      <c r="AO838" s="222"/>
      <c r="AS838" s="222"/>
      <c r="AW838" s="222"/>
      <c r="BA838" s="222"/>
      <c r="BE838" s="222"/>
      <c r="BK838" s="222"/>
      <c r="BO838" s="222"/>
      <c r="BU838" s="222"/>
      <c r="BY838" s="222"/>
      <c r="CC838" s="222"/>
      <c r="CG838" s="222"/>
      <c r="CK838" s="222"/>
      <c r="CQ838" s="222"/>
      <c r="CU838" s="222"/>
      <c r="CY838" s="222"/>
    </row>
    <row r="839">
      <c r="A839" s="227"/>
      <c r="E839" s="222"/>
      <c r="I839" s="222"/>
      <c r="M839" s="222"/>
      <c r="Q839" s="222"/>
      <c r="U839" s="222"/>
      <c r="Y839" s="222"/>
      <c r="AC839" s="222"/>
      <c r="AG839" s="222"/>
      <c r="AK839" s="222"/>
      <c r="AO839" s="222"/>
      <c r="AS839" s="222"/>
      <c r="AW839" s="222"/>
      <c r="BA839" s="222"/>
      <c r="BE839" s="222"/>
      <c r="BK839" s="222"/>
      <c r="BO839" s="222"/>
      <c r="BU839" s="222"/>
      <c r="BY839" s="222"/>
      <c r="CC839" s="222"/>
      <c r="CG839" s="222"/>
      <c r="CK839" s="222"/>
      <c r="CQ839" s="222"/>
      <c r="CU839" s="222"/>
      <c r="CY839" s="222"/>
    </row>
    <row r="840">
      <c r="A840" s="227"/>
      <c r="E840" s="222"/>
      <c r="I840" s="222"/>
      <c r="M840" s="222"/>
      <c r="Q840" s="222"/>
      <c r="U840" s="222"/>
      <c r="Y840" s="222"/>
      <c r="AC840" s="222"/>
      <c r="AG840" s="222"/>
      <c r="AK840" s="222"/>
      <c r="AO840" s="222"/>
      <c r="AS840" s="222"/>
      <c r="AW840" s="222"/>
      <c r="BA840" s="222"/>
      <c r="BE840" s="222"/>
      <c r="BK840" s="222"/>
      <c r="BO840" s="222"/>
      <c r="BU840" s="222"/>
      <c r="BY840" s="222"/>
      <c r="CC840" s="222"/>
      <c r="CG840" s="222"/>
      <c r="CK840" s="222"/>
      <c r="CQ840" s="222"/>
      <c r="CU840" s="222"/>
      <c r="CY840" s="222"/>
    </row>
    <row r="841">
      <c r="A841" s="227"/>
      <c r="E841" s="222"/>
      <c r="I841" s="222"/>
      <c r="M841" s="222"/>
      <c r="Q841" s="222"/>
      <c r="U841" s="222"/>
      <c r="Y841" s="222"/>
      <c r="AC841" s="222"/>
      <c r="AG841" s="222"/>
      <c r="AK841" s="222"/>
      <c r="AO841" s="222"/>
      <c r="AS841" s="222"/>
      <c r="AW841" s="222"/>
      <c r="BA841" s="222"/>
      <c r="BE841" s="222"/>
      <c r="BK841" s="222"/>
      <c r="BO841" s="222"/>
      <c r="BU841" s="222"/>
      <c r="BY841" s="222"/>
      <c r="CC841" s="222"/>
      <c r="CG841" s="222"/>
      <c r="CK841" s="222"/>
      <c r="CQ841" s="222"/>
      <c r="CU841" s="222"/>
      <c r="CY841" s="222"/>
    </row>
    <row r="842">
      <c r="A842" s="227"/>
      <c r="E842" s="222"/>
      <c r="I842" s="222"/>
      <c r="M842" s="222"/>
      <c r="Q842" s="222"/>
      <c r="U842" s="222"/>
      <c r="Y842" s="222"/>
      <c r="AC842" s="222"/>
      <c r="AG842" s="222"/>
      <c r="AK842" s="222"/>
      <c r="AO842" s="222"/>
      <c r="AS842" s="222"/>
      <c r="AW842" s="222"/>
      <c r="BA842" s="222"/>
      <c r="BE842" s="222"/>
      <c r="BK842" s="222"/>
      <c r="BO842" s="222"/>
      <c r="BU842" s="222"/>
      <c r="BY842" s="222"/>
      <c r="CC842" s="222"/>
      <c r="CG842" s="222"/>
      <c r="CK842" s="222"/>
      <c r="CQ842" s="222"/>
      <c r="CU842" s="222"/>
      <c r="CY842" s="222"/>
    </row>
    <row r="843">
      <c r="A843" s="227"/>
      <c r="E843" s="222"/>
      <c r="I843" s="222"/>
      <c r="M843" s="222"/>
      <c r="Q843" s="222"/>
      <c r="U843" s="222"/>
      <c r="Y843" s="222"/>
      <c r="AC843" s="222"/>
      <c r="AG843" s="222"/>
      <c r="AK843" s="222"/>
      <c r="AO843" s="222"/>
      <c r="AS843" s="222"/>
      <c r="AW843" s="222"/>
      <c r="BA843" s="222"/>
      <c r="BE843" s="222"/>
      <c r="BK843" s="222"/>
      <c r="BO843" s="222"/>
      <c r="BU843" s="222"/>
      <c r="BY843" s="222"/>
      <c r="CC843" s="222"/>
      <c r="CG843" s="222"/>
      <c r="CK843" s="222"/>
      <c r="CQ843" s="222"/>
      <c r="CU843" s="222"/>
      <c r="CY843" s="222"/>
    </row>
    <row r="844">
      <c r="A844" s="227"/>
      <c r="E844" s="222"/>
      <c r="I844" s="222"/>
      <c r="M844" s="222"/>
      <c r="Q844" s="222"/>
      <c r="U844" s="222"/>
      <c r="Y844" s="222"/>
      <c r="AC844" s="222"/>
      <c r="AG844" s="222"/>
      <c r="AK844" s="222"/>
      <c r="AO844" s="222"/>
      <c r="AS844" s="222"/>
      <c r="AW844" s="222"/>
      <c r="BA844" s="222"/>
      <c r="BE844" s="222"/>
      <c r="BK844" s="222"/>
      <c r="BO844" s="222"/>
      <c r="BU844" s="222"/>
      <c r="BY844" s="222"/>
      <c r="CC844" s="222"/>
      <c r="CG844" s="222"/>
      <c r="CK844" s="222"/>
      <c r="CQ844" s="222"/>
      <c r="CU844" s="222"/>
      <c r="CY844" s="222"/>
    </row>
    <row r="845">
      <c r="A845" s="227"/>
      <c r="E845" s="222"/>
      <c r="I845" s="222"/>
      <c r="M845" s="222"/>
      <c r="Q845" s="222"/>
      <c r="U845" s="222"/>
      <c r="Y845" s="222"/>
      <c r="AC845" s="222"/>
      <c r="AG845" s="222"/>
      <c r="AK845" s="222"/>
      <c r="AO845" s="222"/>
      <c r="AS845" s="222"/>
      <c r="AW845" s="222"/>
      <c r="BA845" s="222"/>
      <c r="BE845" s="222"/>
      <c r="BK845" s="222"/>
      <c r="BO845" s="222"/>
      <c r="BU845" s="222"/>
      <c r="BY845" s="222"/>
      <c r="CC845" s="222"/>
      <c r="CG845" s="222"/>
      <c r="CK845" s="222"/>
      <c r="CQ845" s="222"/>
      <c r="CU845" s="222"/>
      <c r="CY845" s="222"/>
    </row>
    <row r="846">
      <c r="A846" s="227"/>
      <c r="E846" s="222"/>
      <c r="I846" s="222"/>
      <c r="M846" s="222"/>
      <c r="Q846" s="222"/>
      <c r="U846" s="222"/>
      <c r="Y846" s="222"/>
      <c r="AC846" s="222"/>
      <c r="AG846" s="222"/>
      <c r="AK846" s="222"/>
      <c r="AO846" s="222"/>
      <c r="AS846" s="222"/>
      <c r="AW846" s="222"/>
      <c r="BA846" s="222"/>
      <c r="BE846" s="222"/>
      <c r="BK846" s="222"/>
      <c r="BO846" s="222"/>
      <c r="BU846" s="222"/>
      <c r="BY846" s="222"/>
      <c r="CC846" s="222"/>
      <c r="CG846" s="222"/>
      <c r="CK846" s="222"/>
      <c r="CQ846" s="222"/>
      <c r="CU846" s="222"/>
      <c r="CY846" s="222"/>
    </row>
    <row r="847">
      <c r="A847" s="227"/>
      <c r="E847" s="222"/>
      <c r="I847" s="222"/>
      <c r="M847" s="222"/>
      <c r="Q847" s="222"/>
      <c r="U847" s="222"/>
      <c r="Y847" s="222"/>
      <c r="AC847" s="222"/>
      <c r="AG847" s="222"/>
      <c r="AK847" s="222"/>
      <c r="AO847" s="222"/>
      <c r="AS847" s="222"/>
      <c r="AW847" s="222"/>
      <c r="BA847" s="222"/>
      <c r="BE847" s="222"/>
      <c r="BK847" s="222"/>
      <c r="BO847" s="222"/>
      <c r="BU847" s="222"/>
      <c r="BY847" s="222"/>
      <c r="CC847" s="222"/>
      <c r="CG847" s="222"/>
      <c r="CK847" s="222"/>
      <c r="CQ847" s="222"/>
      <c r="CU847" s="222"/>
      <c r="CY847" s="222"/>
    </row>
    <row r="848">
      <c r="A848" s="227"/>
      <c r="E848" s="222"/>
      <c r="I848" s="222"/>
      <c r="M848" s="222"/>
      <c r="Q848" s="222"/>
      <c r="U848" s="222"/>
      <c r="Y848" s="222"/>
      <c r="AC848" s="222"/>
      <c r="AG848" s="222"/>
      <c r="AK848" s="222"/>
      <c r="AO848" s="222"/>
      <c r="AS848" s="222"/>
      <c r="AW848" s="222"/>
      <c r="BA848" s="222"/>
      <c r="BE848" s="222"/>
      <c r="BK848" s="222"/>
      <c r="BO848" s="222"/>
      <c r="BU848" s="222"/>
      <c r="BY848" s="222"/>
      <c r="CC848" s="222"/>
      <c r="CG848" s="222"/>
      <c r="CK848" s="222"/>
      <c r="CQ848" s="222"/>
      <c r="CU848" s="222"/>
      <c r="CY848" s="222"/>
    </row>
    <row r="849">
      <c r="A849" s="227"/>
      <c r="E849" s="222"/>
      <c r="I849" s="222"/>
      <c r="M849" s="222"/>
      <c r="Q849" s="222"/>
      <c r="U849" s="222"/>
      <c r="Y849" s="222"/>
      <c r="AC849" s="222"/>
      <c r="AG849" s="222"/>
      <c r="AK849" s="222"/>
      <c r="AO849" s="222"/>
      <c r="AS849" s="222"/>
      <c r="AW849" s="222"/>
      <c r="BA849" s="222"/>
      <c r="BE849" s="222"/>
      <c r="BK849" s="222"/>
      <c r="BO849" s="222"/>
      <c r="BU849" s="222"/>
      <c r="BY849" s="222"/>
      <c r="CC849" s="222"/>
      <c r="CG849" s="222"/>
      <c r="CK849" s="222"/>
      <c r="CQ849" s="222"/>
      <c r="CU849" s="222"/>
      <c r="CY849" s="222"/>
    </row>
    <row r="850">
      <c r="A850" s="227"/>
      <c r="E850" s="222"/>
      <c r="I850" s="222"/>
      <c r="M850" s="222"/>
      <c r="Q850" s="222"/>
      <c r="U850" s="222"/>
      <c r="Y850" s="222"/>
      <c r="AC850" s="222"/>
      <c r="AG850" s="222"/>
      <c r="AK850" s="222"/>
      <c r="AO850" s="222"/>
      <c r="AS850" s="222"/>
      <c r="AW850" s="222"/>
      <c r="BA850" s="222"/>
      <c r="BE850" s="222"/>
      <c r="BK850" s="222"/>
      <c r="BO850" s="222"/>
      <c r="BU850" s="222"/>
      <c r="BY850" s="222"/>
      <c r="CC850" s="222"/>
      <c r="CG850" s="222"/>
      <c r="CK850" s="222"/>
      <c r="CQ850" s="222"/>
      <c r="CU850" s="222"/>
      <c r="CY850" s="222"/>
    </row>
    <row r="851">
      <c r="A851" s="227"/>
      <c r="E851" s="222"/>
      <c r="I851" s="222"/>
      <c r="M851" s="222"/>
      <c r="Q851" s="222"/>
      <c r="U851" s="222"/>
      <c r="Y851" s="222"/>
      <c r="AC851" s="222"/>
      <c r="AG851" s="222"/>
      <c r="AK851" s="222"/>
      <c r="AO851" s="222"/>
      <c r="AS851" s="222"/>
      <c r="AW851" s="222"/>
      <c r="BA851" s="222"/>
      <c r="BE851" s="222"/>
      <c r="BK851" s="222"/>
      <c r="BO851" s="222"/>
      <c r="BU851" s="222"/>
      <c r="BY851" s="222"/>
      <c r="CC851" s="222"/>
      <c r="CG851" s="222"/>
      <c r="CK851" s="222"/>
      <c r="CQ851" s="222"/>
      <c r="CU851" s="222"/>
      <c r="CY851" s="222"/>
    </row>
    <row r="852">
      <c r="A852" s="227"/>
      <c r="E852" s="222"/>
      <c r="I852" s="222"/>
      <c r="M852" s="222"/>
      <c r="Q852" s="222"/>
      <c r="U852" s="222"/>
      <c r="Y852" s="222"/>
      <c r="AC852" s="222"/>
      <c r="AG852" s="222"/>
      <c r="AK852" s="222"/>
      <c r="AO852" s="222"/>
      <c r="AS852" s="222"/>
      <c r="AW852" s="222"/>
      <c r="BA852" s="222"/>
      <c r="BE852" s="222"/>
      <c r="BK852" s="222"/>
      <c r="BO852" s="222"/>
      <c r="BU852" s="222"/>
      <c r="BY852" s="222"/>
      <c r="CC852" s="222"/>
      <c r="CG852" s="222"/>
      <c r="CK852" s="222"/>
      <c r="CQ852" s="222"/>
      <c r="CU852" s="222"/>
      <c r="CY852" s="222"/>
    </row>
    <row r="853">
      <c r="A853" s="227"/>
      <c r="E853" s="222"/>
      <c r="I853" s="222"/>
      <c r="M853" s="222"/>
      <c r="Q853" s="222"/>
      <c r="U853" s="222"/>
      <c r="Y853" s="222"/>
      <c r="AC853" s="222"/>
      <c r="AG853" s="222"/>
      <c r="AK853" s="222"/>
      <c r="AO853" s="222"/>
      <c r="AS853" s="222"/>
      <c r="AW853" s="222"/>
      <c r="BA853" s="222"/>
      <c r="BE853" s="222"/>
      <c r="BK853" s="222"/>
      <c r="BO853" s="222"/>
      <c r="BU853" s="222"/>
      <c r="BY853" s="222"/>
      <c r="CC853" s="222"/>
      <c r="CG853" s="222"/>
      <c r="CK853" s="222"/>
      <c r="CQ853" s="222"/>
      <c r="CU853" s="222"/>
      <c r="CY853" s="222"/>
    </row>
    <row r="854">
      <c r="A854" s="227"/>
      <c r="E854" s="222"/>
      <c r="I854" s="222"/>
      <c r="M854" s="222"/>
      <c r="Q854" s="222"/>
      <c r="U854" s="222"/>
      <c r="Y854" s="222"/>
      <c r="AC854" s="222"/>
      <c r="AG854" s="222"/>
      <c r="AK854" s="222"/>
      <c r="AO854" s="222"/>
      <c r="AS854" s="222"/>
      <c r="AW854" s="222"/>
      <c r="BA854" s="222"/>
      <c r="BE854" s="222"/>
      <c r="BK854" s="222"/>
      <c r="BO854" s="222"/>
      <c r="BU854" s="222"/>
      <c r="BY854" s="222"/>
      <c r="CC854" s="222"/>
      <c r="CG854" s="222"/>
      <c r="CK854" s="222"/>
      <c r="CQ854" s="222"/>
      <c r="CU854" s="222"/>
      <c r="CY854" s="222"/>
    </row>
    <row r="855">
      <c r="A855" s="227"/>
      <c r="E855" s="222"/>
      <c r="I855" s="222"/>
      <c r="M855" s="222"/>
      <c r="Q855" s="222"/>
      <c r="U855" s="222"/>
      <c r="Y855" s="222"/>
      <c r="AC855" s="222"/>
      <c r="AG855" s="222"/>
      <c r="AK855" s="222"/>
      <c r="AO855" s="222"/>
      <c r="AS855" s="222"/>
      <c r="AW855" s="222"/>
      <c r="BA855" s="222"/>
      <c r="BE855" s="222"/>
      <c r="BK855" s="222"/>
      <c r="BO855" s="222"/>
      <c r="BU855" s="222"/>
      <c r="BY855" s="222"/>
      <c r="CC855" s="222"/>
      <c r="CG855" s="222"/>
      <c r="CK855" s="222"/>
      <c r="CQ855" s="222"/>
      <c r="CU855" s="222"/>
      <c r="CY855" s="222"/>
    </row>
    <row r="856">
      <c r="A856" s="227"/>
      <c r="E856" s="222"/>
      <c r="I856" s="222"/>
      <c r="M856" s="222"/>
      <c r="Q856" s="222"/>
      <c r="U856" s="222"/>
      <c r="Y856" s="222"/>
      <c r="AC856" s="222"/>
      <c r="AG856" s="222"/>
      <c r="AK856" s="222"/>
      <c r="AO856" s="222"/>
      <c r="AS856" s="222"/>
      <c r="AW856" s="222"/>
      <c r="BA856" s="222"/>
      <c r="BE856" s="222"/>
      <c r="BK856" s="222"/>
      <c r="BO856" s="222"/>
      <c r="BU856" s="222"/>
      <c r="BY856" s="222"/>
      <c r="CC856" s="222"/>
      <c r="CG856" s="222"/>
      <c r="CK856" s="222"/>
      <c r="CQ856" s="222"/>
      <c r="CU856" s="222"/>
      <c r="CY856" s="222"/>
    </row>
    <row r="857">
      <c r="A857" s="227"/>
      <c r="E857" s="222"/>
      <c r="I857" s="222"/>
      <c r="M857" s="222"/>
      <c r="Q857" s="222"/>
      <c r="U857" s="222"/>
      <c r="Y857" s="222"/>
      <c r="AC857" s="222"/>
      <c r="AG857" s="222"/>
      <c r="AK857" s="222"/>
      <c r="AO857" s="222"/>
      <c r="AS857" s="222"/>
      <c r="AW857" s="222"/>
      <c r="BA857" s="222"/>
      <c r="BE857" s="222"/>
      <c r="BK857" s="222"/>
      <c r="BO857" s="222"/>
      <c r="BU857" s="222"/>
      <c r="BY857" s="222"/>
      <c r="CC857" s="222"/>
      <c r="CG857" s="222"/>
      <c r="CK857" s="222"/>
      <c r="CQ857" s="222"/>
      <c r="CU857" s="222"/>
      <c r="CY857" s="222"/>
    </row>
    <row r="858">
      <c r="A858" s="227"/>
      <c r="E858" s="222"/>
      <c r="I858" s="222"/>
      <c r="M858" s="222"/>
      <c r="Q858" s="222"/>
      <c r="U858" s="222"/>
      <c r="Y858" s="222"/>
      <c r="AC858" s="222"/>
      <c r="AG858" s="222"/>
      <c r="AK858" s="222"/>
      <c r="AO858" s="222"/>
      <c r="AS858" s="222"/>
      <c r="AW858" s="222"/>
      <c r="BA858" s="222"/>
      <c r="BE858" s="222"/>
      <c r="BK858" s="222"/>
      <c r="BO858" s="222"/>
      <c r="BU858" s="222"/>
      <c r="BY858" s="222"/>
      <c r="CC858" s="222"/>
      <c r="CG858" s="222"/>
      <c r="CK858" s="222"/>
      <c r="CQ858" s="222"/>
      <c r="CU858" s="222"/>
      <c r="CY858" s="222"/>
    </row>
    <row r="859">
      <c r="A859" s="227"/>
      <c r="E859" s="222"/>
      <c r="I859" s="222"/>
      <c r="M859" s="222"/>
      <c r="Q859" s="222"/>
      <c r="U859" s="222"/>
      <c r="Y859" s="222"/>
      <c r="AC859" s="222"/>
      <c r="AG859" s="222"/>
      <c r="AK859" s="222"/>
      <c r="AO859" s="222"/>
      <c r="AS859" s="222"/>
      <c r="AW859" s="222"/>
      <c r="BA859" s="222"/>
      <c r="BE859" s="222"/>
      <c r="BK859" s="222"/>
      <c r="BO859" s="222"/>
      <c r="BU859" s="222"/>
      <c r="BY859" s="222"/>
      <c r="CC859" s="222"/>
      <c r="CG859" s="222"/>
      <c r="CK859" s="222"/>
      <c r="CQ859" s="222"/>
      <c r="CU859" s="222"/>
      <c r="CY859" s="222"/>
    </row>
    <row r="860">
      <c r="A860" s="227"/>
      <c r="E860" s="222"/>
      <c r="I860" s="222"/>
      <c r="M860" s="222"/>
      <c r="Q860" s="222"/>
      <c r="U860" s="222"/>
      <c r="Y860" s="222"/>
      <c r="AC860" s="222"/>
      <c r="AG860" s="222"/>
      <c r="AK860" s="222"/>
      <c r="AO860" s="222"/>
      <c r="AS860" s="222"/>
      <c r="AW860" s="222"/>
      <c r="BA860" s="222"/>
      <c r="BE860" s="222"/>
      <c r="BK860" s="222"/>
      <c r="BO860" s="222"/>
      <c r="BU860" s="222"/>
      <c r="BY860" s="222"/>
      <c r="CC860" s="222"/>
      <c r="CG860" s="222"/>
      <c r="CK860" s="222"/>
      <c r="CQ860" s="222"/>
      <c r="CU860" s="222"/>
      <c r="CY860" s="222"/>
    </row>
    <row r="861">
      <c r="A861" s="227"/>
      <c r="E861" s="222"/>
      <c r="I861" s="222"/>
      <c r="M861" s="222"/>
      <c r="Q861" s="222"/>
      <c r="U861" s="222"/>
      <c r="Y861" s="222"/>
      <c r="AC861" s="222"/>
      <c r="AG861" s="222"/>
      <c r="AK861" s="222"/>
      <c r="AO861" s="222"/>
      <c r="AS861" s="222"/>
      <c r="AW861" s="222"/>
      <c r="BA861" s="222"/>
      <c r="BE861" s="222"/>
      <c r="BK861" s="222"/>
      <c r="BO861" s="222"/>
      <c r="BU861" s="222"/>
      <c r="BY861" s="222"/>
      <c r="CC861" s="222"/>
      <c r="CG861" s="222"/>
      <c r="CK861" s="222"/>
      <c r="CQ861" s="222"/>
      <c r="CU861" s="222"/>
      <c r="CY861" s="222"/>
    </row>
    <row r="862">
      <c r="A862" s="227"/>
      <c r="E862" s="222"/>
      <c r="I862" s="222"/>
      <c r="M862" s="222"/>
      <c r="Q862" s="222"/>
      <c r="U862" s="222"/>
      <c r="Y862" s="222"/>
      <c r="AC862" s="222"/>
      <c r="AG862" s="222"/>
      <c r="AK862" s="222"/>
      <c r="AO862" s="222"/>
      <c r="AS862" s="222"/>
      <c r="AW862" s="222"/>
      <c r="BA862" s="222"/>
      <c r="BE862" s="222"/>
      <c r="BK862" s="222"/>
      <c r="BO862" s="222"/>
      <c r="BU862" s="222"/>
      <c r="BY862" s="222"/>
      <c r="CC862" s="222"/>
      <c r="CG862" s="222"/>
      <c r="CK862" s="222"/>
      <c r="CQ862" s="222"/>
      <c r="CU862" s="222"/>
      <c r="CY862" s="222"/>
    </row>
    <row r="863">
      <c r="A863" s="227"/>
      <c r="E863" s="222"/>
      <c r="I863" s="222"/>
      <c r="M863" s="222"/>
      <c r="Q863" s="222"/>
      <c r="U863" s="222"/>
      <c r="Y863" s="222"/>
      <c r="AC863" s="222"/>
      <c r="AG863" s="222"/>
      <c r="AK863" s="222"/>
      <c r="AO863" s="222"/>
      <c r="AS863" s="222"/>
      <c r="AW863" s="222"/>
      <c r="BA863" s="222"/>
      <c r="BE863" s="222"/>
      <c r="BK863" s="222"/>
      <c r="BO863" s="222"/>
      <c r="BU863" s="222"/>
      <c r="BY863" s="222"/>
      <c r="CC863" s="222"/>
      <c r="CG863" s="222"/>
      <c r="CK863" s="222"/>
      <c r="CQ863" s="222"/>
      <c r="CU863" s="222"/>
      <c r="CY863" s="222"/>
    </row>
    <row r="864">
      <c r="A864" s="227"/>
      <c r="E864" s="222"/>
      <c r="I864" s="222"/>
      <c r="M864" s="222"/>
      <c r="Q864" s="222"/>
      <c r="U864" s="222"/>
      <c r="Y864" s="222"/>
      <c r="AC864" s="222"/>
      <c r="AG864" s="222"/>
      <c r="AK864" s="222"/>
      <c r="AO864" s="222"/>
      <c r="AS864" s="222"/>
      <c r="AW864" s="222"/>
      <c r="BA864" s="222"/>
      <c r="BE864" s="222"/>
      <c r="BK864" s="222"/>
      <c r="BO864" s="222"/>
      <c r="BU864" s="222"/>
      <c r="BY864" s="222"/>
      <c r="CC864" s="222"/>
      <c r="CG864" s="222"/>
      <c r="CK864" s="222"/>
      <c r="CQ864" s="222"/>
      <c r="CU864" s="222"/>
      <c r="CY864" s="222"/>
    </row>
    <row r="865">
      <c r="A865" s="227"/>
      <c r="E865" s="222"/>
      <c r="I865" s="222"/>
      <c r="M865" s="222"/>
      <c r="Q865" s="222"/>
      <c r="U865" s="222"/>
      <c r="Y865" s="222"/>
      <c r="AC865" s="222"/>
      <c r="AG865" s="222"/>
      <c r="AK865" s="222"/>
      <c r="AO865" s="222"/>
      <c r="AS865" s="222"/>
      <c r="AW865" s="222"/>
      <c r="BA865" s="222"/>
      <c r="BE865" s="222"/>
      <c r="BK865" s="222"/>
      <c r="BO865" s="222"/>
      <c r="BU865" s="222"/>
      <c r="BY865" s="222"/>
      <c r="CC865" s="222"/>
      <c r="CG865" s="222"/>
      <c r="CK865" s="222"/>
      <c r="CQ865" s="222"/>
      <c r="CU865" s="222"/>
      <c r="CY865" s="222"/>
    </row>
    <row r="866">
      <c r="A866" s="227"/>
      <c r="E866" s="222"/>
      <c r="I866" s="222"/>
      <c r="M866" s="222"/>
      <c r="Q866" s="222"/>
      <c r="U866" s="222"/>
      <c r="Y866" s="222"/>
      <c r="AC866" s="222"/>
      <c r="AG866" s="222"/>
      <c r="AK866" s="222"/>
      <c r="AO866" s="222"/>
      <c r="AS866" s="222"/>
      <c r="AW866" s="222"/>
      <c r="BA866" s="222"/>
      <c r="BE866" s="222"/>
      <c r="BK866" s="222"/>
      <c r="BO866" s="222"/>
      <c r="BU866" s="222"/>
      <c r="BY866" s="222"/>
      <c r="CC866" s="222"/>
      <c r="CG866" s="222"/>
      <c r="CK866" s="222"/>
      <c r="CQ866" s="222"/>
      <c r="CU866" s="222"/>
      <c r="CY866" s="222"/>
    </row>
    <row r="867">
      <c r="A867" s="227"/>
      <c r="E867" s="222"/>
      <c r="I867" s="222"/>
      <c r="M867" s="222"/>
      <c r="Q867" s="222"/>
      <c r="U867" s="222"/>
      <c r="Y867" s="222"/>
      <c r="AC867" s="222"/>
      <c r="AG867" s="222"/>
      <c r="AK867" s="222"/>
      <c r="AO867" s="222"/>
      <c r="AS867" s="222"/>
      <c r="AW867" s="222"/>
      <c r="BA867" s="222"/>
      <c r="BE867" s="222"/>
      <c r="BK867" s="222"/>
      <c r="BO867" s="222"/>
      <c r="BU867" s="222"/>
      <c r="BY867" s="222"/>
      <c r="CC867" s="222"/>
      <c r="CG867" s="222"/>
      <c r="CK867" s="222"/>
      <c r="CQ867" s="222"/>
      <c r="CU867" s="222"/>
      <c r="CY867" s="222"/>
    </row>
    <row r="868">
      <c r="A868" s="227"/>
      <c r="E868" s="222"/>
      <c r="I868" s="222"/>
      <c r="M868" s="222"/>
      <c r="Q868" s="222"/>
      <c r="U868" s="222"/>
      <c r="Y868" s="222"/>
      <c r="AC868" s="222"/>
      <c r="AG868" s="222"/>
      <c r="AK868" s="222"/>
      <c r="AO868" s="222"/>
      <c r="AS868" s="222"/>
      <c r="AW868" s="222"/>
      <c r="BA868" s="222"/>
      <c r="BE868" s="222"/>
      <c r="BK868" s="222"/>
      <c r="BO868" s="222"/>
      <c r="BU868" s="222"/>
      <c r="BY868" s="222"/>
      <c r="CC868" s="222"/>
      <c r="CG868" s="222"/>
      <c r="CK868" s="222"/>
      <c r="CQ868" s="222"/>
      <c r="CU868" s="222"/>
      <c r="CY868" s="222"/>
    </row>
    <row r="869">
      <c r="A869" s="227"/>
      <c r="E869" s="222"/>
      <c r="I869" s="222"/>
      <c r="M869" s="222"/>
      <c r="Q869" s="222"/>
      <c r="U869" s="222"/>
      <c r="Y869" s="222"/>
      <c r="AC869" s="222"/>
      <c r="AG869" s="222"/>
      <c r="AK869" s="222"/>
      <c r="AO869" s="222"/>
      <c r="AS869" s="222"/>
      <c r="AW869" s="222"/>
      <c r="BA869" s="222"/>
      <c r="BE869" s="222"/>
      <c r="BK869" s="222"/>
      <c r="BO869" s="222"/>
      <c r="BU869" s="222"/>
      <c r="BY869" s="222"/>
      <c r="CC869" s="222"/>
      <c r="CG869" s="222"/>
      <c r="CK869" s="222"/>
      <c r="CQ869" s="222"/>
      <c r="CU869" s="222"/>
      <c r="CY869" s="222"/>
    </row>
    <row r="870">
      <c r="A870" s="227"/>
      <c r="E870" s="222"/>
      <c r="I870" s="222"/>
      <c r="M870" s="222"/>
      <c r="Q870" s="222"/>
      <c r="U870" s="222"/>
      <c r="Y870" s="222"/>
      <c r="AC870" s="222"/>
      <c r="AG870" s="222"/>
      <c r="AK870" s="222"/>
      <c r="AO870" s="222"/>
      <c r="AS870" s="222"/>
      <c r="AW870" s="222"/>
      <c r="BA870" s="222"/>
      <c r="BE870" s="222"/>
      <c r="BK870" s="222"/>
      <c r="BO870" s="222"/>
      <c r="BU870" s="222"/>
      <c r="BY870" s="222"/>
      <c r="CC870" s="222"/>
      <c r="CG870" s="222"/>
      <c r="CK870" s="222"/>
      <c r="CQ870" s="222"/>
      <c r="CU870" s="222"/>
      <c r="CY870" s="222"/>
    </row>
    <row r="871">
      <c r="A871" s="227"/>
      <c r="E871" s="222"/>
      <c r="I871" s="222"/>
      <c r="M871" s="222"/>
      <c r="Q871" s="222"/>
      <c r="U871" s="222"/>
      <c r="Y871" s="222"/>
      <c r="AC871" s="222"/>
      <c r="AG871" s="222"/>
      <c r="AK871" s="222"/>
      <c r="AO871" s="222"/>
      <c r="AS871" s="222"/>
      <c r="AW871" s="222"/>
      <c r="BA871" s="222"/>
      <c r="BE871" s="222"/>
      <c r="BK871" s="222"/>
      <c r="BO871" s="222"/>
      <c r="BU871" s="222"/>
      <c r="BY871" s="222"/>
      <c r="CC871" s="222"/>
      <c r="CG871" s="222"/>
      <c r="CK871" s="222"/>
      <c r="CQ871" s="222"/>
      <c r="CU871" s="222"/>
      <c r="CY871" s="222"/>
    </row>
    <row r="872">
      <c r="A872" s="227"/>
      <c r="E872" s="222"/>
      <c r="I872" s="222"/>
      <c r="M872" s="222"/>
      <c r="Q872" s="222"/>
      <c r="U872" s="222"/>
      <c r="Y872" s="222"/>
      <c r="AC872" s="222"/>
      <c r="AG872" s="222"/>
      <c r="AK872" s="222"/>
      <c r="AO872" s="222"/>
      <c r="AS872" s="222"/>
      <c r="AW872" s="222"/>
      <c r="BA872" s="222"/>
      <c r="BE872" s="222"/>
      <c r="BK872" s="222"/>
      <c r="BO872" s="222"/>
      <c r="BU872" s="222"/>
      <c r="BY872" s="222"/>
      <c r="CC872" s="222"/>
      <c r="CG872" s="222"/>
      <c r="CK872" s="222"/>
      <c r="CQ872" s="222"/>
      <c r="CU872" s="222"/>
      <c r="CY872" s="222"/>
    </row>
    <row r="873">
      <c r="A873" s="227"/>
      <c r="E873" s="222"/>
      <c r="I873" s="222"/>
      <c r="M873" s="222"/>
      <c r="Q873" s="222"/>
      <c r="U873" s="222"/>
      <c r="Y873" s="222"/>
      <c r="AC873" s="222"/>
      <c r="AG873" s="222"/>
      <c r="AK873" s="222"/>
      <c r="AO873" s="222"/>
      <c r="AS873" s="222"/>
      <c r="AW873" s="222"/>
      <c r="BA873" s="222"/>
      <c r="BE873" s="222"/>
      <c r="BK873" s="222"/>
      <c r="BO873" s="222"/>
      <c r="BU873" s="222"/>
      <c r="BY873" s="222"/>
      <c r="CC873" s="222"/>
      <c r="CG873" s="222"/>
      <c r="CK873" s="222"/>
      <c r="CQ873" s="222"/>
      <c r="CU873" s="222"/>
      <c r="CY873" s="222"/>
    </row>
    <row r="874">
      <c r="A874" s="227"/>
      <c r="E874" s="222"/>
      <c r="I874" s="222"/>
      <c r="M874" s="222"/>
      <c r="Q874" s="222"/>
      <c r="U874" s="222"/>
      <c r="Y874" s="222"/>
      <c r="AC874" s="222"/>
      <c r="AG874" s="222"/>
      <c r="AK874" s="222"/>
      <c r="AO874" s="222"/>
      <c r="AS874" s="222"/>
      <c r="AW874" s="222"/>
      <c r="BA874" s="222"/>
      <c r="BE874" s="222"/>
      <c r="BK874" s="222"/>
      <c r="BO874" s="222"/>
      <c r="BU874" s="222"/>
      <c r="BY874" s="222"/>
      <c r="CC874" s="222"/>
      <c r="CG874" s="222"/>
      <c r="CK874" s="222"/>
      <c r="CQ874" s="222"/>
      <c r="CU874" s="222"/>
      <c r="CY874" s="222"/>
    </row>
    <row r="875">
      <c r="A875" s="227"/>
      <c r="E875" s="222"/>
      <c r="I875" s="222"/>
      <c r="M875" s="222"/>
      <c r="Q875" s="222"/>
      <c r="U875" s="222"/>
      <c r="Y875" s="222"/>
      <c r="AC875" s="222"/>
      <c r="AG875" s="222"/>
      <c r="AK875" s="222"/>
      <c r="AO875" s="222"/>
      <c r="AS875" s="222"/>
      <c r="AW875" s="222"/>
      <c r="BA875" s="222"/>
      <c r="BE875" s="222"/>
      <c r="BK875" s="222"/>
      <c r="BO875" s="222"/>
      <c r="BU875" s="222"/>
      <c r="BY875" s="222"/>
      <c r="CC875" s="222"/>
      <c r="CG875" s="222"/>
      <c r="CK875" s="222"/>
      <c r="CQ875" s="222"/>
      <c r="CU875" s="222"/>
      <c r="CY875" s="222"/>
    </row>
    <row r="876">
      <c r="A876" s="227"/>
      <c r="E876" s="222"/>
      <c r="I876" s="222"/>
      <c r="M876" s="222"/>
      <c r="Q876" s="222"/>
      <c r="U876" s="222"/>
      <c r="Y876" s="222"/>
      <c r="AC876" s="222"/>
      <c r="AG876" s="222"/>
      <c r="AK876" s="222"/>
      <c r="AO876" s="222"/>
      <c r="AS876" s="222"/>
      <c r="AW876" s="222"/>
      <c r="BA876" s="222"/>
      <c r="BE876" s="222"/>
      <c r="BK876" s="222"/>
      <c r="BO876" s="222"/>
      <c r="BU876" s="222"/>
      <c r="BY876" s="222"/>
      <c r="CC876" s="222"/>
      <c r="CG876" s="222"/>
      <c r="CK876" s="222"/>
      <c r="CQ876" s="222"/>
      <c r="CU876" s="222"/>
      <c r="CY876" s="222"/>
    </row>
    <row r="877">
      <c r="A877" s="227"/>
      <c r="E877" s="222"/>
      <c r="I877" s="222"/>
      <c r="M877" s="222"/>
      <c r="Q877" s="222"/>
      <c r="U877" s="222"/>
      <c r="Y877" s="222"/>
      <c r="AC877" s="222"/>
      <c r="AG877" s="222"/>
      <c r="AK877" s="222"/>
      <c r="AO877" s="222"/>
      <c r="AS877" s="222"/>
      <c r="AW877" s="222"/>
      <c r="BA877" s="222"/>
      <c r="BE877" s="222"/>
      <c r="BK877" s="222"/>
      <c r="BO877" s="222"/>
      <c r="BU877" s="222"/>
      <c r="BY877" s="222"/>
      <c r="CC877" s="222"/>
      <c r="CG877" s="222"/>
      <c r="CK877" s="222"/>
      <c r="CQ877" s="222"/>
      <c r="CU877" s="222"/>
      <c r="CY877" s="222"/>
    </row>
    <row r="878">
      <c r="A878" s="227"/>
      <c r="E878" s="222"/>
      <c r="I878" s="222"/>
      <c r="M878" s="222"/>
      <c r="Q878" s="222"/>
      <c r="U878" s="222"/>
      <c r="Y878" s="222"/>
      <c r="AC878" s="222"/>
      <c r="AG878" s="222"/>
      <c r="AK878" s="222"/>
      <c r="AO878" s="222"/>
      <c r="AS878" s="222"/>
      <c r="AW878" s="222"/>
      <c r="BA878" s="222"/>
      <c r="BE878" s="222"/>
      <c r="BK878" s="222"/>
      <c r="BO878" s="222"/>
      <c r="BU878" s="222"/>
      <c r="BY878" s="222"/>
      <c r="CC878" s="222"/>
      <c r="CG878" s="222"/>
      <c r="CK878" s="222"/>
      <c r="CQ878" s="222"/>
      <c r="CU878" s="222"/>
      <c r="CY878" s="222"/>
    </row>
    <row r="879">
      <c r="A879" s="227"/>
      <c r="E879" s="222"/>
      <c r="I879" s="222"/>
      <c r="M879" s="222"/>
      <c r="Q879" s="222"/>
      <c r="U879" s="222"/>
      <c r="Y879" s="222"/>
      <c r="AC879" s="222"/>
      <c r="AG879" s="222"/>
      <c r="AK879" s="222"/>
      <c r="AO879" s="222"/>
      <c r="AS879" s="222"/>
      <c r="AW879" s="222"/>
      <c r="BA879" s="222"/>
      <c r="BE879" s="222"/>
      <c r="BK879" s="222"/>
      <c r="BO879" s="222"/>
      <c r="BU879" s="222"/>
      <c r="BY879" s="222"/>
      <c r="CC879" s="222"/>
      <c r="CG879" s="222"/>
      <c r="CK879" s="222"/>
      <c r="CQ879" s="222"/>
      <c r="CU879" s="222"/>
      <c r="CY879" s="222"/>
    </row>
    <row r="880">
      <c r="A880" s="227"/>
      <c r="E880" s="222"/>
      <c r="I880" s="222"/>
      <c r="M880" s="222"/>
      <c r="Q880" s="222"/>
      <c r="U880" s="222"/>
      <c r="Y880" s="222"/>
      <c r="AC880" s="222"/>
      <c r="AG880" s="222"/>
      <c r="AK880" s="222"/>
      <c r="AO880" s="222"/>
      <c r="AS880" s="222"/>
      <c r="AW880" s="222"/>
      <c r="BA880" s="222"/>
      <c r="BE880" s="222"/>
      <c r="BK880" s="222"/>
      <c r="BO880" s="222"/>
      <c r="BU880" s="222"/>
      <c r="BY880" s="222"/>
      <c r="CC880" s="222"/>
      <c r="CG880" s="222"/>
      <c r="CK880" s="222"/>
      <c r="CQ880" s="222"/>
      <c r="CU880" s="222"/>
      <c r="CY880" s="222"/>
    </row>
    <row r="881">
      <c r="A881" s="227"/>
      <c r="E881" s="222"/>
      <c r="I881" s="222"/>
      <c r="M881" s="222"/>
      <c r="Q881" s="222"/>
      <c r="U881" s="222"/>
      <c r="Y881" s="222"/>
      <c r="AC881" s="222"/>
      <c r="AG881" s="222"/>
      <c r="AK881" s="222"/>
      <c r="AO881" s="222"/>
      <c r="AS881" s="222"/>
      <c r="AW881" s="222"/>
      <c r="BA881" s="222"/>
      <c r="BE881" s="222"/>
      <c r="BK881" s="222"/>
      <c r="BO881" s="222"/>
      <c r="BU881" s="222"/>
      <c r="BY881" s="222"/>
      <c r="CC881" s="222"/>
      <c r="CG881" s="222"/>
      <c r="CK881" s="222"/>
      <c r="CQ881" s="222"/>
      <c r="CU881" s="222"/>
      <c r="CY881" s="222"/>
    </row>
    <row r="882">
      <c r="A882" s="227"/>
      <c r="E882" s="222"/>
      <c r="I882" s="222"/>
      <c r="M882" s="222"/>
      <c r="Q882" s="222"/>
      <c r="U882" s="222"/>
      <c r="Y882" s="222"/>
      <c r="AC882" s="222"/>
      <c r="AG882" s="222"/>
      <c r="AK882" s="222"/>
      <c r="AO882" s="222"/>
      <c r="AS882" s="222"/>
      <c r="AW882" s="222"/>
      <c r="BA882" s="222"/>
      <c r="BE882" s="222"/>
      <c r="BK882" s="222"/>
      <c r="BO882" s="222"/>
      <c r="BU882" s="222"/>
      <c r="BY882" s="222"/>
      <c r="CC882" s="222"/>
      <c r="CG882" s="222"/>
      <c r="CK882" s="222"/>
      <c r="CQ882" s="222"/>
      <c r="CU882" s="222"/>
      <c r="CY882" s="222"/>
    </row>
    <row r="883">
      <c r="A883" s="227"/>
      <c r="E883" s="222"/>
      <c r="I883" s="222"/>
      <c r="M883" s="222"/>
      <c r="Q883" s="222"/>
      <c r="U883" s="222"/>
      <c r="Y883" s="222"/>
      <c r="AC883" s="222"/>
      <c r="AG883" s="222"/>
      <c r="AK883" s="222"/>
      <c r="AO883" s="222"/>
      <c r="AS883" s="222"/>
      <c r="AW883" s="222"/>
      <c r="BA883" s="222"/>
      <c r="BE883" s="222"/>
      <c r="BK883" s="222"/>
      <c r="BO883" s="222"/>
      <c r="BU883" s="222"/>
      <c r="BY883" s="222"/>
      <c r="CC883" s="222"/>
      <c r="CG883" s="222"/>
      <c r="CK883" s="222"/>
      <c r="CQ883" s="222"/>
      <c r="CU883" s="222"/>
      <c r="CY883" s="222"/>
    </row>
    <row r="884">
      <c r="A884" s="227"/>
      <c r="E884" s="222"/>
      <c r="I884" s="222"/>
      <c r="M884" s="222"/>
      <c r="Q884" s="222"/>
      <c r="U884" s="222"/>
      <c r="Y884" s="222"/>
      <c r="AC884" s="222"/>
      <c r="AG884" s="222"/>
      <c r="AK884" s="222"/>
      <c r="AO884" s="222"/>
      <c r="AS884" s="222"/>
      <c r="AW884" s="222"/>
      <c r="BA884" s="222"/>
      <c r="BE884" s="222"/>
      <c r="BK884" s="222"/>
      <c r="BO884" s="222"/>
      <c r="BU884" s="222"/>
      <c r="BY884" s="222"/>
      <c r="CC884" s="222"/>
      <c r="CG884" s="222"/>
      <c r="CK884" s="222"/>
      <c r="CQ884" s="222"/>
      <c r="CU884" s="222"/>
      <c r="CY884" s="222"/>
    </row>
    <row r="885">
      <c r="A885" s="227"/>
      <c r="E885" s="222"/>
      <c r="I885" s="222"/>
      <c r="M885" s="222"/>
      <c r="Q885" s="222"/>
      <c r="U885" s="222"/>
      <c r="Y885" s="222"/>
      <c r="AC885" s="222"/>
      <c r="AG885" s="222"/>
      <c r="AK885" s="222"/>
      <c r="AO885" s="222"/>
      <c r="AS885" s="222"/>
      <c r="AW885" s="222"/>
      <c r="BA885" s="222"/>
      <c r="BE885" s="222"/>
      <c r="BK885" s="222"/>
      <c r="BO885" s="222"/>
      <c r="BU885" s="222"/>
      <c r="BY885" s="222"/>
      <c r="CC885" s="222"/>
      <c r="CG885" s="222"/>
      <c r="CK885" s="222"/>
      <c r="CQ885" s="222"/>
      <c r="CU885" s="222"/>
      <c r="CY885" s="222"/>
    </row>
    <row r="886">
      <c r="A886" s="227"/>
      <c r="E886" s="222"/>
      <c r="I886" s="222"/>
      <c r="M886" s="222"/>
      <c r="Q886" s="222"/>
      <c r="U886" s="222"/>
      <c r="Y886" s="222"/>
      <c r="AC886" s="222"/>
      <c r="AG886" s="222"/>
      <c r="AK886" s="222"/>
      <c r="AO886" s="222"/>
      <c r="AS886" s="222"/>
      <c r="AW886" s="222"/>
      <c r="BA886" s="222"/>
      <c r="BE886" s="222"/>
      <c r="BK886" s="222"/>
      <c r="BO886" s="222"/>
      <c r="BU886" s="222"/>
      <c r="BY886" s="222"/>
      <c r="CC886" s="222"/>
      <c r="CG886" s="222"/>
      <c r="CK886" s="222"/>
      <c r="CQ886" s="222"/>
      <c r="CU886" s="222"/>
      <c r="CY886" s="222"/>
    </row>
    <row r="887">
      <c r="A887" s="227"/>
      <c r="E887" s="222"/>
      <c r="I887" s="222"/>
      <c r="M887" s="222"/>
      <c r="Q887" s="222"/>
      <c r="U887" s="222"/>
      <c r="Y887" s="222"/>
      <c r="AC887" s="222"/>
      <c r="AG887" s="222"/>
      <c r="AK887" s="222"/>
      <c r="AO887" s="222"/>
      <c r="AS887" s="222"/>
      <c r="AW887" s="222"/>
      <c r="BA887" s="222"/>
      <c r="BE887" s="222"/>
      <c r="BK887" s="222"/>
      <c r="BO887" s="222"/>
      <c r="BU887" s="222"/>
      <c r="BY887" s="222"/>
      <c r="CC887" s="222"/>
      <c r="CG887" s="222"/>
      <c r="CK887" s="222"/>
      <c r="CQ887" s="222"/>
      <c r="CU887" s="222"/>
      <c r="CY887" s="222"/>
    </row>
    <row r="888">
      <c r="A888" s="227"/>
      <c r="E888" s="222"/>
      <c r="I888" s="222"/>
      <c r="M888" s="222"/>
      <c r="Q888" s="222"/>
      <c r="U888" s="222"/>
      <c r="Y888" s="222"/>
      <c r="AC888" s="222"/>
      <c r="AG888" s="222"/>
      <c r="AK888" s="222"/>
      <c r="AO888" s="222"/>
      <c r="AS888" s="222"/>
      <c r="AW888" s="222"/>
      <c r="BA888" s="222"/>
      <c r="BE888" s="222"/>
      <c r="BK888" s="222"/>
      <c r="BO888" s="222"/>
      <c r="BU888" s="222"/>
      <c r="BY888" s="222"/>
      <c r="CC888" s="222"/>
      <c r="CG888" s="222"/>
      <c r="CK888" s="222"/>
      <c r="CQ888" s="222"/>
      <c r="CU888" s="222"/>
      <c r="CY888" s="222"/>
    </row>
    <row r="889">
      <c r="A889" s="227"/>
      <c r="E889" s="222"/>
      <c r="I889" s="222"/>
      <c r="M889" s="222"/>
      <c r="Q889" s="222"/>
      <c r="U889" s="222"/>
      <c r="Y889" s="222"/>
      <c r="AC889" s="222"/>
      <c r="AG889" s="222"/>
      <c r="AK889" s="222"/>
      <c r="AO889" s="222"/>
      <c r="AS889" s="222"/>
      <c r="AW889" s="222"/>
      <c r="BA889" s="222"/>
      <c r="BE889" s="222"/>
      <c r="BK889" s="222"/>
      <c r="BO889" s="222"/>
      <c r="BU889" s="222"/>
      <c r="BY889" s="222"/>
      <c r="CC889" s="222"/>
      <c r="CG889" s="222"/>
      <c r="CK889" s="222"/>
      <c r="CQ889" s="222"/>
      <c r="CU889" s="222"/>
      <c r="CY889" s="222"/>
    </row>
    <row r="890">
      <c r="A890" s="227"/>
      <c r="E890" s="222"/>
      <c r="I890" s="222"/>
      <c r="M890" s="222"/>
      <c r="Q890" s="222"/>
      <c r="U890" s="222"/>
      <c r="Y890" s="222"/>
      <c r="AC890" s="222"/>
      <c r="AG890" s="222"/>
      <c r="AK890" s="222"/>
      <c r="AO890" s="222"/>
      <c r="AS890" s="222"/>
      <c r="AW890" s="222"/>
      <c r="BA890" s="222"/>
      <c r="BE890" s="222"/>
      <c r="BK890" s="222"/>
      <c r="BO890" s="222"/>
      <c r="BU890" s="222"/>
      <c r="BY890" s="222"/>
      <c r="CC890" s="222"/>
      <c r="CG890" s="222"/>
      <c r="CK890" s="222"/>
      <c r="CQ890" s="222"/>
      <c r="CU890" s="222"/>
      <c r="CY890" s="222"/>
    </row>
    <row r="891">
      <c r="A891" s="227"/>
      <c r="E891" s="222"/>
      <c r="I891" s="222"/>
      <c r="M891" s="222"/>
      <c r="Q891" s="222"/>
      <c r="U891" s="222"/>
      <c r="Y891" s="222"/>
      <c r="AC891" s="222"/>
      <c r="AG891" s="222"/>
      <c r="AK891" s="222"/>
      <c r="AO891" s="222"/>
      <c r="AS891" s="222"/>
      <c r="AW891" s="222"/>
      <c r="BA891" s="222"/>
      <c r="BE891" s="222"/>
      <c r="BK891" s="222"/>
      <c r="BO891" s="222"/>
      <c r="BU891" s="222"/>
      <c r="BY891" s="222"/>
      <c r="CC891" s="222"/>
      <c r="CG891" s="222"/>
      <c r="CK891" s="222"/>
      <c r="CQ891" s="222"/>
      <c r="CU891" s="222"/>
      <c r="CY891" s="222"/>
    </row>
    <row r="892">
      <c r="A892" s="227"/>
      <c r="E892" s="222"/>
      <c r="I892" s="222"/>
      <c r="M892" s="222"/>
      <c r="Q892" s="222"/>
      <c r="U892" s="222"/>
      <c r="Y892" s="222"/>
      <c r="AC892" s="222"/>
      <c r="AG892" s="222"/>
      <c r="AK892" s="222"/>
      <c r="AO892" s="222"/>
      <c r="AS892" s="222"/>
      <c r="AW892" s="222"/>
      <c r="BA892" s="222"/>
      <c r="BE892" s="222"/>
      <c r="BK892" s="222"/>
      <c r="BO892" s="222"/>
      <c r="BU892" s="222"/>
      <c r="BY892" s="222"/>
      <c r="CC892" s="222"/>
      <c r="CG892" s="222"/>
      <c r="CK892" s="222"/>
      <c r="CQ892" s="222"/>
      <c r="CU892" s="222"/>
      <c r="CY892" s="222"/>
    </row>
    <row r="893">
      <c r="A893" s="227"/>
      <c r="E893" s="222"/>
      <c r="I893" s="222"/>
      <c r="M893" s="222"/>
      <c r="Q893" s="222"/>
      <c r="U893" s="222"/>
      <c r="Y893" s="222"/>
      <c r="AC893" s="222"/>
      <c r="AG893" s="222"/>
      <c r="AK893" s="222"/>
      <c r="AO893" s="222"/>
      <c r="AS893" s="222"/>
      <c r="AW893" s="222"/>
      <c r="BA893" s="222"/>
      <c r="BE893" s="222"/>
      <c r="BK893" s="222"/>
      <c r="BO893" s="222"/>
      <c r="BU893" s="222"/>
      <c r="BY893" s="222"/>
      <c r="CC893" s="222"/>
      <c r="CG893" s="222"/>
      <c r="CK893" s="222"/>
      <c r="CQ893" s="222"/>
      <c r="CU893" s="222"/>
      <c r="CY893" s="222"/>
    </row>
    <row r="894">
      <c r="A894" s="227"/>
      <c r="E894" s="222"/>
      <c r="I894" s="222"/>
      <c r="M894" s="222"/>
      <c r="Q894" s="222"/>
      <c r="U894" s="222"/>
      <c r="Y894" s="222"/>
      <c r="AC894" s="222"/>
      <c r="AG894" s="222"/>
      <c r="AK894" s="222"/>
      <c r="AO894" s="222"/>
      <c r="AS894" s="222"/>
      <c r="AW894" s="222"/>
      <c r="BA894" s="222"/>
      <c r="BE894" s="222"/>
      <c r="BK894" s="222"/>
      <c r="BO894" s="222"/>
      <c r="BU894" s="222"/>
      <c r="BY894" s="222"/>
      <c r="CC894" s="222"/>
      <c r="CG894" s="222"/>
      <c r="CK894" s="222"/>
      <c r="CQ894" s="222"/>
      <c r="CU894" s="222"/>
      <c r="CY894" s="222"/>
    </row>
    <row r="895">
      <c r="A895" s="227"/>
      <c r="E895" s="222"/>
      <c r="I895" s="222"/>
      <c r="M895" s="222"/>
      <c r="Q895" s="222"/>
      <c r="U895" s="222"/>
      <c r="Y895" s="222"/>
      <c r="AC895" s="222"/>
      <c r="AG895" s="222"/>
      <c r="AK895" s="222"/>
      <c r="AO895" s="222"/>
      <c r="AS895" s="222"/>
      <c r="AW895" s="222"/>
      <c r="BA895" s="222"/>
      <c r="BE895" s="222"/>
      <c r="BK895" s="222"/>
      <c r="BO895" s="222"/>
      <c r="BU895" s="222"/>
      <c r="BY895" s="222"/>
      <c r="CC895" s="222"/>
      <c r="CG895" s="222"/>
      <c r="CK895" s="222"/>
      <c r="CQ895" s="222"/>
      <c r="CU895" s="222"/>
      <c r="CY895" s="222"/>
    </row>
    <row r="896">
      <c r="A896" s="227"/>
      <c r="E896" s="222"/>
      <c r="I896" s="222"/>
      <c r="M896" s="222"/>
      <c r="Q896" s="222"/>
      <c r="U896" s="222"/>
      <c r="Y896" s="222"/>
      <c r="AC896" s="222"/>
      <c r="AG896" s="222"/>
      <c r="AK896" s="222"/>
      <c r="AO896" s="222"/>
      <c r="AS896" s="222"/>
      <c r="AW896" s="222"/>
      <c r="BA896" s="222"/>
      <c r="BE896" s="222"/>
      <c r="BK896" s="222"/>
      <c r="BO896" s="222"/>
      <c r="BU896" s="222"/>
      <c r="BY896" s="222"/>
      <c r="CC896" s="222"/>
      <c r="CG896" s="222"/>
      <c r="CK896" s="222"/>
      <c r="CQ896" s="222"/>
      <c r="CU896" s="222"/>
      <c r="CY896" s="222"/>
    </row>
    <row r="897">
      <c r="A897" s="227"/>
      <c r="E897" s="222"/>
      <c r="I897" s="222"/>
      <c r="M897" s="222"/>
      <c r="Q897" s="222"/>
      <c r="U897" s="222"/>
      <c r="Y897" s="222"/>
      <c r="AC897" s="222"/>
      <c r="AG897" s="222"/>
      <c r="AK897" s="222"/>
      <c r="AO897" s="222"/>
      <c r="AS897" s="222"/>
      <c r="AW897" s="222"/>
      <c r="BA897" s="222"/>
      <c r="BE897" s="222"/>
      <c r="BK897" s="222"/>
      <c r="BO897" s="222"/>
      <c r="BU897" s="222"/>
      <c r="BY897" s="222"/>
      <c r="CC897" s="222"/>
      <c r="CG897" s="222"/>
      <c r="CK897" s="222"/>
      <c r="CQ897" s="222"/>
      <c r="CU897" s="222"/>
      <c r="CY897" s="222"/>
    </row>
    <row r="898">
      <c r="A898" s="227"/>
      <c r="E898" s="222"/>
      <c r="I898" s="222"/>
      <c r="M898" s="222"/>
      <c r="Q898" s="222"/>
      <c r="U898" s="222"/>
      <c r="Y898" s="222"/>
      <c r="AC898" s="222"/>
      <c r="AG898" s="222"/>
      <c r="AK898" s="222"/>
      <c r="AO898" s="222"/>
      <c r="AS898" s="222"/>
      <c r="AW898" s="222"/>
      <c r="BA898" s="222"/>
      <c r="BE898" s="222"/>
      <c r="BK898" s="222"/>
      <c r="BO898" s="222"/>
      <c r="BU898" s="222"/>
      <c r="BY898" s="222"/>
      <c r="CC898" s="222"/>
      <c r="CG898" s="222"/>
      <c r="CK898" s="222"/>
      <c r="CQ898" s="222"/>
      <c r="CU898" s="222"/>
      <c r="CY898" s="222"/>
    </row>
    <row r="899">
      <c r="A899" s="227"/>
      <c r="E899" s="222"/>
      <c r="I899" s="222"/>
      <c r="M899" s="222"/>
      <c r="Q899" s="222"/>
      <c r="U899" s="222"/>
      <c r="Y899" s="222"/>
      <c r="AC899" s="222"/>
      <c r="AG899" s="222"/>
      <c r="AK899" s="222"/>
      <c r="AO899" s="222"/>
      <c r="AS899" s="222"/>
      <c r="AW899" s="222"/>
      <c r="BA899" s="222"/>
      <c r="BE899" s="222"/>
      <c r="BK899" s="222"/>
      <c r="BO899" s="222"/>
      <c r="BU899" s="222"/>
      <c r="BY899" s="222"/>
      <c r="CC899" s="222"/>
      <c r="CG899" s="222"/>
      <c r="CK899" s="222"/>
      <c r="CQ899" s="222"/>
      <c r="CU899" s="222"/>
      <c r="CY899" s="222"/>
    </row>
    <row r="900">
      <c r="A900" s="227"/>
      <c r="E900" s="222"/>
      <c r="I900" s="222"/>
      <c r="M900" s="222"/>
      <c r="Q900" s="222"/>
      <c r="U900" s="222"/>
      <c r="Y900" s="222"/>
      <c r="AC900" s="222"/>
      <c r="AG900" s="222"/>
      <c r="AK900" s="222"/>
      <c r="AO900" s="222"/>
      <c r="AS900" s="222"/>
      <c r="AW900" s="222"/>
      <c r="BA900" s="222"/>
      <c r="BE900" s="222"/>
      <c r="BK900" s="222"/>
      <c r="BO900" s="222"/>
      <c r="BU900" s="222"/>
      <c r="BY900" s="222"/>
      <c r="CC900" s="222"/>
      <c r="CG900" s="222"/>
      <c r="CK900" s="222"/>
      <c r="CQ900" s="222"/>
      <c r="CU900" s="222"/>
      <c r="CY900" s="222"/>
    </row>
    <row r="901">
      <c r="A901" s="227"/>
      <c r="E901" s="222"/>
      <c r="I901" s="222"/>
      <c r="M901" s="222"/>
      <c r="Q901" s="222"/>
      <c r="U901" s="222"/>
      <c r="Y901" s="222"/>
      <c r="AC901" s="222"/>
      <c r="AG901" s="222"/>
      <c r="AK901" s="222"/>
      <c r="AO901" s="222"/>
      <c r="AS901" s="222"/>
      <c r="AW901" s="222"/>
      <c r="BA901" s="222"/>
      <c r="BE901" s="222"/>
      <c r="BK901" s="222"/>
      <c r="BO901" s="222"/>
      <c r="BU901" s="222"/>
      <c r="BY901" s="222"/>
      <c r="CC901" s="222"/>
      <c r="CG901" s="222"/>
      <c r="CK901" s="222"/>
      <c r="CQ901" s="222"/>
      <c r="CU901" s="222"/>
      <c r="CY901" s="222"/>
    </row>
    <row r="902">
      <c r="A902" s="227"/>
      <c r="E902" s="222"/>
      <c r="I902" s="222"/>
      <c r="M902" s="222"/>
      <c r="Q902" s="222"/>
      <c r="U902" s="222"/>
      <c r="Y902" s="222"/>
      <c r="AC902" s="222"/>
      <c r="AG902" s="222"/>
      <c r="AK902" s="222"/>
      <c r="AO902" s="222"/>
      <c r="AS902" s="222"/>
      <c r="AW902" s="222"/>
      <c r="BA902" s="222"/>
      <c r="BE902" s="222"/>
      <c r="BK902" s="222"/>
      <c r="BO902" s="222"/>
      <c r="BU902" s="222"/>
      <c r="BY902" s="222"/>
      <c r="CC902" s="222"/>
      <c r="CG902" s="222"/>
      <c r="CK902" s="222"/>
      <c r="CQ902" s="222"/>
      <c r="CU902" s="222"/>
      <c r="CY902" s="222"/>
    </row>
    <row r="903">
      <c r="A903" s="227"/>
      <c r="E903" s="222"/>
      <c r="I903" s="222"/>
      <c r="M903" s="222"/>
      <c r="Q903" s="222"/>
      <c r="U903" s="222"/>
      <c r="Y903" s="222"/>
      <c r="AC903" s="222"/>
      <c r="AG903" s="222"/>
      <c r="AK903" s="222"/>
      <c r="AO903" s="222"/>
      <c r="AS903" s="222"/>
      <c r="AW903" s="222"/>
      <c r="BA903" s="222"/>
      <c r="BE903" s="222"/>
      <c r="BK903" s="222"/>
      <c r="BO903" s="222"/>
      <c r="BU903" s="222"/>
      <c r="BY903" s="222"/>
      <c r="CC903" s="222"/>
      <c r="CG903" s="222"/>
      <c r="CK903" s="222"/>
      <c r="CQ903" s="222"/>
      <c r="CU903" s="222"/>
      <c r="CY903" s="222"/>
    </row>
    <row r="904">
      <c r="A904" s="227"/>
      <c r="E904" s="222"/>
      <c r="I904" s="222"/>
      <c r="M904" s="222"/>
      <c r="Q904" s="222"/>
      <c r="U904" s="222"/>
      <c r="Y904" s="222"/>
      <c r="AC904" s="222"/>
      <c r="AG904" s="222"/>
      <c r="AK904" s="222"/>
      <c r="AO904" s="222"/>
      <c r="AS904" s="222"/>
      <c r="AW904" s="222"/>
      <c r="BA904" s="222"/>
      <c r="BE904" s="222"/>
      <c r="BK904" s="222"/>
      <c r="BO904" s="222"/>
      <c r="BU904" s="222"/>
      <c r="BY904" s="222"/>
      <c r="CC904" s="222"/>
      <c r="CG904" s="222"/>
      <c r="CK904" s="222"/>
      <c r="CQ904" s="222"/>
      <c r="CU904" s="222"/>
      <c r="CY904" s="222"/>
    </row>
    <row r="905">
      <c r="A905" s="227"/>
      <c r="E905" s="222"/>
      <c r="I905" s="222"/>
      <c r="M905" s="222"/>
      <c r="Q905" s="222"/>
      <c r="U905" s="222"/>
      <c r="Y905" s="222"/>
      <c r="AC905" s="222"/>
      <c r="AG905" s="222"/>
      <c r="AK905" s="222"/>
      <c r="AO905" s="222"/>
      <c r="AS905" s="222"/>
      <c r="AW905" s="222"/>
      <c r="BA905" s="222"/>
      <c r="BE905" s="222"/>
      <c r="BK905" s="222"/>
      <c r="BO905" s="222"/>
      <c r="BU905" s="222"/>
      <c r="BY905" s="222"/>
      <c r="CC905" s="222"/>
      <c r="CG905" s="222"/>
      <c r="CK905" s="222"/>
      <c r="CQ905" s="222"/>
      <c r="CU905" s="222"/>
      <c r="CY905" s="222"/>
    </row>
    <row r="906">
      <c r="A906" s="227"/>
      <c r="E906" s="222"/>
      <c r="I906" s="222"/>
      <c r="M906" s="222"/>
      <c r="Q906" s="222"/>
      <c r="U906" s="222"/>
      <c r="Y906" s="222"/>
      <c r="AC906" s="222"/>
      <c r="AG906" s="222"/>
      <c r="AK906" s="222"/>
      <c r="AO906" s="222"/>
      <c r="AS906" s="222"/>
      <c r="AW906" s="222"/>
      <c r="BA906" s="222"/>
      <c r="BE906" s="222"/>
      <c r="BK906" s="222"/>
      <c r="BO906" s="222"/>
      <c r="BU906" s="222"/>
      <c r="BY906" s="222"/>
      <c r="CC906" s="222"/>
      <c r="CG906" s="222"/>
      <c r="CK906" s="222"/>
      <c r="CQ906" s="222"/>
      <c r="CU906" s="222"/>
      <c r="CY906" s="222"/>
    </row>
    <row r="907">
      <c r="A907" s="227"/>
      <c r="E907" s="222"/>
      <c r="I907" s="222"/>
      <c r="M907" s="222"/>
      <c r="Q907" s="222"/>
      <c r="U907" s="222"/>
      <c r="Y907" s="222"/>
      <c r="AC907" s="222"/>
      <c r="AG907" s="222"/>
      <c r="AK907" s="222"/>
      <c r="AO907" s="222"/>
      <c r="AS907" s="222"/>
      <c r="AW907" s="222"/>
      <c r="BA907" s="222"/>
      <c r="BE907" s="222"/>
      <c r="BK907" s="222"/>
      <c r="BO907" s="222"/>
      <c r="BU907" s="222"/>
      <c r="BY907" s="222"/>
      <c r="CC907" s="222"/>
      <c r="CG907" s="222"/>
      <c r="CK907" s="222"/>
      <c r="CQ907" s="222"/>
      <c r="CU907" s="222"/>
      <c r="CY907" s="222"/>
    </row>
    <row r="908">
      <c r="A908" s="227"/>
      <c r="E908" s="222"/>
      <c r="I908" s="222"/>
      <c r="M908" s="222"/>
      <c r="Q908" s="222"/>
      <c r="U908" s="222"/>
      <c r="Y908" s="222"/>
      <c r="AC908" s="222"/>
      <c r="AG908" s="222"/>
      <c r="AK908" s="222"/>
      <c r="AO908" s="222"/>
      <c r="AS908" s="222"/>
      <c r="AW908" s="222"/>
      <c r="BA908" s="222"/>
      <c r="BE908" s="222"/>
      <c r="BK908" s="222"/>
      <c r="BO908" s="222"/>
      <c r="BU908" s="222"/>
      <c r="BY908" s="222"/>
      <c r="CC908" s="222"/>
      <c r="CG908" s="222"/>
      <c r="CK908" s="222"/>
      <c r="CQ908" s="222"/>
      <c r="CU908" s="222"/>
      <c r="CY908" s="222"/>
    </row>
    <row r="909">
      <c r="A909" s="227"/>
      <c r="E909" s="222"/>
      <c r="I909" s="222"/>
      <c r="M909" s="222"/>
      <c r="Q909" s="222"/>
      <c r="U909" s="222"/>
      <c r="Y909" s="222"/>
      <c r="AC909" s="222"/>
      <c r="AG909" s="222"/>
      <c r="AK909" s="222"/>
      <c r="AO909" s="222"/>
      <c r="AS909" s="222"/>
      <c r="AW909" s="222"/>
      <c r="BA909" s="222"/>
      <c r="BE909" s="222"/>
      <c r="BK909" s="222"/>
      <c r="BO909" s="222"/>
      <c r="BU909" s="222"/>
      <c r="BY909" s="222"/>
      <c r="CC909" s="222"/>
      <c r="CG909" s="222"/>
      <c r="CK909" s="222"/>
      <c r="CQ909" s="222"/>
      <c r="CU909" s="222"/>
      <c r="CY909" s="222"/>
    </row>
    <row r="910">
      <c r="A910" s="227"/>
      <c r="E910" s="222"/>
      <c r="I910" s="222"/>
      <c r="M910" s="222"/>
      <c r="Q910" s="222"/>
      <c r="U910" s="222"/>
      <c r="Y910" s="222"/>
      <c r="AC910" s="222"/>
      <c r="AG910" s="222"/>
      <c r="AK910" s="222"/>
      <c r="AO910" s="222"/>
      <c r="AS910" s="222"/>
      <c r="AW910" s="222"/>
      <c r="BA910" s="222"/>
      <c r="BE910" s="222"/>
      <c r="BK910" s="222"/>
      <c r="BO910" s="222"/>
      <c r="BU910" s="222"/>
      <c r="BY910" s="222"/>
      <c r="CC910" s="222"/>
      <c r="CG910" s="222"/>
      <c r="CK910" s="222"/>
      <c r="CQ910" s="222"/>
      <c r="CU910" s="222"/>
      <c r="CY910" s="222"/>
    </row>
    <row r="911">
      <c r="A911" s="227"/>
      <c r="E911" s="222"/>
      <c r="I911" s="222"/>
      <c r="M911" s="222"/>
      <c r="Q911" s="222"/>
      <c r="U911" s="222"/>
      <c r="Y911" s="222"/>
      <c r="AC911" s="222"/>
      <c r="AG911" s="222"/>
      <c r="AK911" s="222"/>
      <c r="AO911" s="222"/>
      <c r="AS911" s="222"/>
      <c r="AW911" s="222"/>
      <c r="BA911" s="222"/>
      <c r="BE911" s="222"/>
      <c r="BK911" s="222"/>
      <c r="BO911" s="222"/>
      <c r="BU911" s="222"/>
      <c r="BY911" s="222"/>
      <c r="CC911" s="222"/>
      <c r="CG911" s="222"/>
      <c r="CK911" s="222"/>
      <c r="CQ911" s="222"/>
      <c r="CU911" s="222"/>
      <c r="CY911" s="222"/>
    </row>
    <row r="912">
      <c r="A912" s="227"/>
      <c r="E912" s="222"/>
      <c r="I912" s="222"/>
      <c r="M912" s="222"/>
      <c r="Q912" s="222"/>
      <c r="U912" s="222"/>
      <c r="Y912" s="222"/>
      <c r="AC912" s="222"/>
      <c r="AG912" s="222"/>
      <c r="AK912" s="222"/>
      <c r="AO912" s="222"/>
      <c r="AS912" s="222"/>
      <c r="AW912" s="222"/>
      <c r="BA912" s="222"/>
      <c r="BE912" s="222"/>
      <c r="BK912" s="222"/>
      <c r="BO912" s="222"/>
      <c r="BU912" s="222"/>
      <c r="BY912" s="222"/>
      <c r="CC912" s="222"/>
      <c r="CG912" s="222"/>
      <c r="CK912" s="222"/>
      <c r="CQ912" s="222"/>
      <c r="CU912" s="222"/>
      <c r="CY912" s="222"/>
    </row>
    <row r="913">
      <c r="A913" s="227"/>
      <c r="E913" s="222"/>
      <c r="I913" s="222"/>
      <c r="M913" s="222"/>
      <c r="Q913" s="222"/>
      <c r="U913" s="222"/>
      <c r="Y913" s="222"/>
      <c r="AC913" s="222"/>
      <c r="AG913" s="222"/>
      <c r="AK913" s="222"/>
      <c r="AO913" s="222"/>
      <c r="AS913" s="222"/>
      <c r="AW913" s="222"/>
      <c r="BA913" s="222"/>
      <c r="BE913" s="222"/>
      <c r="BK913" s="222"/>
      <c r="BO913" s="222"/>
      <c r="BU913" s="222"/>
      <c r="BY913" s="222"/>
      <c r="CC913" s="222"/>
      <c r="CG913" s="222"/>
      <c r="CK913" s="222"/>
      <c r="CQ913" s="222"/>
      <c r="CU913" s="222"/>
      <c r="CY913" s="222"/>
    </row>
    <row r="914">
      <c r="A914" s="227"/>
      <c r="E914" s="222"/>
      <c r="I914" s="222"/>
      <c r="M914" s="222"/>
      <c r="Q914" s="222"/>
      <c r="U914" s="222"/>
      <c r="Y914" s="222"/>
      <c r="AC914" s="222"/>
      <c r="AG914" s="222"/>
      <c r="AK914" s="222"/>
      <c r="AO914" s="222"/>
      <c r="AS914" s="222"/>
      <c r="AW914" s="222"/>
      <c r="BA914" s="222"/>
      <c r="BE914" s="222"/>
      <c r="BK914" s="222"/>
      <c r="BO914" s="222"/>
      <c r="BU914" s="222"/>
      <c r="BY914" s="222"/>
      <c r="CC914" s="222"/>
      <c r="CG914" s="222"/>
      <c r="CK914" s="222"/>
      <c r="CQ914" s="222"/>
      <c r="CU914" s="222"/>
      <c r="CY914" s="222"/>
    </row>
    <row r="915">
      <c r="A915" s="227"/>
      <c r="E915" s="222"/>
      <c r="I915" s="222"/>
      <c r="M915" s="222"/>
      <c r="Q915" s="222"/>
      <c r="U915" s="222"/>
      <c r="Y915" s="222"/>
      <c r="AC915" s="222"/>
      <c r="AG915" s="222"/>
      <c r="AK915" s="222"/>
      <c r="AO915" s="222"/>
      <c r="AS915" s="222"/>
      <c r="AW915" s="222"/>
      <c r="BA915" s="222"/>
      <c r="BE915" s="222"/>
      <c r="BK915" s="222"/>
      <c r="BO915" s="222"/>
      <c r="BU915" s="222"/>
      <c r="BY915" s="222"/>
      <c r="CC915" s="222"/>
      <c r="CG915" s="222"/>
      <c r="CK915" s="222"/>
      <c r="CQ915" s="222"/>
      <c r="CU915" s="222"/>
      <c r="CY915" s="222"/>
    </row>
    <row r="916">
      <c r="A916" s="227"/>
      <c r="E916" s="222"/>
      <c r="I916" s="222"/>
      <c r="M916" s="222"/>
      <c r="Q916" s="222"/>
      <c r="U916" s="222"/>
      <c r="Y916" s="222"/>
      <c r="AC916" s="222"/>
      <c r="AG916" s="222"/>
      <c r="AK916" s="222"/>
      <c r="AO916" s="222"/>
      <c r="AS916" s="222"/>
      <c r="AW916" s="222"/>
      <c r="BA916" s="222"/>
      <c r="BE916" s="222"/>
      <c r="BK916" s="222"/>
      <c r="BO916" s="222"/>
      <c r="BU916" s="222"/>
      <c r="BY916" s="222"/>
      <c r="CC916" s="222"/>
      <c r="CG916" s="222"/>
      <c r="CK916" s="222"/>
      <c r="CQ916" s="222"/>
      <c r="CU916" s="222"/>
      <c r="CY916" s="222"/>
    </row>
    <row r="917">
      <c r="A917" s="227"/>
      <c r="E917" s="222"/>
      <c r="I917" s="222"/>
      <c r="M917" s="222"/>
      <c r="Q917" s="222"/>
      <c r="U917" s="222"/>
      <c r="Y917" s="222"/>
      <c r="AC917" s="222"/>
      <c r="AG917" s="222"/>
      <c r="AK917" s="222"/>
      <c r="AO917" s="222"/>
      <c r="AS917" s="222"/>
      <c r="AW917" s="222"/>
      <c r="BA917" s="222"/>
      <c r="BE917" s="222"/>
      <c r="BK917" s="222"/>
      <c r="BO917" s="222"/>
      <c r="BU917" s="222"/>
      <c r="BY917" s="222"/>
      <c r="CC917" s="222"/>
      <c r="CG917" s="222"/>
      <c r="CK917" s="222"/>
      <c r="CQ917" s="222"/>
      <c r="CU917" s="222"/>
      <c r="CY917" s="222"/>
    </row>
    <row r="918">
      <c r="A918" s="227"/>
      <c r="E918" s="222"/>
      <c r="I918" s="222"/>
      <c r="M918" s="222"/>
      <c r="Q918" s="222"/>
      <c r="U918" s="222"/>
      <c r="Y918" s="222"/>
      <c r="AC918" s="222"/>
      <c r="AG918" s="222"/>
      <c r="AK918" s="222"/>
      <c r="AO918" s="222"/>
      <c r="AS918" s="222"/>
      <c r="AW918" s="222"/>
      <c r="BA918" s="222"/>
      <c r="BE918" s="222"/>
      <c r="BK918" s="222"/>
      <c r="BO918" s="222"/>
      <c r="BU918" s="222"/>
      <c r="BY918" s="222"/>
      <c r="CC918" s="222"/>
      <c r="CG918" s="222"/>
      <c r="CK918" s="222"/>
      <c r="CQ918" s="222"/>
      <c r="CU918" s="222"/>
      <c r="CY918" s="222"/>
    </row>
    <row r="919">
      <c r="A919" s="227"/>
      <c r="E919" s="222"/>
      <c r="I919" s="222"/>
      <c r="M919" s="222"/>
      <c r="Q919" s="222"/>
      <c r="U919" s="222"/>
      <c r="Y919" s="222"/>
      <c r="AC919" s="222"/>
      <c r="AG919" s="222"/>
      <c r="AK919" s="222"/>
      <c r="AO919" s="222"/>
      <c r="AS919" s="222"/>
      <c r="AW919" s="222"/>
      <c r="BA919" s="222"/>
      <c r="BE919" s="222"/>
      <c r="BK919" s="222"/>
      <c r="BO919" s="222"/>
      <c r="BU919" s="222"/>
      <c r="BY919" s="222"/>
      <c r="CC919" s="222"/>
      <c r="CG919" s="222"/>
      <c r="CK919" s="222"/>
      <c r="CQ919" s="222"/>
      <c r="CU919" s="222"/>
      <c r="CY919" s="222"/>
    </row>
    <row r="920">
      <c r="A920" s="227"/>
      <c r="E920" s="222"/>
      <c r="I920" s="222"/>
      <c r="M920" s="222"/>
      <c r="Q920" s="222"/>
      <c r="U920" s="222"/>
      <c r="Y920" s="222"/>
      <c r="AC920" s="222"/>
      <c r="AG920" s="222"/>
      <c r="AK920" s="222"/>
      <c r="AO920" s="222"/>
      <c r="AS920" s="222"/>
      <c r="AW920" s="222"/>
      <c r="BA920" s="222"/>
      <c r="BE920" s="222"/>
      <c r="BK920" s="222"/>
      <c r="BO920" s="222"/>
      <c r="BU920" s="222"/>
      <c r="BY920" s="222"/>
      <c r="CC920" s="222"/>
      <c r="CG920" s="222"/>
      <c r="CK920" s="222"/>
      <c r="CQ920" s="222"/>
      <c r="CU920" s="222"/>
      <c r="CY920" s="222"/>
    </row>
    <row r="921">
      <c r="A921" s="227"/>
      <c r="E921" s="222"/>
      <c r="I921" s="222"/>
      <c r="M921" s="222"/>
      <c r="Q921" s="222"/>
      <c r="U921" s="222"/>
      <c r="Y921" s="222"/>
      <c r="AC921" s="222"/>
      <c r="AG921" s="222"/>
      <c r="AK921" s="222"/>
      <c r="AO921" s="222"/>
      <c r="AS921" s="222"/>
      <c r="AW921" s="222"/>
      <c r="BA921" s="222"/>
      <c r="BE921" s="222"/>
      <c r="BK921" s="222"/>
      <c r="BO921" s="222"/>
      <c r="BU921" s="222"/>
      <c r="BY921" s="222"/>
      <c r="CC921" s="222"/>
      <c r="CG921" s="222"/>
      <c r="CK921" s="222"/>
      <c r="CQ921" s="222"/>
      <c r="CU921" s="222"/>
      <c r="CY921" s="222"/>
    </row>
    <row r="922">
      <c r="A922" s="227"/>
      <c r="E922" s="222"/>
      <c r="I922" s="222"/>
      <c r="M922" s="222"/>
      <c r="Q922" s="222"/>
      <c r="U922" s="222"/>
      <c r="Y922" s="222"/>
      <c r="AC922" s="222"/>
      <c r="AG922" s="222"/>
      <c r="AK922" s="222"/>
      <c r="AO922" s="222"/>
      <c r="AS922" s="222"/>
      <c r="AW922" s="222"/>
      <c r="BA922" s="222"/>
      <c r="BE922" s="222"/>
      <c r="BK922" s="222"/>
      <c r="BO922" s="222"/>
      <c r="BU922" s="222"/>
      <c r="BY922" s="222"/>
      <c r="CC922" s="222"/>
      <c r="CG922" s="222"/>
      <c r="CK922" s="222"/>
      <c r="CQ922" s="222"/>
      <c r="CU922" s="222"/>
      <c r="CY922" s="222"/>
    </row>
    <row r="923">
      <c r="A923" s="227"/>
      <c r="E923" s="222"/>
      <c r="I923" s="222"/>
      <c r="M923" s="222"/>
      <c r="Q923" s="222"/>
      <c r="U923" s="222"/>
      <c r="Y923" s="222"/>
      <c r="AC923" s="222"/>
      <c r="AG923" s="222"/>
      <c r="AK923" s="222"/>
      <c r="AO923" s="222"/>
      <c r="AS923" s="222"/>
      <c r="AW923" s="222"/>
      <c r="BA923" s="222"/>
      <c r="BE923" s="222"/>
      <c r="BK923" s="222"/>
      <c r="BO923" s="222"/>
      <c r="BU923" s="222"/>
      <c r="BY923" s="222"/>
      <c r="CC923" s="222"/>
      <c r="CG923" s="222"/>
      <c r="CK923" s="222"/>
      <c r="CQ923" s="222"/>
      <c r="CU923" s="222"/>
      <c r="CY923" s="222"/>
    </row>
    <row r="924">
      <c r="A924" s="227"/>
      <c r="E924" s="222"/>
      <c r="I924" s="222"/>
      <c r="M924" s="222"/>
      <c r="Q924" s="222"/>
      <c r="U924" s="222"/>
      <c r="Y924" s="222"/>
      <c r="AC924" s="222"/>
      <c r="AG924" s="222"/>
      <c r="AK924" s="222"/>
      <c r="AO924" s="222"/>
      <c r="AS924" s="222"/>
      <c r="AW924" s="222"/>
      <c r="BA924" s="222"/>
      <c r="BE924" s="222"/>
      <c r="BK924" s="222"/>
      <c r="BO924" s="222"/>
      <c r="BU924" s="222"/>
      <c r="BY924" s="222"/>
      <c r="CC924" s="222"/>
      <c r="CG924" s="222"/>
      <c r="CK924" s="222"/>
      <c r="CQ924" s="222"/>
      <c r="CU924" s="222"/>
      <c r="CY924" s="222"/>
    </row>
    <row r="925">
      <c r="A925" s="227"/>
      <c r="E925" s="222"/>
      <c r="I925" s="222"/>
      <c r="M925" s="222"/>
      <c r="Q925" s="222"/>
      <c r="U925" s="222"/>
      <c r="Y925" s="222"/>
      <c r="AC925" s="222"/>
      <c r="AG925" s="222"/>
      <c r="AK925" s="222"/>
      <c r="AO925" s="222"/>
      <c r="AS925" s="222"/>
      <c r="AW925" s="222"/>
      <c r="BA925" s="222"/>
      <c r="BE925" s="222"/>
      <c r="BK925" s="222"/>
      <c r="BO925" s="222"/>
      <c r="BU925" s="222"/>
      <c r="BY925" s="222"/>
      <c r="CC925" s="222"/>
      <c r="CG925" s="222"/>
      <c r="CK925" s="222"/>
      <c r="CQ925" s="222"/>
      <c r="CU925" s="222"/>
      <c r="CY925" s="222"/>
    </row>
    <row r="926">
      <c r="A926" s="227"/>
      <c r="E926" s="222"/>
      <c r="I926" s="222"/>
      <c r="M926" s="222"/>
      <c r="Q926" s="222"/>
      <c r="U926" s="222"/>
      <c r="Y926" s="222"/>
      <c r="AC926" s="222"/>
      <c r="AG926" s="222"/>
      <c r="AK926" s="222"/>
      <c r="AO926" s="222"/>
      <c r="AS926" s="222"/>
      <c r="AW926" s="222"/>
      <c r="BA926" s="222"/>
      <c r="BE926" s="222"/>
      <c r="BK926" s="222"/>
      <c r="BO926" s="222"/>
      <c r="BU926" s="222"/>
      <c r="BY926" s="222"/>
      <c r="CC926" s="222"/>
      <c r="CG926" s="222"/>
      <c r="CK926" s="222"/>
      <c r="CQ926" s="222"/>
      <c r="CU926" s="222"/>
      <c r="CY926" s="222"/>
    </row>
    <row r="927">
      <c r="A927" s="227"/>
      <c r="E927" s="222"/>
      <c r="I927" s="222"/>
      <c r="M927" s="222"/>
      <c r="Q927" s="222"/>
      <c r="U927" s="222"/>
      <c r="Y927" s="222"/>
      <c r="AC927" s="222"/>
      <c r="AG927" s="222"/>
      <c r="AK927" s="222"/>
      <c r="AO927" s="222"/>
      <c r="AS927" s="222"/>
      <c r="AW927" s="222"/>
      <c r="BA927" s="222"/>
      <c r="BE927" s="222"/>
      <c r="BK927" s="222"/>
      <c r="BO927" s="222"/>
      <c r="BU927" s="222"/>
      <c r="BY927" s="222"/>
      <c r="CC927" s="222"/>
      <c r="CG927" s="222"/>
      <c r="CK927" s="222"/>
      <c r="CQ927" s="222"/>
      <c r="CU927" s="222"/>
      <c r="CY927" s="222"/>
    </row>
    <row r="928">
      <c r="A928" s="227"/>
      <c r="E928" s="222"/>
      <c r="I928" s="222"/>
      <c r="M928" s="222"/>
      <c r="Q928" s="222"/>
      <c r="U928" s="222"/>
      <c r="Y928" s="222"/>
      <c r="AC928" s="222"/>
      <c r="AG928" s="222"/>
      <c r="AK928" s="222"/>
      <c r="AO928" s="222"/>
      <c r="AS928" s="222"/>
      <c r="AW928" s="222"/>
      <c r="BA928" s="222"/>
      <c r="BE928" s="222"/>
      <c r="BK928" s="222"/>
      <c r="BO928" s="222"/>
      <c r="BU928" s="222"/>
      <c r="BY928" s="222"/>
      <c r="CC928" s="222"/>
      <c r="CG928" s="222"/>
      <c r="CK928" s="222"/>
      <c r="CQ928" s="222"/>
      <c r="CU928" s="222"/>
      <c r="CY928" s="222"/>
    </row>
    <row r="929">
      <c r="A929" s="227"/>
      <c r="E929" s="222"/>
      <c r="I929" s="222"/>
      <c r="M929" s="222"/>
      <c r="Q929" s="222"/>
      <c r="U929" s="222"/>
      <c r="Y929" s="222"/>
      <c r="AC929" s="222"/>
      <c r="AG929" s="222"/>
      <c r="AK929" s="222"/>
      <c r="AO929" s="222"/>
      <c r="AS929" s="222"/>
      <c r="AW929" s="222"/>
      <c r="BA929" s="222"/>
      <c r="BE929" s="222"/>
      <c r="BK929" s="222"/>
      <c r="BO929" s="222"/>
      <c r="BU929" s="222"/>
      <c r="BY929" s="222"/>
      <c r="CC929" s="222"/>
      <c r="CG929" s="222"/>
      <c r="CK929" s="222"/>
      <c r="CQ929" s="222"/>
      <c r="CU929" s="222"/>
      <c r="CY929" s="222"/>
    </row>
    <row r="930">
      <c r="A930" s="227"/>
      <c r="E930" s="222"/>
      <c r="I930" s="222"/>
      <c r="M930" s="222"/>
      <c r="Q930" s="222"/>
      <c r="U930" s="222"/>
      <c r="Y930" s="222"/>
      <c r="AC930" s="222"/>
      <c r="AG930" s="222"/>
      <c r="AK930" s="222"/>
      <c r="AO930" s="222"/>
      <c r="AS930" s="222"/>
      <c r="AW930" s="222"/>
      <c r="BA930" s="222"/>
      <c r="BE930" s="222"/>
      <c r="BK930" s="222"/>
      <c r="BO930" s="222"/>
      <c r="BU930" s="222"/>
      <c r="BY930" s="222"/>
      <c r="CC930" s="222"/>
      <c r="CG930" s="222"/>
      <c r="CK930" s="222"/>
      <c r="CQ930" s="222"/>
      <c r="CU930" s="222"/>
      <c r="CY930" s="222"/>
    </row>
    <row r="931">
      <c r="A931" s="227"/>
      <c r="E931" s="222"/>
      <c r="I931" s="222"/>
      <c r="M931" s="222"/>
      <c r="Q931" s="222"/>
      <c r="U931" s="222"/>
      <c r="Y931" s="222"/>
      <c r="AC931" s="222"/>
      <c r="AG931" s="222"/>
      <c r="AK931" s="222"/>
      <c r="AO931" s="222"/>
      <c r="AS931" s="222"/>
      <c r="AW931" s="222"/>
      <c r="BA931" s="222"/>
      <c r="BE931" s="222"/>
      <c r="BK931" s="222"/>
      <c r="BO931" s="222"/>
      <c r="BU931" s="222"/>
      <c r="BY931" s="222"/>
      <c r="CC931" s="222"/>
      <c r="CG931" s="222"/>
      <c r="CK931" s="222"/>
      <c r="CQ931" s="222"/>
      <c r="CU931" s="222"/>
      <c r="CY931" s="222"/>
    </row>
    <row r="932">
      <c r="A932" s="227"/>
      <c r="E932" s="222"/>
      <c r="I932" s="222"/>
      <c r="M932" s="222"/>
      <c r="Q932" s="222"/>
      <c r="U932" s="222"/>
      <c r="Y932" s="222"/>
      <c r="AC932" s="222"/>
      <c r="AG932" s="222"/>
      <c r="AK932" s="222"/>
      <c r="AO932" s="222"/>
      <c r="AS932" s="222"/>
      <c r="AW932" s="222"/>
      <c r="BA932" s="222"/>
      <c r="BE932" s="222"/>
      <c r="BK932" s="222"/>
      <c r="BO932" s="222"/>
      <c r="BU932" s="222"/>
      <c r="BY932" s="222"/>
      <c r="CC932" s="222"/>
      <c r="CG932" s="222"/>
      <c r="CK932" s="222"/>
      <c r="CQ932" s="222"/>
      <c r="CU932" s="222"/>
      <c r="CY932" s="222"/>
    </row>
    <row r="933">
      <c r="A933" s="227"/>
      <c r="E933" s="222"/>
      <c r="I933" s="222"/>
      <c r="M933" s="222"/>
      <c r="Q933" s="222"/>
      <c r="U933" s="222"/>
      <c r="Y933" s="222"/>
      <c r="AC933" s="222"/>
      <c r="AG933" s="222"/>
      <c r="AK933" s="222"/>
      <c r="AO933" s="222"/>
      <c r="AS933" s="222"/>
      <c r="AW933" s="222"/>
      <c r="BA933" s="222"/>
      <c r="BE933" s="222"/>
      <c r="BK933" s="222"/>
      <c r="BO933" s="222"/>
      <c r="BU933" s="222"/>
      <c r="BY933" s="222"/>
      <c r="CC933" s="222"/>
      <c r="CG933" s="222"/>
      <c r="CK933" s="222"/>
      <c r="CQ933" s="222"/>
      <c r="CU933" s="222"/>
      <c r="CY933" s="222"/>
    </row>
    <row r="934">
      <c r="A934" s="227"/>
      <c r="E934" s="222"/>
      <c r="I934" s="222"/>
      <c r="M934" s="222"/>
      <c r="Q934" s="222"/>
      <c r="U934" s="222"/>
      <c r="Y934" s="222"/>
      <c r="AC934" s="222"/>
      <c r="AG934" s="222"/>
      <c r="AK934" s="222"/>
      <c r="AO934" s="222"/>
      <c r="AS934" s="222"/>
      <c r="AW934" s="222"/>
      <c r="BA934" s="222"/>
      <c r="BE934" s="222"/>
      <c r="BK934" s="222"/>
      <c r="BO934" s="222"/>
      <c r="BU934" s="222"/>
      <c r="BY934" s="222"/>
      <c r="CC934" s="222"/>
      <c r="CG934" s="222"/>
      <c r="CK934" s="222"/>
      <c r="CQ934" s="222"/>
      <c r="CU934" s="222"/>
      <c r="CY934" s="222"/>
    </row>
    <row r="935">
      <c r="A935" s="227"/>
      <c r="E935" s="222"/>
      <c r="I935" s="222"/>
      <c r="M935" s="222"/>
      <c r="Q935" s="222"/>
      <c r="U935" s="222"/>
      <c r="Y935" s="222"/>
      <c r="AC935" s="222"/>
      <c r="AG935" s="222"/>
      <c r="AK935" s="222"/>
      <c r="AO935" s="222"/>
      <c r="AS935" s="222"/>
      <c r="AW935" s="222"/>
      <c r="BA935" s="222"/>
      <c r="BE935" s="222"/>
      <c r="BK935" s="222"/>
      <c r="BO935" s="222"/>
      <c r="BU935" s="222"/>
      <c r="BY935" s="222"/>
      <c r="CC935" s="222"/>
      <c r="CG935" s="222"/>
      <c r="CK935" s="222"/>
      <c r="CQ935" s="222"/>
      <c r="CU935" s="222"/>
      <c r="CY935" s="222"/>
    </row>
    <row r="936">
      <c r="A936" s="227"/>
      <c r="E936" s="222"/>
      <c r="I936" s="222"/>
      <c r="M936" s="222"/>
      <c r="Q936" s="222"/>
      <c r="U936" s="222"/>
      <c r="Y936" s="222"/>
      <c r="AC936" s="222"/>
      <c r="AG936" s="222"/>
      <c r="AK936" s="222"/>
      <c r="AO936" s="222"/>
      <c r="AS936" s="222"/>
      <c r="AW936" s="222"/>
      <c r="BA936" s="222"/>
      <c r="BE936" s="222"/>
      <c r="BK936" s="222"/>
      <c r="BO936" s="222"/>
      <c r="BU936" s="222"/>
      <c r="BY936" s="222"/>
      <c r="CC936" s="222"/>
      <c r="CG936" s="222"/>
      <c r="CK936" s="222"/>
      <c r="CQ936" s="222"/>
      <c r="CU936" s="222"/>
      <c r="CY936" s="222"/>
    </row>
    <row r="937">
      <c r="A937" s="227"/>
      <c r="E937" s="222"/>
      <c r="I937" s="222"/>
      <c r="M937" s="222"/>
      <c r="Q937" s="222"/>
      <c r="U937" s="222"/>
      <c r="Y937" s="222"/>
      <c r="AC937" s="222"/>
      <c r="AG937" s="222"/>
      <c r="AK937" s="222"/>
      <c r="AO937" s="222"/>
      <c r="AS937" s="222"/>
      <c r="AW937" s="222"/>
      <c r="BA937" s="222"/>
      <c r="BE937" s="222"/>
      <c r="BK937" s="222"/>
      <c r="BO937" s="222"/>
      <c r="BU937" s="222"/>
      <c r="BY937" s="222"/>
      <c r="CC937" s="222"/>
      <c r="CG937" s="222"/>
      <c r="CK937" s="222"/>
      <c r="CQ937" s="222"/>
      <c r="CU937" s="222"/>
      <c r="CY937" s="222"/>
    </row>
    <row r="938">
      <c r="A938" s="227"/>
      <c r="E938" s="222"/>
      <c r="I938" s="222"/>
      <c r="M938" s="222"/>
      <c r="Q938" s="222"/>
      <c r="U938" s="222"/>
      <c r="Y938" s="222"/>
      <c r="AC938" s="222"/>
      <c r="AG938" s="222"/>
      <c r="AK938" s="222"/>
      <c r="AO938" s="222"/>
      <c r="AS938" s="222"/>
      <c r="AW938" s="222"/>
      <c r="BA938" s="222"/>
      <c r="BE938" s="222"/>
      <c r="BK938" s="222"/>
      <c r="BO938" s="222"/>
      <c r="BU938" s="222"/>
      <c r="BY938" s="222"/>
      <c r="CC938" s="222"/>
      <c r="CG938" s="222"/>
      <c r="CK938" s="222"/>
      <c r="CQ938" s="222"/>
      <c r="CU938" s="222"/>
      <c r="CY938" s="222"/>
    </row>
    <row r="939">
      <c r="A939" s="227"/>
      <c r="E939" s="222"/>
      <c r="I939" s="222"/>
      <c r="M939" s="222"/>
      <c r="Q939" s="222"/>
      <c r="U939" s="222"/>
      <c r="Y939" s="222"/>
      <c r="AC939" s="222"/>
      <c r="AG939" s="222"/>
      <c r="AK939" s="222"/>
      <c r="AO939" s="222"/>
      <c r="AS939" s="222"/>
      <c r="AW939" s="222"/>
      <c r="BA939" s="222"/>
      <c r="BE939" s="222"/>
      <c r="BK939" s="222"/>
      <c r="BO939" s="222"/>
      <c r="BU939" s="222"/>
      <c r="BY939" s="222"/>
      <c r="CC939" s="222"/>
      <c r="CG939" s="222"/>
      <c r="CK939" s="222"/>
      <c r="CQ939" s="222"/>
      <c r="CU939" s="222"/>
      <c r="CY939" s="222"/>
    </row>
    <row r="940">
      <c r="A940" s="227"/>
      <c r="E940" s="222"/>
      <c r="I940" s="222"/>
      <c r="M940" s="222"/>
      <c r="Q940" s="222"/>
      <c r="U940" s="222"/>
      <c r="Y940" s="222"/>
      <c r="AC940" s="222"/>
      <c r="AG940" s="222"/>
      <c r="AK940" s="222"/>
      <c r="AO940" s="222"/>
      <c r="AS940" s="222"/>
      <c r="AW940" s="222"/>
      <c r="BA940" s="222"/>
      <c r="BE940" s="222"/>
      <c r="BK940" s="222"/>
      <c r="BO940" s="222"/>
      <c r="BU940" s="222"/>
      <c r="BY940" s="222"/>
      <c r="CC940" s="222"/>
      <c r="CG940" s="222"/>
      <c r="CK940" s="222"/>
      <c r="CQ940" s="222"/>
      <c r="CU940" s="222"/>
      <c r="CY940" s="222"/>
    </row>
    <row r="941">
      <c r="A941" s="227"/>
      <c r="E941" s="222"/>
      <c r="I941" s="222"/>
      <c r="M941" s="222"/>
      <c r="Q941" s="222"/>
      <c r="U941" s="222"/>
      <c r="Y941" s="222"/>
      <c r="AC941" s="222"/>
      <c r="AG941" s="222"/>
      <c r="AK941" s="222"/>
      <c r="AO941" s="222"/>
      <c r="AS941" s="222"/>
      <c r="AW941" s="222"/>
      <c r="BA941" s="222"/>
      <c r="BE941" s="222"/>
      <c r="BK941" s="222"/>
      <c r="BO941" s="222"/>
      <c r="BU941" s="222"/>
      <c r="BY941" s="222"/>
      <c r="CC941" s="222"/>
      <c r="CG941" s="222"/>
      <c r="CK941" s="222"/>
      <c r="CQ941" s="222"/>
      <c r="CU941" s="222"/>
      <c r="CY941" s="222"/>
    </row>
    <row r="942">
      <c r="A942" s="227"/>
      <c r="E942" s="222"/>
      <c r="I942" s="222"/>
      <c r="M942" s="222"/>
      <c r="Q942" s="222"/>
      <c r="U942" s="222"/>
      <c r="Y942" s="222"/>
      <c r="AC942" s="222"/>
      <c r="AG942" s="222"/>
      <c r="AK942" s="222"/>
      <c r="AO942" s="222"/>
      <c r="AS942" s="222"/>
      <c r="AW942" s="222"/>
      <c r="BA942" s="222"/>
      <c r="BE942" s="222"/>
      <c r="BK942" s="222"/>
      <c r="BO942" s="222"/>
      <c r="BU942" s="222"/>
      <c r="BY942" s="222"/>
      <c r="CC942" s="222"/>
      <c r="CG942" s="222"/>
      <c r="CK942" s="222"/>
      <c r="CQ942" s="222"/>
      <c r="CU942" s="222"/>
      <c r="CY942" s="222"/>
    </row>
    <row r="943">
      <c r="A943" s="227"/>
      <c r="E943" s="222"/>
      <c r="I943" s="222"/>
      <c r="M943" s="222"/>
      <c r="Q943" s="222"/>
      <c r="U943" s="222"/>
      <c r="Y943" s="222"/>
      <c r="AC943" s="222"/>
      <c r="AG943" s="222"/>
      <c r="AK943" s="222"/>
      <c r="AO943" s="222"/>
      <c r="AS943" s="222"/>
      <c r="AW943" s="222"/>
      <c r="BA943" s="222"/>
      <c r="BE943" s="222"/>
      <c r="BK943" s="222"/>
      <c r="BO943" s="222"/>
      <c r="BU943" s="222"/>
      <c r="BY943" s="222"/>
      <c r="CC943" s="222"/>
      <c r="CG943" s="222"/>
      <c r="CK943" s="222"/>
      <c r="CQ943" s="222"/>
      <c r="CU943" s="222"/>
      <c r="CY943" s="222"/>
    </row>
    <row r="944">
      <c r="A944" s="227"/>
      <c r="E944" s="222"/>
      <c r="I944" s="222"/>
      <c r="M944" s="222"/>
      <c r="Q944" s="222"/>
      <c r="U944" s="222"/>
      <c r="Y944" s="222"/>
      <c r="AC944" s="222"/>
      <c r="AG944" s="222"/>
      <c r="AK944" s="222"/>
      <c r="AO944" s="222"/>
      <c r="AS944" s="222"/>
      <c r="AW944" s="222"/>
      <c r="BA944" s="222"/>
      <c r="BE944" s="222"/>
      <c r="BK944" s="222"/>
      <c r="BO944" s="222"/>
      <c r="BU944" s="222"/>
      <c r="BY944" s="222"/>
      <c r="CC944" s="222"/>
      <c r="CG944" s="222"/>
      <c r="CK944" s="222"/>
      <c r="CQ944" s="222"/>
      <c r="CU944" s="222"/>
      <c r="CY944" s="222"/>
    </row>
    <row r="945">
      <c r="A945" s="227"/>
      <c r="E945" s="222"/>
      <c r="I945" s="222"/>
      <c r="M945" s="222"/>
      <c r="Q945" s="222"/>
      <c r="U945" s="222"/>
      <c r="Y945" s="222"/>
      <c r="AC945" s="222"/>
      <c r="AG945" s="222"/>
      <c r="AK945" s="222"/>
      <c r="AO945" s="222"/>
      <c r="AS945" s="222"/>
      <c r="AW945" s="222"/>
      <c r="BA945" s="222"/>
      <c r="BE945" s="222"/>
      <c r="BK945" s="222"/>
      <c r="BO945" s="222"/>
      <c r="BU945" s="222"/>
      <c r="BY945" s="222"/>
      <c r="CC945" s="222"/>
      <c r="CG945" s="222"/>
      <c r="CK945" s="222"/>
      <c r="CQ945" s="222"/>
      <c r="CU945" s="222"/>
      <c r="CY945" s="222"/>
    </row>
    <row r="946">
      <c r="A946" s="227"/>
      <c r="E946" s="222"/>
      <c r="I946" s="222"/>
      <c r="M946" s="222"/>
      <c r="Q946" s="222"/>
      <c r="U946" s="222"/>
      <c r="Y946" s="222"/>
      <c r="AC946" s="222"/>
      <c r="AG946" s="222"/>
      <c r="AK946" s="222"/>
      <c r="AO946" s="222"/>
      <c r="AS946" s="222"/>
      <c r="AW946" s="222"/>
      <c r="BA946" s="222"/>
      <c r="BE946" s="222"/>
      <c r="BK946" s="222"/>
      <c r="BO946" s="222"/>
      <c r="BU946" s="222"/>
      <c r="BY946" s="222"/>
      <c r="CC946" s="222"/>
      <c r="CG946" s="222"/>
      <c r="CK946" s="222"/>
      <c r="CQ946" s="222"/>
      <c r="CU946" s="222"/>
      <c r="CY946" s="222"/>
    </row>
    <row r="947">
      <c r="A947" s="227"/>
      <c r="E947" s="222"/>
      <c r="I947" s="222"/>
      <c r="M947" s="222"/>
      <c r="Q947" s="222"/>
      <c r="U947" s="222"/>
      <c r="Y947" s="222"/>
      <c r="AC947" s="222"/>
      <c r="AG947" s="222"/>
      <c r="AK947" s="222"/>
      <c r="AO947" s="222"/>
      <c r="AS947" s="222"/>
      <c r="AW947" s="222"/>
      <c r="BA947" s="222"/>
      <c r="BE947" s="222"/>
      <c r="BK947" s="222"/>
      <c r="BO947" s="222"/>
      <c r="BU947" s="222"/>
      <c r="BY947" s="222"/>
      <c r="CC947" s="222"/>
      <c r="CG947" s="222"/>
      <c r="CK947" s="222"/>
      <c r="CQ947" s="222"/>
      <c r="CU947" s="222"/>
      <c r="CY947" s="222"/>
    </row>
    <row r="948">
      <c r="A948" s="227"/>
      <c r="E948" s="222"/>
      <c r="I948" s="222"/>
      <c r="M948" s="222"/>
      <c r="Q948" s="222"/>
      <c r="U948" s="222"/>
      <c r="Y948" s="222"/>
      <c r="AC948" s="222"/>
      <c r="AG948" s="222"/>
      <c r="AK948" s="222"/>
      <c r="AO948" s="222"/>
      <c r="AS948" s="222"/>
      <c r="AW948" s="222"/>
      <c r="BA948" s="222"/>
      <c r="BE948" s="222"/>
      <c r="BK948" s="222"/>
      <c r="BO948" s="222"/>
      <c r="BU948" s="222"/>
      <c r="BY948" s="222"/>
      <c r="CC948" s="222"/>
      <c r="CG948" s="222"/>
      <c r="CK948" s="222"/>
      <c r="CQ948" s="222"/>
      <c r="CU948" s="222"/>
      <c r="CY948" s="222"/>
    </row>
    <row r="949">
      <c r="A949" s="227"/>
      <c r="E949" s="222"/>
      <c r="I949" s="222"/>
      <c r="M949" s="222"/>
      <c r="Q949" s="222"/>
      <c r="U949" s="222"/>
      <c r="Y949" s="222"/>
      <c r="AC949" s="222"/>
      <c r="AG949" s="222"/>
      <c r="AK949" s="222"/>
      <c r="AO949" s="222"/>
      <c r="AS949" s="222"/>
      <c r="AW949" s="222"/>
      <c r="BA949" s="222"/>
      <c r="BE949" s="222"/>
      <c r="BK949" s="222"/>
      <c r="BO949" s="222"/>
      <c r="BU949" s="222"/>
      <c r="BY949" s="222"/>
      <c r="CC949" s="222"/>
      <c r="CG949" s="222"/>
      <c r="CK949" s="222"/>
      <c r="CQ949" s="222"/>
      <c r="CU949" s="222"/>
      <c r="CY949" s="222"/>
    </row>
    <row r="950">
      <c r="A950" s="227"/>
      <c r="E950" s="222"/>
      <c r="I950" s="222"/>
      <c r="M950" s="222"/>
      <c r="Q950" s="222"/>
      <c r="U950" s="222"/>
      <c r="Y950" s="222"/>
      <c r="AC950" s="222"/>
      <c r="AG950" s="222"/>
      <c r="AK950" s="222"/>
      <c r="AO950" s="222"/>
      <c r="AS950" s="222"/>
      <c r="AW950" s="222"/>
      <c r="BA950" s="222"/>
      <c r="BE950" s="222"/>
      <c r="BK950" s="222"/>
      <c r="BO950" s="222"/>
      <c r="BU950" s="222"/>
      <c r="BY950" s="222"/>
      <c r="CC950" s="222"/>
      <c r="CG950" s="222"/>
      <c r="CK950" s="222"/>
      <c r="CQ950" s="222"/>
      <c r="CU950" s="222"/>
      <c r="CY950" s="222"/>
    </row>
    <row r="951">
      <c r="A951" s="227"/>
      <c r="E951" s="222"/>
      <c r="I951" s="222"/>
      <c r="M951" s="222"/>
      <c r="Q951" s="222"/>
      <c r="U951" s="222"/>
      <c r="Y951" s="222"/>
      <c r="AC951" s="222"/>
      <c r="AG951" s="222"/>
      <c r="AK951" s="222"/>
      <c r="AO951" s="222"/>
      <c r="AS951" s="222"/>
      <c r="AW951" s="222"/>
      <c r="BA951" s="222"/>
      <c r="BE951" s="222"/>
      <c r="BK951" s="222"/>
      <c r="BO951" s="222"/>
      <c r="BU951" s="222"/>
      <c r="BY951" s="222"/>
      <c r="CC951" s="222"/>
      <c r="CG951" s="222"/>
      <c r="CK951" s="222"/>
      <c r="CQ951" s="222"/>
      <c r="CU951" s="222"/>
      <c r="CY951" s="222"/>
    </row>
    <row r="952">
      <c r="A952" s="227"/>
      <c r="E952" s="222"/>
      <c r="I952" s="222"/>
      <c r="M952" s="222"/>
      <c r="Q952" s="222"/>
      <c r="U952" s="222"/>
      <c r="Y952" s="222"/>
      <c r="AC952" s="222"/>
      <c r="AG952" s="222"/>
      <c r="AK952" s="222"/>
      <c r="AO952" s="222"/>
      <c r="AS952" s="222"/>
      <c r="AW952" s="222"/>
      <c r="BA952" s="222"/>
      <c r="BE952" s="222"/>
      <c r="BK952" s="222"/>
      <c r="BO952" s="222"/>
      <c r="BU952" s="222"/>
      <c r="BY952" s="222"/>
      <c r="CC952" s="222"/>
      <c r="CG952" s="222"/>
      <c r="CK952" s="222"/>
      <c r="CQ952" s="222"/>
      <c r="CU952" s="222"/>
      <c r="CY952" s="222"/>
    </row>
    <row r="953">
      <c r="A953" s="227"/>
      <c r="E953" s="222"/>
      <c r="I953" s="222"/>
      <c r="M953" s="222"/>
      <c r="Q953" s="222"/>
      <c r="U953" s="222"/>
      <c r="Y953" s="222"/>
      <c r="AC953" s="222"/>
      <c r="AG953" s="222"/>
      <c r="AK953" s="222"/>
      <c r="AO953" s="222"/>
      <c r="AS953" s="222"/>
      <c r="AW953" s="222"/>
      <c r="BA953" s="222"/>
      <c r="BE953" s="222"/>
      <c r="BK953" s="222"/>
      <c r="BO953" s="222"/>
      <c r="BU953" s="222"/>
      <c r="BY953" s="222"/>
      <c r="CC953" s="222"/>
      <c r="CG953" s="222"/>
      <c r="CK953" s="222"/>
      <c r="CQ953" s="222"/>
      <c r="CU953" s="222"/>
      <c r="CY953" s="222"/>
    </row>
    <row r="954">
      <c r="A954" s="227"/>
      <c r="E954" s="222"/>
      <c r="I954" s="222"/>
      <c r="M954" s="222"/>
      <c r="Q954" s="222"/>
      <c r="U954" s="222"/>
      <c r="Y954" s="222"/>
      <c r="AC954" s="222"/>
      <c r="AG954" s="222"/>
      <c r="AK954" s="222"/>
      <c r="AO954" s="222"/>
      <c r="AS954" s="222"/>
      <c r="AW954" s="222"/>
      <c r="BA954" s="222"/>
      <c r="BE954" s="222"/>
      <c r="BK954" s="222"/>
      <c r="BO954" s="222"/>
      <c r="BU954" s="222"/>
      <c r="BY954" s="222"/>
      <c r="CC954" s="222"/>
      <c r="CG954" s="222"/>
      <c r="CK954" s="222"/>
      <c r="CQ954" s="222"/>
      <c r="CU954" s="222"/>
      <c r="CY954" s="222"/>
    </row>
    <row r="955">
      <c r="A955" s="227"/>
      <c r="E955" s="222"/>
      <c r="I955" s="222"/>
      <c r="M955" s="222"/>
      <c r="Q955" s="222"/>
      <c r="U955" s="222"/>
      <c r="Y955" s="222"/>
      <c r="AC955" s="222"/>
      <c r="AG955" s="222"/>
      <c r="AK955" s="222"/>
      <c r="AO955" s="222"/>
      <c r="AS955" s="222"/>
      <c r="AW955" s="222"/>
      <c r="BA955" s="222"/>
      <c r="BE955" s="222"/>
      <c r="BK955" s="222"/>
      <c r="BO955" s="222"/>
      <c r="BU955" s="222"/>
      <c r="BY955" s="222"/>
      <c r="CC955" s="222"/>
      <c r="CG955" s="222"/>
      <c r="CK955" s="222"/>
      <c r="CQ955" s="222"/>
      <c r="CU955" s="222"/>
      <c r="CY955" s="222"/>
    </row>
    <row r="956">
      <c r="A956" s="227"/>
      <c r="E956" s="222"/>
      <c r="I956" s="222"/>
      <c r="M956" s="222"/>
      <c r="Q956" s="222"/>
      <c r="U956" s="222"/>
      <c r="Y956" s="222"/>
      <c r="AC956" s="222"/>
      <c r="AG956" s="222"/>
      <c r="AK956" s="222"/>
      <c r="AO956" s="222"/>
      <c r="AS956" s="222"/>
      <c r="AW956" s="222"/>
      <c r="BA956" s="222"/>
      <c r="BE956" s="222"/>
      <c r="BK956" s="222"/>
      <c r="BO956" s="222"/>
      <c r="BU956" s="222"/>
      <c r="BY956" s="222"/>
      <c r="CC956" s="222"/>
      <c r="CG956" s="222"/>
      <c r="CK956" s="222"/>
      <c r="CQ956" s="222"/>
      <c r="CU956" s="222"/>
      <c r="CY956" s="222"/>
    </row>
    <row r="957">
      <c r="A957" s="227"/>
      <c r="E957" s="222"/>
      <c r="I957" s="222"/>
      <c r="M957" s="222"/>
      <c r="Q957" s="222"/>
      <c r="U957" s="222"/>
      <c r="Y957" s="222"/>
      <c r="AC957" s="222"/>
      <c r="AG957" s="222"/>
      <c r="AK957" s="222"/>
      <c r="AO957" s="222"/>
      <c r="AS957" s="222"/>
      <c r="AW957" s="222"/>
      <c r="BA957" s="222"/>
      <c r="BE957" s="222"/>
      <c r="BK957" s="222"/>
      <c r="BO957" s="222"/>
      <c r="BU957" s="222"/>
      <c r="BY957" s="222"/>
      <c r="CC957" s="222"/>
      <c r="CG957" s="222"/>
      <c r="CK957" s="222"/>
      <c r="CQ957" s="222"/>
      <c r="CU957" s="222"/>
      <c r="CY957" s="222"/>
    </row>
    <row r="958">
      <c r="A958" s="227"/>
      <c r="E958" s="222"/>
      <c r="I958" s="222"/>
      <c r="M958" s="222"/>
      <c r="Q958" s="222"/>
      <c r="U958" s="222"/>
      <c r="Y958" s="222"/>
      <c r="AC958" s="222"/>
      <c r="AG958" s="222"/>
      <c r="AK958" s="222"/>
      <c r="AO958" s="222"/>
      <c r="AS958" s="222"/>
      <c r="AW958" s="222"/>
      <c r="BA958" s="222"/>
      <c r="BE958" s="222"/>
      <c r="BK958" s="222"/>
      <c r="BO958" s="222"/>
      <c r="BU958" s="222"/>
      <c r="BY958" s="222"/>
      <c r="CC958" s="222"/>
      <c r="CG958" s="222"/>
      <c r="CK958" s="222"/>
      <c r="CQ958" s="222"/>
      <c r="CU958" s="222"/>
      <c r="CY958" s="222"/>
    </row>
    <row r="959">
      <c r="A959" s="227"/>
      <c r="E959" s="222"/>
      <c r="I959" s="222"/>
      <c r="M959" s="222"/>
      <c r="Q959" s="222"/>
      <c r="U959" s="222"/>
      <c r="Y959" s="222"/>
      <c r="AC959" s="222"/>
      <c r="AG959" s="222"/>
      <c r="AK959" s="222"/>
      <c r="AO959" s="222"/>
      <c r="AS959" s="222"/>
      <c r="AW959" s="222"/>
      <c r="BA959" s="222"/>
      <c r="BE959" s="222"/>
      <c r="BK959" s="222"/>
      <c r="BO959" s="222"/>
      <c r="BU959" s="222"/>
      <c r="BY959" s="222"/>
      <c r="CC959" s="222"/>
      <c r="CG959" s="222"/>
      <c r="CK959" s="222"/>
      <c r="CQ959" s="222"/>
      <c r="CU959" s="222"/>
      <c r="CY959" s="222"/>
    </row>
    <row r="960">
      <c r="A960" s="227"/>
      <c r="E960" s="222"/>
      <c r="I960" s="222"/>
      <c r="M960" s="222"/>
      <c r="Q960" s="222"/>
      <c r="U960" s="222"/>
      <c r="Y960" s="222"/>
      <c r="AC960" s="222"/>
      <c r="AG960" s="222"/>
      <c r="AK960" s="222"/>
      <c r="AO960" s="222"/>
      <c r="AS960" s="222"/>
      <c r="AW960" s="222"/>
      <c r="BA960" s="222"/>
      <c r="BE960" s="222"/>
      <c r="BK960" s="222"/>
      <c r="BO960" s="222"/>
      <c r="BU960" s="222"/>
      <c r="BY960" s="222"/>
      <c r="CC960" s="222"/>
      <c r="CG960" s="222"/>
      <c r="CK960" s="222"/>
      <c r="CQ960" s="222"/>
      <c r="CU960" s="222"/>
      <c r="CY960" s="222"/>
    </row>
    <row r="961">
      <c r="A961" s="227"/>
      <c r="E961" s="222"/>
      <c r="I961" s="222"/>
      <c r="M961" s="222"/>
      <c r="Q961" s="222"/>
      <c r="U961" s="222"/>
      <c r="Y961" s="222"/>
      <c r="AC961" s="222"/>
      <c r="AG961" s="222"/>
      <c r="AK961" s="222"/>
      <c r="AO961" s="222"/>
      <c r="AS961" s="222"/>
      <c r="AW961" s="222"/>
      <c r="BA961" s="222"/>
      <c r="BE961" s="222"/>
      <c r="BK961" s="222"/>
      <c r="BO961" s="222"/>
      <c r="BU961" s="222"/>
      <c r="BY961" s="222"/>
      <c r="CC961" s="222"/>
      <c r="CG961" s="222"/>
      <c r="CK961" s="222"/>
      <c r="CQ961" s="222"/>
      <c r="CU961" s="222"/>
      <c r="CY961" s="222"/>
    </row>
    <row r="962">
      <c r="A962" s="227"/>
      <c r="E962" s="222"/>
      <c r="I962" s="222"/>
      <c r="M962" s="222"/>
      <c r="Q962" s="222"/>
      <c r="U962" s="222"/>
      <c r="Y962" s="222"/>
      <c r="AC962" s="222"/>
      <c r="AG962" s="222"/>
      <c r="AK962" s="222"/>
      <c r="AO962" s="222"/>
      <c r="AS962" s="222"/>
      <c r="AW962" s="222"/>
      <c r="BA962" s="222"/>
      <c r="BE962" s="222"/>
      <c r="BK962" s="222"/>
      <c r="BO962" s="222"/>
      <c r="BU962" s="222"/>
      <c r="BY962" s="222"/>
      <c r="CC962" s="222"/>
      <c r="CG962" s="222"/>
      <c r="CK962" s="222"/>
      <c r="CQ962" s="222"/>
      <c r="CU962" s="222"/>
      <c r="CY962" s="222"/>
    </row>
    <row r="963">
      <c r="A963" s="227"/>
      <c r="E963" s="222"/>
      <c r="I963" s="222"/>
      <c r="M963" s="222"/>
      <c r="Q963" s="222"/>
      <c r="U963" s="222"/>
      <c r="Y963" s="222"/>
      <c r="AC963" s="222"/>
      <c r="AG963" s="222"/>
      <c r="AK963" s="222"/>
      <c r="AO963" s="222"/>
      <c r="AS963" s="222"/>
      <c r="AW963" s="222"/>
      <c r="BA963" s="222"/>
      <c r="BE963" s="222"/>
      <c r="BK963" s="222"/>
      <c r="BO963" s="222"/>
      <c r="BU963" s="222"/>
      <c r="BY963" s="222"/>
      <c r="CC963" s="222"/>
      <c r="CG963" s="222"/>
      <c r="CK963" s="222"/>
      <c r="CQ963" s="222"/>
      <c r="CU963" s="222"/>
      <c r="CY963" s="222"/>
    </row>
    <row r="964">
      <c r="A964" s="227"/>
      <c r="E964" s="222"/>
      <c r="I964" s="222"/>
      <c r="M964" s="222"/>
      <c r="Q964" s="222"/>
      <c r="U964" s="222"/>
      <c r="Y964" s="222"/>
      <c r="AC964" s="222"/>
      <c r="AG964" s="222"/>
      <c r="AK964" s="222"/>
      <c r="AO964" s="222"/>
      <c r="AS964" s="222"/>
      <c r="AW964" s="222"/>
      <c r="BA964" s="222"/>
      <c r="BE964" s="222"/>
      <c r="BK964" s="222"/>
      <c r="BO964" s="222"/>
      <c r="BU964" s="222"/>
      <c r="BY964" s="222"/>
      <c r="CC964" s="222"/>
      <c r="CG964" s="222"/>
      <c r="CK964" s="222"/>
      <c r="CQ964" s="222"/>
      <c r="CU964" s="222"/>
      <c r="CY964" s="222"/>
    </row>
    <row r="965">
      <c r="A965" s="227"/>
      <c r="E965" s="222"/>
      <c r="I965" s="222"/>
      <c r="M965" s="222"/>
      <c r="Q965" s="222"/>
      <c r="U965" s="222"/>
      <c r="Y965" s="222"/>
      <c r="AC965" s="222"/>
      <c r="AG965" s="222"/>
      <c r="AK965" s="222"/>
      <c r="AO965" s="222"/>
      <c r="AS965" s="222"/>
      <c r="AW965" s="222"/>
      <c r="BA965" s="222"/>
      <c r="BE965" s="222"/>
      <c r="BK965" s="222"/>
      <c r="BO965" s="222"/>
      <c r="BU965" s="222"/>
      <c r="BY965" s="222"/>
      <c r="CC965" s="222"/>
      <c r="CG965" s="222"/>
      <c r="CK965" s="222"/>
      <c r="CQ965" s="222"/>
      <c r="CU965" s="222"/>
      <c r="CY965" s="222"/>
    </row>
    <row r="966">
      <c r="A966" s="227"/>
      <c r="E966" s="222"/>
      <c r="I966" s="222"/>
      <c r="M966" s="222"/>
      <c r="Q966" s="222"/>
      <c r="U966" s="222"/>
      <c r="Y966" s="222"/>
      <c r="AC966" s="222"/>
      <c r="AG966" s="222"/>
      <c r="AK966" s="222"/>
      <c r="AO966" s="222"/>
      <c r="AS966" s="222"/>
      <c r="AW966" s="222"/>
      <c r="BA966" s="222"/>
      <c r="BE966" s="222"/>
      <c r="BK966" s="222"/>
      <c r="BO966" s="222"/>
      <c r="BU966" s="222"/>
      <c r="BY966" s="222"/>
      <c r="CC966" s="222"/>
      <c r="CG966" s="222"/>
      <c r="CK966" s="222"/>
      <c r="CQ966" s="222"/>
      <c r="CU966" s="222"/>
      <c r="CY966" s="222"/>
    </row>
    <row r="967">
      <c r="A967" s="227"/>
      <c r="E967" s="222"/>
      <c r="I967" s="222"/>
      <c r="M967" s="222"/>
      <c r="Q967" s="222"/>
      <c r="U967" s="222"/>
      <c r="Y967" s="222"/>
      <c r="AC967" s="222"/>
      <c r="AG967" s="222"/>
      <c r="AK967" s="222"/>
      <c r="AO967" s="222"/>
      <c r="AS967" s="222"/>
      <c r="AW967" s="222"/>
      <c r="BA967" s="222"/>
      <c r="BE967" s="222"/>
      <c r="BK967" s="222"/>
      <c r="BO967" s="222"/>
      <c r="BU967" s="222"/>
      <c r="BY967" s="222"/>
      <c r="CC967" s="222"/>
      <c r="CG967" s="222"/>
      <c r="CK967" s="222"/>
      <c r="CQ967" s="222"/>
      <c r="CU967" s="222"/>
      <c r="CY967" s="222"/>
    </row>
    <row r="968">
      <c r="A968" s="227"/>
      <c r="E968" s="222"/>
      <c r="I968" s="222"/>
      <c r="M968" s="222"/>
      <c r="Q968" s="222"/>
      <c r="U968" s="222"/>
      <c r="Y968" s="222"/>
      <c r="AC968" s="222"/>
      <c r="AG968" s="222"/>
      <c r="AK968" s="222"/>
      <c r="AO968" s="222"/>
      <c r="AS968" s="222"/>
      <c r="AW968" s="222"/>
      <c r="BA968" s="222"/>
      <c r="BE968" s="222"/>
      <c r="BK968" s="222"/>
      <c r="BO968" s="222"/>
      <c r="BU968" s="222"/>
      <c r="BY968" s="222"/>
      <c r="CC968" s="222"/>
      <c r="CG968" s="222"/>
      <c r="CK968" s="222"/>
      <c r="CQ968" s="222"/>
      <c r="CU968" s="222"/>
      <c r="CY968" s="222"/>
    </row>
    <row r="969">
      <c r="A969" s="227"/>
      <c r="E969" s="222"/>
      <c r="I969" s="222"/>
      <c r="M969" s="222"/>
      <c r="Q969" s="222"/>
      <c r="U969" s="222"/>
      <c r="Y969" s="222"/>
      <c r="AC969" s="222"/>
      <c r="AG969" s="222"/>
      <c r="AK969" s="222"/>
      <c r="AO969" s="222"/>
      <c r="AS969" s="222"/>
      <c r="AW969" s="222"/>
      <c r="BA969" s="222"/>
      <c r="BE969" s="222"/>
      <c r="BK969" s="222"/>
      <c r="BO969" s="222"/>
      <c r="BU969" s="222"/>
      <c r="BY969" s="222"/>
      <c r="CC969" s="222"/>
      <c r="CG969" s="222"/>
      <c r="CK969" s="222"/>
      <c r="CQ969" s="222"/>
      <c r="CU969" s="222"/>
      <c r="CY969" s="222"/>
    </row>
    <row r="970">
      <c r="A970" s="227"/>
      <c r="E970" s="222"/>
      <c r="I970" s="222"/>
      <c r="M970" s="222"/>
      <c r="Q970" s="222"/>
      <c r="U970" s="222"/>
      <c r="Y970" s="222"/>
      <c r="AC970" s="222"/>
      <c r="AG970" s="222"/>
      <c r="AK970" s="222"/>
      <c r="AO970" s="222"/>
      <c r="AS970" s="222"/>
      <c r="AW970" s="222"/>
      <c r="BA970" s="222"/>
      <c r="BE970" s="222"/>
      <c r="BK970" s="222"/>
      <c r="BO970" s="222"/>
      <c r="BU970" s="222"/>
      <c r="BY970" s="222"/>
      <c r="CC970" s="222"/>
      <c r="CG970" s="222"/>
      <c r="CK970" s="222"/>
      <c r="CQ970" s="222"/>
      <c r="CU970" s="222"/>
      <c r="CY970" s="222"/>
    </row>
    <row r="971">
      <c r="A971" s="227"/>
      <c r="E971" s="222"/>
      <c r="I971" s="222"/>
      <c r="M971" s="222"/>
      <c r="Q971" s="222"/>
      <c r="U971" s="222"/>
      <c r="Y971" s="222"/>
      <c r="AC971" s="222"/>
      <c r="AG971" s="222"/>
      <c r="AK971" s="222"/>
      <c r="AO971" s="222"/>
      <c r="AS971" s="222"/>
      <c r="AW971" s="222"/>
      <c r="BA971" s="222"/>
      <c r="BE971" s="222"/>
      <c r="BK971" s="222"/>
      <c r="BO971" s="222"/>
      <c r="BU971" s="222"/>
      <c r="BY971" s="222"/>
      <c r="CC971" s="222"/>
      <c r="CG971" s="222"/>
      <c r="CK971" s="222"/>
      <c r="CQ971" s="222"/>
      <c r="CU971" s="222"/>
      <c r="CY971" s="222"/>
    </row>
    <row r="972">
      <c r="A972" s="227"/>
      <c r="E972" s="222"/>
      <c r="I972" s="222"/>
      <c r="M972" s="222"/>
      <c r="Q972" s="222"/>
      <c r="U972" s="222"/>
      <c r="Y972" s="222"/>
      <c r="AC972" s="222"/>
      <c r="AG972" s="222"/>
      <c r="AK972" s="222"/>
      <c r="AO972" s="222"/>
      <c r="AS972" s="222"/>
      <c r="AW972" s="222"/>
      <c r="BA972" s="222"/>
      <c r="BE972" s="222"/>
      <c r="BK972" s="222"/>
      <c r="BO972" s="222"/>
      <c r="BU972" s="222"/>
      <c r="BY972" s="222"/>
      <c r="CC972" s="222"/>
      <c r="CG972" s="222"/>
      <c r="CK972" s="222"/>
      <c r="CQ972" s="222"/>
      <c r="CU972" s="222"/>
      <c r="CY972" s="222"/>
    </row>
    <row r="973">
      <c r="A973" s="227"/>
      <c r="E973" s="222"/>
      <c r="I973" s="222"/>
      <c r="M973" s="222"/>
      <c r="Q973" s="222"/>
      <c r="U973" s="222"/>
      <c r="Y973" s="222"/>
      <c r="AC973" s="222"/>
      <c r="AG973" s="222"/>
      <c r="AK973" s="222"/>
      <c r="AO973" s="222"/>
      <c r="AS973" s="222"/>
      <c r="AW973" s="222"/>
      <c r="BA973" s="222"/>
      <c r="BE973" s="222"/>
      <c r="BK973" s="222"/>
      <c r="BO973" s="222"/>
      <c r="BU973" s="222"/>
      <c r="BY973" s="222"/>
      <c r="CC973" s="222"/>
      <c r="CG973" s="222"/>
      <c r="CK973" s="222"/>
      <c r="CQ973" s="222"/>
      <c r="CU973" s="222"/>
      <c r="CY973" s="222"/>
    </row>
    <row r="974">
      <c r="A974" s="227"/>
      <c r="E974" s="222"/>
      <c r="I974" s="222"/>
      <c r="M974" s="222"/>
      <c r="Q974" s="222"/>
      <c r="U974" s="222"/>
      <c r="Y974" s="222"/>
      <c r="AC974" s="222"/>
      <c r="AG974" s="222"/>
      <c r="AK974" s="222"/>
      <c r="AO974" s="222"/>
      <c r="AS974" s="222"/>
      <c r="AW974" s="222"/>
      <c r="BA974" s="222"/>
      <c r="BE974" s="222"/>
      <c r="BK974" s="222"/>
      <c r="BO974" s="222"/>
      <c r="BU974" s="222"/>
      <c r="BY974" s="222"/>
      <c r="CC974" s="222"/>
      <c r="CG974" s="222"/>
      <c r="CK974" s="222"/>
      <c r="CQ974" s="222"/>
      <c r="CU974" s="222"/>
      <c r="CY974" s="222"/>
    </row>
    <row r="975">
      <c r="A975" s="227"/>
      <c r="E975" s="222"/>
      <c r="I975" s="222"/>
      <c r="M975" s="222"/>
      <c r="Q975" s="222"/>
      <c r="U975" s="222"/>
      <c r="Y975" s="222"/>
      <c r="AC975" s="222"/>
      <c r="AG975" s="222"/>
      <c r="AK975" s="222"/>
      <c r="AO975" s="222"/>
      <c r="AS975" s="222"/>
      <c r="AW975" s="222"/>
      <c r="BA975" s="222"/>
      <c r="BE975" s="222"/>
      <c r="BK975" s="222"/>
      <c r="BO975" s="222"/>
      <c r="BU975" s="222"/>
      <c r="BY975" s="222"/>
      <c r="CC975" s="222"/>
      <c r="CG975" s="222"/>
      <c r="CK975" s="222"/>
      <c r="CQ975" s="222"/>
      <c r="CU975" s="222"/>
      <c r="CY975" s="222"/>
    </row>
    <row r="976">
      <c r="A976" s="227"/>
      <c r="E976" s="222"/>
      <c r="I976" s="222"/>
      <c r="M976" s="222"/>
      <c r="Q976" s="222"/>
      <c r="U976" s="222"/>
      <c r="Y976" s="222"/>
      <c r="AC976" s="222"/>
      <c r="AG976" s="222"/>
      <c r="AK976" s="222"/>
      <c r="AO976" s="222"/>
      <c r="AS976" s="222"/>
      <c r="AW976" s="222"/>
      <c r="BA976" s="222"/>
      <c r="BE976" s="222"/>
      <c r="BK976" s="222"/>
      <c r="BO976" s="222"/>
      <c r="BU976" s="222"/>
      <c r="BY976" s="222"/>
      <c r="CC976" s="222"/>
      <c r="CG976" s="222"/>
      <c r="CK976" s="222"/>
      <c r="CQ976" s="222"/>
      <c r="CU976" s="222"/>
      <c r="CY976" s="222"/>
    </row>
    <row r="977">
      <c r="A977" s="227"/>
      <c r="E977" s="222"/>
      <c r="I977" s="222"/>
      <c r="M977" s="222"/>
      <c r="Q977" s="222"/>
      <c r="U977" s="222"/>
      <c r="Y977" s="222"/>
      <c r="AC977" s="222"/>
      <c r="AG977" s="222"/>
      <c r="AK977" s="222"/>
      <c r="AO977" s="222"/>
      <c r="AS977" s="222"/>
      <c r="AW977" s="222"/>
      <c r="BA977" s="222"/>
      <c r="BE977" s="222"/>
      <c r="BK977" s="222"/>
      <c r="BO977" s="222"/>
      <c r="BU977" s="222"/>
      <c r="BY977" s="222"/>
      <c r="CC977" s="222"/>
      <c r="CG977" s="222"/>
      <c r="CK977" s="222"/>
      <c r="CQ977" s="222"/>
      <c r="CU977" s="222"/>
      <c r="CY977" s="222"/>
    </row>
    <row r="978">
      <c r="A978" s="227"/>
      <c r="E978" s="222"/>
      <c r="I978" s="222"/>
      <c r="M978" s="222"/>
      <c r="Q978" s="222"/>
      <c r="U978" s="222"/>
      <c r="Y978" s="222"/>
      <c r="AC978" s="222"/>
      <c r="AG978" s="222"/>
      <c r="AK978" s="222"/>
      <c r="AO978" s="222"/>
      <c r="AS978" s="222"/>
      <c r="AW978" s="222"/>
      <c r="BA978" s="222"/>
      <c r="BE978" s="222"/>
      <c r="BK978" s="222"/>
      <c r="BO978" s="222"/>
      <c r="BU978" s="222"/>
      <c r="BY978" s="222"/>
      <c r="CC978" s="222"/>
      <c r="CG978" s="222"/>
      <c r="CK978" s="222"/>
      <c r="CQ978" s="222"/>
      <c r="CU978" s="222"/>
      <c r="CY978" s="222"/>
    </row>
    <row r="979">
      <c r="A979" s="227"/>
      <c r="E979" s="222"/>
      <c r="I979" s="222"/>
      <c r="M979" s="222"/>
      <c r="Q979" s="222"/>
      <c r="U979" s="222"/>
      <c r="Y979" s="222"/>
      <c r="AC979" s="222"/>
      <c r="AG979" s="222"/>
      <c r="AK979" s="222"/>
      <c r="AO979" s="222"/>
      <c r="AS979" s="222"/>
      <c r="AW979" s="222"/>
      <c r="BA979" s="222"/>
      <c r="BE979" s="222"/>
      <c r="BK979" s="222"/>
      <c r="BO979" s="222"/>
      <c r="BU979" s="222"/>
      <c r="BY979" s="222"/>
      <c r="CC979" s="222"/>
      <c r="CG979" s="222"/>
      <c r="CK979" s="222"/>
      <c r="CQ979" s="222"/>
      <c r="CU979" s="222"/>
      <c r="CY979" s="222"/>
    </row>
    <row r="980">
      <c r="A980" s="227"/>
      <c r="E980" s="222"/>
      <c r="I980" s="222"/>
      <c r="M980" s="222"/>
      <c r="Q980" s="222"/>
      <c r="U980" s="222"/>
      <c r="Y980" s="222"/>
      <c r="AC980" s="222"/>
      <c r="AG980" s="222"/>
      <c r="AK980" s="222"/>
      <c r="AO980" s="222"/>
      <c r="AS980" s="222"/>
      <c r="AW980" s="222"/>
      <c r="BA980" s="222"/>
      <c r="BE980" s="222"/>
      <c r="BK980" s="222"/>
      <c r="BO980" s="222"/>
      <c r="BU980" s="222"/>
      <c r="BY980" s="222"/>
      <c r="CC980" s="222"/>
      <c r="CG980" s="222"/>
      <c r="CK980" s="222"/>
      <c r="CQ980" s="222"/>
      <c r="CU980" s="222"/>
      <c r="CY980" s="222"/>
    </row>
    <row r="981">
      <c r="A981" s="227"/>
      <c r="E981" s="222"/>
      <c r="I981" s="222"/>
      <c r="M981" s="222"/>
      <c r="Q981" s="222"/>
      <c r="U981" s="222"/>
      <c r="Y981" s="222"/>
      <c r="AC981" s="222"/>
      <c r="AG981" s="222"/>
      <c r="AK981" s="222"/>
      <c r="AO981" s="222"/>
      <c r="AS981" s="222"/>
      <c r="AW981" s="222"/>
      <c r="BA981" s="222"/>
      <c r="BE981" s="222"/>
      <c r="BK981" s="222"/>
      <c r="BO981" s="222"/>
      <c r="BU981" s="222"/>
      <c r="BY981" s="222"/>
      <c r="CC981" s="222"/>
      <c r="CG981" s="222"/>
      <c r="CK981" s="222"/>
      <c r="CQ981" s="222"/>
      <c r="CU981" s="222"/>
      <c r="CY981" s="222"/>
    </row>
    <row r="982">
      <c r="A982" s="227"/>
      <c r="E982" s="222"/>
      <c r="I982" s="222"/>
      <c r="M982" s="222"/>
      <c r="Q982" s="222"/>
      <c r="U982" s="222"/>
      <c r="Y982" s="222"/>
      <c r="AC982" s="222"/>
      <c r="AG982" s="222"/>
      <c r="AK982" s="222"/>
      <c r="AO982" s="222"/>
      <c r="AS982" s="222"/>
      <c r="AW982" s="222"/>
      <c r="BA982" s="222"/>
      <c r="BE982" s="222"/>
      <c r="BK982" s="222"/>
      <c r="BO982" s="222"/>
      <c r="BU982" s="222"/>
      <c r="BY982" s="222"/>
      <c r="CC982" s="222"/>
      <c r="CG982" s="222"/>
      <c r="CK982" s="222"/>
      <c r="CQ982" s="222"/>
      <c r="CU982" s="222"/>
      <c r="CY982" s="222"/>
    </row>
    <row r="983">
      <c r="A983" s="227"/>
      <c r="E983" s="222"/>
      <c r="I983" s="222"/>
      <c r="M983" s="222"/>
      <c r="Q983" s="222"/>
      <c r="U983" s="222"/>
      <c r="Y983" s="222"/>
      <c r="AC983" s="222"/>
      <c r="AG983" s="222"/>
      <c r="AK983" s="222"/>
      <c r="AO983" s="222"/>
      <c r="AS983" s="222"/>
      <c r="AW983" s="222"/>
      <c r="BA983" s="222"/>
      <c r="BE983" s="222"/>
      <c r="BK983" s="222"/>
      <c r="BO983" s="222"/>
      <c r="BU983" s="222"/>
      <c r="BY983" s="222"/>
      <c r="CC983" s="222"/>
      <c r="CG983" s="222"/>
      <c r="CK983" s="222"/>
      <c r="CQ983" s="222"/>
      <c r="CU983" s="222"/>
      <c r="CY983" s="222"/>
    </row>
    <row r="984">
      <c r="A984" s="227"/>
      <c r="E984" s="222"/>
      <c r="I984" s="222"/>
      <c r="M984" s="222"/>
      <c r="Q984" s="222"/>
      <c r="U984" s="222"/>
      <c r="Y984" s="222"/>
      <c r="AC984" s="222"/>
      <c r="AG984" s="222"/>
      <c r="AK984" s="222"/>
      <c r="AO984" s="222"/>
      <c r="AS984" s="222"/>
      <c r="AW984" s="222"/>
      <c r="BA984" s="222"/>
      <c r="BE984" s="222"/>
      <c r="BK984" s="222"/>
      <c r="BO984" s="222"/>
      <c r="BU984" s="222"/>
      <c r="BY984" s="222"/>
      <c r="CC984" s="222"/>
      <c r="CG984" s="222"/>
      <c r="CK984" s="222"/>
      <c r="CQ984" s="222"/>
      <c r="CU984" s="222"/>
      <c r="CY984" s="222"/>
    </row>
    <row r="985">
      <c r="A985" s="227"/>
      <c r="E985" s="222"/>
      <c r="I985" s="222"/>
      <c r="M985" s="222"/>
      <c r="Q985" s="222"/>
      <c r="U985" s="222"/>
      <c r="Y985" s="222"/>
      <c r="AC985" s="222"/>
      <c r="AG985" s="222"/>
      <c r="AK985" s="222"/>
      <c r="AO985" s="222"/>
      <c r="AS985" s="222"/>
      <c r="AW985" s="222"/>
      <c r="BA985" s="222"/>
      <c r="BE985" s="222"/>
      <c r="BK985" s="222"/>
      <c r="BO985" s="222"/>
      <c r="BU985" s="222"/>
      <c r="BY985" s="222"/>
      <c r="CC985" s="222"/>
      <c r="CG985" s="222"/>
      <c r="CK985" s="222"/>
      <c r="CQ985" s="222"/>
      <c r="CU985" s="222"/>
      <c r="CY985" s="222"/>
    </row>
    <row r="986">
      <c r="A986" s="227"/>
      <c r="E986" s="222"/>
      <c r="I986" s="222"/>
      <c r="M986" s="222"/>
      <c r="Q986" s="222"/>
      <c r="U986" s="222"/>
      <c r="Y986" s="222"/>
      <c r="AC986" s="222"/>
      <c r="AG986" s="222"/>
      <c r="AK986" s="222"/>
      <c r="AO986" s="222"/>
      <c r="AS986" s="222"/>
      <c r="AW986" s="222"/>
      <c r="BA986" s="222"/>
      <c r="BE986" s="222"/>
      <c r="BK986" s="222"/>
      <c r="BO986" s="222"/>
      <c r="BU986" s="222"/>
      <c r="BY986" s="222"/>
      <c r="CC986" s="222"/>
      <c r="CG986" s="222"/>
      <c r="CK986" s="222"/>
      <c r="CQ986" s="222"/>
      <c r="CU986" s="222"/>
      <c r="CY986" s="222"/>
    </row>
    <row r="987">
      <c r="A987" s="227"/>
      <c r="E987" s="222"/>
      <c r="I987" s="222"/>
      <c r="M987" s="222"/>
      <c r="Q987" s="222"/>
      <c r="U987" s="222"/>
      <c r="Y987" s="222"/>
      <c r="AC987" s="222"/>
      <c r="AG987" s="222"/>
      <c r="AK987" s="222"/>
      <c r="AO987" s="222"/>
      <c r="AS987" s="222"/>
      <c r="AW987" s="222"/>
      <c r="BA987" s="222"/>
      <c r="BE987" s="222"/>
      <c r="BK987" s="222"/>
      <c r="BO987" s="222"/>
      <c r="BU987" s="222"/>
      <c r="BY987" s="222"/>
      <c r="CC987" s="222"/>
      <c r="CG987" s="222"/>
      <c r="CK987" s="222"/>
      <c r="CQ987" s="222"/>
      <c r="CU987" s="222"/>
      <c r="CY987" s="222"/>
    </row>
    <row r="988">
      <c r="A988" s="227"/>
      <c r="E988" s="222"/>
      <c r="I988" s="222"/>
      <c r="M988" s="222"/>
      <c r="Q988" s="222"/>
      <c r="U988" s="222"/>
      <c r="Y988" s="222"/>
      <c r="AC988" s="222"/>
      <c r="AG988" s="222"/>
      <c r="AK988" s="222"/>
      <c r="AO988" s="222"/>
      <c r="AS988" s="222"/>
      <c r="AW988" s="222"/>
      <c r="BA988" s="222"/>
      <c r="BE988" s="222"/>
      <c r="BK988" s="222"/>
      <c r="BO988" s="222"/>
      <c r="BU988" s="222"/>
      <c r="BY988" s="222"/>
      <c r="CC988" s="222"/>
      <c r="CG988" s="222"/>
      <c r="CK988" s="222"/>
      <c r="CQ988" s="222"/>
      <c r="CU988" s="222"/>
      <c r="CY988" s="222"/>
    </row>
    <row r="989">
      <c r="A989" s="227"/>
      <c r="E989" s="222"/>
      <c r="I989" s="222"/>
      <c r="M989" s="222"/>
      <c r="Q989" s="222"/>
      <c r="U989" s="222"/>
      <c r="Y989" s="222"/>
      <c r="AC989" s="222"/>
      <c r="AG989" s="222"/>
      <c r="AK989" s="222"/>
      <c r="AO989" s="222"/>
      <c r="AS989" s="222"/>
      <c r="AW989" s="222"/>
      <c r="BA989" s="222"/>
      <c r="BE989" s="222"/>
      <c r="BK989" s="222"/>
      <c r="BO989" s="222"/>
      <c r="BU989" s="222"/>
      <c r="BY989" s="222"/>
      <c r="CC989" s="222"/>
      <c r="CG989" s="222"/>
      <c r="CK989" s="222"/>
      <c r="CQ989" s="222"/>
      <c r="CU989" s="222"/>
      <c r="CY989" s="222"/>
    </row>
    <row r="990">
      <c r="A990" s="227"/>
      <c r="E990" s="222"/>
      <c r="I990" s="222"/>
      <c r="M990" s="222"/>
      <c r="Q990" s="222"/>
      <c r="U990" s="222"/>
      <c r="Y990" s="222"/>
      <c r="AC990" s="222"/>
      <c r="AG990" s="222"/>
      <c r="AK990" s="222"/>
      <c r="AO990" s="222"/>
      <c r="AS990" s="222"/>
      <c r="AW990" s="222"/>
      <c r="BA990" s="222"/>
      <c r="BE990" s="222"/>
      <c r="BK990" s="222"/>
      <c r="BO990" s="222"/>
      <c r="BU990" s="222"/>
      <c r="BY990" s="222"/>
      <c r="CC990" s="222"/>
      <c r="CG990" s="222"/>
      <c r="CK990" s="222"/>
      <c r="CQ990" s="222"/>
      <c r="CU990" s="222"/>
      <c r="CY990" s="222"/>
    </row>
    <row r="991">
      <c r="A991" s="227"/>
      <c r="E991" s="222"/>
      <c r="I991" s="222"/>
      <c r="M991" s="222"/>
      <c r="Q991" s="222"/>
      <c r="U991" s="222"/>
      <c r="Y991" s="222"/>
      <c r="AC991" s="222"/>
      <c r="AG991" s="222"/>
      <c r="AK991" s="222"/>
      <c r="AO991" s="222"/>
      <c r="AS991" s="222"/>
      <c r="AW991" s="222"/>
      <c r="BA991" s="222"/>
      <c r="BE991" s="222"/>
      <c r="BK991" s="222"/>
      <c r="BO991" s="222"/>
      <c r="BU991" s="222"/>
      <c r="BY991" s="222"/>
      <c r="CC991" s="222"/>
      <c r="CG991" s="222"/>
      <c r="CK991" s="222"/>
      <c r="CQ991" s="222"/>
      <c r="CU991" s="222"/>
      <c r="CY991" s="222"/>
    </row>
    <row r="992">
      <c r="A992" s="227"/>
      <c r="E992" s="222"/>
      <c r="I992" s="222"/>
      <c r="M992" s="222"/>
      <c r="Q992" s="222"/>
      <c r="U992" s="222"/>
      <c r="Y992" s="222"/>
      <c r="AC992" s="222"/>
      <c r="AG992" s="222"/>
      <c r="AK992" s="222"/>
      <c r="AO992" s="222"/>
      <c r="AS992" s="222"/>
      <c r="AW992" s="222"/>
      <c r="BA992" s="222"/>
      <c r="BE992" s="222"/>
      <c r="BK992" s="222"/>
      <c r="BO992" s="222"/>
      <c r="BU992" s="222"/>
      <c r="BY992" s="222"/>
      <c r="CC992" s="222"/>
      <c r="CG992" s="222"/>
      <c r="CK992" s="222"/>
      <c r="CQ992" s="222"/>
      <c r="CU992" s="222"/>
      <c r="CY992" s="222"/>
    </row>
    <row r="993">
      <c r="A993" s="227"/>
      <c r="E993" s="222"/>
      <c r="I993" s="222"/>
      <c r="M993" s="222"/>
      <c r="Q993" s="222"/>
      <c r="U993" s="222"/>
      <c r="Y993" s="222"/>
      <c r="AC993" s="222"/>
      <c r="AG993" s="222"/>
      <c r="AK993" s="222"/>
      <c r="AO993" s="222"/>
      <c r="AS993" s="222"/>
      <c r="AW993" s="222"/>
      <c r="BA993" s="222"/>
      <c r="BE993" s="222"/>
      <c r="BK993" s="222"/>
      <c r="BO993" s="222"/>
      <c r="BU993" s="222"/>
      <c r="BY993" s="222"/>
      <c r="CC993" s="222"/>
      <c r="CG993" s="222"/>
      <c r="CK993" s="222"/>
      <c r="CQ993" s="222"/>
      <c r="CU993" s="222"/>
      <c r="CY993" s="222"/>
    </row>
    <row r="994">
      <c r="A994" s="227"/>
      <c r="E994" s="222"/>
      <c r="I994" s="222"/>
      <c r="M994" s="222"/>
      <c r="Q994" s="222"/>
      <c r="U994" s="222"/>
      <c r="Y994" s="222"/>
      <c r="AC994" s="222"/>
      <c r="AG994" s="222"/>
      <c r="AK994" s="222"/>
      <c r="AO994" s="222"/>
      <c r="AS994" s="222"/>
      <c r="AW994" s="222"/>
      <c r="BA994" s="222"/>
      <c r="BE994" s="222"/>
      <c r="BK994" s="222"/>
      <c r="BO994" s="222"/>
      <c r="BU994" s="222"/>
      <c r="BY994" s="222"/>
      <c r="CC994" s="222"/>
      <c r="CG994" s="222"/>
      <c r="CK994" s="222"/>
      <c r="CQ994" s="222"/>
      <c r="CU994" s="222"/>
      <c r="CY994" s="222"/>
    </row>
  </sheetData>
  <mergeCells count="25">
    <mergeCell ref="B1:E1"/>
    <mergeCell ref="F1:I1"/>
    <mergeCell ref="J1:M1"/>
    <mergeCell ref="N1:Q1"/>
    <mergeCell ref="R1:U1"/>
    <mergeCell ref="V1:Y1"/>
    <mergeCell ref="Z1:AC1"/>
    <mergeCell ref="AD1:AG1"/>
    <mergeCell ref="AH1:AK1"/>
    <mergeCell ref="AL1:AO1"/>
    <mergeCell ref="AP1:AS1"/>
    <mergeCell ref="AT1:AW1"/>
    <mergeCell ref="AX1:BA1"/>
    <mergeCell ref="BB1:BE1"/>
    <mergeCell ref="CL1:CQ1"/>
    <mergeCell ref="CR1:CU1"/>
    <mergeCell ref="CV1:CY1"/>
    <mergeCell ref="CZ1:DC1"/>
    <mergeCell ref="BH1:BK1"/>
    <mergeCell ref="BL1:BO1"/>
    <mergeCell ref="BP1:BU1"/>
    <mergeCell ref="BV1:BY1"/>
    <mergeCell ref="BZ1:CC1"/>
    <mergeCell ref="CD1:CG1"/>
    <mergeCell ref="CH1:CK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19.13"/>
    <col customWidth="1" min="3" max="3" width="19.38"/>
    <col customWidth="1" min="4" max="4" width="15.5"/>
  </cols>
  <sheetData>
    <row r="1" ht="22.5" customHeight="1">
      <c r="A1" s="188" t="s">
        <v>90</v>
      </c>
      <c r="B1" s="188" t="s">
        <v>303</v>
      </c>
      <c r="C1" s="188" t="s">
        <v>494</v>
      </c>
      <c r="D1" s="188" t="s">
        <v>495</v>
      </c>
    </row>
    <row r="2" ht="22.5" customHeight="1">
      <c r="A2" s="139" t="s">
        <v>51</v>
      </c>
      <c r="B2" s="190">
        <v>7.06</v>
      </c>
      <c r="C2" s="190">
        <v>6.42</v>
      </c>
      <c r="D2" s="190">
        <f t="shared" ref="D2:D26" si="1">C2/B2</f>
        <v>0.9093484419</v>
      </c>
    </row>
    <row r="3" ht="22.5" customHeight="1">
      <c r="A3" s="139" t="s">
        <v>56</v>
      </c>
      <c r="B3" s="190">
        <v>6.6</v>
      </c>
      <c r="C3" s="190">
        <v>7.0</v>
      </c>
      <c r="D3" s="190">
        <f t="shared" si="1"/>
        <v>1.060606061</v>
      </c>
    </row>
    <row r="4" ht="22.5" customHeight="1">
      <c r="A4" s="139" t="s">
        <v>52</v>
      </c>
      <c r="B4" s="190">
        <v>7.17</v>
      </c>
      <c r="C4" s="190">
        <v>6.29</v>
      </c>
      <c r="D4" s="190">
        <f t="shared" si="1"/>
        <v>0.8772663877</v>
      </c>
    </row>
    <row r="5" ht="22.5" customHeight="1">
      <c r="A5" s="139" t="s">
        <v>58</v>
      </c>
      <c r="B5" s="190">
        <v>7.1</v>
      </c>
      <c r="C5" s="190">
        <v>6.97</v>
      </c>
      <c r="D5" s="190">
        <f t="shared" si="1"/>
        <v>0.9816901408</v>
      </c>
    </row>
    <row r="6" ht="22.5" customHeight="1">
      <c r="A6" s="139" t="s">
        <v>66</v>
      </c>
      <c r="B6" s="190">
        <v>5.69</v>
      </c>
      <c r="C6" s="190">
        <v>7.22</v>
      </c>
      <c r="D6" s="190">
        <f t="shared" si="1"/>
        <v>1.268892794</v>
      </c>
    </row>
    <row r="7" ht="22.5" customHeight="1">
      <c r="A7" s="139" t="s">
        <v>54</v>
      </c>
      <c r="B7" s="190">
        <v>7.19</v>
      </c>
      <c r="C7" s="190">
        <v>6.84</v>
      </c>
      <c r="D7" s="190">
        <f t="shared" si="1"/>
        <v>0.9513212796</v>
      </c>
    </row>
    <row r="8" ht="22.5" customHeight="1">
      <c r="A8" s="139" t="s">
        <v>62</v>
      </c>
      <c r="B8" s="190">
        <v>5.46</v>
      </c>
      <c r="C8" s="189">
        <v>4.07</v>
      </c>
      <c r="D8" s="190">
        <f t="shared" si="1"/>
        <v>0.7454212454</v>
      </c>
    </row>
    <row r="9" ht="22.5" customHeight="1">
      <c r="A9" s="139" t="s">
        <v>55</v>
      </c>
      <c r="B9" s="190">
        <v>7.37</v>
      </c>
      <c r="C9" s="190">
        <v>7.49</v>
      </c>
      <c r="D9" s="190">
        <f t="shared" si="1"/>
        <v>1.016282225</v>
      </c>
    </row>
    <row r="10" ht="22.5" customHeight="1">
      <c r="A10" s="139" t="s">
        <v>59</v>
      </c>
      <c r="B10" s="190">
        <v>6.55</v>
      </c>
      <c r="C10" s="190">
        <v>5.54</v>
      </c>
      <c r="D10" s="190">
        <f t="shared" si="1"/>
        <v>0.8458015267</v>
      </c>
    </row>
    <row r="11" ht="22.5" customHeight="1">
      <c r="A11" s="139" t="s">
        <v>68</v>
      </c>
      <c r="B11" s="190">
        <v>5.6</v>
      </c>
      <c r="C11" s="190">
        <v>6.15</v>
      </c>
      <c r="D11" s="190">
        <f t="shared" si="1"/>
        <v>1.098214286</v>
      </c>
    </row>
    <row r="12" ht="22.5" customHeight="1">
      <c r="A12" s="139" t="s">
        <v>65</v>
      </c>
      <c r="B12" s="190">
        <v>4.77</v>
      </c>
      <c r="C12" s="190">
        <v>6.41</v>
      </c>
      <c r="D12" s="190">
        <f t="shared" si="1"/>
        <v>1.343815514</v>
      </c>
    </row>
    <row r="13" ht="22.5" customHeight="1">
      <c r="A13" s="139" t="s">
        <v>57</v>
      </c>
      <c r="B13" s="190">
        <v>6.85</v>
      </c>
      <c r="C13" s="190">
        <v>6.06</v>
      </c>
      <c r="D13" s="190">
        <f t="shared" si="1"/>
        <v>0.8846715328</v>
      </c>
    </row>
    <row r="14" ht="22.5" customHeight="1">
      <c r="A14" s="139" t="s">
        <v>64</v>
      </c>
      <c r="B14" s="190">
        <v>5.72</v>
      </c>
      <c r="C14" s="189">
        <v>4.3</v>
      </c>
      <c r="D14" s="190">
        <f t="shared" si="1"/>
        <v>0.7517482517</v>
      </c>
    </row>
    <row r="15" ht="22.5" customHeight="1">
      <c r="A15" s="139" t="s">
        <v>70</v>
      </c>
      <c r="B15" s="190">
        <v>5.21</v>
      </c>
      <c r="C15" s="189">
        <v>3.54</v>
      </c>
      <c r="D15" s="190">
        <f t="shared" si="1"/>
        <v>0.679462572</v>
      </c>
    </row>
    <row r="16" ht="22.5" customHeight="1">
      <c r="A16" s="139" t="s">
        <v>53</v>
      </c>
      <c r="B16" s="233">
        <v>7.99</v>
      </c>
      <c r="C16" s="233">
        <v>5.39</v>
      </c>
      <c r="D16" s="190">
        <f t="shared" si="1"/>
        <v>0.6745932416</v>
      </c>
    </row>
    <row r="17" ht="22.5" customHeight="1">
      <c r="A17" s="139" t="s">
        <v>61</v>
      </c>
      <c r="B17" s="190">
        <v>5.93</v>
      </c>
      <c r="C17" s="190">
        <v>6.23</v>
      </c>
      <c r="D17" s="190">
        <f t="shared" si="1"/>
        <v>1.050590219</v>
      </c>
    </row>
    <row r="18" ht="22.5" customHeight="1">
      <c r="A18" s="139" t="s">
        <v>75</v>
      </c>
      <c r="B18" s="233">
        <v>6.09</v>
      </c>
      <c r="C18" s="233">
        <v>2.06</v>
      </c>
      <c r="D18" s="190">
        <f t="shared" si="1"/>
        <v>0.3382594417</v>
      </c>
    </row>
    <row r="19" ht="22.5" customHeight="1">
      <c r="A19" s="139" t="s">
        <v>71</v>
      </c>
      <c r="B19" s="190">
        <v>6.59</v>
      </c>
      <c r="C19" s="190">
        <v>6.02</v>
      </c>
      <c r="D19" s="190">
        <f t="shared" si="1"/>
        <v>0.9135053111</v>
      </c>
    </row>
    <row r="20" ht="22.5" customHeight="1">
      <c r="A20" s="139" t="s">
        <v>63</v>
      </c>
      <c r="B20" s="190">
        <v>5.9</v>
      </c>
      <c r="C20" s="189">
        <v>5.18</v>
      </c>
      <c r="D20" s="190">
        <f t="shared" si="1"/>
        <v>0.8779661017</v>
      </c>
    </row>
    <row r="21" ht="22.5" customHeight="1">
      <c r="A21" s="139" t="s">
        <v>69</v>
      </c>
      <c r="B21" s="190">
        <v>7.25</v>
      </c>
      <c r="C21" s="189">
        <v>5.39</v>
      </c>
      <c r="D21" s="190">
        <f t="shared" si="1"/>
        <v>0.7434482759</v>
      </c>
    </row>
    <row r="22" ht="22.5" customHeight="1">
      <c r="A22" s="139" t="s">
        <v>67</v>
      </c>
      <c r="B22" s="190">
        <v>6.71</v>
      </c>
      <c r="C22" s="190">
        <v>7.95</v>
      </c>
      <c r="D22" s="190">
        <f t="shared" si="1"/>
        <v>1.184798808</v>
      </c>
    </row>
    <row r="23" ht="22.5" customHeight="1">
      <c r="A23" s="139" t="s">
        <v>60</v>
      </c>
      <c r="B23" s="233">
        <v>5.51</v>
      </c>
      <c r="C23" s="233">
        <v>5.99</v>
      </c>
      <c r="D23" s="190">
        <f t="shared" si="1"/>
        <v>1.087114338</v>
      </c>
    </row>
    <row r="24" ht="22.5" customHeight="1">
      <c r="A24" s="139" t="s">
        <v>72</v>
      </c>
      <c r="B24" s="190">
        <v>5.66</v>
      </c>
      <c r="C24" s="190">
        <v>5.63</v>
      </c>
      <c r="D24" s="190">
        <f t="shared" si="1"/>
        <v>0.9946996466</v>
      </c>
    </row>
    <row r="25" ht="22.5" customHeight="1">
      <c r="A25" s="139" t="s">
        <v>73</v>
      </c>
      <c r="B25" s="190">
        <v>5.86</v>
      </c>
      <c r="C25" s="189">
        <v>5.01</v>
      </c>
      <c r="D25" s="190">
        <f t="shared" si="1"/>
        <v>0.8549488055</v>
      </c>
    </row>
    <row r="26" ht="22.5" customHeight="1">
      <c r="A26" s="139" t="s">
        <v>74</v>
      </c>
      <c r="B26" s="190">
        <v>4.74</v>
      </c>
      <c r="C26" s="190">
        <v>5.75</v>
      </c>
      <c r="D26" s="190">
        <f t="shared" si="1"/>
        <v>1.213080169</v>
      </c>
    </row>
    <row r="27">
      <c r="C27" s="234" t="s">
        <v>309</v>
      </c>
      <c r="D27" s="235">
        <f>min(D2:D26)</f>
        <v>0.3382594417</v>
      </c>
    </row>
    <row r="28">
      <c r="C28" s="234" t="s">
        <v>308</v>
      </c>
      <c r="D28" s="235">
        <f>max(D2:D26)</f>
        <v>1.343815514</v>
      </c>
    </row>
  </sheetData>
  <dataValidations>
    <dataValidation type="custom" allowBlank="1" showDropDown="1" sqref="B2:D26">
      <formula1>AND(ISNUMBER(B2),(NOT(OR(NOT(ISERROR(DATEVALUE(B2))), AND(ISNUMBER(B2), LEFT(CELL("format", B2))="D")))))</formula1>
    </dataValidation>
  </dataValidations>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s>
  <sheetData>
    <row r="1" ht="22.5" customHeight="1">
      <c r="A1" s="188" t="s">
        <v>496</v>
      </c>
      <c r="B1" s="188" t="s">
        <v>324</v>
      </c>
      <c r="C1" s="188" t="s">
        <v>497</v>
      </c>
      <c r="D1" s="188" t="s">
        <v>498</v>
      </c>
      <c r="E1" s="188" t="s">
        <v>499</v>
      </c>
    </row>
    <row r="2" ht="22.5" customHeight="1">
      <c r="A2" s="140" t="s">
        <v>500</v>
      </c>
      <c r="B2" s="140">
        <v>1937.0</v>
      </c>
      <c r="C2" s="140" t="s">
        <v>474</v>
      </c>
      <c r="D2" s="140">
        <v>0.0</v>
      </c>
      <c r="E2" s="140" t="s">
        <v>474</v>
      </c>
      <c r="G2" s="236" t="s">
        <v>501</v>
      </c>
      <c r="H2" s="237"/>
    </row>
    <row r="3" ht="22.5" customHeight="1">
      <c r="A3" s="140" t="s">
        <v>500</v>
      </c>
      <c r="B3" s="140">
        <v>1938.0</v>
      </c>
      <c r="C3" s="140" t="s">
        <v>474</v>
      </c>
      <c r="D3" s="140">
        <v>0.0</v>
      </c>
      <c r="E3" s="140" t="s">
        <v>474</v>
      </c>
      <c r="G3" s="238">
        <v>1.0</v>
      </c>
      <c r="H3" s="238">
        <v>0.75</v>
      </c>
    </row>
    <row r="4" ht="22.5" customHeight="1">
      <c r="A4" s="140" t="s">
        <v>500</v>
      </c>
      <c r="B4" s="140">
        <v>1939.0</v>
      </c>
      <c r="C4" s="140" t="s">
        <v>474</v>
      </c>
      <c r="D4" s="140">
        <v>0.0</v>
      </c>
      <c r="E4" s="140" t="s">
        <v>474</v>
      </c>
      <c r="G4" s="238">
        <v>2.0</v>
      </c>
      <c r="H4" s="238">
        <v>0.35</v>
      </c>
    </row>
    <row r="5" ht="22.5" customHeight="1">
      <c r="A5" s="140" t="s">
        <v>500</v>
      </c>
      <c r="B5" s="140">
        <v>1940.0</v>
      </c>
      <c r="C5" s="140" t="s">
        <v>474</v>
      </c>
      <c r="D5" s="140">
        <v>0.0</v>
      </c>
      <c r="E5" s="140" t="s">
        <v>474</v>
      </c>
      <c r="G5" s="238">
        <v>3.0</v>
      </c>
      <c r="H5" s="238">
        <v>0.15</v>
      </c>
    </row>
    <row r="6" ht="22.5" customHeight="1">
      <c r="A6" s="140" t="s">
        <v>500</v>
      </c>
      <c r="B6" s="140">
        <v>1941.0</v>
      </c>
      <c r="C6" s="140" t="s">
        <v>474</v>
      </c>
      <c r="D6" s="140">
        <v>0.0</v>
      </c>
      <c r="E6" s="140" t="s">
        <v>474</v>
      </c>
      <c r="G6" s="238">
        <v>4.0</v>
      </c>
      <c r="H6" s="238">
        <v>0.07</v>
      </c>
    </row>
    <row r="7" ht="22.5" customHeight="1">
      <c r="A7" s="140" t="s">
        <v>500</v>
      </c>
      <c r="B7" s="140">
        <v>1942.0</v>
      </c>
      <c r="C7" s="140" t="s">
        <v>474</v>
      </c>
      <c r="D7" s="140">
        <v>0.0</v>
      </c>
      <c r="E7" s="140" t="s">
        <v>474</v>
      </c>
      <c r="G7" s="238">
        <v>5.0</v>
      </c>
      <c r="H7" s="238">
        <v>0.03</v>
      </c>
    </row>
    <row r="8" ht="22.5" customHeight="1">
      <c r="A8" s="140" t="s">
        <v>500</v>
      </c>
      <c r="B8" s="140">
        <v>1943.0</v>
      </c>
      <c r="C8" s="140" t="s">
        <v>474</v>
      </c>
      <c r="D8" s="140">
        <v>0.0</v>
      </c>
      <c r="E8" s="140" t="s">
        <v>474</v>
      </c>
    </row>
    <row r="9" ht="22.5" customHeight="1">
      <c r="A9" s="140" t="s">
        <v>500</v>
      </c>
      <c r="B9" s="140">
        <v>1944.0</v>
      </c>
      <c r="C9" s="140" t="s">
        <v>474</v>
      </c>
      <c r="D9" s="140">
        <v>0.0</v>
      </c>
      <c r="E9" s="140" t="s">
        <v>474</v>
      </c>
    </row>
    <row r="10" ht="22.5" customHeight="1">
      <c r="A10" s="140" t="s">
        <v>500</v>
      </c>
      <c r="B10" s="140">
        <v>1945.0</v>
      </c>
      <c r="C10" s="140" t="s">
        <v>474</v>
      </c>
      <c r="D10" s="140">
        <v>0.0</v>
      </c>
      <c r="E10" s="140" t="s">
        <v>474</v>
      </c>
    </row>
    <row r="11" ht="22.5" customHeight="1">
      <c r="A11" s="140" t="s">
        <v>500</v>
      </c>
      <c r="B11" s="140">
        <v>1946.0</v>
      </c>
      <c r="C11" s="140">
        <v>0.0</v>
      </c>
      <c r="D11" s="140">
        <v>0.0</v>
      </c>
      <c r="E11" s="140" t="s">
        <v>474</v>
      </c>
    </row>
    <row r="12" ht="22.5" customHeight="1">
      <c r="A12" s="239" t="s">
        <v>307</v>
      </c>
      <c r="B12" s="239">
        <v>1947.0</v>
      </c>
      <c r="C12" s="239" t="s">
        <v>307</v>
      </c>
      <c r="D12" s="239" t="s">
        <v>307</v>
      </c>
      <c r="E12" s="239" t="s">
        <v>307</v>
      </c>
      <c r="F12" s="195"/>
      <c r="G12" s="195"/>
      <c r="H12" s="195"/>
      <c r="I12" s="195"/>
      <c r="J12" s="195"/>
      <c r="K12" s="195"/>
      <c r="L12" s="195"/>
      <c r="M12" s="195"/>
      <c r="N12" s="195"/>
      <c r="O12" s="195"/>
      <c r="P12" s="195"/>
      <c r="Q12" s="195"/>
      <c r="R12" s="195"/>
      <c r="S12" s="195"/>
      <c r="T12" s="195"/>
      <c r="U12" s="195"/>
      <c r="V12" s="195"/>
      <c r="W12" s="195"/>
      <c r="X12" s="195"/>
      <c r="Y12" s="195"/>
      <c r="Z12" s="195"/>
      <c r="AA12" s="195"/>
    </row>
    <row r="13" ht="22.5" customHeight="1">
      <c r="A13" s="140" t="s">
        <v>502</v>
      </c>
      <c r="B13" s="140">
        <v>1948.0</v>
      </c>
      <c r="C13" s="140">
        <v>0.0</v>
      </c>
      <c r="D13" s="140">
        <v>0.0</v>
      </c>
      <c r="E13" s="140">
        <v>0.0</v>
      </c>
    </row>
    <row r="14" ht="22.5" customHeight="1">
      <c r="A14" s="140" t="s">
        <v>502</v>
      </c>
      <c r="B14" s="140">
        <v>1949.0</v>
      </c>
      <c r="C14" s="140" t="s">
        <v>307</v>
      </c>
      <c r="D14" s="140">
        <v>0.0</v>
      </c>
      <c r="E14" s="140">
        <v>0.0</v>
      </c>
    </row>
    <row r="15" ht="22.5" customHeight="1">
      <c r="A15" s="140" t="s">
        <v>502</v>
      </c>
      <c r="B15" s="140">
        <v>1950.0</v>
      </c>
      <c r="C15" s="140" t="s">
        <v>307</v>
      </c>
      <c r="D15" s="140">
        <v>0.0</v>
      </c>
      <c r="E15" s="140">
        <v>0.0</v>
      </c>
    </row>
    <row r="16" ht="22.5" customHeight="1">
      <c r="A16" s="140" t="s">
        <v>502</v>
      </c>
      <c r="B16" s="140">
        <v>1951.0</v>
      </c>
      <c r="C16" s="140">
        <v>0.75</v>
      </c>
      <c r="D16" s="140">
        <v>0.0</v>
      </c>
      <c r="E16" s="140">
        <v>0.0</v>
      </c>
    </row>
    <row r="17" ht="22.5" customHeight="1">
      <c r="A17" s="239" t="s">
        <v>307</v>
      </c>
      <c r="B17" s="239">
        <v>1952.0</v>
      </c>
      <c r="C17" s="239" t="s">
        <v>307</v>
      </c>
      <c r="D17" s="239" t="s">
        <v>307</v>
      </c>
      <c r="E17" s="239" t="s">
        <v>307</v>
      </c>
      <c r="F17" s="195"/>
      <c r="G17" s="195"/>
      <c r="H17" s="195"/>
      <c r="I17" s="195"/>
      <c r="J17" s="195"/>
      <c r="K17" s="195"/>
      <c r="L17" s="195"/>
      <c r="M17" s="195"/>
      <c r="N17" s="195"/>
      <c r="O17" s="195"/>
      <c r="P17" s="195"/>
      <c r="Q17" s="195"/>
      <c r="R17" s="195"/>
      <c r="S17" s="195"/>
      <c r="T17" s="195"/>
      <c r="U17" s="195"/>
      <c r="V17" s="195"/>
      <c r="W17" s="195"/>
      <c r="X17" s="195"/>
      <c r="Y17" s="195"/>
      <c r="Z17" s="195"/>
      <c r="AA17" s="195"/>
    </row>
    <row r="18" ht="22.5" customHeight="1">
      <c r="A18" s="140" t="s">
        <v>502</v>
      </c>
      <c r="B18" s="140">
        <v>1953.0</v>
      </c>
      <c r="C18" s="140">
        <v>0.79</v>
      </c>
      <c r="D18" s="140" t="s">
        <v>474</v>
      </c>
      <c r="E18" s="140">
        <v>0.0</v>
      </c>
    </row>
    <row r="19" ht="22.5" customHeight="1">
      <c r="A19" s="140" t="s">
        <v>502</v>
      </c>
      <c r="B19" s="140">
        <v>1954.0</v>
      </c>
      <c r="C19" s="140">
        <v>0.138</v>
      </c>
      <c r="D19" s="140" t="s">
        <v>474</v>
      </c>
      <c r="E19" s="140">
        <v>0.069</v>
      </c>
    </row>
    <row r="20" ht="22.5" customHeight="1">
      <c r="A20" s="140" t="s">
        <v>502</v>
      </c>
      <c r="B20" s="140">
        <v>1955.0</v>
      </c>
      <c r="C20" s="140">
        <v>0.433</v>
      </c>
      <c r="D20" s="140" t="s">
        <v>474</v>
      </c>
      <c r="E20" s="140">
        <v>0.0</v>
      </c>
    </row>
    <row r="21" ht="22.5" customHeight="1">
      <c r="A21" s="140" t="s">
        <v>502</v>
      </c>
      <c r="B21" s="140">
        <v>1956.0</v>
      </c>
      <c r="C21" s="140" t="s">
        <v>474</v>
      </c>
      <c r="D21" s="140" t="s">
        <v>474</v>
      </c>
      <c r="E21" s="140">
        <v>0.0</v>
      </c>
    </row>
    <row r="22" ht="22.5" customHeight="1">
      <c r="A22" s="140" t="s">
        <v>503</v>
      </c>
      <c r="B22" s="140">
        <v>1957.0</v>
      </c>
      <c r="C22" s="140" t="s">
        <v>474</v>
      </c>
      <c r="D22" s="140" t="s">
        <v>474</v>
      </c>
      <c r="E22" s="140">
        <v>0.278</v>
      </c>
    </row>
    <row r="23" ht="22.5" customHeight="1">
      <c r="A23" s="140" t="s">
        <v>503</v>
      </c>
      <c r="B23" s="140">
        <v>1958.0</v>
      </c>
      <c r="C23" s="140" t="s">
        <v>474</v>
      </c>
      <c r="D23" s="140" t="s">
        <v>474</v>
      </c>
      <c r="E23" s="140">
        <v>0.0</v>
      </c>
    </row>
    <row r="24" ht="22.5" customHeight="1">
      <c r="A24" s="140" t="s">
        <v>503</v>
      </c>
      <c r="B24" s="140">
        <v>1959.0</v>
      </c>
      <c r="C24" s="140" t="s">
        <v>474</v>
      </c>
      <c r="D24" s="140" t="s">
        <v>474</v>
      </c>
      <c r="E24" s="140">
        <v>0.0</v>
      </c>
    </row>
    <row r="25" ht="22.5" customHeight="1">
      <c r="A25" s="140" t="s">
        <v>503</v>
      </c>
      <c r="B25" s="140">
        <v>1960.0</v>
      </c>
      <c r="C25" s="140" t="s">
        <v>474</v>
      </c>
      <c r="D25" s="140" t="s">
        <v>474</v>
      </c>
      <c r="E25" s="140">
        <v>0.0</v>
      </c>
    </row>
    <row r="26" ht="22.5" customHeight="1">
      <c r="A26" s="140" t="s">
        <v>503</v>
      </c>
      <c r="B26" s="140">
        <v>1961.0</v>
      </c>
      <c r="C26" s="140" t="s">
        <v>474</v>
      </c>
      <c r="D26" s="140" t="s">
        <v>474</v>
      </c>
      <c r="E26" s="140">
        <v>0.01</v>
      </c>
    </row>
    <row r="27" ht="22.5" customHeight="1">
      <c r="A27" s="140" t="s">
        <v>503</v>
      </c>
      <c r="B27" s="140">
        <v>1962.0</v>
      </c>
      <c r="C27" s="140" t="s">
        <v>474</v>
      </c>
      <c r="D27" s="140" t="s">
        <v>474</v>
      </c>
      <c r="E27" s="140">
        <v>0.325</v>
      </c>
    </row>
    <row r="28" ht="22.5" customHeight="1">
      <c r="A28" s="140" t="s">
        <v>503</v>
      </c>
      <c r="B28" s="140">
        <v>1963.0</v>
      </c>
      <c r="C28" s="140" t="s">
        <v>474</v>
      </c>
      <c r="D28" s="140" t="s">
        <v>474</v>
      </c>
      <c r="E28" s="140">
        <v>0.786</v>
      </c>
    </row>
    <row r="29" ht="22.5" customHeight="1">
      <c r="A29" s="140" t="s">
        <v>503</v>
      </c>
      <c r="B29" s="140" t="s">
        <v>504</v>
      </c>
      <c r="C29" s="140" t="s">
        <v>474</v>
      </c>
      <c r="D29" s="240" t="s">
        <v>474</v>
      </c>
      <c r="E29" s="240" t="s">
        <v>505</v>
      </c>
    </row>
    <row r="30">
      <c r="C30" s="241">
        <f>sum(C16:C20)</f>
        <v>2.111</v>
      </c>
      <c r="D30" s="242">
        <f>SUM(MVP_Shares[BAUGH])</f>
        <v>0</v>
      </c>
      <c r="E30" s="241">
        <f>sum(E19:E28)</f>
        <v>1.468</v>
      </c>
    </row>
  </sheetData>
  <mergeCells count="1">
    <mergeCell ref="G2:H2"/>
  </mergeCells>
  <drawing r:id="rId1"/>
  <tableParts count="1">
    <tablePart r:id="rId3"/>
  </tableParts>
</worksheet>
</file>